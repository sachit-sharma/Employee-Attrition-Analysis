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7.xml" ContentType="application/vnd.openxmlformats-officedocument.spreadsheetml.table+xml"/>
  <Override PartName="/xl/drawings/drawing4.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hidePivotFieldList="1" defaultThemeVersion="202300"/>
  <mc:AlternateContent xmlns:mc="http://schemas.openxmlformats.org/markup-compatibility/2006">
    <mc:Choice Requires="x15">
      <x15ac:absPath xmlns:x15ac="http://schemas.microsoft.com/office/spreadsheetml/2010/11/ac" url="/Users/sachitsharma/Year 4/Term 2/Projects_April_26/"/>
    </mc:Choice>
  </mc:AlternateContent>
  <xr:revisionPtr revIDLastSave="0" documentId="13_ncr:1_{A349A8AB-2303-F049-BF8B-FBD76AFF6F90}" xr6:coauthVersionLast="47" xr6:coauthVersionMax="47" xr10:uidLastSave="{00000000-0000-0000-0000-000000000000}"/>
  <bookViews>
    <workbookView xWindow="760" yWindow="500" windowWidth="28040" windowHeight="16120" activeTab="3" xr2:uid="{685A3A09-5266-9C43-9D30-29A3F44BC5AB}"/>
  </bookViews>
  <sheets>
    <sheet name="Raw Data" sheetId="1" r:id="rId1"/>
    <sheet name="Analysis" sheetId="4" r:id="rId2"/>
    <sheet name="PivotTable1" sheetId="6" r:id="rId3"/>
    <sheet name="Employee Risk" sheetId="8" r:id="rId4"/>
    <sheet name="Lookup Tables" sheetId="2" r:id="rId5"/>
    <sheet name="Dashboard" sheetId="3" r:id="rId6"/>
  </sheets>
  <definedNames>
    <definedName name="Risk_Scores">'Lookup Tables'!$A$11:$C$14</definedName>
    <definedName name="Risk_Weights">'Lookup Tables'!$A$11:$C$14</definedName>
    <definedName name="RiskWeights">Table28[]</definedName>
    <definedName name="Slicer_Department">#N/A</definedName>
    <definedName name="Slicer_Risk_Level">#N/A</definedName>
    <definedName name="Slicer_Salary_Range">#N/A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 i="4" l="1"/>
  <c r="K2" i="4"/>
  <c r="K882" i="4"/>
  <c r="K4" i="4"/>
  <c r="K1088" i="4"/>
  <c r="K801" i="4"/>
  <c r="K106" i="4"/>
  <c r="K65" i="4"/>
  <c r="K24" i="4"/>
  <c r="K602" i="4"/>
  <c r="K988" i="4"/>
  <c r="K922" i="4"/>
  <c r="K646" i="4"/>
  <c r="K804" i="4"/>
  <c r="K285" i="4"/>
  <c r="K16" i="4"/>
  <c r="K452" i="4"/>
  <c r="K415" i="4"/>
  <c r="K552" i="4"/>
  <c r="K418" i="4"/>
  <c r="K265" i="4"/>
  <c r="K1369" i="4"/>
  <c r="K23" i="4"/>
  <c r="K648" i="4"/>
  <c r="K135" i="4"/>
  <c r="K26" i="4"/>
  <c r="K737" i="4"/>
  <c r="K28" i="4"/>
  <c r="K738" i="4"/>
  <c r="K1104" i="4"/>
  <c r="K994" i="4"/>
  <c r="K868" i="4"/>
  <c r="K1416" i="4"/>
  <c r="K1179" i="4"/>
  <c r="K35" i="4"/>
  <c r="K36" i="4"/>
  <c r="K158" i="4"/>
  <c r="K38" i="4"/>
  <c r="K677" i="4"/>
  <c r="K507" i="4"/>
  <c r="K267" i="4"/>
  <c r="K1077" i="4"/>
  <c r="K268" i="4"/>
  <c r="K44" i="4"/>
  <c r="K805" i="4"/>
  <c r="K1016" i="4"/>
  <c r="K47" i="4"/>
  <c r="K308" i="4"/>
  <c r="K435" i="4"/>
  <c r="K856" i="4"/>
  <c r="K390" i="4"/>
  <c r="K52" i="4"/>
  <c r="K53" i="4"/>
  <c r="K436" i="4"/>
  <c r="K1379" i="4"/>
  <c r="K1142" i="4"/>
  <c r="K495" i="4"/>
  <c r="K1332" i="4"/>
  <c r="K1032" i="4"/>
  <c r="K1017" i="4"/>
  <c r="K120" i="4"/>
  <c r="K972" i="4"/>
  <c r="K39" i="4"/>
  <c r="K603" i="4"/>
  <c r="K1051" i="4"/>
  <c r="K1401" i="4"/>
  <c r="K1036" i="4"/>
  <c r="K613" i="4"/>
  <c r="K649" i="4"/>
  <c r="K292" i="4"/>
  <c r="K71" i="4"/>
  <c r="K843" i="4"/>
  <c r="K923" i="4"/>
  <c r="K692" i="4"/>
  <c r="K1389" i="4"/>
  <c r="K1089" i="4"/>
  <c r="K202" i="4"/>
  <c r="K478" i="4"/>
  <c r="K320" i="4"/>
  <c r="K905" i="4"/>
  <c r="K759" i="4"/>
  <c r="K321" i="4"/>
  <c r="K269" i="4"/>
  <c r="K25" i="4"/>
  <c r="K760" i="4"/>
  <c r="K1166" i="4"/>
  <c r="K1214" i="4"/>
  <c r="K573" i="4"/>
  <c r="K819" i="4"/>
  <c r="K60" i="4"/>
  <c r="K91" i="4"/>
  <c r="K66" i="4"/>
  <c r="K244" i="4"/>
  <c r="K936" i="4"/>
  <c r="K1417" i="4"/>
  <c r="K822" i="4"/>
  <c r="K586" i="4"/>
  <c r="K543" i="4"/>
  <c r="K1362" i="4"/>
  <c r="K1418" i="4"/>
  <c r="K159" i="4"/>
  <c r="K102" i="4"/>
  <c r="K309" i="4"/>
  <c r="K104" i="4"/>
  <c r="K1222" i="4"/>
  <c r="K753" i="4"/>
  <c r="K850" i="4"/>
  <c r="K770" i="4"/>
  <c r="K109" i="4"/>
  <c r="K27" i="4"/>
  <c r="K951" i="4"/>
  <c r="K604" i="4"/>
  <c r="K113" i="4"/>
  <c r="K1363" i="4"/>
  <c r="K783" i="4"/>
  <c r="K1037" i="4"/>
  <c r="K1131" i="4"/>
  <c r="K906" i="4"/>
  <c r="K186" i="4"/>
  <c r="K333" i="4"/>
  <c r="K410" i="4"/>
  <c r="K222" i="4"/>
  <c r="K1122" i="4"/>
  <c r="K124" i="4"/>
  <c r="K1272" i="4"/>
  <c r="K126" i="4"/>
  <c r="K784" i="4"/>
  <c r="K128" i="4"/>
  <c r="K129" i="4"/>
  <c r="K1234" i="4"/>
  <c r="K820" i="4"/>
  <c r="K712" i="4"/>
  <c r="K869" i="4"/>
  <c r="K134" i="4"/>
  <c r="K614" i="4"/>
  <c r="K1005" i="4"/>
  <c r="K693" i="4"/>
  <c r="K138" i="4"/>
  <c r="K588" i="4"/>
  <c r="K907" i="4"/>
  <c r="K167" i="4"/>
  <c r="K142" i="4"/>
  <c r="K351" i="4"/>
  <c r="K479" i="4"/>
  <c r="K1333" i="4"/>
  <c r="K334" i="4"/>
  <c r="K352" i="4"/>
  <c r="K48" i="4"/>
  <c r="K61" i="4"/>
  <c r="K223" i="4"/>
  <c r="K353" i="4"/>
  <c r="K650" i="4"/>
  <c r="K1052" i="4"/>
  <c r="K175" i="4"/>
  <c r="K785" i="4"/>
  <c r="K49" i="4"/>
  <c r="K806" i="4"/>
  <c r="K661" i="4"/>
  <c r="K203" i="4"/>
  <c r="K1078" i="4"/>
  <c r="K1080" i="4"/>
  <c r="K419" i="4"/>
  <c r="K1274" i="4"/>
  <c r="K480" i="4"/>
  <c r="K420" i="4"/>
  <c r="K1064" i="4"/>
  <c r="K739" i="4"/>
  <c r="K952" i="4"/>
  <c r="K1153" i="4"/>
  <c r="K786" i="4"/>
  <c r="K335" i="4"/>
  <c r="K1216" i="4"/>
  <c r="K173" i="4"/>
  <c r="K211" i="4"/>
  <c r="K364" i="4"/>
  <c r="K1419" i="4"/>
  <c r="K439" i="4"/>
  <c r="K694" i="4"/>
  <c r="K179" i="4"/>
  <c r="K1053" i="4"/>
  <c r="K714" i="4"/>
  <c r="K553" i="4"/>
  <c r="K1054" i="4"/>
  <c r="K184" i="4"/>
  <c r="K1246" i="4"/>
  <c r="K1276" i="4"/>
  <c r="K574" i="4"/>
  <c r="K1019" i="4"/>
  <c r="K245" i="4"/>
  <c r="K1223" i="4"/>
  <c r="K678" i="4"/>
  <c r="K204" i="4"/>
  <c r="K1123" i="4"/>
  <c r="K194" i="4"/>
  <c r="K270" i="4"/>
  <c r="K715" i="4"/>
  <c r="K635" i="4"/>
  <c r="K1154" i="4"/>
  <c r="K176" i="4"/>
  <c r="K141" i="4"/>
  <c r="K1452" i="4"/>
  <c r="K168" i="4"/>
  <c r="K1370" i="4"/>
  <c r="K391" i="4"/>
  <c r="K1167" i="4"/>
  <c r="K206" i="4"/>
  <c r="K207" i="4"/>
  <c r="K169" i="4"/>
  <c r="K160" i="4"/>
  <c r="K716" i="4"/>
  <c r="K346" i="4"/>
  <c r="K212" i="4"/>
  <c r="K1180" i="4"/>
  <c r="K107" i="4"/>
  <c r="K924" i="4"/>
  <c r="K216" i="4"/>
  <c r="K937" i="4"/>
  <c r="K218" i="4"/>
  <c r="K219" i="4"/>
  <c r="K1453" i="4"/>
  <c r="K953" i="4"/>
  <c r="K883" i="4"/>
  <c r="K205" i="4"/>
  <c r="K1090" i="4"/>
  <c r="K293" i="4"/>
  <c r="K195" i="4"/>
  <c r="K1197" i="4"/>
  <c r="K1039" i="4"/>
  <c r="K605" i="4"/>
  <c r="K3" i="4"/>
  <c r="K231" i="4"/>
  <c r="K1132" i="4"/>
  <c r="K1277" i="4"/>
  <c r="K787" i="4"/>
  <c r="K771" i="4"/>
  <c r="K236" i="4"/>
  <c r="K12" i="4"/>
  <c r="K238" i="4"/>
  <c r="K421" i="4"/>
  <c r="K788" i="4"/>
  <c r="K241" i="4"/>
  <c r="K224" i="4"/>
  <c r="K1235" i="4"/>
  <c r="K271" i="4"/>
  <c r="K884" i="4"/>
  <c r="K246" i="4"/>
  <c r="K1198" i="4"/>
  <c r="K521" i="4"/>
  <c r="K1318" i="4"/>
  <c r="K143" i="4"/>
  <c r="K1319" i="4"/>
  <c r="K252" i="4"/>
  <c r="K938" i="4"/>
  <c r="K1402" i="4"/>
  <c r="K1065" i="4"/>
  <c r="K90" i="4"/>
  <c r="K1262" i="4"/>
  <c r="K789" i="4"/>
  <c r="K790" i="4"/>
  <c r="K679" i="4"/>
  <c r="K261" i="4"/>
  <c r="K99" i="4"/>
  <c r="K392" i="4"/>
  <c r="K1380" i="4"/>
  <c r="K522" i="4"/>
  <c r="K266" i="4"/>
  <c r="K925" i="4"/>
  <c r="K1137" i="4"/>
  <c r="K761" i="4"/>
  <c r="K196" i="4"/>
  <c r="K1403" i="4"/>
  <c r="K197" i="4"/>
  <c r="K273" i="4"/>
  <c r="K1124" i="4"/>
  <c r="K857" i="4"/>
  <c r="K347" i="4"/>
  <c r="K1133" i="4"/>
  <c r="K576" i="4"/>
  <c r="K1364" i="4"/>
  <c r="K144" i="4"/>
  <c r="K755" i="4"/>
  <c r="K1294" i="4"/>
  <c r="K286" i="4"/>
  <c r="K1295" i="4"/>
  <c r="K393" i="4"/>
  <c r="K1091" i="4"/>
  <c r="K1296" i="4"/>
  <c r="K288" i="4"/>
  <c r="K995" i="4"/>
  <c r="K290" i="4"/>
  <c r="K523" i="4"/>
  <c r="K1465" i="4"/>
  <c r="K544" i="4"/>
  <c r="K870" i="4"/>
  <c r="K295" i="4"/>
  <c r="K1404" i="4"/>
  <c r="K422" i="4"/>
  <c r="K298" i="4"/>
  <c r="K1125" i="4"/>
  <c r="K823" i="4"/>
  <c r="K1181" i="4"/>
  <c r="K824" i="4"/>
  <c r="K1443" i="4"/>
  <c r="K1199" i="4"/>
  <c r="K680" i="4"/>
  <c r="K651" i="4"/>
  <c r="K1278" i="4"/>
  <c r="K1168" i="4"/>
  <c r="K13" i="4"/>
  <c r="K606" i="4"/>
  <c r="K871" i="4"/>
  <c r="K636" i="4"/>
  <c r="K287" i="4"/>
  <c r="K973" i="4"/>
  <c r="K440" i="4"/>
  <c r="K615" i="4"/>
  <c r="K272" i="4"/>
  <c r="K1247" i="4"/>
  <c r="K319" i="4"/>
  <c r="K233" i="4"/>
  <c r="K772" i="4"/>
  <c r="K80" i="4"/>
  <c r="K1006" i="4"/>
  <c r="K1263" i="4"/>
  <c r="K325" i="4"/>
  <c r="K1336" i="4"/>
  <c r="K86" i="4"/>
  <c r="K1217" i="4"/>
  <c r="K329" i="4"/>
  <c r="K255" i="4"/>
  <c r="K1420" i="4"/>
  <c r="K425" i="4"/>
  <c r="K939" i="4"/>
  <c r="K1040" i="4"/>
  <c r="K336" i="4"/>
  <c r="K637" i="4"/>
  <c r="K453" i="4"/>
  <c r="K338" i="4"/>
  <c r="K274" i="4"/>
  <c r="K807" i="4"/>
  <c r="K454" i="4"/>
  <c r="K81" i="4"/>
  <c r="K5" i="4"/>
  <c r="K808" i="4"/>
  <c r="K1421" i="4"/>
  <c r="K1007" i="4"/>
  <c r="K996" i="4"/>
  <c r="K617" i="4"/>
  <c r="K858" i="4"/>
  <c r="K974" i="4"/>
  <c r="K117" i="4"/>
  <c r="K381" i="4"/>
  <c r="K161" i="4"/>
  <c r="K496" i="4"/>
  <c r="K652" i="4"/>
  <c r="K872" i="4"/>
  <c r="K895" i="4"/>
  <c r="K618" i="4"/>
  <c r="K359" i="4"/>
  <c r="K1105" i="4"/>
  <c r="K532" i="4"/>
  <c r="K234" i="4"/>
  <c r="K1279" i="4"/>
  <c r="K337" i="4"/>
  <c r="K365" i="4"/>
  <c r="K225" i="4"/>
  <c r="K1297" i="4"/>
  <c r="K368" i="4"/>
  <c r="K187" i="4"/>
  <c r="K370" i="4"/>
  <c r="K394" i="4"/>
  <c r="K372" i="4"/>
  <c r="K1357" i="4"/>
  <c r="K619" i="4"/>
  <c r="K1066" i="4"/>
  <c r="K411" i="4"/>
  <c r="K1042" i="4"/>
  <c r="K67" i="4"/>
  <c r="K620" i="4"/>
  <c r="K380" i="4"/>
  <c r="K1372" i="4"/>
  <c r="K145" i="4"/>
  <c r="K366" i="4"/>
  <c r="K384" i="4"/>
  <c r="K1466" i="4"/>
  <c r="K1139" i="4"/>
  <c r="K387" i="4"/>
  <c r="K1055" i="4"/>
  <c r="K456" i="4"/>
  <c r="K681" i="4"/>
  <c r="K1280" i="4"/>
  <c r="K653" i="4"/>
  <c r="K825" i="4"/>
  <c r="K1067" i="4"/>
  <c r="K1390" i="4"/>
  <c r="K1467" i="4"/>
  <c r="K367" i="4"/>
  <c r="K369" i="4"/>
  <c r="K914" i="4"/>
  <c r="K247" i="4"/>
  <c r="K1309" i="4"/>
  <c r="K1282" i="4"/>
  <c r="K1382" i="4"/>
  <c r="K1068" i="4"/>
  <c r="K896" i="4"/>
  <c r="K997" i="4"/>
  <c r="K407" i="4"/>
  <c r="K748" i="4"/>
  <c r="K717" i="4"/>
  <c r="K1422" i="4"/>
  <c r="K6" i="4"/>
  <c r="K1043" i="4"/>
  <c r="K1156" i="4"/>
  <c r="K1320" i="4"/>
  <c r="K508" i="4"/>
  <c r="K416" i="4"/>
  <c r="K417" i="4"/>
  <c r="K663" i="4"/>
  <c r="K1249" i="4"/>
  <c r="K68" i="4"/>
  <c r="K1358" i="4"/>
  <c r="K916" i="4"/>
  <c r="K423" i="4"/>
  <c r="K424" i="4"/>
  <c r="K1200" i="4"/>
  <c r="K792" i="4"/>
  <c r="K1134" i="4"/>
  <c r="K40" i="4"/>
  <c r="K762" i="4"/>
  <c r="K773" i="4"/>
  <c r="K654" i="4"/>
  <c r="K457" i="4"/>
  <c r="K395" i="4"/>
  <c r="K524" i="4"/>
  <c r="K226" i="4"/>
  <c r="K666" i="4"/>
  <c r="K437" i="4"/>
  <c r="K438" i="4"/>
  <c r="K1455" i="4"/>
  <c r="K718" i="4"/>
  <c r="K441" i="4"/>
  <c r="K442" i="4"/>
  <c r="K412" i="4"/>
  <c r="K667" i="4"/>
  <c r="K445" i="4"/>
  <c r="K92" i="4"/>
  <c r="K235" i="4"/>
  <c r="K1092" i="4"/>
  <c r="K1069" i="4"/>
  <c r="K719" i="4"/>
  <c r="K322" i="4"/>
  <c r="K696" i="4"/>
  <c r="K1020" i="4"/>
  <c r="K443" i="4"/>
  <c r="K455" i="4"/>
  <c r="K483" i="4"/>
  <c r="K918" i="4"/>
  <c r="K545" i="4"/>
  <c r="K459" i="4"/>
  <c r="K1218" i="4"/>
  <c r="K29" i="4"/>
  <c r="K1106" i="4"/>
  <c r="K509" i="4"/>
  <c r="K1265" i="4"/>
  <c r="K465" i="4"/>
  <c r="K1284" i="4"/>
  <c r="K560" i="4"/>
  <c r="K1170" i="4"/>
  <c r="K1266" i="4"/>
  <c r="K354" i="4"/>
  <c r="K471" i="4"/>
  <c r="K339" i="4"/>
  <c r="K1434" i="4"/>
  <c r="K525" i="4"/>
  <c r="K41" i="4"/>
  <c r="K874" i="4"/>
  <c r="K834" i="4"/>
  <c r="K682" i="4"/>
  <c r="K136" i="4"/>
  <c r="K213" i="4"/>
  <c r="K481" i="4"/>
  <c r="K482" i="4"/>
  <c r="K765" i="4"/>
  <c r="K484" i="4"/>
  <c r="K1143" i="4"/>
  <c r="K310" i="4"/>
  <c r="K1337" i="4"/>
  <c r="K444" i="4"/>
  <c r="K1383" i="4"/>
  <c r="K698" i="4"/>
  <c r="K897" i="4"/>
  <c r="K908" i="4"/>
  <c r="K940" i="4"/>
  <c r="K275" i="4"/>
  <c r="K323" i="4"/>
  <c r="K214" i="4"/>
  <c r="K497" i="4"/>
  <c r="K589" i="4"/>
  <c r="K340" i="4"/>
  <c r="K1338" i="4"/>
  <c r="K670" i="4"/>
  <c r="K498" i="4"/>
  <c r="K30" i="4"/>
  <c r="K341" i="4"/>
  <c r="K1423" i="4"/>
  <c r="K506" i="4"/>
  <c r="K248" i="4"/>
  <c r="K485" i="4"/>
  <c r="K885" i="4"/>
  <c r="K699" i="4"/>
  <c r="K1424" i="4"/>
  <c r="K998" i="4"/>
  <c r="K590" i="4"/>
  <c r="K956" i="4"/>
  <c r="K515" i="4"/>
  <c r="K516" i="4"/>
  <c r="K486" i="4"/>
  <c r="K1144" i="4"/>
  <c r="K1021" i="4"/>
  <c r="K1405" i="4"/>
  <c r="K1000" i="4"/>
  <c r="K1145" i="4"/>
  <c r="K835" i="4"/>
  <c r="K355" i="4"/>
  <c r="K31" i="4"/>
  <c r="K1022" i="4"/>
  <c r="K527" i="4"/>
  <c r="K1250" i="4"/>
  <c r="K458" i="4"/>
  <c r="K530" i="4"/>
  <c r="K1365" i="4"/>
  <c r="K311" i="4"/>
  <c r="K1157" i="4"/>
  <c r="K1158" i="4"/>
  <c r="K1093" i="4"/>
  <c r="K42" i="4"/>
  <c r="K371" i="4"/>
  <c r="K926" i="4"/>
  <c r="K1159" i="4"/>
  <c r="K740" i="4"/>
  <c r="K121" i="4"/>
  <c r="K542" i="4"/>
  <c r="K720" i="4"/>
  <c r="K69" i="4"/>
  <c r="K1406" i="4"/>
  <c r="K460" i="4"/>
  <c r="K1236" i="4"/>
  <c r="K1310" i="4"/>
  <c r="K549" i="4"/>
  <c r="K957" i="4"/>
  <c r="K1126" i="4"/>
  <c r="K1107" i="4"/>
  <c r="K215" i="4"/>
  <c r="K561" i="4"/>
  <c r="K766" i="4"/>
  <c r="K1456" i="4"/>
  <c r="K1321" i="4"/>
  <c r="K1182" i="4"/>
  <c r="K836" i="4"/>
  <c r="K875" i="4"/>
  <c r="K188" i="4"/>
  <c r="K487" i="4"/>
  <c r="K672" i="4"/>
  <c r="K564" i="4"/>
  <c r="K177" i="4"/>
  <c r="K170" i="4"/>
  <c r="K1322" i="4"/>
  <c r="K568" i="4"/>
  <c r="K1146" i="4"/>
  <c r="K570" i="4"/>
  <c r="K294" i="4"/>
  <c r="K1109" i="4"/>
  <c r="K639" i="4"/>
  <c r="K1339" i="4"/>
  <c r="K575" i="4"/>
  <c r="K721" i="4"/>
  <c r="K413" i="4"/>
  <c r="K1183" i="4"/>
  <c r="K237" i="4"/>
  <c r="K446" i="4"/>
  <c r="K70" i="4"/>
  <c r="K447" i="4"/>
  <c r="K1044" i="4"/>
  <c r="K1298" i="4"/>
  <c r="K348" i="4"/>
  <c r="K1081" i="4"/>
  <c r="K587" i="4"/>
  <c r="K1285" i="4"/>
  <c r="K108" i="4"/>
  <c r="K1342" i="4"/>
  <c r="K591" i="4"/>
  <c r="K256" i="4"/>
  <c r="K593" i="4"/>
  <c r="K546" i="4"/>
  <c r="K1301" i="4"/>
  <c r="K826" i="4"/>
  <c r="K597" i="4"/>
  <c r="K1160" i="4"/>
  <c r="K547" i="4"/>
  <c r="K600" i="4"/>
  <c r="K93" i="4"/>
  <c r="K100" i="4"/>
  <c r="K382" i="4"/>
  <c r="K845" i="4"/>
  <c r="K7" i="4"/>
  <c r="K1056" i="4"/>
  <c r="K749" i="4"/>
  <c r="K289" i="4"/>
  <c r="K609" i="4"/>
  <c r="K610" i="4"/>
  <c r="K860" i="4"/>
  <c r="K131" i="4"/>
  <c r="K1094" i="4"/>
  <c r="K876" i="4"/>
  <c r="K1184" i="4"/>
  <c r="K616" i="4"/>
  <c r="K171" i="4"/>
  <c r="K1445" i="4"/>
  <c r="K958" i="4"/>
  <c r="K1201" i="4"/>
  <c r="K1457" i="4"/>
  <c r="K959" i="4"/>
  <c r="K257" i="4"/>
  <c r="K886" i="4"/>
  <c r="K943" i="4"/>
  <c r="K1323" i="4"/>
  <c r="K312" i="4"/>
  <c r="K8" i="4"/>
  <c r="K146" i="4"/>
  <c r="K944" i="4"/>
  <c r="K1202" i="4"/>
  <c r="K396" i="4"/>
  <c r="K723" i="4"/>
  <c r="K178" i="4"/>
  <c r="K827" i="4"/>
  <c r="K861" i="4"/>
  <c r="K1391" i="4"/>
  <c r="K638" i="4"/>
  <c r="K724" i="4"/>
  <c r="K198" i="4"/>
  <c r="K673" i="4"/>
  <c r="K960" i="4"/>
  <c r="K1359" i="4"/>
  <c r="K683" i="4"/>
  <c r="K684" i="4"/>
  <c r="K324" i="4"/>
  <c r="K647" i="4"/>
  <c r="K1343" i="4"/>
  <c r="K562" i="4"/>
  <c r="K1024" i="4"/>
  <c r="K640" i="4"/>
  <c r="K488" i="4"/>
  <c r="K50" i="4"/>
  <c r="K397" i="4"/>
  <c r="K863" i="4"/>
  <c r="K132" i="4"/>
  <c r="K258" i="4"/>
  <c r="K658" i="4"/>
  <c r="K1267" i="4"/>
  <c r="K448" i="4"/>
  <c r="K1432" i="4"/>
  <c r="K662" i="4"/>
  <c r="K1025" i="4"/>
  <c r="K664" i="4"/>
  <c r="K665" i="4"/>
  <c r="K1204" i="4"/>
  <c r="K1205" i="4"/>
  <c r="K668" i="4"/>
  <c r="K669" i="4"/>
  <c r="K1001" i="4"/>
  <c r="K671" i="4"/>
  <c r="K1252" i="4"/>
  <c r="K356" i="4"/>
  <c r="K1447" i="4"/>
  <c r="K1171" i="4"/>
  <c r="K1468" i="4"/>
  <c r="K975" i="4"/>
  <c r="K1458" i="4"/>
  <c r="K961" i="4"/>
  <c r="K383" i="4"/>
  <c r="K51" i="4"/>
  <c r="K577" i="4"/>
  <c r="K1135" i="4"/>
  <c r="K82" i="4"/>
  <c r="K685" i="4"/>
  <c r="K449" i="4"/>
  <c r="K533" i="4"/>
  <c r="K592" i="4"/>
  <c r="K296" i="4"/>
  <c r="K690" i="4"/>
  <c r="K691" i="4"/>
  <c r="K1425" i="4"/>
  <c r="K54" i="4"/>
  <c r="K349" i="4"/>
  <c r="K695" i="4"/>
  <c r="K1045" i="4"/>
  <c r="K697" i="4"/>
  <c r="K898" i="4"/>
  <c r="K1071" i="4"/>
  <c r="K72" i="4"/>
  <c r="K774" i="4"/>
  <c r="K702" i="4"/>
  <c r="K1426" i="4"/>
  <c r="K1344" i="4"/>
  <c r="K1435" i="4"/>
  <c r="K1311" i="4"/>
  <c r="K276" i="4"/>
  <c r="K708" i="4"/>
  <c r="K578" i="4"/>
  <c r="K239" i="4"/>
  <c r="K711" i="4"/>
  <c r="K217" i="4"/>
  <c r="K713" i="4"/>
  <c r="K655" i="4"/>
  <c r="K621" i="4"/>
  <c r="K725" i="4"/>
  <c r="K73" i="4"/>
  <c r="K1082" i="4"/>
  <c r="K180" i="4"/>
  <c r="K607" i="4"/>
  <c r="K767" i="4"/>
  <c r="K722" i="4"/>
  <c r="K227" i="4"/>
  <c r="K1448" i="4"/>
  <c r="K579" i="4"/>
  <c r="K1226" i="4"/>
  <c r="K727" i="4"/>
  <c r="K228" i="4"/>
  <c r="K1010" i="4"/>
  <c r="K846" i="4"/>
  <c r="K326" i="4"/>
  <c r="K1393" i="4"/>
  <c r="K733" i="4"/>
  <c r="K734" i="4"/>
  <c r="K489" i="4"/>
  <c r="K1237" i="4"/>
  <c r="K1172" i="4"/>
  <c r="K297" i="4"/>
  <c r="K809" i="4"/>
  <c r="K249" i="4"/>
  <c r="K461" i="4"/>
  <c r="K220" i="4"/>
  <c r="K14" i="4"/>
  <c r="K1268" i="4"/>
  <c r="K1449" i="4"/>
  <c r="K746" i="4"/>
  <c r="K1345" i="4"/>
  <c r="K1147" i="4"/>
  <c r="K810" i="4"/>
  <c r="K750" i="4"/>
  <c r="K751" i="4"/>
  <c r="K656" i="4"/>
  <c r="K756" i="4"/>
  <c r="K754" i="4"/>
  <c r="K510" i="4"/>
  <c r="K877" i="4"/>
  <c r="K1436" i="4"/>
  <c r="K162" i="4"/>
  <c r="K373" i="4"/>
  <c r="K887" i="4"/>
  <c r="K277" i="4"/>
  <c r="K1161" i="4"/>
  <c r="K763" i="4"/>
  <c r="K764" i="4"/>
  <c r="K563" i="4"/>
  <c r="K1208" i="4"/>
  <c r="K1427" i="4"/>
  <c r="K163" i="4"/>
  <c r="K133" i="4"/>
  <c r="K1450" i="4"/>
  <c r="K726" i="4"/>
  <c r="K1428" i="4"/>
  <c r="K398" i="4"/>
  <c r="K1011" i="4"/>
  <c r="K962" i="4"/>
  <c r="K342" i="4"/>
  <c r="K627" i="4"/>
  <c r="K778" i="4"/>
  <c r="K779" i="4"/>
  <c r="K250" i="4"/>
  <c r="K781" i="4"/>
  <c r="K782" i="4"/>
  <c r="K462" i="4"/>
  <c r="K828" i="4"/>
  <c r="K1110" i="4"/>
  <c r="K526" i="4"/>
  <c r="K374" i="4"/>
  <c r="K147" i="4"/>
  <c r="K945" i="4"/>
  <c r="K795" i="4"/>
  <c r="K791" i="4"/>
  <c r="K55" i="4"/>
  <c r="K793" i="4"/>
  <c r="K794" i="4"/>
  <c r="K534" i="4"/>
  <c r="K1162" i="4"/>
  <c r="K511" i="4"/>
  <c r="K798" i="4"/>
  <c r="K799" i="4"/>
  <c r="K800" i="4"/>
  <c r="K548" i="4"/>
  <c r="K802" i="4"/>
  <c r="K803" i="4"/>
  <c r="K221" i="4"/>
  <c r="K811" i="4"/>
  <c r="K812" i="4"/>
  <c r="K641" i="4"/>
  <c r="K15" i="4"/>
  <c r="K1346" i="4"/>
  <c r="K229" i="4"/>
  <c r="K1433" i="4"/>
  <c r="K741" i="4"/>
  <c r="K674" i="4"/>
  <c r="K1384" i="4"/>
  <c r="K815" i="4"/>
  <c r="K1111" i="4"/>
  <c r="K251" i="4"/>
  <c r="K837" i="4"/>
  <c r="K1437" i="4"/>
  <c r="K528" i="4"/>
  <c r="K775" i="4"/>
  <c r="K1459" i="4"/>
  <c r="K1460" i="4"/>
  <c r="K554" i="4"/>
  <c r="K888" i="4"/>
  <c r="K535" i="4"/>
  <c r="K199" i="4"/>
  <c r="K1227" i="4"/>
  <c r="K976" i="4"/>
  <c r="K830" i="4"/>
  <c r="K831" i="4"/>
  <c r="K899" i="4"/>
  <c r="K833" i="4"/>
  <c r="K1461" i="4"/>
  <c r="K122" i="4"/>
  <c r="K728" i="4"/>
  <c r="K189" i="4"/>
  <c r="K838" i="4"/>
  <c r="K1385" i="4"/>
  <c r="K840" i="4"/>
  <c r="K1115" i="4"/>
  <c r="K1095" i="4"/>
  <c r="K463" i="4"/>
  <c r="K844" i="4"/>
  <c r="K357" i="4"/>
  <c r="K1269" i="4"/>
  <c r="K1127" i="4"/>
  <c r="K813" i="4"/>
  <c r="K1128" i="4"/>
  <c r="K1407" i="4"/>
  <c r="K851" i="4"/>
  <c r="K17" i="4"/>
  <c r="K1240" i="4"/>
  <c r="K594" i="4"/>
  <c r="K536" i="4"/>
  <c r="K700" i="4"/>
  <c r="K1408" i="4"/>
  <c r="K512" i="4"/>
  <c r="K859" i="4"/>
  <c r="K1409" i="4"/>
  <c r="K889" i="4"/>
  <c r="K862" i="4"/>
  <c r="K776" i="4"/>
  <c r="K729" i="4"/>
  <c r="K622" i="4"/>
  <c r="K866" i="4"/>
  <c r="K375" i="4"/>
  <c r="K730" i="4"/>
  <c r="K1046" i="4"/>
  <c r="K1253" i="4"/>
  <c r="K1096" i="4"/>
  <c r="K1129" i="4"/>
  <c r="K873" i="4"/>
  <c r="K1438" i="4"/>
  <c r="K900" i="4"/>
  <c r="K847" i="4"/>
  <c r="K399" i="4"/>
  <c r="K400" i="4"/>
  <c r="K208" i="4"/>
  <c r="K628" i="4"/>
  <c r="K327" i="4"/>
  <c r="K74" i="4"/>
  <c r="K56" i="4"/>
  <c r="K1072" i="4"/>
  <c r="K537" i="4"/>
  <c r="K148" i="4"/>
  <c r="K963" i="4"/>
  <c r="K313" i="4"/>
  <c r="K1097" i="4"/>
  <c r="K1324" i="4"/>
  <c r="K1228" i="4"/>
  <c r="K1098" i="4"/>
  <c r="K1209" i="4"/>
  <c r="K894" i="4"/>
  <c r="K499" i="4"/>
  <c r="K240" i="4"/>
  <c r="K701" i="4"/>
  <c r="K989" i="4"/>
  <c r="K901" i="4"/>
  <c r="K1373" i="4"/>
  <c r="K358" i="4"/>
  <c r="K538" i="4"/>
  <c r="K1439" i="4"/>
  <c r="K110" i="4"/>
  <c r="K513" i="4"/>
  <c r="K927" i="4"/>
  <c r="K1073" i="4"/>
  <c r="K426" i="4"/>
  <c r="K75" i="4"/>
  <c r="K149" i="4"/>
  <c r="K1360" i="4"/>
  <c r="K1286" i="4"/>
  <c r="K913" i="4"/>
  <c r="K657" i="4"/>
  <c r="K915" i="4"/>
  <c r="K1229" i="4"/>
  <c r="K917" i="4"/>
  <c r="K909" i="4"/>
  <c r="K565" i="4"/>
  <c r="K1325" i="4"/>
  <c r="K642" i="4"/>
  <c r="K1099" i="4"/>
  <c r="K1230" i="4"/>
  <c r="K500" i="4"/>
  <c r="K1148" i="4"/>
  <c r="K529" i="4"/>
  <c r="K566" i="4"/>
  <c r="K123" i="4"/>
  <c r="K464" i="4"/>
  <c r="K930" i="4"/>
  <c r="K1026" i="4"/>
  <c r="K1116" i="4"/>
  <c r="K450" i="4"/>
  <c r="K934" i="4"/>
  <c r="K514" i="4"/>
  <c r="K401" i="4"/>
  <c r="K539" i="4"/>
  <c r="K1185" i="4"/>
  <c r="K990" i="4"/>
  <c r="K242" i="4"/>
  <c r="K941" i="4"/>
  <c r="K942" i="4"/>
  <c r="K259" i="4"/>
  <c r="K1394" i="4"/>
  <c r="K181" i="4"/>
  <c r="K385" i="4"/>
  <c r="K182" i="4"/>
  <c r="K948" i="4"/>
  <c r="K949" i="4"/>
  <c r="K1057" i="4"/>
  <c r="K1302" i="4"/>
  <c r="K1410" i="4"/>
  <c r="K402" i="4"/>
  <c r="K954" i="4"/>
  <c r="K955" i="4"/>
  <c r="K403" i="4"/>
  <c r="K466" i="4"/>
  <c r="K919" i="4"/>
  <c r="K1395" i="4"/>
  <c r="K1074" i="4"/>
  <c r="K9" i="4"/>
  <c r="K1012" i="4"/>
  <c r="K1075" i="4"/>
  <c r="K878" i="4"/>
  <c r="K278" i="4"/>
  <c r="K1347" i="4"/>
  <c r="K1013" i="4"/>
  <c r="K968" i="4"/>
  <c r="K427" i="4"/>
  <c r="K428" i="4"/>
  <c r="K467" i="4"/>
  <c r="K1241" i="4"/>
  <c r="K928" i="4"/>
  <c r="K1374" i="4"/>
  <c r="K796" i="4"/>
  <c r="K1429" i="4"/>
  <c r="K977" i="4"/>
  <c r="K890" i="4"/>
  <c r="K230" i="4"/>
  <c r="K200" i="4"/>
  <c r="K703" i="4"/>
  <c r="K982" i="4"/>
  <c r="K983" i="4"/>
  <c r="K1287" i="4"/>
  <c r="K101" i="4"/>
  <c r="K260" i="4"/>
  <c r="K987" i="4"/>
  <c r="K404" i="4"/>
  <c r="K1100" i="4"/>
  <c r="K1210" i="4"/>
  <c r="K1411" i="4"/>
  <c r="K1083" i="4"/>
  <c r="K1303" i="4"/>
  <c r="K1348" i="4"/>
  <c r="K1174" i="4"/>
  <c r="K125" i="4"/>
  <c r="K891" i="4"/>
  <c r="K137" i="4"/>
  <c r="K999" i="4"/>
  <c r="K343" i="4"/>
  <c r="K405" i="4"/>
  <c r="K1288" i="4"/>
  <c r="K555" i="4"/>
  <c r="K595" i="4"/>
  <c r="K929" i="4"/>
  <c r="K501" i="4"/>
  <c r="K1149" i="4"/>
  <c r="K1008" i="4"/>
  <c r="K1009" i="4"/>
  <c r="K540" i="4"/>
  <c r="K150" i="4"/>
  <c r="K299" i="4"/>
  <c r="K502" i="4"/>
  <c r="K1014" i="4"/>
  <c r="K376" i="4"/>
  <c r="K1375" i="4"/>
  <c r="K1242" i="4"/>
  <c r="K1018" i="4"/>
  <c r="K821" i="4"/>
  <c r="K608" i="4"/>
  <c r="K1175" i="4"/>
  <c r="K1211" i="4"/>
  <c r="K1023" i="4"/>
  <c r="K768" i="4"/>
  <c r="K360" i="4"/>
  <c r="K300" i="4"/>
  <c r="K1231" i="4"/>
  <c r="K920" i="4"/>
  <c r="K629" i="4"/>
  <c r="K1186" i="4"/>
  <c r="K1326" i="4"/>
  <c r="K852" i="4"/>
  <c r="K1033" i="4"/>
  <c r="K1034" i="4"/>
  <c r="K1035" i="4"/>
  <c r="K1176" i="4"/>
  <c r="K864" i="4"/>
  <c r="K1038" i="4"/>
  <c r="K1027" i="4"/>
  <c r="K556" i="4"/>
  <c r="K1041" i="4"/>
  <c r="K1028" i="4"/>
  <c r="K517" i="4"/>
  <c r="K1187" i="4"/>
  <c r="K1117" i="4"/>
  <c r="K103" i="4"/>
  <c r="K1349" i="4"/>
  <c r="K172" i="4"/>
  <c r="K1219" i="4"/>
  <c r="K1254" i="4"/>
  <c r="K991" i="4"/>
  <c r="K1350" i="4"/>
  <c r="K1002" i="4"/>
  <c r="K580" i="4"/>
  <c r="K686" i="4"/>
  <c r="K1232" i="4"/>
  <c r="K1212" i="4"/>
  <c r="K1058" i="4"/>
  <c r="K1059" i="4"/>
  <c r="K1060" i="4"/>
  <c r="K1441" i="4"/>
  <c r="K1062" i="4"/>
  <c r="K1189" i="4"/>
  <c r="K567" i="4"/>
  <c r="K151" i="4"/>
  <c r="K1220" i="4"/>
  <c r="K1304" i="4"/>
  <c r="K630" i="4"/>
  <c r="K152" i="4"/>
  <c r="K1070" i="4"/>
  <c r="K1351" i="4"/>
  <c r="K964" i="4"/>
  <c r="K1305" i="4"/>
  <c r="K1061" i="4"/>
  <c r="K623" i="4"/>
  <c r="K946" i="4"/>
  <c r="K581" i="4"/>
  <c r="K111" i="4"/>
  <c r="K1079" i="4"/>
  <c r="K1306" i="4"/>
  <c r="K279" i="4"/>
  <c r="K1150" i="4"/>
  <c r="K557" i="4"/>
  <c r="K1376" i="4"/>
  <c r="K1085" i="4"/>
  <c r="K164" i="4"/>
  <c r="K1087" i="4"/>
  <c r="K631" i="4"/>
  <c r="K848" i="4"/>
  <c r="K1352" i="4"/>
  <c r="K386" i="4"/>
  <c r="K94" i="4"/>
  <c r="K406" i="4"/>
  <c r="K1378" i="4"/>
  <c r="K910" i="4"/>
  <c r="K174" i="4"/>
  <c r="K153" i="4"/>
  <c r="K280" i="4"/>
  <c r="K965" i="4"/>
  <c r="K314" i="4"/>
  <c r="K165" i="4"/>
  <c r="K62" i="4"/>
  <c r="K253" i="4"/>
  <c r="K731" i="4"/>
  <c r="K1243" i="4"/>
  <c r="K10" i="4"/>
  <c r="K1029" i="4"/>
  <c r="K1108" i="4"/>
  <c r="K377" i="4"/>
  <c r="K777" i="4"/>
  <c r="K1430" i="4"/>
  <c r="K1112" i="4"/>
  <c r="K1113" i="4"/>
  <c r="K1114" i="4"/>
  <c r="K732" i="4"/>
  <c r="K83" i="4"/>
  <c r="K1047" i="4"/>
  <c r="K659" i="4"/>
  <c r="K978" i="4"/>
  <c r="K76" i="4"/>
  <c r="K704" i="4"/>
  <c r="K569" i="4"/>
  <c r="K32" i="4"/>
  <c r="K201" i="4"/>
  <c r="K43" i="4"/>
  <c r="K490" i="4"/>
  <c r="K1190" i="4"/>
  <c r="K262" i="4"/>
  <c r="K57" i="4"/>
  <c r="K632" i="4"/>
  <c r="K1244" i="4"/>
  <c r="K1462" i="4"/>
  <c r="K1177" i="4"/>
  <c r="K361" i="4"/>
  <c r="K18" i="4"/>
  <c r="K643" i="4"/>
  <c r="K902" i="4"/>
  <c r="K1138" i="4"/>
  <c r="K1386" i="4"/>
  <c r="K281" i="4"/>
  <c r="K814" i="4"/>
  <c r="K282" i="4"/>
  <c r="K328" i="4"/>
  <c r="K468" i="4"/>
  <c r="K903" i="4"/>
  <c r="K1289" i="4"/>
  <c r="K705" i="4"/>
  <c r="K1118" i="4"/>
  <c r="K77" i="4"/>
  <c r="K154" i="4"/>
  <c r="K582" i="4"/>
  <c r="K388" i="4"/>
  <c r="K1048" i="4"/>
  <c r="K624" i="4"/>
  <c r="K1155" i="4"/>
  <c r="K558" i="4"/>
  <c r="K518" i="4"/>
  <c r="K1327" i="4"/>
  <c r="K1030" i="4"/>
  <c r="K769" i="4"/>
  <c r="K1191" i="4"/>
  <c r="K541" i="4"/>
  <c r="K742" i="4"/>
  <c r="K1164" i="4"/>
  <c r="K451" i="4"/>
  <c r="K429" i="4"/>
  <c r="K1163" i="4"/>
  <c r="K1329" i="4"/>
  <c r="K1169" i="4"/>
  <c r="K1431" i="4"/>
  <c r="K931" i="4"/>
  <c r="K430" i="4"/>
  <c r="K1173" i="4"/>
  <c r="K491" i="4"/>
  <c r="K979" i="4"/>
  <c r="K362" i="4"/>
  <c r="K33" i="4"/>
  <c r="K34" i="4"/>
  <c r="K743" i="4"/>
  <c r="K492" i="4"/>
  <c r="K254" i="4"/>
  <c r="K829" i="4"/>
  <c r="K95" i="4"/>
  <c r="K493" i="4"/>
  <c r="K519" i="4"/>
  <c r="K350" i="4"/>
  <c r="K892" i="4"/>
  <c r="K1188" i="4"/>
  <c r="K571" i="4"/>
  <c r="K96" i="4"/>
  <c r="K232" i="4"/>
  <c r="K1049" i="4"/>
  <c r="K118" i="4"/>
  <c r="K1084" i="4"/>
  <c r="K283" i="4"/>
  <c r="K209" i="4"/>
  <c r="K1119" i="4"/>
  <c r="K431" i="4"/>
  <c r="K1464" i="4"/>
  <c r="K853" i="4"/>
  <c r="K301" i="4"/>
  <c r="K611" i="4"/>
  <c r="K1203" i="4"/>
  <c r="K112" i="4"/>
  <c r="K966" i="4"/>
  <c r="K1206" i="4"/>
  <c r="K1207" i="4"/>
  <c r="K706" i="4"/>
  <c r="K992" i="4"/>
  <c r="K744" i="4"/>
  <c r="K1063" i="4"/>
  <c r="K707" i="4"/>
  <c r="K1366" i="4"/>
  <c r="K1307" i="4"/>
  <c r="K1215" i="4"/>
  <c r="K190" i="4"/>
  <c r="K1387" i="4"/>
  <c r="K119" i="4"/>
  <c r="K1140" i="4"/>
  <c r="K1165" i="4"/>
  <c r="K97" i="4"/>
  <c r="K127" i="4"/>
  <c r="K839" i="4"/>
  <c r="K1224" i="4"/>
  <c r="K1225" i="4"/>
  <c r="K315" i="4"/>
  <c r="K596" i="4"/>
  <c r="K745" i="4"/>
  <c r="K583" i="4"/>
  <c r="K747" i="4"/>
  <c r="K687" i="4"/>
  <c r="K191" i="4"/>
  <c r="K494" i="4"/>
  <c r="K263" i="4"/>
  <c r="K1368" i="4"/>
  <c r="K155" i="4"/>
  <c r="K780" i="4"/>
  <c r="K1238" i="4"/>
  <c r="K1239" i="4"/>
  <c r="K967" i="4"/>
  <c r="K98" i="4"/>
  <c r="K302" i="4"/>
  <c r="K572" i="4"/>
  <c r="K1330" i="4"/>
  <c r="K264" i="4"/>
  <c r="K879" i="4"/>
  <c r="K469" i="4"/>
  <c r="K1248" i="4"/>
  <c r="K1101" i="4"/>
  <c r="K893" i="4"/>
  <c r="K1251" i="4"/>
  <c r="K1015" i="4"/>
  <c r="K192" i="4"/>
  <c r="K139" i="4"/>
  <c r="K1353" i="4"/>
  <c r="K932" i="4"/>
  <c r="K1257" i="4"/>
  <c r="K1086" i="4"/>
  <c r="K1259" i="4"/>
  <c r="K291" i="4"/>
  <c r="K470" i="4"/>
  <c r="K378" i="4"/>
  <c r="K1361" i="4"/>
  <c r="K1264" i="4"/>
  <c r="K472" i="4"/>
  <c r="K660" i="4"/>
  <c r="K1192" i="4"/>
  <c r="K1312" i="4"/>
  <c r="K303" i="4"/>
  <c r="K904" i="4"/>
  <c r="K63" i="4"/>
  <c r="K854" i="4"/>
  <c r="K1273" i="4"/>
  <c r="K1308" i="4"/>
  <c r="K1275" i="4"/>
  <c r="K1313" i="4"/>
  <c r="K1102" i="4"/>
  <c r="K330" i="4"/>
  <c r="K45" i="4"/>
  <c r="K1193" i="4"/>
  <c r="K1281" i="4"/>
  <c r="K114" i="4"/>
  <c r="K1283" i="4"/>
  <c r="K880" i="4"/>
  <c r="K832" i="4"/>
  <c r="K1354" i="4"/>
  <c r="K865" i="4"/>
  <c r="K503" i="4"/>
  <c r="K1316" i="4"/>
  <c r="K709" i="4"/>
  <c r="K193" i="4"/>
  <c r="K1292" i="4"/>
  <c r="K1293" i="4"/>
  <c r="K1194" i="4"/>
  <c r="K1103" i="4"/>
  <c r="K243" i="4"/>
  <c r="K1003" i="4"/>
  <c r="K1270" i="4"/>
  <c r="K1299" i="4"/>
  <c r="K1300" i="4"/>
  <c r="K849" i="4"/>
  <c r="K11" i="4"/>
  <c r="K969" i="4"/>
  <c r="K105" i="4"/>
  <c r="K1317" i="4"/>
  <c r="K1151" i="4"/>
  <c r="K316" i="4"/>
  <c r="K841" i="4"/>
  <c r="K735" i="4"/>
  <c r="K1195" i="4"/>
  <c r="K797" i="4"/>
  <c r="K1004" i="4"/>
  <c r="K612" i="4"/>
  <c r="K1314" i="4"/>
  <c r="K1315" i="4"/>
  <c r="K644" i="4"/>
  <c r="K1396" i="4"/>
  <c r="K559" i="4"/>
  <c r="K473" i="4"/>
  <c r="K1120" i="4"/>
  <c r="K432" i="4"/>
  <c r="K58" i="4"/>
  <c r="K584" i="4"/>
  <c r="K19" i="4"/>
  <c r="K911" i="4"/>
  <c r="K1178" i="4"/>
  <c r="K433" i="4"/>
  <c r="K1328" i="4"/>
  <c r="K980" i="4"/>
  <c r="K1121" i="4"/>
  <c r="K1255" i="4"/>
  <c r="K633" i="4"/>
  <c r="K757" i="4"/>
  <c r="K1334" i="4"/>
  <c r="K1335" i="4"/>
  <c r="K1196" i="4"/>
  <c r="K1469" i="4"/>
  <c r="K64" i="4"/>
  <c r="K1256" i="4"/>
  <c r="K1340" i="4"/>
  <c r="K1341" i="4"/>
  <c r="K1213" i="4"/>
  <c r="K78" i="4"/>
  <c r="K947" i="4"/>
  <c r="K389" i="4"/>
  <c r="K1258" i="4"/>
  <c r="K1470" i="4"/>
  <c r="K1245" i="4"/>
  <c r="K504" i="4"/>
  <c r="K867" i="4"/>
  <c r="K434" i="4"/>
  <c r="K1260" i="4"/>
  <c r="K970" i="4"/>
  <c r="K710" i="4"/>
  <c r="K1355" i="4"/>
  <c r="K1356" i="4"/>
  <c r="K344" i="4"/>
  <c r="K1412" i="4"/>
  <c r="K1388" i="4"/>
  <c r="K1331" i="4"/>
  <c r="K317" i="4"/>
  <c r="K645" i="4"/>
  <c r="K736" i="4"/>
  <c r="K345" i="4"/>
  <c r="K981" i="4"/>
  <c r="K1471" i="4"/>
  <c r="K1367" i="4"/>
  <c r="K816" i="4"/>
  <c r="K675" i="4"/>
  <c r="K304" i="4"/>
  <c r="K1371" i="4"/>
  <c r="K1451" i="4"/>
  <c r="K156" i="4"/>
  <c r="K305" i="4"/>
  <c r="K46" i="4"/>
  <c r="K1399" i="4"/>
  <c r="K1377" i="4"/>
  <c r="K37" i="4"/>
  <c r="K817" i="4"/>
  <c r="K20" i="4"/>
  <c r="K1381" i="4"/>
  <c r="K84" i="4"/>
  <c r="K1221" i="4"/>
  <c r="K598" i="4"/>
  <c r="K85" i="4"/>
  <c r="K912" i="4"/>
  <c r="K550" i="4"/>
  <c r="K1130" i="4"/>
  <c r="K115" i="4"/>
  <c r="K855" i="4"/>
  <c r="K87" i="4"/>
  <c r="K1392" i="4"/>
  <c r="K88" i="4"/>
  <c r="K971" i="4"/>
  <c r="K984" i="4"/>
  <c r="K89" i="4"/>
  <c r="K1397" i="4"/>
  <c r="K1398" i="4"/>
  <c r="K166" i="4"/>
  <c r="K676" i="4"/>
  <c r="K183" i="4"/>
  <c r="K21" i="4"/>
  <c r="K379" i="4"/>
  <c r="K474" i="4"/>
  <c r="K22" i="4"/>
  <c r="K551" i="4"/>
  <c r="K408" i="4"/>
  <c r="K1261" i="4"/>
  <c r="K985" i="4"/>
  <c r="K306" i="4"/>
  <c r="K531" i="4"/>
  <c r="K625" i="4"/>
  <c r="K116" i="4"/>
  <c r="K157" i="4"/>
  <c r="K599" i="4"/>
  <c r="K881" i="4"/>
  <c r="K1413" i="4"/>
  <c r="K307" i="4"/>
  <c r="K475" i="4"/>
  <c r="K585" i="4"/>
  <c r="K409" i="4"/>
  <c r="K933" i="4"/>
  <c r="K993" i="4"/>
  <c r="K986" i="4"/>
  <c r="K842" i="4"/>
  <c r="K1031" i="4"/>
  <c r="K688" i="4"/>
  <c r="K1290" i="4"/>
  <c r="K363" i="4"/>
  <c r="K1271" i="4"/>
  <c r="K601" i="4"/>
  <c r="K505" i="4"/>
  <c r="K210" i="4"/>
  <c r="K752" i="4"/>
  <c r="K1076" i="4"/>
  <c r="K59" i="4"/>
  <c r="K284" i="4"/>
  <c r="K1152" i="4"/>
  <c r="K79" i="4"/>
  <c r="K1440" i="4"/>
  <c r="K414" i="4"/>
  <c r="K140" i="4"/>
  <c r="K476" i="4"/>
  <c r="K1444" i="4"/>
  <c r="K1414" i="4"/>
  <c r="K1446" i="4"/>
  <c r="K1291" i="4"/>
  <c r="K758" i="4"/>
  <c r="K634" i="4"/>
  <c r="K1415" i="4"/>
  <c r="K1136" i="4"/>
  <c r="K1233" i="4"/>
  <c r="K689" i="4"/>
  <c r="K1454" i="4"/>
  <c r="K921" i="4"/>
  <c r="K477" i="4"/>
  <c r="K331" i="4"/>
  <c r="K520" i="4"/>
  <c r="K626" i="4"/>
  <c r="K1400" i="4"/>
  <c r="K332" i="4"/>
  <c r="K1141" i="4"/>
  <c r="K1463" i="4"/>
  <c r="K130" i="4"/>
  <c r="K318" i="4"/>
  <c r="K185" i="4"/>
  <c r="K1050" i="4"/>
  <c r="K818" i="4"/>
  <c r="K935" i="4"/>
  <c r="K950" i="4"/>
  <c r="K1442" i="4"/>
  <c r="J2" i="4"/>
  <c r="J882" i="4"/>
  <c r="J4" i="4"/>
  <c r="J1088" i="4"/>
  <c r="J801" i="4"/>
  <c r="J106" i="4"/>
  <c r="J65" i="4"/>
  <c r="J24" i="4"/>
  <c r="J602" i="4"/>
  <c r="J988" i="4"/>
  <c r="J922" i="4"/>
  <c r="J646" i="4"/>
  <c r="J804" i="4"/>
  <c r="J285" i="4"/>
  <c r="J16" i="4"/>
  <c r="J452" i="4"/>
  <c r="J415" i="4"/>
  <c r="J552" i="4"/>
  <c r="J418" i="4"/>
  <c r="J265" i="4"/>
  <c r="J1369" i="4"/>
  <c r="J23" i="4"/>
  <c r="J648" i="4"/>
  <c r="J135" i="4"/>
  <c r="J26" i="4"/>
  <c r="J737" i="4"/>
  <c r="J28" i="4"/>
  <c r="J738" i="4"/>
  <c r="J1104" i="4"/>
  <c r="J994" i="4"/>
  <c r="J868" i="4"/>
  <c r="J1416" i="4"/>
  <c r="J1179" i="4"/>
  <c r="J35" i="4"/>
  <c r="J36" i="4"/>
  <c r="J158" i="4"/>
  <c r="J38" i="4"/>
  <c r="J677" i="4"/>
  <c r="J507" i="4"/>
  <c r="J267" i="4"/>
  <c r="J1077" i="4"/>
  <c r="J268" i="4"/>
  <c r="J44" i="4"/>
  <c r="J805" i="4"/>
  <c r="J1016" i="4"/>
  <c r="J47" i="4"/>
  <c r="J308" i="4"/>
  <c r="J435" i="4"/>
  <c r="J856" i="4"/>
  <c r="J390" i="4"/>
  <c r="J52" i="4"/>
  <c r="J53" i="4"/>
  <c r="J436" i="4"/>
  <c r="J1379" i="4"/>
  <c r="J1142" i="4"/>
  <c r="J495" i="4"/>
  <c r="J1332" i="4"/>
  <c r="J1032" i="4"/>
  <c r="J1017" i="4"/>
  <c r="J120" i="4"/>
  <c r="J972" i="4"/>
  <c r="J39" i="4"/>
  <c r="J603" i="4"/>
  <c r="J1051" i="4"/>
  <c r="J1401" i="4"/>
  <c r="J1036" i="4"/>
  <c r="J613" i="4"/>
  <c r="J649" i="4"/>
  <c r="J292" i="4"/>
  <c r="J71" i="4"/>
  <c r="J843" i="4"/>
  <c r="J923" i="4"/>
  <c r="J692" i="4"/>
  <c r="J1389" i="4"/>
  <c r="J1089" i="4"/>
  <c r="J202" i="4"/>
  <c r="J478" i="4"/>
  <c r="J320" i="4"/>
  <c r="J905" i="4"/>
  <c r="J759" i="4"/>
  <c r="J321" i="4"/>
  <c r="J269" i="4"/>
  <c r="J25" i="4"/>
  <c r="J760" i="4"/>
  <c r="J1166" i="4"/>
  <c r="J1214" i="4"/>
  <c r="J573" i="4"/>
  <c r="J819" i="4"/>
  <c r="J60" i="4"/>
  <c r="J91" i="4"/>
  <c r="J66" i="4"/>
  <c r="J244" i="4"/>
  <c r="J936" i="4"/>
  <c r="J1417" i="4"/>
  <c r="J822" i="4"/>
  <c r="J586" i="4"/>
  <c r="J543" i="4"/>
  <c r="J1362" i="4"/>
  <c r="J1418" i="4"/>
  <c r="J159" i="4"/>
  <c r="J102" i="4"/>
  <c r="J309" i="4"/>
  <c r="J104" i="4"/>
  <c r="J1222" i="4"/>
  <c r="J753" i="4"/>
  <c r="J850" i="4"/>
  <c r="J770" i="4"/>
  <c r="J109" i="4"/>
  <c r="J27" i="4"/>
  <c r="J951" i="4"/>
  <c r="J604" i="4"/>
  <c r="J113" i="4"/>
  <c r="J1363" i="4"/>
  <c r="J783" i="4"/>
  <c r="J1037" i="4"/>
  <c r="J1131" i="4"/>
  <c r="J906" i="4"/>
  <c r="J186" i="4"/>
  <c r="J333" i="4"/>
  <c r="J410" i="4"/>
  <c r="J222" i="4"/>
  <c r="J1122" i="4"/>
  <c r="J124" i="4"/>
  <c r="J1272" i="4"/>
  <c r="J126" i="4"/>
  <c r="J784" i="4"/>
  <c r="J128" i="4"/>
  <c r="J129" i="4"/>
  <c r="J1234" i="4"/>
  <c r="J820" i="4"/>
  <c r="J712" i="4"/>
  <c r="J869" i="4"/>
  <c r="J134" i="4"/>
  <c r="J614" i="4"/>
  <c r="J1005" i="4"/>
  <c r="J693" i="4"/>
  <c r="J138" i="4"/>
  <c r="J588" i="4"/>
  <c r="J907" i="4"/>
  <c r="J167" i="4"/>
  <c r="J142" i="4"/>
  <c r="J351" i="4"/>
  <c r="J479" i="4"/>
  <c r="J1333" i="4"/>
  <c r="J334" i="4"/>
  <c r="J352" i="4"/>
  <c r="J48" i="4"/>
  <c r="J61" i="4"/>
  <c r="J223" i="4"/>
  <c r="J353" i="4"/>
  <c r="J650" i="4"/>
  <c r="J1052" i="4"/>
  <c r="J175" i="4"/>
  <c r="J785" i="4"/>
  <c r="J49" i="4"/>
  <c r="J806" i="4"/>
  <c r="J661" i="4"/>
  <c r="J203" i="4"/>
  <c r="J1078" i="4"/>
  <c r="J1080" i="4"/>
  <c r="J419" i="4"/>
  <c r="J1274" i="4"/>
  <c r="J480" i="4"/>
  <c r="J420" i="4"/>
  <c r="J1064" i="4"/>
  <c r="J739" i="4"/>
  <c r="J952" i="4"/>
  <c r="J1153" i="4"/>
  <c r="J786" i="4"/>
  <c r="J335" i="4"/>
  <c r="J1216" i="4"/>
  <c r="J173" i="4"/>
  <c r="J211" i="4"/>
  <c r="J364" i="4"/>
  <c r="J1419" i="4"/>
  <c r="J439" i="4"/>
  <c r="J694" i="4"/>
  <c r="J179" i="4"/>
  <c r="J1053" i="4"/>
  <c r="J714" i="4"/>
  <c r="J553" i="4"/>
  <c r="J1054" i="4"/>
  <c r="J184" i="4"/>
  <c r="J1246" i="4"/>
  <c r="J1276" i="4"/>
  <c r="J574" i="4"/>
  <c r="J1019" i="4"/>
  <c r="J245" i="4"/>
  <c r="J1223" i="4"/>
  <c r="J678" i="4"/>
  <c r="J204" i="4"/>
  <c r="J1123" i="4"/>
  <c r="J194" i="4"/>
  <c r="J270" i="4"/>
  <c r="J715" i="4"/>
  <c r="J635" i="4"/>
  <c r="J1154" i="4"/>
  <c r="J176" i="4"/>
  <c r="J141" i="4"/>
  <c r="J1452" i="4"/>
  <c r="J168" i="4"/>
  <c r="J1370" i="4"/>
  <c r="J391" i="4"/>
  <c r="J1167" i="4"/>
  <c r="J206" i="4"/>
  <c r="J207" i="4"/>
  <c r="J169" i="4"/>
  <c r="J160" i="4"/>
  <c r="J716" i="4"/>
  <c r="J346" i="4"/>
  <c r="J212" i="4"/>
  <c r="J1180" i="4"/>
  <c r="J107" i="4"/>
  <c r="J924" i="4"/>
  <c r="J216" i="4"/>
  <c r="J937" i="4"/>
  <c r="J218" i="4"/>
  <c r="J219" i="4"/>
  <c r="J1453" i="4"/>
  <c r="J953" i="4"/>
  <c r="J883" i="4"/>
  <c r="J205" i="4"/>
  <c r="J1090" i="4"/>
  <c r="J293" i="4"/>
  <c r="J195" i="4"/>
  <c r="J1197" i="4"/>
  <c r="J1039" i="4"/>
  <c r="J605" i="4"/>
  <c r="J3" i="4"/>
  <c r="J231" i="4"/>
  <c r="J1132" i="4"/>
  <c r="J1277" i="4"/>
  <c r="J787" i="4"/>
  <c r="J771" i="4"/>
  <c r="J236" i="4"/>
  <c r="J12" i="4"/>
  <c r="J238" i="4"/>
  <c r="J421" i="4"/>
  <c r="J788" i="4"/>
  <c r="J241" i="4"/>
  <c r="J224" i="4"/>
  <c r="J1235" i="4"/>
  <c r="J271" i="4"/>
  <c r="J884" i="4"/>
  <c r="J246" i="4"/>
  <c r="J1198" i="4"/>
  <c r="J521" i="4"/>
  <c r="J1318" i="4"/>
  <c r="J143" i="4"/>
  <c r="J1319" i="4"/>
  <c r="J252" i="4"/>
  <c r="J938" i="4"/>
  <c r="J1402" i="4"/>
  <c r="J1065" i="4"/>
  <c r="J90" i="4"/>
  <c r="J1262" i="4"/>
  <c r="J789" i="4"/>
  <c r="J790" i="4"/>
  <c r="J679" i="4"/>
  <c r="J261" i="4"/>
  <c r="J99" i="4"/>
  <c r="J392" i="4"/>
  <c r="J1380" i="4"/>
  <c r="J522" i="4"/>
  <c r="J266" i="4"/>
  <c r="J925" i="4"/>
  <c r="J1137" i="4"/>
  <c r="J761" i="4"/>
  <c r="J196" i="4"/>
  <c r="J1403" i="4"/>
  <c r="J197" i="4"/>
  <c r="J273" i="4"/>
  <c r="J1124" i="4"/>
  <c r="J857" i="4"/>
  <c r="J347" i="4"/>
  <c r="J1133" i="4"/>
  <c r="J576" i="4"/>
  <c r="J1364" i="4"/>
  <c r="J144" i="4"/>
  <c r="J755" i="4"/>
  <c r="J1294" i="4"/>
  <c r="J286" i="4"/>
  <c r="J1295" i="4"/>
  <c r="J393" i="4"/>
  <c r="J1091" i="4"/>
  <c r="J1296" i="4"/>
  <c r="J288" i="4"/>
  <c r="J995" i="4"/>
  <c r="J290" i="4"/>
  <c r="J523" i="4"/>
  <c r="J1465" i="4"/>
  <c r="J544" i="4"/>
  <c r="J870" i="4"/>
  <c r="J295" i="4"/>
  <c r="J1404" i="4"/>
  <c r="J422" i="4"/>
  <c r="J298" i="4"/>
  <c r="J1125" i="4"/>
  <c r="J823" i="4"/>
  <c r="J1181" i="4"/>
  <c r="J824" i="4"/>
  <c r="J1443" i="4"/>
  <c r="J1199" i="4"/>
  <c r="J680" i="4"/>
  <c r="J651" i="4"/>
  <c r="J1278" i="4"/>
  <c r="J1168" i="4"/>
  <c r="J13" i="4"/>
  <c r="J606" i="4"/>
  <c r="J871" i="4"/>
  <c r="J636" i="4"/>
  <c r="J287" i="4"/>
  <c r="J973" i="4"/>
  <c r="J440" i="4"/>
  <c r="J615" i="4"/>
  <c r="J272" i="4"/>
  <c r="J1247" i="4"/>
  <c r="J319" i="4"/>
  <c r="J233" i="4"/>
  <c r="J772" i="4"/>
  <c r="J80" i="4"/>
  <c r="J1006" i="4"/>
  <c r="J1263" i="4"/>
  <c r="J325" i="4"/>
  <c r="J1336" i="4"/>
  <c r="J86" i="4"/>
  <c r="J1217" i="4"/>
  <c r="J329" i="4"/>
  <c r="J255" i="4"/>
  <c r="J1420" i="4"/>
  <c r="J425" i="4"/>
  <c r="J939" i="4"/>
  <c r="J1040" i="4"/>
  <c r="J336" i="4"/>
  <c r="J637" i="4"/>
  <c r="J453" i="4"/>
  <c r="J338" i="4"/>
  <c r="J274" i="4"/>
  <c r="J807" i="4"/>
  <c r="J454" i="4"/>
  <c r="J81" i="4"/>
  <c r="J5" i="4"/>
  <c r="J808" i="4"/>
  <c r="J1421" i="4"/>
  <c r="J1007" i="4"/>
  <c r="J996" i="4"/>
  <c r="J617" i="4"/>
  <c r="J858" i="4"/>
  <c r="J974" i="4"/>
  <c r="J117" i="4"/>
  <c r="J381" i="4"/>
  <c r="J161" i="4"/>
  <c r="J496" i="4"/>
  <c r="J652" i="4"/>
  <c r="J872" i="4"/>
  <c r="J895" i="4"/>
  <c r="J618" i="4"/>
  <c r="J359" i="4"/>
  <c r="J1105" i="4"/>
  <c r="J532" i="4"/>
  <c r="J234" i="4"/>
  <c r="J1279" i="4"/>
  <c r="J337" i="4"/>
  <c r="J365" i="4"/>
  <c r="J225" i="4"/>
  <c r="J1297" i="4"/>
  <c r="J368" i="4"/>
  <c r="J187" i="4"/>
  <c r="J370" i="4"/>
  <c r="J394" i="4"/>
  <c r="J372" i="4"/>
  <c r="J1357" i="4"/>
  <c r="J619" i="4"/>
  <c r="J1066" i="4"/>
  <c r="J411" i="4"/>
  <c r="J1042" i="4"/>
  <c r="J67" i="4"/>
  <c r="J620" i="4"/>
  <c r="J380" i="4"/>
  <c r="J1372" i="4"/>
  <c r="J145" i="4"/>
  <c r="J366" i="4"/>
  <c r="J384" i="4"/>
  <c r="J1466" i="4"/>
  <c r="J1139" i="4"/>
  <c r="J387" i="4"/>
  <c r="J1055" i="4"/>
  <c r="J456" i="4"/>
  <c r="J681" i="4"/>
  <c r="J1280" i="4"/>
  <c r="J653" i="4"/>
  <c r="J825" i="4"/>
  <c r="J1067" i="4"/>
  <c r="J1390" i="4"/>
  <c r="J1467" i="4"/>
  <c r="J367" i="4"/>
  <c r="J369" i="4"/>
  <c r="J914" i="4"/>
  <c r="J247" i="4"/>
  <c r="J1309" i="4"/>
  <c r="J1282" i="4"/>
  <c r="J1382" i="4"/>
  <c r="J1068" i="4"/>
  <c r="J896" i="4"/>
  <c r="J997" i="4"/>
  <c r="J407" i="4"/>
  <c r="J748" i="4"/>
  <c r="J717" i="4"/>
  <c r="J1422" i="4"/>
  <c r="J6" i="4"/>
  <c r="J1043" i="4"/>
  <c r="J1156" i="4"/>
  <c r="J1320" i="4"/>
  <c r="J508" i="4"/>
  <c r="J416" i="4"/>
  <c r="J417" i="4"/>
  <c r="J663" i="4"/>
  <c r="J1249" i="4"/>
  <c r="J68" i="4"/>
  <c r="J1358" i="4"/>
  <c r="J916" i="4"/>
  <c r="J423" i="4"/>
  <c r="J424" i="4"/>
  <c r="J1200" i="4"/>
  <c r="J792" i="4"/>
  <c r="J1134" i="4"/>
  <c r="J40" i="4"/>
  <c r="J762" i="4"/>
  <c r="J773" i="4"/>
  <c r="J654" i="4"/>
  <c r="J457" i="4"/>
  <c r="J395" i="4"/>
  <c r="J524" i="4"/>
  <c r="J226" i="4"/>
  <c r="J666" i="4"/>
  <c r="J437" i="4"/>
  <c r="J438" i="4"/>
  <c r="J1455" i="4"/>
  <c r="J718" i="4"/>
  <c r="J441" i="4"/>
  <c r="J442" i="4"/>
  <c r="J412" i="4"/>
  <c r="J667" i="4"/>
  <c r="J445" i="4"/>
  <c r="J92" i="4"/>
  <c r="J235" i="4"/>
  <c r="J1092" i="4"/>
  <c r="J1069" i="4"/>
  <c r="J719" i="4"/>
  <c r="J322" i="4"/>
  <c r="J696" i="4"/>
  <c r="J1020" i="4"/>
  <c r="J443" i="4"/>
  <c r="J455" i="4"/>
  <c r="J483" i="4"/>
  <c r="J918" i="4"/>
  <c r="J545" i="4"/>
  <c r="J459" i="4"/>
  <c r="J1218" i="4"/>
  <c r="J29" i="4"/>
  <c r="J1106" i="4"/>
  <c r="J509" i="4"/>
  <c r="J1265" i="4"/>
  <c r="J465" i="4"/>
  <c r="J1284" i="4"/>
  <c r="J560" i="4"/>
  <c r="J1170" i="4"/>
  <c r="J1266" i="4"/>
  <c r="J354" i="4"/>
  <c r="J471" i="4"/>
  <c r="J339" i="4"/>
  <c r="J1434" i="4"/>
  <c r="J525" i="4"/>
  <c r="J41" i="4"/>
  <c r="J874" i="4"/>
  <c r="J834" i="4"/>
  <c r="J682" i="4"/>
  <c r="J136" i="4"/>
  <c r="J213" i="4"/>
  <c r="J481" i="4"/>
  <c r="J482" i="4"/>
  <c r="J765" i="4"/>
  <c r="J484" i="4"/>
  <c r="J1143" i="4"/>
  <c r="J310" i="4"/>
  <c r="J1337" i="4"/>
  <c r="J444" i="4"/>
  <c r="J1383" i="4"/>
  <c r="J698" i="4"/>
  <c r="J897" i="4"/>
  <c r="J908" i="4"/>
  <c r="J940" i="4"/>
  <c r="J275" i="4"/>
  <c r="J323" i="4"/>
  <c r="J214" i="4"/>
  <c r="J497" i="4"/>
  <c r="J589" i="4"/>
  <c r="J340" i="4"/>
  <c r="J1338" i="4"/>
  <c r="J670" i="4"/>
  <c r="J498" i="4"/>
  <c r="J30" i="4"/>
  <c r="J341" i="4"/>
  <c r="J1423" i="4"/>
  <c r="J506" i="4"/>
  <c r="J248" i="4"/>
  <c r="J485" i="4"/>
  <c r="J885" i="4"/>
  <c r="J699" i="4"/>
  <c r="J1424" i="4"/>
  <c r="J998" i="4"/>
  <c r="J590" i="4"/>
  <c r="J956" i="4"/>
  <c r="J515" i="4"/>
  <c r="J516" i="4"/>
  <c r="J486" i="4"/>
  <c r="J1144" i="4"/>
  <c r="J1021" i="4"/>
  <c r="J1405" i="4"/>
  <c r="J1000" i="4"/>
  <c r="J1145" i="4"/>
  <c r="J835" i="4"/>
  <c r="J355" i="4"/>
  <c r="J31" i="4"/>
  <c r="J1022" i="4"/>
  <c r="J527" i="4"/>
  <c r="J1250" i="4"/>
  <c r="J458" i="4"/>
  <c r="J530" i="4"/>
  <c r="J1365" i="4"/>
  <c r="J311" i="4"/>
  <c r="J1157" i="4"/>
  <c r="J1158" i="4"/>
  <c r="J1093" i="4"/>
  <c r="J42" i="4"/>
  <c r="J371" i="4"/>
  <c r="J926" i="4"/>
  <c r="J1159" i="4"/>
  <c r="J740" i="4"/>
  <c r="J121" i="4"/>
  <c r="J542" i="4"/>
  <c r="J720" i="4"/>
  <c r="J69" i="4"/>
  <c r="J1406" i="4"/>
  <c r="J460" i="4"/>
  <c r="J1236" i="4"/>
  <c r="J1310" i="4"/>
  <c r="J549" i="4"/>
  <c r="J957" i="4"/>
  <c r="J1126" i="4"/>
  <c r="J1107" i="4"/>
  <c r="J215" i="4"/>
  <c r="J561" i="4"/>
  <c r="J766" i="4"/>
  <c r="J1456" i="4"/>
  <c r="J1321" i="4"/>
  <c r="J1182" i="4"/>
  <c r="J836" i="4"/>
  <c r="J875" i="4"/>
  <c r="J188" i="4"/>
  <c r="J487" i="4"/>
  <c r="J672" i="4"/>
  <c r="J564" i="4"/>
  <c r="J177" i="4"/>
  <c r="J170" i="4"/>
  <c r="J1322" i="4"/>
  <c r="J568" i="4"/>
  <c r="J1146" i="4"/>
  <c r="J570" i="4"/>
  <c r="J294" i="4"/>
  <c r="J1109" i="4"/>
  <c r="J639" i="4"/>
  <c r="J1339" i="4"/>
  <c r="J575" i="4"/>
  <c r="J721" i="4"/>
  <c r="J413" i="4"/>
  <c r="J1183" i="4"/>
  <c r="J237" i="4"/>
  <c r="J446" i="4"/>
  <c r="J70" i="4"/>
  <c r="J447" i="4"/>
  <c r="J1044" i="4"/>
  <c r="J1298" i="4"/>
  <c r="J348" i="4"/>
  <c r="J1081" i="4"/>
  <c r="J587" i="4"/>
  <c r="J1285" i="4"/>
  <c r="J108" i="4"/>
  <c r="J1342" i="4"/>
  <c r="J591" i="4"/>
  <c r="J256" i="4"/>
  <c r="J593" i="4"/>
  <c r="J546" i="4"/>
  <c r="J1301" i="4"/>
  <c r="J826" i="4"/>
  <c r="J597" i="4"/>
  <c r="J1160" i="4"/>
  <c r="J547" i="4"/>
  <c r="J600" i="4"/>
  <c r="J93" i="4"/>
  <c r="J100" i="4"/>
  <c r="J382" i="4"/>
  <c r="J845" i="4"/>
  <c r="J7" i="4"/>
  <c r="J1056" i="4"/>
  <c r="J749" i="4"/>
  <c r="J289" i="4"/>
  <c r="J609" i="4"/>
  <c r="J610" i="4"/>
  <c r="J860" i="4"/>
  <c r="J131" i="4"/>
  <c r="J1094" i="4"/>
  <c r="J876" i="4"/>
  <c r="J1184" i="4"/>
  <c r="J616" i="4"/>
  <c r="J171" i="4"/>
  <c r="J1445" i="4"/>
  <c r="J958" i="4"/>
  <c r="J1201" i="4"/>
  <c r="J1457" i="4"/>
  <c r="J959" i="4"/>
  <c r="J257" i="4"/>
  <c r="J886" i="4"/>
  <c r="J943" i="4"/>
  <c r="J1323" i="4"/>
  <c r="J312" i="4"/>
  <c r="J8" i="4"/>
  <c r="J146" i="4"/>
  <c r="J944" i="4"/>
  <c r="J1202" i="4"/>
  <c r="J396" i="4"/>
  <c r="J723" i="4"/>
  <c r="J178" i="4"/>
  <c r="J827" i="4"/>
  <c r="J861" i="4"/>
  <c r="J1391" i="4"/>
  <c r="J638" i="4"/>
  <c r="J724" i="4"/>
  <c r="J198" i="4"/>
  <c r="J673" i="4"/>
  <c r="J960" i="4"/>
  <c r="J1359" i="4"/>
  <c r="J683" i="4"/>
  <c r="J684" i="4"/>
  <c r="J324" i="4"/>
  <c r="J647" i="4"/>
  <c r="J1343" i="4"/>
  <c r="J562" i="4"/>
  <c r="J1024" i="4"/>
  <c r="J640" i="4"/>
  <c r="J488" i="4"/>
  <c r="J50" i="4"/>
  <c r="J397" i="4"/>
  <c r="J863" i="4"/>
  <c r="J132" i="4"/>
  <c r="J258" i="4"/>
  <c r="J658" i="4"/>
  <c r="J1267" i="4"/>
  <c r="J448" i="4"/>
  <c r="J1432" i="4"/>
  <c r="J662" i="4"/>
  <c r="J1025" i="4"/>
  <c r="J664" i="4"/>
  <c r="J665" i="4"/>
  <c r="J1204" i="4"/>
  <c r="J1205" i="4"/>
  <c r="J668" i="4"/>
  <c r="J669" i="4"/>
  <c r="J1001" i="4"/>
  <c r="J671" i="4"/>
  <c r="J1252" i="4"/>
  <c r="J356" i="4"/>
  <c r="J1447" i="4"/>
  <c r="J1171" i="4"/>
  <c r="J1468" i="4"/>
  <c r="J975" i="4"/>
  <c r="J1458" i="4"/>
  <c r="J961" i="4"/>
  <c r="J383" i="4"/>
  <c r="J51" i="4"/>
  <c r="J577" i="4"/>
  <c r="J1135" i="4"/>
  <c r="J82" i="4"/>
  <c r="J685" i="4"/>
  <c r="J449" i="4"/>
  <c r="J533" i="4"/>
  <c r="J592" i="4"/>
  <c r="J296" i="4"/>
  <c r="J690" i="4"/>
  <c r="J691" i="4"/>
  <c r="J1425" i="4"/>
  <c r="J54" i="4"/>
  <c r="J349" i="4"/>
  <c r="J695" i="4"/>
  <c r="J1045" i="4"/>
  <c r="J697" i="4"/>
  <c r="J898" i="4"/>
  <c r="J1071" i="4"/>
  <c r="J72" i="4"/>
  <c r="J774" i="4"/>
  <c r="J702" i="4"/>
  <c r="J1426" i="4"/>
  <c r="J1344" i="4"/>
  <c r="J1435" i="4"/>
  <c r="J1311" i="4"/>
  <c r="J276" i="4"/>
  <c r="J708" i="4"/>
  <c r="J578" i="4"/>
  <c r="J239" i="4"/>
  <c r="J711" i="4"/>
  <c r="J217" i="4"/>
  <c r="J713" i="4"/>
  <c r="J655" i="4"/>
  <c r="J621" i="4"/>
  <c r="J725" i="4"/>
  <c r="J73" i="4"/>
  <c r="J1082" i="4"/>
  <c r="J180" i="4"/>
  <c r="J607" i="4"/>
  <c r="J767" i="4"/>
  <c r="J722" i="4"/>
  <c r="J227" i="4"/>
  <c r="J1448" i="4"/>
  <c r="J579" i="4"/>
  <c r="J1226" i="4"/>
  <c r="J727" i="4"/>
  <c r="J228" i="4"/>
  <c r="J1010" i="4"/>
  <c r="J846" i="4"/>
  <c r="J326" i="4"/>
  <c r="J1393" i="4"/>
  <c r="J733" i="4"/>
  <c r="J734" i="4"/>
  <c r="J489" i="4"/>
  <c r="J1237" i="4"/>
  <c r="J1172" i="4"/>
  <c r="J297" i="4"/>
  <c r="J809" i="4"/>
  <c r="J249" i="4"/>
  <c r="J461" i="4"/>
  <c r="J220" i="4"/>
  <c r="J14" i="4"/>
  <c r="J1268" i="4"/>
  <c r="J1449" i="4"/>
  <c r="J746" i="4"/>
  <c r="J1345" i="4"/>
  <c r="J1147" i="4"/>
  <c r="J810" i="4"/>
  <c r="J750" i="4"/>
  <c r="J751" i="4"/>
  <c r="J656" i="4"/>
  <c r="J756" i="4"/>
  <c r="J754" i="4"/>
  <c r="J510" i="4"/>
  <c r="J877" i="4"/>
  <c r="J1436" i="4"/>
  <c r="J162" i="4"/>
  <c r="J373" i="4"/>
  <c r="J887" i="4"/>
  <c r="J277" i="4"/>
  <c r="J1161" i="4"/>
  <c r="J763" i="4"/>
  <c r="J764" i="4"/>
  <c r="J563" i="4"/>
  <c r="J1208" i="4"/>
  <c r="J1427" i="4"/>
  <c r="J163" i="4"/>
  <c r="J133" i="4"/>
  <c r="J1450" i="4"/>
  <c r="J726" i="4"/>
  <c r="J1428" i="4"/>
  <c r="J398" i="4"/>
  <c r="J1011" i="4"/>
  <c r="J962" i="4"/>
  <c r="J342" i="4"/>
  <c r="J627" i="4"/>
  <c r="J778" i="4"/>
  <c r="J779" i="4"/>
  <c r="J250" i="4"/>
  <c r="J781" i="4"/>
  <c r="J782" i="4"/>
  <c r="J462" i="4"/>
  <c r="J828" i="4"/>
  <c r="J1110" i="4"/>
  <c r="J526" i="4"/>
  <c r="J374" i="4"/>
  <c r="J147" i="4"/>
  <c r="J945" i="4"/>
  <c r="J795" i="4"/>
  <c r="J791" i="4"/>
  <c r="J55" i="4"/>
  <c r="J793" i="4"/>
  <c r="J794" i="4"/>
  <c r="J534" i="4"/>
  <c r="J1162" i="4"/>
  <c r="J511" i="4"/>
  <c r="J798" i="4"/>
  <c r="J799" i="4"/>
  <c r="J800" i="4"/>
  <c r="J548" i="4"/>
  <c r="J802" i="4"/>
  <c r="J803" i="4"/>
  <c r="J221" i="4"/>
  <c r="J811" i="4"/>
  <c r="J812" i="4"/>
  <c r="J641" i="4"/>
  <c r="J15" i="4"/>
  <c r="J1346" i="4"/>
  <c r="J229" i="4"/>
  <c r="J1433" i="4"/>
  <c r="J741" i="4"/>
  <c r="J674" i="4"/>
  <c r="J1384" i="4"/>
  <c r="J815" i="4"/>
  <c r="J1111" i="4"/>
  <c r="J251" i="4"/>
  <c r="J837" i="4"/>
  <c r="J1437" i="4"/>
  <c r="J528" i="4"/>
  <c r="J775" i="4"/>
  <c r="J1459" i="4"/>
  <c r="J1460" i="4"/>
  <c r="J554" i="4"/>
  <c r="J888" i="4"/>
  <c r="J535" i="4"/>
  <c r="J199" i="4"/>
  <c r="J1227" i="4"/>
  <c r="J976" i="4"/>
  <c r="J830" i="4"/>
  <c r="J831" i="4"/>
  <c r="J899" i="4"/>
  <c r="J833" i="4"/>
  <c r="J1461" i="4"/>
  <c r="J122" i="4"/>
  <c r="J728" i="4"/>
  <c r="J189" i="4"/>
  <c r="J838" i="4"/>
  <c r="J1385" i="4"/>
  <c r="J840" i="4"/>
  <c r="J1115" i="4"/>
  <c r="J1095" i="4"/>
  <c r="J463" i="4"/>
  <c r="J844" i="4"/>
  <c r="J357" i="4"/>
  <c r="J1269" i="4"/>
  <c r="J1127" i="4"/>
  <c r="J813" i="4"/>
  <c r="J1128" i="4"/>
  <c r="J1407" i="4"/>
  <c r="J851" i="4"/>
  <c r="J17" i="4"/>
  <c r="J1240" i="4"/>
  <c r="J594" i="4"/>
  <c r="J536" i="4"/>
  <c r="J700" i="4"/>
  <c r="J1408" i="4"/>
  <c r="J512" i="4"/>
  <c r="J859" i="4"/>
  <c r="J1409" i="4"/>
  <c r="J889" i="4"/>
  <c r="J862" i="4"/>
  <c r="J776" i="4"/>
  <c r="J729" i="4"/>
  <c r="J622" i="4"/>
  <c r="J866" i="4"/>
  <c r="J375" i="4"/>
  <c r="J730" i="4"/>
  <c r="J1046" i="4"/>
  <c r="J1253" i="4"/>
  <c r="J1096" i="4"/>
  <c r="J1129" i="4"/>
  <c r="J873" i="4"/>
  <c r="J1438" i="4"/>
  <c r="J900" i="4"/>
  <c r="J847" i="4"/>
  <c r="J399" i="4"/>
  <c r="J400" i="4"/>
  <c r="J208" i="4"/>
  <c r="J628" i="4"/>
  <c r="J327" i="4"/>
  <c r="J74" i="4"/>
  <c r="J56" i="4"/>
  <c r="J1072" i="4"/>
  <c r="J537" i="4"/>
  <c r="J148" i="4"/>
  <c r="J963" i="4"/>
  <c r="J313" i="4"/>
  <c r="J1097" i="4"/>
  <c r="J1324" i="4"/>
  <c r="J1228" i="4"/>
  <c r="J1098" i="4"/>
  <c r="J1209" i="4"/>
  <c r="J894" i="4"/>
  <c r="J499" i="4"/>
  <c r="J240" i="4"/>
  <c r="J701" i="4"/>
  <c r="J989" i="4"/>
  <c r="J901" i="4"/>
  <c r="J1373" i="4"/>
  <c r="J358" i="4"/>
  <c r="J538" i="4"/>
  <c r="J1439" i="4"/>
  <c r="J110" i="4"/>
  <c r="J513" i="4"/>
  <c r="J927" i="4"/>
  <c r="J1073" i="4"/>
  <c r="J426" i="4"/>
  <c r="J75" i="4"/>
  <c r="J149" i="4"/>
  <c r="J1360" i="4"/>
  <c r="J1286" i="4"/>
  <c r="J913" i="4"/>
  <c r="J657" i="4"/>
  <c r="J915" i="4"/>
  <c r="J1229" i="4"/>
  <c r="J917" i="4"/>
  <c r="J909" i="4"/>
  <c r="J565" i="4"/>
  <c r="J1325" i="4"/>
  <c r="J642" i="4"/>
  <c r="J1099" i="4"/>
  <c r="J1230" i="4"/>
  <c r="J500" i="4"/>
  <c r="J1148" i="4"/>
  <c r="J529" i="4"/>
  <c r="J566" i="4"/>
  <c r="J123" i="4"/>
  <c r="J464" i="4"/>
  <c r="J930" i="4"/>
  <c r="J1026" i="4"/>
  <c r="J1116" i="4"/>
  <c r="J450" i="4"/>
  <c r="J934" i="4"/>
  <c r="J514" i="4"/>
  <c r="J401" i="4"/>
  <c r="J539" i="4"/>
  <c r="J1185" i="4"/>
  <c r="J990" i="4"/>
  <c r="J242" i="4"/>
  <c r="J941" i="4"/>
  <c r="J942" i="4"/>
  <c r="J259" i="4"/>
  <c r="J1394" i="4"/>
  <c r="J181" i="4"/>
  <c r="J385" i="4"/>
  <c r="J182" i="4"/>
  <c r="J948" i="4"/>
  <c r="J949" i="4"/>
  <c r="J1057" i="4"/>
  <c r="J1302" i="4"/>
  <c r="J1410" i="4"/>
  <c r="J402" i="4"/>
  <c r="J954" i="4"/>
  <c r="J955" i="4"/>
  <c r="J403" i="4"/>
  <c r="J466" i="4"/>
  <c r="J919" i="4"/>
  <c r="J1395" i="4"/>
  <c r="J1074" i="4"/>
  <c r="J9" i="4"/>
  <c r="J1012" i="4"/>
  <c r="J1075" i="4"/>
  <c r="J878" i="4"/>
  <c r="J278" i="4"/>
  <c r="J1347" i="4"/>
  <c r="J1013" i="4"/>
  <c r="J968" i="4"/>
  <c r="J427" i="4"/>
  <c r="J428" i="4"/>
  <c r="J467" i="4"/>
  <c r="J1241" i="4"/>
  <c r="J928" i="4"/>
  <c r="J1374" i="4"/>
  <c r="J796" i="4"/>
  <c r="J1429" i="4"/>
  <c r="J977" i="4"/>
  <c r="J890" i="4"/>
  <c r="J230" i="4"/>
  <c r="J200" i="4"/>
  <c r="J703" i="4"/>
  <c r="J982" i="4"/>
  <c r="J983" i="4"/>
  <c r="J1287" i="4"/>
  <c r="J101" i="4"/>
  <c r="J260" i="4"/>
  <c r="J987" i="4"/>
  <c r="J404" i="4"/>
  <c r="J1100" i="4"/>
  <c r="J1210" i="4"/>
  <c r="J1411" i="4"/>
  <c r="J1083" i="4"/>
  <c r="J1303" i="4"/>
  <c r="J1348" i="4"/>
  <c r="J1174" i="4"/>
  <c r="J125" i="4"/>
  <c r="J891" i="4"/>
  <c r="J137" i="4"/>
  <c r="J999" i="4"/>
  <c r="J343" i="4"/>
  <c r="J405" i="4"/>
  <c r="J1288" i="4"/>
  <c r="J555" i="4"/>
  <c r="J595" i="4"/>
  <c r="J929" i="4"/>
  <c r="J501" i="4"/>
  <c r="J1149" i="4"/>
  <c r="J1008" i="4"/>
  <c r="J1009" i="4"/>
  <c r="J540" i="4"/>
  <c r="J150" i="4"/>
  <c r="J299" i="4"/>
  <c r="J502" i="4"/>
  <c r="J1014" i="4"/>
  <c r="J376" i="4"/>
  <c r="J1375" i="4"/>
  <c r="J1242" i="4"/>
  <c r="J1018" i="4"/>
  <c r="J821" i="4"/>
  <c r="J608" i="4"/>
  <c r="J1175" i="4"/>
  <c r="J1211" i="4"/>
  <c r="J1023" i="4"/>
  <c r="J768" i="4"/>
  <c r="J360" i="4"/>
  <c r="J300" i="4"/>
  <c r="J1231" i="4"/>
  <c r="J920" i="4"/>
  <c r="J629" i="4"/>
  <c r="J1186" i="4"/>
  <c r="J1326" i="4"/>
  <c r="J852" i="4"/>
  <c r="J1033" i="4"/>
  <c r="J1034" i="4"/>
  <c r="J1035" i="4"/>
  <c r="J1176" i="4"/>
  <c r="J864" i="4"/>
  <c r="J1038" i="4"/>
  <c r="J1027" i="4"/>
  <c r="J556" i="4"/>
  <c r="J1041" i="4"/>
  <c r="J1028" i="4"/>
  <c r="J517" i="4"/>
  <c r="J1187" i="4"/>
  <c r="J1117" i="4"/>
  <c r="J103" i="4"/>
  <c r="J1349" i="4"/>
  <c r="J172" i="4"/>
  <c r="J1219" i="4"/>
  <c r="J1254" i="4"/>
  <c r="J991" i="4"/>
  <c r="J1350" i="4"/>
  <c r="J1002" i="4"/>
  <c r="J580" i="4"/>
  <c r="J686" i="4"/>
  <c r="J1232" i="4"/>
  <c r="J1212" i="4"/>
  <c r="J1058" i="4"/>
  <c r="J1059" i="4"/>
  <c r="J1060" i="4"/>
  <c r="J1441" i="4"/>
  <c r="J1062" i="4"/>
  <c r="J1189" i="4"/>
  <c r="J567" i="4"/>
  <c r="J151" i="4"/>
  <c r="J1220" i="4"/>
  <c r="J1304" i="4"/>
  <c r="J630" i="4"/>
  <c r="J152" i="4"/>
  <c r="J1070" i="4"/>
  <c r="J1351" i="4"/>
  <c r="J964" i="4"/>
  <c r="J1305" i="4"/>
  <c r="J1061" i="4"/>
  <c r="J623" i="4"/>
  <c r="J946" i="4"/>
  <c r="J581" i="4"/>
  <c r="J111" i="4"/>
  <c r="J1079" i="4"/>
  <c r="J1306" i="4"/>
  <c r="J279" i="4"/>
  <c r="J1150" i="4"/>
  <c r="J557" i="4"/>
  <c r="J1376" i="4"/>
  <c r="J1085" i="4"/>
  <c r="J164" i="4"/>
  <c r="J1087" i="4"/>
  <c r="J631" i="4"/>
  <c r="J848" i="4"/>
  <c r="J1352" i="4"/>
  <c r="J386" i="4"/>
  <c r="J94" i="4"/>
  <c r="J406" i="4"/>
  <c r="J1378" i="4"/>
  <c r="J910" i="4"/>
  <c r="J174" i="4"/>
  <c r="J153" i="4"/>
  <c r="J280" i="4"/>
  <c r="J965" i="4"/>
  <c r="J314" i="4"/>
  <c r="J165" i="4"/>
  <c r="J62" i="4"/>
  <c r="J253" i="4"/>
  <c r="J731" i="4"/>
  <c r="J1243" i="4"/>
  <c r="J10" i="4"/>
  <c r="J1029" i="4"/>
  <c r="J1108" i="4"/>
  <c r="J377" i="4"/>
  <c r="J777" i="4"/>
  <c r="J1430" i="4"/>
  <c r="J1112" i="4"/>
  <c r="J1113" i="4"/>
  <c r="J1114" i="4"/>
  <c r="J732" i="4"/>
  <c r="J83" i="4"/>
  <c r="J1047" i="4"/>
  <c r="J659" i="4"/>
  <c r="J978" i="4"/>
  <c r="J76" i="4"/>
  <c r="J704" i="4"/>
  <c r="J569" i="4"/>
  <c r="J32" i="4"/>
  <c r="J201" i="4"/>
  <c r="J43" i="4"/>
  <c r="J490" i="4"/>
  <c r="J1190" i="4"/>
  <c r="J262" i="4"/>
  <c r="J57" i="4"/>
  <c r="J632" i="4"/>
  <c r="J1244" i="4"/>
  <c r="J1462" i="4"/>
  <c r="J1177" i="4"/>
  <c r="J361" i="4"/>
  <c r="J18" i="4"/>
  <c r="J643" i="4"/>
  <c r="J902" i="4"/>
  <c r="J1138" i="4"/>
  <c r="J1386" i="4"/>
  <c r="J281" i="4"/>
  <c r="J814" i="4"/>
  <c r="J282" i="4"/>
  <c r="J328" i="4"/>
  <c r="J468" i="4"/>
  <c r="J903" i="4"/>
  <c r="J1289" i="4"/>
  <c r="J705" i="4"/>
  <c r="J1118" i="4"/>
  <c r="J77" i="4"/>
  <c r="J154" i="4"/>
  <c r="J582" i="4"/>
  <c r="J388" i="4"/>
  <c r="J1048" i="4"/>
  <c r="J624" i="4"/>
  <c r="J1155" i="4"/>
  <c r="J558" i="4"/>
  <c r="J518" i="4"/>
  <c r="J1327" i="4"/>
  <c r="J1030" i="4"/>
  <c r="J769" i="4"/>
  <c r="J1191" i="4"/>
  <c r="J541" i="4"/>
  <c r="J742" i="4"/>
  <c r="J1164" i="4"/>
  <c r="J451" i="4"/>
  <c r="J429" i="4"/>
  <c r="J1163" i="4"/>
  <c r="J1329" i="4"/>
  <c r="J1169" i="4"/>
  <c r="J1431" i="4"/>
  <c r="J931" i="4"/>
  <c r="J430" i="4"/>
  <c r="J1173" i="4"/>
  <c r="J491" i="4"/>
  <c r="J979" i="4"/>
  <c r="J362" i="4"/>
  <c r="J33" i="4"/>
  <c r="J34" i="4"/>
  <c r="J743" i="4"/>
  <c r="J492" i="4"/>
  <c r="J254" i="4"/>
  <c r="J829" i="4"/>
  <c r="J95" i="4"/>
  <c r="J493" i="4"/>
  <c r="J519" i="4"/>
  <c r="J350" i="4"/>
  <c r="J892" i="4"/>
  <c r="J1188" i="4"/>
  <c r="J571" i="4"/>
  <c r="J96" i="4"/>
  <c r="J232" i="4"/>
  <c r="J1049" i="4"/>
  <c r="J118" i="4"/>
  <c r="J1084" i="4"/>
  <c r="J283" i="4"/>
  <c r="J209" i="4"/>
  <c r="J1119" i="4"/>
  <c r="J431" i="4"/>
  <c r="J1464" i="4"/>
  <c r="J853" i="4"/>
  <c r="J301" i="4"/>
  <c r="J611" i="4"/>
  <c r="J1203" i="4"/>
  <c r="J112" i="4"/>
  <c r="J966" i="4"/>
  <c r="J1206" i="4"/>
  <c r="J1207" i="4"/>
  <c r="J706" i="4"/>
  <c r="J992" i="4"/>
  <c r="J744" i="4"/>
  <c r="J1063" i="4"/>
  <c r="J707" i="4"/>
  <c r="J1366" i="4"/>
  <c r="J1307" i="4"/>
  <c r="J1215" i="4"/>
  <c r="J190" i="4"/>
  <c r="J1387" i="4"/>
  <c r="J119" i="4"/>
  <c r="J1140" i="4"/>
  <c r="J1165" i="4"/>
  <c r="J97" i="4"/>
  <c r="J127" i="4"/>
  <c r="J839" i="4"/>
  <c r="J1224" i="4"/>
  <c r="J1225" i="4"/>
  <c r="J315" i="4"/>
  <c r="J596" i="4"/>
  <c r="J745" i="4"/>
  <c r="J583" i="4"/>
  <c r="J747" i="4"/>
  <c r="J687" i="4"/>
  <c r="J191" i="4"/>
  <c r="J494" i="4"/>
  <c r="J263" i="4"/>
  <c r="J1368" i="4"/>
  <c r="J155" i="4"/>
  <c r="J780" i="4"/>
  <c r="J1238" i="4"/>
  <c r="J1239" i="4"/>
  <c r="J967" i="4"/>
  <c r="J98" i="4"/>
  <c r="J302" i="4"/>
  <c r="J572" i="4"/>
  <c r="J1330" i="4"/>
  <c r="J264" i="4"/>
  <c r="J879" i="4"/>
  <c r="J469" i="4"/>
  <c r="J1248" i="4"/>
  <c r="J1101" i="4"/>
  <c r="J893" i="4"/>
  <c r="J1251" i="4"/>
  <c r="J1015" i="4"/>
  <c r="J192" i="4"/>
  <c r="J139" i="4"/>
  <c r="J1353" i="4"/>
  <c r="J932" i="4"/>
  <c r="J1257" i="4"/>
  <c r="J1086" i="4"/>
  <c r="J1259" i="4"/>
  <c r="J291" i="4"/>
  <c r="J470" i="4"/>
  <c r="J378" i="4"/>
  <c r="J1361" i="4"/>
  <c r="J1264" i="4"/>
  <c r="J472" i="4"/>
  <c r="J660" i="4"/>
  <c r="J1192" i="4"/>
  <c r="J1312" i="4"/>
  <c r="J303" i="4"/>
  <c r="J904" i="4"/>
  <c r="J63" i="4"/>
  <c r="J854" i="4"/>
  <c r="J1273" i="4"/>
  <c r="J1308" i="4"/>
  <c r="J1275" i="4"/>
  <c r="J1313" i="4"/>
  <c r="J1102" i="4"/>
  <c r="J330" i="4"/>
  <c r="J45" i="4"/>
  <c r="J1193" i="4"/>
  <c r="J1281" i="4"/>
  <c r="J114" i="4"/>
  <c r="J1283" i="4"/>
  <c r="J880" i="4"/>
  <c r="J832" i="4"/>
  <c r="J1354" i="4"/>
  <c r="J865" i="4"/>
  <c r="J503" i="4"/>
  <c r="J1316" i="4"/>
  <c r="J709" i="4"/>
  <c r="J193" i="4"/>
  <c r="J1292" i="4"/>
  <c r="J1293" i="4"/>
  <c r="J1194" i="4"/>
  <c r="J1103" i="4"/>
  <c r="J243" i="4"/>
  <c r="J1003" i="4"/>
  <c r="J1270" i="4"/>
  <c r="J1299" i="4"/>
  <c r="J1300" i="4"/>
  <c r="J849" i="4"/>
  <c r="J11" i="4"/>
  <c r="J969" i="4"/>
  <c r="J105" i="4"/>
  <c r="J1317" i="4"/>
  <c r="J1151" i="4"/>
  <c r="J316" i="4"/>
  <c r="J841" i="4"/>
  <c r="J735" i="4"/>
  <c r="J1195" i="4"/>
  <c r="J797" i="4"/>
  <c r="J1004" i="4"/>
  <c r="J612" i="4"/>
  <c r="J1314" i="4"/>
  <c r="J1315" i="4"/>
  <c r="J644" i="4"/>
  <c r="J1396" i="4"/>
  <c r="J559" i="4"/>
  <c r="J473" i="4"/>
  <c r="J1120" i="4"/>
  <c r="J432" i="4"/>
  <c r="J58" i="4"/>
  <c r="J584" i="4"/>
  <c r="J19" i="4"/>
  <c r="J911" i="4"/>
  <c r="J1178" i="4"/>
  <c r="J433" i="4"/>
  <c r="J1328" i="4"/>
  <c r="J980" i="4"/>
  <c r="J1121" i="4"/>
  <c r="J1255" i="4"/>
  <c r="J633" i="4"/>
  <c r="J757" i="4"/>
  <c r="J1334" i="4"/>
  <c r="J1335" i="4"/>
  <c r="J1196" i="4"/>
  <c r="J1469" i="4"/>
  <c r="J64" i="4"/>
  <c r="J1256" i="4"/>
  <c r="J1340" i="4"/>
  <c r="J1341" i="4"/>
  <c r="J1213" i="4"/>
  <c r="J78" i="4"/>
  <c r="J947" i="4"/>
  <c r="J389" i="4"/>
  <c r="J1258" i="4"/>
  <c r="J1470" i="4"/>
  <c r="J1245" i="4"/>
  <c r="J504" i="4"/>
  <c r="J867" i="4"/>
  <c r="J434" i="4"/>
  <c r="J1260" i="4"/>
  <c r="J970" i="4"/>
  <c r="J710" i="4"/>
  <c r="J1355" i="4"/>
  <c r="J1356" i="4"/>
  <c r="J344" i="4"/>
  <c r="J1412" i="4"/>
  <c r="J1388" i="4"/>
  <c r="J1331" i="4"/>
  <c r="J317" i="4"/>
  <c r="J645" i="4"/>
  <c r="J736" i="4"/>
  <c r="J345" i="4"/>
  <c r="J981" i="4"/>
  <c r="J1471" i="4"/>
  <c r="J1367" i="4"/>
  <c r="J816" i="4"/>
  <c r="J675" i="4"/>
  <c r="J304" i="4"/>
  <c r="J1371" i="4"/>
  <c r="J1451" i="4"/>
  <c r="J156" i="4"/>
  <c r="J305" i="4"/>
  <c r="J46" i="4"/>
  <c r="J1399" i="4"/>
  <c r="J1377" i="4"/>
  <c r="J37" i="4"/>
  <c r="J817" i="4"/>
  <c r="J20" i="4"/>
  <c r="J1381" i="4"/>
  <c r="J84" i="4"/>
  <c r="J1221" i="4"/>
  <c r="J598" i="4"/>
  <c r="J85" i="4"/>
  <c r="J912" i="4"/>
  <c r="J550" i="4"/>
  <c r="J1130" i="4"/>
  <c r="J115" i="4"/>
  <c r="J855" i="4"/>
  <c r="J87" i="4"/>
  <c r="J1392" i="4"/>
  <c r="J88" i="4"/>
  <c r="J971" i="4"/>
  <c r="J984" i="4"/>
  <c r="J89" i="4"/>
  <c r="J1397" i="4"/>
  <c r="J1398" i="4"/>
  <c r="J166" i="4"/>
  <c r="J676" i="4"/>
  <c r="J183" i="4"/>
  <c r="J21" i="4"/>
  <c r="J379" i="4"/>
  <c r="J474" i="4"/>
  <c r="J22" i="4"/>
  <c r="J551" i="4"/>
  <c r="J408" i="4"/>
  <c r="J1261" i="4"/>
  <c r="J985" i="4"/>
  <c r="J306" i="4"/>
  <c r="J531" i="4"/>
  <c r="J625" i="4"/>
  <c r="J116" i="4"/>
  <c r="J157" i="4"/>
  <c r="J599" i="4"/>
  <c r="J881" i="4"/>
  <c r="J1413" i="4"/>
  <c r="J307" i="4"/>
  <c r="J475" i="4"/>
  <c r="J585" i="4"/>
  <c r="J409" i="4"/>
  <c r="J933" i="4"/>
  <c r="J993" i="4"/>
  <c r="J986" i="4"/>
  <c r="J842" i="4"/>
  <c r="J1031" i="4"/>
  <c r="J688" i="4"/>
  <c r="J1290" i="4"/>
  <c r="J363" i="4"/>
  <c r="J1271" i="4"/>
  <c r="J601" i="4"/>
  <c r="J505" i="4"/>
  <c r="J210" i="4"/>
  <c r="J752" i="4"/>
  <c r="J1076" i="4"/>
  <c r="J59" i="4"/>
  <c r="J284" i="4"/>
  <c r="J1152" i="4"/>
  <c r="J79" i="4"/>
  <c r="J1440" i="4"/>
  <c r="J414" i="4"/>
  <c r="J140" i="4"/>
  <c r="J476" i="4"/>
  <c r="J1444" i="4"/>
  <c r="J1414" i="4"/>
  <c r="J1446" i="4"/>
  <c r="J1291" i="4"/>
  <c r="J758" i="4"/>
  <c r="J634" i="4"/>
  <c r="J1415" i="4"/>
  <c r="J1136" i="4"/>
  <c r="J1233" i="4"/>
  <c r="J689" i="4"/>
  <c r="J1454" i="4"/>
  <c r="J921" i="4"/>
  <c r="J477" i="4"/>
  <c r="J331" i="4"/>
  <c r="J520" i="4"/>
  <c r="J626" i="4"/>
  <c r="J1400" i="4"/>
  <c r="J332" i="4"/>
  <c r="J1141" i="4"/>
  <c r="J1463" i="4"/>
  <c r="J130" i="4"/>
  <c r="J318" i="4"/>
  <c r="J185" i="4"/>
  <c r="J1050" i="4"/>
  <c r="J818" i="4"/>
  <c r="J935" i="4"/>
  <c r="J950" i="4"/>
  <c r="J1442" i="4"/>
  <c r="N882" i="4"/>
  <c r="N4" i="4"/>
  <c r="N1088" i="4"/>
  <c r="N801" i="4"/>
  <c r="N106" i="4"/>
  <c r="N65" i="4"/>
  <c r="N24" i="4"/>
  <c r="N602" i="4"/>
  <c r="N988" i="4"/>
  <c r="N922" i="4"/>
  <c r="N646" i="4"/>
  <c r="N804" i="4"/>
  <c r="N285" i="4"/>
  <c r="N16" i="4"/>
  <c r="N452" i="4"/>
  <c r="N415" i="4"/>
  <c r="N552" i="4"/>
  <c r="N418" i="4"/>
  <c r="N265" i="4"/>
  <c r="N1369" i="4"/>
  <c r="N23" i="4"/>
  <c r="N648" i="4"/>
  <c r="N135" i="4"/>
  <c r="N26" i="4"/>
  <c r="N737" i="4"/>
  <c r="N28" i="4"/>
  <c r="N738" i="4"/>
  <c r="N1104" i="4"/>
  <c r="N994" i="4"/>
  <c r="N868" i="4"/>
  <c r="N1416" i="4"/>
  <c r="N1179" i="4"/>
  <c r="N35" i="4"/>
  <c r="N36" i="4"/>
  <c r="N158" i="4"/>
  <c r="N38" i="4"/>
  <c r="N677" i="4"/>
  <c r="N507" i="4"/>
  <c r="N267" i="4"/>
  <c r="N1077" i="4"/>
  <c r="N268" i="4"/>
  <c r="N44" i="4"/>
  <c r="N805" i="4"/>
  <c r="N1016" i="4"/>
  <c r="N47" i="4"/>
  <c r="N308" i="4"/>
  <c r="N435" i="4"/>
  <c r="N856" i="4"/>
  <c r="N390" i="4"/>
  <c r="N52" i="4"/>
  <c r="N53" i="4"/>
  <c r="N436" i="4"/>
  <c r="N1379" i="4"/>
  <c r="N1142" i="4"/>
  <c r="N495" i="4"/>
  <c r="N1332" i="4"/>
  <c r="N1032" i="4"/>
  <c r="N1017" i="4"/>
  <c r="N120" i="4"/>
  <c r="N972" i="4"/>
  <c r="N39" i="4"/>
  <c r="N603" i="4"/>
  <c r="N1051" i="4"/>
  <c r="N1401" i="4"/>
  <c r="N1036" i="4"/>
  <c r="N613" i="4"/>
  <c r="N649" i="4"/>
  <c r="N292" i="4"/>
  <c r="N71" i="4"/>
  <c r="N843" i="4"/>
  <c r="N923" i="4"/>
  <c r="N692" i="4"/>
  <c r="N1389" i="4"/>
  <c r="N1089" i="4"/>
  <c r="N202" i="4"/>
  <c r="N478" i="4"/>
  <c r="N320" i="4"/>
  <c r="N905" i="4"/>
  <c r="N759" i="4"/>
  <c r="N321" i="4"/>
  <c r="N269" i="4"/>
  <c r="N25" i="4"/>
  <c r="N760" i="4"/>
  <c r="N1166" i="4"/>
  <c r="N1214" i="4"/>
  <c r="N573" i="4"/>
  <c r="N819" i="4"/>
  <c r="N60" i="4"/>
  <c r="N91" i="4"/>
  <c r="N66" i="4"/>
  <c r="N244" i="4"/>
  <c r="N936" i="4"/>
  <c r="N1417" i="4"/>
  <c r="N822" i="4"/>
  <c r="N586" i="4"/>
  <c r="N543" i="4"/>
  <c r="N1362" i="4"/>
  <c r="N1418" i="4"/>
  <c r="N159" i="4"/>
  <c r="N102" i="4"/>
  <c r="N309" i="4"/>
  <c r="N104" i="4"/>
  <c r="N1222" i="4"/>
  <c r="N753" i="4"/>
  <c r="N850" i="4"/>
  <c r="N770" i="4"/>
  <c r="N109" i="4"/>
  <c r="N27" i="4"/>
  <c r="N951" i="4"/>
  <c r="N604" i="4"/>
  <c r="N113" i="4"/>
  <c r="N1363" i="4"/>
  <c r="N783" i="4"/>
  <c r="N1037" i="4"/>
  <c r="N1131" i="4"/>
  <c r="N906" i="4"/>
  <c r="N186" i="4"/>
  <c r="N333" i="4"/>
  <c r="N410" i="4"/>
  <c r="N222" i="4"/>
  <c r="N1122" i="4"/>
  <c r="N124" i="4"/>
  <c r="N1272" i="4"/>
  <c r="N126" i="4"/>
  <c r="N784" i="4"/>
  <c r="N128" i="4"/>
  <c r="N129" i="4"/>
  <c r="N1234" i="4"/>
  <c r="N820" i="4"/>
  <c r="N712" i="4"/>
  <c r="N869" i="4"/>
  <c r="N134" i="4"/>
  <c r="N614" i="4"/>
  <c r="N1005" i="4"/>
  <c r="N693" i="4"/>
  <c r="N138" i="4"/>
  <c r="N588" i="4"/>
  <c r="N907" i="4"/>
  <c r="N167" i="4"/>
  <c r="N142" i="4"/>
  <c r="N351" i="4"/>
  <c r="N479" i="4"/>
  <c r="N1333" i="4"/>
  <c r="N334" i="4"/>
  <c r="N352" i="4"/>
  <c r="N48" i="4"/>
  <c r="N61" i="4"/>
  <c r="N223" i="4"/>
  <c r="N353" i="4"/>
  <c r="N650" i="4"/>
  <c r="N1052" i="4"/>
  <c r="N175" i="4"/>
  <c r="N785" i="4"/>
  <c r="N49" i="4"/>
  <c r="N806" i="4"/>
  <c r="N661" i="4"/>
  <c r="N203" i="4"/>
  <c r="N1078" i="4"/>
  <c r="N1080" i="4"/>
  <c r="N419" i="4"/>
  <c r="N1274" i="4"/>
  <c r="N480" i="4"/>
  <c r="N420" i="4"/>
  <c r="N1064" i="4"/>
  <c r="N739" i="4"/>
  <c r="N952" i="4"/>
  <c r="N1153" i="4"/>
  <c r="N786" i="4"/>
  <c r="N335" i="4"/>
  <c r="N1216" i="4"/>
  <c r="N173" i="4"/>
  <c r="N211" i="4"/>
  <c r="N364" i="4"/>
  <c r="N1419" i="4"/>
  <c r="N439" i="4"/>
  <c r="N694" i="4"/>
  <c r="N179" i="4"/>
  <c r="N1053" i="4"/>
  <c r="N714" i="4"/>
  <c r="N553" i="4"/>
  <c r="N1054" i="4"/>
  <c r="N184" i="4"/>
  <c r="N1246" i="4"/>
  <c r="N1276" i="4"/>
  <c r="N574" i="4"/>
  <c r="N1019" i="4"/>
  <c r="N245" i="4"/>
  <c r="N1223" i="4"/>
  <c r="N678" i="4"/>
  <c r="N204" i="4"/>
  <c r="N1123" i="4"/>
  <c r="N194" i="4"/>
  <c r="N270" i="4"/>
  <c r="N715" i="4"/>
  <c r="N635" i="4"/>
  <c r="N1154" i="4"/>
  <c r="N176" i="4"/>
  <c r="N141" i="4"/>
  <c r="N1452" i="4"/>
  <c r="N168" i="4"/>
  <c r="N1370" i="4"/>
  <c r="N391" i="4"/>
  <c r="N1167" i="4"/>
  <c r="N206" i="4"/>
  <c r="N207" i="4"/>
  <c r="N169" i="4"/>
  <c r="N160" i="4"/>
  <c r="N716" i="4"/>
  <c r="N346" i="4"/>
  <c r="N212" i="4"/>
  <c r="N1180" i="4"/>
  <c r="N107" i="4"/>
  <c r="N924" i="4"/>
  <c r="N216" i="4"/>
  <c r="N937" i="4"/>
  <c r="N218" i="4"/>
  <c r="N219" i="4"/>
  <c r="N1453" i="4"/>
  <c r="N953" i="4"/>
  <c r="N883" i="4"/>
  <c r="N205" i="4"/>
  <c r="N1090" i="4"/>
  <c r="N293" i="4"/>
  <c r="N195" i="4"/>
  <c r="N1197" i="4"/>
  <c r="N1039" i="4"/>
  <c r="N605" i="4"/>
  <c r="N3" i="4"/>
  <c r="N231" i="4"/>
  <c r="N1132" i="4"/>
  <c r="N1277" i="4"/>
  <c r="N787" i="4"/>
  <c r="N771" i="4"/>
  <c r="N236" i="4"/>
  <c r="N12" i="4"/>
  <c r="N238" i="4"/>
  <c r="N421" i="4"/>
  <c r="N788" i="4"/>
  <c r="N241" i="4"/>
  <c r="N224" i="4"/>
  <c r="N1235" i="4"/>
  <c r="N271" i="4"/>
  <c r="N884" i="4"/>
  <c r="N246" i="4"/>
  <c r="N1198" i="4"/>
  <c r="N521" i="4"/>
  <c r="N1318" i="4"/>
  <c r="N143" i="4"/>
  <c r="N1319" i="4"/>
  <c r="N252" i="4"/>
  <c r="N938" i="4"/>
  <c r="N1402" i="4"/>
  <c r="N1065" i="4"/>
  <c r="N90" i="4"/>
  <c r="N1262" i="4"/>
  <c r="N789" i="4"/>
  <c r="N790" i="4"/>
  <c r="N679" i="4"/>
  <c r="N261" i="4"/>
  <c r="N99" i="4"/>
  <c r="N392" i="4"/>
  <c r="N1380" i="4"/>
  <c r="N522" i="4"/>
  <c r="N266" i="4"/>
  <c r="N925" i="4"/>
  <c r="N1137" i="4"/>
  <c r="N761" i="4"/>
  <c r="N196" i="4"/>
  <c r="N1403" i="4"/>
  <c r="N197" i="4"/>
  <c r="N273" i="4"/>
  <c r="N1124" i="4"/>
  <c r="N857" i="4"/>
  <c r="N347" i="4"/>
  <c r="N1133" i="4"/>
  <c r="N576" i="4"/>
  <c r="N1364" i="4"/>
  <c r="N144" i="4"/>
  <c r="N755" i="4"/>
  <c r="N1294" i="4"/>
  <c r="N286" i="4"/>
  <c r="N1295" i="4"/>
  <c r="N393" i="4"/>
  <c r="N1091" i="4"/>
  <c r="N1296" i="4"/>
  <c r="N288" i="4"/>
  <c r="N995" i="4"/>
  <c r="N290" i="4"/>
  <c r="N523" i="4"/>
  <c r="N1465" i="4"/>
  <c r="N544" i="4"/>
  <c r="N870" i="4"/>
  <c r="N295" i="4"/>
  <c r="N1404" i="4"/>
  <c r="N422" i="4"/>
  <c r="N298" i="4"/>
  <c r="N1125" i="4"/>
  <c r="N823" i="4"/>
  <c r="N1181" i="4"/>
  <c r="N824" i="4"/>
  <c r="N1443" i="4"/>
  <c r="N1199" i="4"/>
  <c r="N680" i="4"/>
  <c r="N651" i="4"/>
  <c r="N1278" i="4"/>
  <c r="N1168" i="4"/>
  <c r="N13" i="4"/>
  <c r="N606" i="4"/>
  <c r="N871" i="4"/>
  <c r="N636" i="4"/>
  <c r="N287" i="4"/>
  <c r="N973" i="4"/>
  <c r="N440" i="4"/>
  <c r="N615" i="4"/>
  <c r="N272" i="4"/>
  <c r="N1247" i="4"/>
  <c r="N319" i="4"/>
  <c r="N233" i="4"/>
  <c r="N772" i="4"/>
  <c r="N80" i="4"/>
  <c r="N1006" i="4"/>
  <c r="N1263" i="4"/>
  <c r="N325" i="4"/>
  <c r="N1336" i="4"/>
  <c r="N86" i="4"/>
  <c r="N1217" i="4"/>
  <c r="N329" i="4"/>
  <c r="N255" i="4"/>
  <c r="N1420" i="4"/>
  <c r="N425" i="4"/>
  <c r="N939" i="4"/>
  <c r="N1040" i="4"/>
  <c r="N336" i="4"/>
  <c r="N637" i="4"/>
  <c r="N453" i="4"/>
  <c r="N338" i="4"/>
  <c r="N274" i="4"/>
  <c r="N807" i="4"/>
  <c r="N454" i="4"/>
  <c r="N81" i="4"/>
  <c r="N5" i="4"/>
  <c r="N808" i="4"/>
  <c r="N1421" i="4"/>
  <c r="N1007" i="4"/>
  <c r="N996" i="4"/>
  <c r="N617" i="4"/>
  <c r="N858" i="4"/>
  <c r="N974" i="4"/>
  <c r="N117" i="4"/>
  <c r="N381" i="4"/>
  <c r="N161" i="4"/>
  <c r="N496" i="4"/>
  <c r="N652" i="4"/>
  <c r="N872" i="4"/>
  <c r="N895" i="4"/>
  <c r="N618" i="4"/>
  <c r="N359" i="4"/>
  <c r="N1105" i="4"/>
  <c r="N532" i="4"/>
  <c r="N234" i="4"/>
  <c r="N1279" i="4"/>
  <c r="N337" i="4"/>
  <c r="N365" i="4"/>
  <c r="N225" i="4"/>
  <c r="N1297" i="4"/>
  <c r="N368" i="4"/>
  <c r="N187" i="4"/>
  <c r="N370" i="4"/>
  <c r="N394" i="4"/>
  <c r="N372" i="4"/>
  <c r="N1357" i="4"/>
  <c r="N619" i="4"/>
  <c r="N1066" i="4"/>
  <c r="N411" i="4"/>
  <c r="N1042" i="4"/>
  <c r="N67" i="4"/>
  <c r="N620" i="4"/>
  <c r="N380" i="4"/>
  <c r="N1372" i="4"/>
  <c r="N145" i="4"/>
  <c r="N366" i="4"/>
  <c r="N384" i="4"/>
  <c r="N1466" i="4"/>
  <c r="N1139" i="4"/>
  <c r="N387" i="4"/>
  <c r="N1055" i="4"/>
  <c r="N456" i="4"/>
  <c r="N681" i="4"/>
  <c r="N1280" i="4"/>
  <c r="N653" i="4"/>
  <c r="N825" i="4"/>
  <c r="N1067" i="4"/>
  <c r="N1390" i="4"/>
  <c r="N1467" i="4"/>
  <c r="N367" i="4"/>
  <c r="N369" i="4"/>
  <c r="N914" i="4"/>
  <c r="N247" i="4"/>
  <c r="N1309" i="4"/>
  <c r="N1282" i="4"/>
  <c r="N1382" i="4"/>
  <c r="N1068" i="4"/>
  <c r="N896" i="4"/>
  <c r="N997" i="4"/>
  <c r="N407" i="4"/>
  <c r="N748" i="4"/>
  <c r="N717" i="4"/>
  <c r="N1422" i="4"/>
  <c r="N6" i="4"/>
  <c r="N1043" i="4"/>
  <c r="N1156" i="4"/>
  <c r="N1320" i="4"/>
  <c r="N508" i="4"/>
  <c r="N416" i="4"/>
  <c r="N417" i="4"/>
  <c r="N663" i="4"/>
  <c r="N1249" i="4"/>
  <c r="N68" i="4"/>
  <c r="N1358" i="4"/>
  <c r="N916" i="4"/>
  <c r="N423" i="4"/>
  <c r="N424" i="4"/>
  <c r="N1200" i="4"/>
  <c r="N792" i="4"/>
  <c r="N1134" i="4"/>
  <c r="N40" i="4"/>
  <c r="N762" i="4"/>
  <c r="N773" i="4"/>
  <c r="N654" i="4"/>
  <c r="N457" i="4"/>
  <c r="N395" i="4"/>
  <c r="N524" i="4"/>
  <c r="N226" i="4"/>
  <c r="N666" i="4"/>
  <c r="N437" i="4"/>
  <c r="N438" i="4"/>
  <c r="N1455" i="4"/>
  <c r="N718" i="4"/>
  <c r="N441" i="4"/>
  <c r="N442" i="4"/>
  <c r="N412" i="4"/>
  <c r="N667" i="4"/>
  <c r="N445" i="4"/>
  <c r="N92" i="4"/>
  <c r="N235" i="4"/>
  <c r="N1092" i="4"/>
  <c r="N1069" i="4"/>
  <c r="N719" i="4"/>
  <c r="N322" i="4"/>
  <c r="N696" i="4"/>
  <c r="N1020" i="4"/>
  <c r="N443" i="4"/>
  <c r="N455" i="4"/>
  <c r="N483" i="4"/>
  <c r="N918" i="4"/>
  <c r="N545" i="4"/>
  <c r="N459" i="4"/>
  <c r="N1218" i="4"/>
  <c r="N29" i="4"/>
  <c r="N1106" i="4"/>
  <c r="N509" i="4"/>
  <c r="N1265" i="4"/>
  <c r="N465" i="4"/>
  <c r="N1284" i="4"/>
  <c r="N560" i="4"/>
  <c r="N1170" i="4"/>
  <c r="N1266" i="4"/>
  <c r="N354" i="4"/>
  <c r="N471" i="4"/>
  <c r="N339" i="4"/>
  <c r="N1434" i="4"/>
  <c r="N525" i="4"/>
  <c r="N41" i="4"/>
  <c r="N874" i="4"/>
  <c r="N834" i="4"/>
  <c r="N682" i="4"/>
  <c r="N136" i="4"/>
  <c r="N213" i="4"/>
  <c r="N481" i="4"/>
  <c r="N482" i="4"/>
  <c r="N765" i="4"/>
  <c r="N484" i="4"/>
  <c r="N1143" i="4"/>
  <c r="N310" i="4"/>
  <c r="N1337" i="4"/>
  <c r="N444" i="4"/>
  <c r="N1383" i="4"/>
  <c r="N698" i="4"/>
  <c r="N897" i="4"/>
  <c r="N908" i="4"/>
  <c r="N940" i="4"/>
  <c r="N275" i="4"/>
  <c r="N323" i="4"/>
  <c r="N214" i="4"/>
  <c r="N497" i="4"/>
  <c r="N589" i="4"/>
  <c r="N340" i="4"/>
  <c r="N1338" i="4"/>
  <c r="N670" i="4"/>
  <c r="N498" i="4"/>
  <c r="N30" i="4"/>
  <c r="N341" i="4"/>
  <c r="N1423" i="4"/>
  <c r="N506" i="4"/>
  <c r="N248" i="4"/>
  <c r="N485" i="4"/>
  <c r="N885" i="4"/>
  <c r="N699" i="4"/>
  <c r="N1424" i="4"/>
  <c r="N998" i="4"/>
  <c r="N590" i="4"/>
  <c r="N956" i="4"/>
  <c r="N515" i="4"/>
  <c r="N516" i="4"/>
  <c r="N486" i="4"/>
  <c r="N1144" i="4"/>
  <c r="N1021" i="4"/>
  <c r="N1405" i="4"/>
  <c r="N1000" i="4"/>
  <c r="N1145" i="4"/>
  <c r="N835" i="4"/>
  <c r="N355" i="4"/>
  <c r="N31" i="4"/>
  <c r="N1022" i="4"/>
  <c r="N527" i="4"/>
  <c r="N1250" i="4"/>
  <c r="N458" i="4"/>
  <c r="N530" i="4"/>
  <c r="N1365" i="4"/>
  <c r="N311" i="4"/>
  <c r="N1157" i="4"/>
  <c r="N1158" i="4"/>
  <c r="N1093" i="4"/>
  <c r="N42" i="4"/>
  <c r="N371" i="4"/>
  <c r="N926" i="4"/>
  <c r="N1159" i="4"/>
  <c r="N740" i="4"/>
  <c r="N121" i="4"/>
  <c r="N542" i="4"/>
  <c r="N720" i="4"/>
  <c r="N69" i="4"/>
  <c r="N1406" i="4"/>
  <c r="N460" i="4"/>
  <c r="N1236" i="4"/>
  <c r="N1310" i="4"/>
  <c r="N549" i="4"/>
  <c r="N957" i="4"/>
  <c r="N1126" i="4"/>
  <c r="N1107" i="4"/>
  <c r="N215" i="4"/>
  <c r="N561" i="4"/>
  <c r="N766" i="4"/>
  <c r="N1456" i="4"/>
  <c r="N1321" i="4"/>
  <c r="N1182" i="4"/>
  <c r="N836" i="4"/>
  <c r="N875" i="4"/>
  <c r="N188" i="4"/>
  <c r="N487" i="4"/>
  <c r="N672" i="4"/>
  <c r="N564" i="4"/>
  <c r="N177" i="4"/>
  <c r="N170" i="4"/>
  <c r="N1322" i="4"/>
  <c r="N568" i="4"/>
  <c r="N1146" i="4"/>
  <c r="N570" i="4"/>
  <c r="N294" i="4"/>
  <c r="N1109" i="4"/>
  <c r="N639" i="4"/>
  <c r="N1339" i="4"/>
  <c r="N575" i="4"/>
  <c r="N721" i="4"/>
  <c r="N413" i="4"/>
  <c r="N1183" i="4"/>
  <c r="N237" i="4"/>
  <c r="N446" i="4"/>
  <c r="N70" i="4"/>
  <c r="N447" i="4"/>
  <c r="N1044" i="4"/>
  <c r="N1298" i="4"/>
  <c r="N348" i="4"/>
  <c r="N1081" i="4"/>
  <c r="N587" i="4"/>
  <c r="N1285" i="4"/>
  <c r="N108" i="4"/>
  <c r="N1342" i="4"/>
  <c r="N591" i="4"/>
  <c r="N256" i="4"/>
  <c r="N593" i="4"/>
  <c r="N546" i="4"/>
  <c r="N1301" i="4"/>
  <c r="N826" i="4"/>
  <c r="N597" i="4"/>
  <c r="N1160" i="4"/>
  <c r="N547" i="4"/>
  <c r="N600" i="4"/>
  <c r="N93" i="4"/>
  <c r="N100" i="4"/>
  <c r="N382" i="4"/>
  <c r="N845" i="4"/>
  <c r="N7" i="4"/>
  <c r="N1056" i="4"/>
  <c r="N749" i="4"/>
  <c r="N289" i="4"/>
  <c r="N609" i="4"/>
  <c r="N610" i="4"/>
  <c r="N860" i="4"/>
  <c r="N131" i="4"/>
  <c r="N1094" i="4"/>
  <c r="N876" i="4"/>
  <c r="N1184" i="4"/>
  <c r="N616" i="4"/>
  <c r="N171" i="4"/>
  <c r="N1445" i="4"/>
  <c r="N958" i="4"/>
  <c r="N1201" i="4"/>
  <c r="N1457" i="4"/>
  <c r="N959" i="4"/>
  <c r="N257" i="4"/>
  <c r="N886" i="4"/>
  <c r="N943" i="4"/>
  <c r="N1323" i="4"/>
  <c r="N312" i="4"/>
  <c r="N8" i="4"/>
  <c r="N146" i="4"/>
  <c r="N944" i="4"/>
  <c r="N1202" i="4"/>
  <c r="N396" i="4"/>
  <c r="N723" i="4"/>
  <c r="N178" i="4"/>
  <c r="N827" i="4"/>
  <c r="N861" i="4"/>
  <c r="N1391" i="4"/>
  <c r="N638" i="4"/>
  <c r="N724" i="4"/>
  <c r="N198" i="4"/>
  <c r="N673" i="4"/>
  <c r="N960" i="4"/>
  <c r="N1359" i="4"/>
  <c r="N683" i="4"/>
  <c r="N684" i="4"/>
  <c r="N324" i="4"/>
  <c r="N647" i="4"/>
  <c r="N1343" i="4"/>
  <c r="N562" i="4"/>
  <c r="N1024" i="4"/>
  <c r="N640" i="4"/>
  <c r="N488" i="4"/>
  <c r="N50" i="4"/>
  <c r="N397" i="4"/>
  <c r="N863" i="4"/>
  <c r="N132" i="4"/>
  <c r="N258" i="4"/>
  <c r="N658" i="4"/>
  <c r="N1267" i="4"/>
  <c r="N448" i="4"/>
  <c r="N1432" i="4"/>
  <c r="N662" i="4"/>
  <c r="N1025" i="4"/>
  <c r="N664" i="4"/>
  <c r="N665" i="4"/>
  <c r="N1204" i="4"/>
  <c r="N1205" i="4"/>
  <c r="N668" i="4"/>
  <c r="N669" i="4"/>
  <c r="N1001" i="4"/>
  <c r="N671" i="4"/>
  <c r="N1252" i="4"/>
  <c r="N356" i="4"/>
  <c r="N1447" i="4"/>
  <c r="N1171" i="4"/>
  <c r="N1468" i="4"/>
  <c r="N975" i="4"/>
  <c r="N1458" i="4"/>
  <c r="N961" i="4"/>
  <c r="N383" i="4"/>
  <c r="N51" i="4"/>
  <c r="N577" i="4"/>
  <c r="N1135" i="4"/>
  <c r="N82" i="4"/>
  <c r="N685" i="4"/>
  <c r="N449" i="4"/>
  <c r="N533" i="4"/>
  <c r="N592" i="4"/>
  <c r="N296" i="4"/>
  <c r="N690" i="4"/>
  <c r="N691" i="4"/>
  <c r="N1425" i="4"/>
  <c r="N54" i="4"/>
  <c r="N349" i="4"/>
  <c r="N695" i="4"/>
  <c r="N1045" i="4"/>
  <c r="N697" i="4"/>
  <c r="N898" i="4"/>
  <c r="N1071" i="4"/>
  <c r="N72" i="4"/>
  <c r="N774" i="4"/>
  <c r="N702" i="4"/>
  <c r="N1426" i="4"/>
  <c r="N1344" i="4"/>
  <c r="N1435" i="4"/>
  <c r="N1311" i="4"/>
  <c r="N276" i="4"/>
  <c r="N708" i="4"/>
  <c r="N578" i="4"/>
  <c r="N239" i="4"/>
  <c r="N711" i="4"/>
  <c r="N217" i="4"/>
  <c r="N713" i="4"/>
  <c r="N655" i="4"/>
  <c r="N621" i="4"/>
  <c r="N725" i="4"/>
  <c r="N73" i="4"/>
  <c r="N1082" i="4"/>
  <c r="N180" i="4"/>
  <c r="N607" i="4"/>
  <c r="N767" i="4"/>
  <c r="N722" i="4"/>
  <c r="N227" i="4"/>
  <c r="N1448" i="4"/>
  <c r="N579" i="4"/>
  <c r="N1226" i="4"/>
  <c r="N727" i="4"/>
  <c r="N228" i="4"/>
  <c r="N1010" i="4"/>
  <c r="N846" i="4"/>
  <c r="N326" i="4"/>
  <c r="N1393" i="4"/>
  <c r="N733" i="4"/>
  <c r="N734" i="4"/>
  <c r="N489" i="4"/>
  <c r="N1237" i="4"/>
  <c r="N1172" i="4"/>
  <c r="N297" i="4"/>
  <c r="N809" i="4"/>
  <c r="N249" i="4"/>
  <c r="N461" i="4"/>
  <c r="N220" i="4"/>
  <c r="N14" i="4"/>
  <c r="N1268" i="4"/>
  <c r="N1449" i="4"/>
  <c r="N746" i="4"/>
  <c r="N1345" i="4"/>
  <c r="N1147" i="4"/>
  <c r="N810" i="4"/>
  <c r="N750" i="4"/>
  <c r="N751" i="4"/>
  <c r="N656" i="4"/>
  <c r="N756" i="4"/>
  <c r="N754" i="4"/>
  <c r="N510" i="4"/>
  <c r="N877" i="4"/>
  <c r="N1436" i="4"/>
  <c r="N162" i="4"/>
  <c r="N373" i="4"/>
  <c r="N887" i="4"/>
  <c r="N277" i="4"/>
  <c r="N1161" i="4"/>
  <c r="N763" i="4"/>
  <c r="N764" i="4"/>
  <c r="N563" i="4"/>
  <c r="N1208" i="4"/>
  <c r="N1427" i="4"/>
  <c r="N163" i="4"/>
  <c r="N133" i="4"/>
  <c r="N1450" i="4"/>
  <c r="N726" i="4"/>
  <c r="N1428" i="4"/>
  <c r="N398" i="4"/>
  <c r="N1011" i="4"/>
  <c r="N962" i="4"/>
  <c r="N342" i="4"/>
  <c r="N627" i="4"/>
  <c r="N778" i="4"/>
  <c r="N779" i="4"/>
  <c r="N250" i="4"/>
  <c r="N781" i="4"/>
  <c r="N782" i="4"/>
  <c r="N462" i="4"/>
  <c r="N828" i="4"/>
  <c r="N1110" i="4"/>
  <c r="N526" i="4"/>
  <c r="N374" i="4"/>
  <c r="N147" i="4"/>
  <c r="N945" i="4"/>
  <c r="N795" i="4"/>
  <c r="N791" i="4"/>
  <c r="N55" i="4"/>
  <c r="N793" i="4"/>
  <c r="N794" i="4"/>
  <c r="N534" i="4"/>
  <c r="N1162" i="4"/>
  <c r="N511" i="4"/>
  <c r="N798" i="4"/>
  <c r="N799" i="4"/>
  <c r="N800" i="4"/>
  <c r="N548" i="4"/>
  <c r="N802" i="4"/>
  <c r="N803" i="4"/>
  <c r="N221" i="4"/>
  <c r="N811" i="4"/>
  <c r="N812" i="4"/>
  <c r="N641" i="4"/>
  <c r="N15" i="4"/>
  <c r="N1346" i="4"/>
  <c r="N229" i="4"/>
  <c r="N1433" i="4"/>
  <c r="N741" i="4"/>
  <c r="N674" i="4"/>
  <c r="N1384" i="4"/>
  <c r="N815" i="4"/>
  <c r="N1111" i="4"/>
  <c r="N251" i="4"/>
  <c r="N837" i="4"/>
  <c r="N1437" i="4"/>
  <c r="N528" i="4"/>
  <c r="N775" i="4"/>
  <c r="N1459" i="4"/>
  <c r="N1460" i="4"/>
  <c r="N554" i="4"/>
  <c r="N888" i="4"/>
  <c r="N535" i="4"/>
  <c r="N199" i="4"/>
  <c r="N1227" i="4"/>
  <c r="N976" i="4"/>
  <c r="N830" i="4"/>
  <c r="N831" i="4"/>
  <c r="N899" i="4"/>
  <c r="N833" i="4"/>
  <c r="N1461" i="4"/>
  <c r="N122" i="4"/>
  <c r="N728" i="4"/>
  <c r="N189" i="4"/>
  <c r="N838" i="4"/>
  <c r="N1385" i="4"/>
  <c r="N840" i="4"/>
  <c r="N1115" i="4"/>
  <c r="N1095" i="4"/>
  <c r="N463" i="4"/>
  <c r="N844" i="4"/>
  <c r="N357" i="4"/>
  <c r="N1269" i="4"/>
  <c r="N1127" i="4"/>
  <c r="N813" i="4"/>
  <c r="N1128" i="4"/>
  <c r="N1407" i="4"/>
  <c r="N851" i="4"/>
  <c r="N17" i="4"/>
  <c r="N1240" i="4"/>
  <c r="N594" i="4"/>
  <c r="N536" i="4"/>
  <c r="N700" i="4"/>
  <c r="N1408" i="4"/>
  <c r="N512" i="4"/>
  <c r="N859" i="4"/>
  <c r="N1409" i="4"/>
  <c r="N889" i="4"/>
  <c r="N862" i="4"/>
  <c r="N776" i="4"/>
  <c r="N729" i="4"/>
  <c r="N622" i="4"/>
  <c r="N866" i="4"/>
  <c r="N375" i="4"/>
  <c r="N730" i="4"/>
  <c r="N1046" i="4"/>
  <c r="N1253" i="4"/>
  <c r="N1096" i="4"/>
  <c r="N1129" i="4"/>
  <c r="N873" i="4"/>
  <c r="N1438" i="4"/>
  <c r="N900" i="4"/>
  <c r="N847" i="4"/>
  <c r="N399" i="4"/>
  <c r="N400" i="4"/>
  <c r="N208" i="4"/>
  <c r="N628" i="4"/>
  <c r="N327" i="4"/>
  <c r="N74" i="4"/>
  <c r="N56" i="4"/>
  <c r="N1072" i="4"/>
  <c r="N537" i="4"/>
  <c r="N148" i="4"/>
  <c r="N963" i="4"/>
  <c r="N313" i="4"/>
  <c r="N1097" i="4"/>
  <c r="N1324" i="4"/>
  <c r="N1228" i="4"/>
  <c r="N1098" i="4"/>
  <c r="N1209" i="4"/>
  <c r="N894" i="4"/>
  <c r="N499" i="4"/>
  <c r="N240" i="4"/>
  <c r="N701" i="4"/>
  <c r="N989" i="4"/>
  <c r="N901" i="4"/>
  <c r="N1373" i="4"/>
  <c r="N358" i="4"/>
  <c r="N538" i="4"/>
  <c r="N1439" i="4"/>
  <c r="N110" i="4"/>
  <c r="N513" i="4"/>
  <c r="N927" i="4"/>
  <c r="N1073" i="4"/>
  <c r="N426" i="4"/>
  <c r="N75" i="4"/>
  <c r="N149" i="4"/>
  <c r="N1360" i="4"/>
  <c r="N1286" i="4"/>
  <c r="N913" i="4"/>
  <c r="N657" i="4"/>
  <c r="N915" i="4"/>
  <c r="N1229" i="4"/>
  <c r="N917" i="4"/>
  <c r="N909" i="4"/>
  <c r="N565" i="4"/>
  <c r="N1325" i="4"/>
  <c r="N642" i="4"/>
  <c r="N1099" i="4"/>
  <c r="N1230" i="4"/>
  <c r="N500" i="4"/>
  <c r="N1148" i="4"/>
  <c r="N529" i="4"/>
  <c r="N566" i="4"/>
  <c r="N123" i="4"/>
  <c r="N464" i="4"/>
  <c r="N930" i="4"/>
  <c r="N1026" i="4"/>
  <c r="N1116" i="4"/>
  <c r="N450" i="4"/>
  <c r="N934" i="4"/>
  <c r="N514" i="4"/>
  <c r="N401" i="4"/>
  <c r="N539" i="4"/>
  <c r="N1185" i="4"/>
  <c r="N990" i="4"/>
  <c r="N242" i="4"/>
  <c r="N941" i="4"/>
  <c r="N942" i="4"/>
  <c r="N259" i="4"/>
  <c r="N1394" i="4"/>
  <c r="N181" i="4"/>
  <c r="N385" i="4"/>
  <c r="N182" i="4"/>
  <c r="N948" i="4"/>
  <c r="N949" i="4"/>
  <c r="N1057" i="4"/>
  <c r="N1302" i="4"/>
  <c r="N1410" i="4"/>
  <c r="N402" i="4"/>
  <c r="N954" i="4"/>
  <c r="N955" i="4"/>
  <c r="N403" i="4"/>
  <c r="N466" i="4"/>
  <c r="N919" i="4"/>
  <c r="N1395" i="4"/>
  <c r="N1074" i="4"/>
  <c r="N9" i="4"/>
  <c r="N1012" i="4"/>
  <c r="N1075" i="4"/>
  <c r="N878" i="4"/>
  <c r="N278" i="4"/>
  <c r="N1347" i="4"/>
  <c r="N1013" i="4"/>
  <c r="N968" i="4"/>
  <c r="N427" i="4"/>
  <c r="N428" i="4"/>
  <c r="N467" i="4"/>
  <c r="N1241" i="4"/>
  <c r="N928" i="4"/>
  <c r="N1374" i="4"/>
  <c r="N796" i="4"/>
  <c r="N1429" i="4"/>
  <c r="N977" i="4"/>
  <c r="N890" i="4"/>
  <c r="N230" i="4"/>
  <c r="N200" i="4"/>
  <c r="N703" i="4"/>
  <c r="N982" i="4"/>
  <c r="N983" i="4"/>
  <c r="N1287" i="4"/>
  <c r="N101" i="4"/>
  <c r="N260" i="4"/>
  <c r="N987" i="4"/>
  <c r="N404" i="4"/>
  <c r="N1100" i="4"/>
  <c r="N1210" i="4"/>
  <c r="N1411" i="4"/>
  <c r="N1083" i="4"/>
  <c r="N1303" i="4"/>
  <c r="N1348" i="4"/>
  <c r="N1174" i="4"/>
  <c r="N125" i="4"/>
  <c r="N891" i="4"/>
  <c r="N137" i="4"/>
  <c r="N999" i="4"/>
  <c r="N343" i="4"/>
  <c r="N405" i="4"/>
  <c r="N1288" i="4"/>
  <c r="N555" i="4"/>
  <c r="N595" i="4"/>
  <c r="N929" i="4"/>
  <c r="N501" i="4"/>
  <c r="N1149" i="4"/>
  <c r="N1008" i="4"/>
  <c r="N1009" i="4"/>
  <c r="N540" i="4"/>
  <c r="N150" i="4"/>
  <c r="N299" i="4"/>
  <c r="N502" i="4"/>
  <c r="N1014" i="4"/>
  <c r="N376" i="4"/>
  <c r="N1375" i="4"/>
  <c r="N1242" i="4"/>
  <c r="N1018" i="4"/>
  <c r="N821" i="4"/>
  <c r="N608" i="4"/>
  <c r="N1175" i="4"/>
  <c r="N1211" i="4"/>
  <c r="N1023" i="4"/>
  <c r="N768" i="4"/>
  <c r="N360" i="4"/>
  <c r="N300" i="4"/>
  <c r="N1231" i="4"/>
  <c r="N920" i="4"/>
  <c r="N629" i="4"/>
  <c r="N1186" i="4"/>
  <c r="N1326" i="4"/>
  <c r="N852" i="4"/>
  <c r="N1033" i="4"/>
  <c r="N1034" i="4"/>
  <c r="N1035" i="4"/>
  <c r="N1176" i="4"/>
  <c r="N864" i="4"/>
  <c r="N1038" i="4"/>
  <c r="N1027" i="4"/>
  <c r="N556" i="4"/>
  <c r="N1041" i="4"/>
  <c r="N1028" i="4"/>
  <c r="N517" i="4"/>
  <c r="N1187" i="4"/>
  <c r="N1117" i="4"/>
  <c r="N103" i="4"/>
  <c r="N1349" i="4"/>
  <c r="N172" i="4"/>
  <c r="N1219" i="4"/>
  <c r="N1254" i="4"/>
  <c r="N991" i="4"/>
  <c r="N1350" i="4"/>
  <c r="N1002" i="4"/>
  <c r="N580" i="4"/>
  <c r="N686" i="4"/>
  <c r="N1232" i="4"/>
  <c r="N1212" i="4"/>
  <c r="N1058" i="4"/>
  <c r="N1059" i="4"/>
  <c r="N1060" i="4"/>
  <c r="N1441" i="4"/>
  <c r="N1062" i="4"/>
  <c r="N1189" i="4"/>
  <c r="N567" i="4"/>
  <c r="N151" i="4"/>
  <c r="N1220" i="4"/>
  <c r="N1304" i="4"/>
  <c r="N630" i="4"/>
  <c r="N152" i="4"/>
  <c r="N1070" i="4"/>
  <c r="N1351" i="4"/>
  <c r="N964" i="4"/>
  <c r="N1305" i="4"/>
  <c r="N1061" i="4"/>
  <c r="N623" i="4"/>
  <c r="N946" i="4"/>
  <c r="N581" i="4"/>
  <c r="N111" i="4"/>
  <c r="N1079" i="4"/>
  <c r="N1306" i="4"/>
  <c r="N279" i="4"/>
  <c r="N1150" i="4"/>
  <c r="N557" i="4"/>
  <c r="N1376" i="4"/>
  <c r="N1085" i="4"/>
  <c r="N164" i="4"/>
  <c r="N1087" i="4"/>
  <c r="N631" i="4"/>
  <c r="N848" i="4"/>
  <c r="N1352" i="4"/>
  <c r="N386" i="4"/>
  <c r="N94" i="4"/>
  <c r="N406" i="4"/>
  <c r="N1378" i="4"/>
  <c r="N910" i="4"/>
  <c r="N174" i="4"/>
  <c r="N153" i="4"/>
  <c r="N280" i="4"/>
  <c r="N965" i="4"/>
  <c r="N314" i="4"/>
  <c r="N165" i="4"/>
  <c r="N62" i="4"/>
  <c r="N253" i="4"/>
  <c r="N731" i="4"/>
  <c r="N1243" i="4"/>
  <c r="N10" i="4"/>
  <c r="N1029" i="4"/>
  <c r="N1108" i="4"/>
  <c r="N377" i="4"/>
  <c r="N777" i="4"/>
  <c r="N1430" i="4"/>
  <c r="N1112" i="4"/>
  <c r="N1113" i="4"/>
  <c r="N1114" i="4"/>
  <c r="N732" i="4"/>
  <c r="N83" i="4"/>
  <c r="N1047" i="4"/>
  <c r="N659" i="4"/>
  <c r="N978" i="4"/>
  <c r="N76" i="4"/>
  <c r="N704" i="4"/>
  <c r="N569" i="4"/>
  <c r="N32" i="4"/>
  <c r="N201" i="4"/>
  <c r="N43" i="4"/>
  <c r="N490" i="4"/>
  <c r="N1190" i="4"/>
  <c r="N262" i="4"/>
  <c r="N57" i="4"/>
  <c r="N632" i="4"/>
  <c r="N1244" i="4"/>
  <c r="N1462" i="4"/>
  <c r="N1177" i="4"/>
  <c r="N361" i="4"/>
  <c r="N18" i="4"/>
  <c r="N643" i="4"/>
  <c r="N902" i="4"/>
  <c r="N1138" i="4"/>
  <c r="N1386" i="4"/>
  <c r="N281" i="4"/>
  <c r="N814" i="4"/>
  <c r="N282" i="4"/>
  <c r="N328" i="4"/>
  <c r="N468" i="4"/>
  <c r="N903" i="4"/>
  <c r="N1289" i="4"/>
  <c r="N705" i="4"/>
  <c r="N1118" i="4"/>
  <c r="N77" i="4"/>
  <c r="N154" i="4"/>
  <c r="N582" i="4"/>
  <c r="N388" i="4"/>
  <c r="N1048" i="4"/>
  <c r="N624" i="4"/>
  <c r="N1155" i="4"/>
  <c r="N558" i="4"/>
  <c r="N518" i="4"/>
  <c r="N1327" i="4"/>
  <c r="N1030" i="4"/>
  <c r="N769" i="4"/>
  <c r="N1191" i="4"/>
  <c r="N541" i="4"/>
  <c r="N742" i="4"/>
  <c r="N1164" i="4"/>
  <c r="N451" i="4"/>
  <c r="N429" i="4"/>
  <c r="N1163" i="4"/>
  <c r="N1329" i="4"/>
  <c r="N1169" i="4"/>
  <c r="N1431" i="4"/>
  <c r="N931" i="4"/>
  <c r="N430" i="4"/>
  <c r="N1173" i="4"/>
  <c r="N491" i="4"/>
  <c r="N979" i="4"/>
  <c r="N362" i="4"/>
  <c r="N33" i="4"/>
  <c r="N34" i="4"/>
  <c r="N743" i="4"/>
  <c r="N492" i="4"/>
  <c r="N254" i="4"/>
  <c r="N829" i="4"/>
  <c r="N95" i="4"/>
  <c r="N493" i="4"/>
  <c r="N519" i="4"/>
  <c r="N350" i="4"/>
  <c r="N892" i="4"/>
  <c r="N1188" i="4"/>
  <c r="N571" i="4"/>
  <c r="N96" i="4"/>
  <c r="N232" i="4"/>
  <c r="N1049" i="4"/>
  <c r="N118" i="4"/>
  <c r="N1084" i="4"/>
  <c r="N283" i="4"/>
  <c r="N209" i="4"/>
  <c r="N1119" i="4"/>
  <c r="N431" i="4"/>
  <c r="N1464" i="4"/>
  <c r="N853" i="4"/>
  <c r="N301" i="4"/>
  <c r="N611" i="4"/>
  <c r="N1203" i="4"/>
  <c r="N112" i="4"/>
  <c r="N966" i="4"/>
  <c r="N1206" i="4"/>
  <c r="N1207" i="4"/>
  <c r="N706" i="4"/>
  <c r="N992" i="4"/>
  <c r="N744" i="4"/>
  <c r="N1063" i="4"/>
  <c r="N707" i="4"/>
  <c r="N1366" i="4"/>
  <c r="N1307" i="4"/>
  <c r="N1215" i="4"/>
  <c r="N190" i="4"/>
  <c r="N1387" i="4"/>
  <c r="N119" i="4"/>
  <c r="N1140" i="4"/>
  <c r="N1165" i="4"/>
  <c r="N97" i="4"/>
  <c r="N127" i="4"/>
  <c r="N839" i="4"/>
  <c r="N1224" i="4"/>
  <c r="N1225" i="4"/>
  <c r="N315" i="4"/>
  <c r="N596" i="4"/>
  <c r="N745" i="4"/>
  <c r="N583" i="4"/>
  <c r="N747" i="4"/>
  <c r="N687" i="4"/>
  <c r="N191" i="4"/>
  <c r="N494" i="4"/>
  <c r="N263" i="4"/>
  <c r="N1368" i="4"/>
  <c r="N155" i="4"/>
  <c r="N780" i="4"/>
  <c r="N1238" i="4"/>
  <c r="N1239" i="4"/>
  <c r="N967" i="4"/>
  <c r="N98" i="4"/>
  <c r="N302" i="4"/>
  <c r="N572" i="4"/>
  <c r="N1330" i="4"/>
  <c r="N264" i="4"/>
  <c r="N879" i="4"/>
  <c r="N469" i="4"/>
  <c r="N1248" i="4"/>
  <c r="N1101" i="4"/>
  <c r="N893" i="4"/>
  <c r="N1251" i="4"/>
  <c r="N1015" i="4"/>
  <c r="N192" i="4"/>
  <c r="N139" i="4"/>
  <c r="N1353" i="4"/>
  <c r="N932" i="4"/>
  <c r="N1257" i="4"/>
  <c r="N1086" i="4"/>
  <c r="N1259" i="4"/>
  <c r="N291" i="4"/>
  <c r="N470" i="4"/>
  <c r="N378" i="4"/>
  <c r="N1361" i="4"/>
  <c r="N1264" i="4"/>
  <c r="N472" i="4"/>
  <c r="N660" i="4"/>
  <c r="N1192" i="4"/>
  <c r="N1312" i="4"/>
  <c r="N303" i="4"/>
  <c r="N904" i="4"/>
  <c r="N63" i="4"/>
  <c r="N854" i="4"/>
  <c r="N1273" i="4"/>
  <c r="N1308" i="4"/>
  <c r="N1275" i="4"/>
  <c r="N1313" i="4"/>
  <c r="N1102" i="4"/>
  <c r="N330" i="4"/>
  <c r="N45" i="4"/>
  <c r="N1193" i="4"/>
  <c r="N1281" i="4"/>
  <c r="N114" i="4"/>
  <c r="N1283" i="4"/>
  <c r="N880" i="4"/>
  <c r="N832" i="4"/>
  <c r="N1354" i="4"/>
  <c r="N865" i="4"/>
  <c r="N503" i="4"/>
  <c r="N1316" i="4"/>
  <c r="N709" i="4"/>
  <c r="N193" i="4"/>
  <c r="N1292" i="4"/>
  <c r="N1293" i="4"/>
  <c r="N1194" i="4"/>
  <c r="N1103" i="4"/>
  <c r="N243" i="4"/>
  <c r="N1003" i="4"/>
  <c r="N1270" i="4"/>
  <c r="N1299" i="4"/>
  <c r="N1300" i="4"/>
  <c r="N849" i="4"/>
  <c r="N11" i="4"/>
  <c r="N969" i="4"/>
  <c r="N105" i="4"/>
  <c r="N1317" i="4"/>
  <c r="N1151" i="4"/>
  <c r="N316" i="4"/>
  <c r="N841" i="4"/>
  <c r="N735" i="4"/>
  <c r="N1195" i="4"/>
  <c r="N797" i="4"/>
  <c r="N1004" i="4"/>
  <c r="N612" i="4"/>
  <c r="N1314" i="4"/>
  <c r="N1315" i="4"/>
  <c r="N644" i="4"/>
  <c r="N1396" i="4"/>
  <c r="N559" i="4"/>
  <c r="N473" i="4"/>
  <c r="N1120" i="4"/>
  <c r="N432" i="4"/>
  <c r="N58" i="4"/>
  <c r="N584" i="4"/>
  <c r="N19" i="4"/>
  <c r="N911" i="4"/>
  <c r="N1178" i="4"/>
  <c r="N433" i="4"/>
  <c r="N1328" i="4"/>
  <c r="N980" i="4"/>
  <c r="N1121" i="4"/>
  <c r="N1255" i="4"/>
  <c r="N633" i="4"/>
  <c r="N757" i="4"/>
  <c r="N1334" i="4"/>
  <c r="N1335" i="4"/>
  <c r="N1196" i="4"/>
  <c r="N1469" i="4"/>
  <c r="N64" i="4"/>
  <c r="N1256" i="4"/>
  <c r="N1340" i="4"/>
  <c r="N1341" i="4"/>
  <c r="N1213" i="4"/>
  <c r="N78" i="4"/>
  <c r="N947" i="4"/>
  <c r="N389" i="4"/>
  <c r="N1258" i="4"/>
  <c r="N1470" i="4"/>
  <c r="N1245" i="4"/>
  <c r="N504" i="4"/>
  <c r="N867" i="4"/>
  <c r="N434" i="4"/>
  <c r="N1260" i="4"/>
  <c r="N970" i="4"/>
  <c r="N710" i="4"/>
  <c r="N1355" i="4"/>
  <c r="N1356" i="4"/>
  <c r="N344" i="4"/>
  <c r="N1412" i="4"/>
  <c r="N1388" i="4"/>
  <c r="N1331" i="4"/>
  <c r="N317" i="4"/>
  <c r="N645" i="4"/>
  <c r="N736" i="4"/>
  <c r="N345" i="4"/>
  <c r="N981" i="4"/>
  <c r="N1471" i="4"/>
  <c r="N1367" i="4"/>
  <c r="N816" i="4"/>
  <c r="N675" i="4"/>
  <c r="N304" i="4"/>
  <c r="N1371" i="4"/>
  <c r="N1451" i="4"/>
  <c r="N156" i="4"/>
  <c r="N305" i="4"/>
  <c r="N46" i="4"/>
  <c r="N1399" i="4"/>
  <c r="N1377" i="4"/>
  <c r="N37" i="4"/>
  <c r="N817" i="4"/>
  <c r="N20" i="4"/>
  <c r="N1381" i="4"/>
  <c r="N84" i="4"/>
  <c r="N1221" i="4"/>
  <c r="N598" i="4"/>
  <c r="N85" i="4"/>
  <c r="N912" i="4"/>
  <c r="N550" i="4"/>
  <c r="N1130" i="4"/>
  <c r="N115" i="4"/>
  <c r="N855" i="4"/>
  <c r="N87" i="4"/>
  <c r="N1392" i="4"/>
  <c r="N88" i="4"/>
  <c r="N971" i="4"/>
  <c r="N984" i="4"/>
  <c r="N89" i="4"/>
  <c r="N1397" i="4"/>
  <c r="N1398" i="4"/>
  <c r="N166" i="4"/>
  <c r="N676" i="4"/>
  <c r="N183" i="4"/>
  <c r="N21" i="4"/>
  <c r="N379" i="4"/>
  <c r="N474" i="4"/>
  <c r="N22" i="4"/>
  <c r="N551" i="4"/>
  <c r="N408" i="4"/>
  <c r="N1261" i="4"/>
  <c r="N985" i="4"/>
  <c r="N306" i="4"/>
  <c r="N531" i="4"/>
  <c r="N625" i="4"/>
  <c r="N116" i="4"/>
  <c r="N157" i="4"/>
  <c r="N599" i="4"/>
  <c r="N881" i="4"/>
  <c r="N1413" i="4"/>
  <c r="N307" i="4"/>
  <c r="N475" i="4"/>
  <c r="N585" i="4"/>
  <c r="N409" i="4"/>
  <c r="N933" i="4"/>
  <c r="N993" i="4"/>
  <c r="N986" i="4"/>
  <c r="N842" i="4"/>
  <c r="N1031" i="4"/>
  <c r="N688" i="4"/>
  <c r="N1290" i="4"/>
  <c r="N363" i="4"/>
  <c r="N1271" i="4"/>
  <c r="N601" i="4"/>
  <c r="N505" i="4"/>
  <c r="N210" i="4"/>
  <c r="N752" i="4"/>
  <c r="N1076" i="4"/>
  <c r="N59" i="4"/>
  <c r="N284" i="4"/>
  <c r="N1152" i="4"/>
  <c r="N79" i="4"/>
  <c r="N1440" i="4"/>
  <c r="N414" i="4"/>
  <c r="N140" i="4"/>
  <c r="N476" i="4"/>
  <c r="N1444" i="4"/>
  <c r="N1414" i="4"/>
  <c r="N1446" i="4"/>
  <c r="N1291" i="4"/>
  <c r="N758" i="4"/>
  <c r="N634" i="4"/>
  <c r="N1415" i="4"/>
  <c r="N1136" i="4"/>
  <c r="N1233" i="4"/>
  <c r="N689" i="4"/>
  <c r="N1454" i="4"/>
  <c r="N921" i="4"/>
  <c r="N477" i="4"/>
  <c r="N331" i="4"/>
  <c r="N520" i="4"/>
  <c r="N626" i="4"/>
  <c r="N1400" i="4"/>
  <c r="N332" i="4"/>
  <c r="N1141" i="4"/>
  <c r="N1463" i="4"/>
  <c r="N130" i="4"/>
  <c r="N318" i="4"/>
  <c r="N185" i="4"/>
  <c r="N1050" i="4"/>
  <c r="N818" i="4"/>
  <c r="N935" i="4"/>
  <c r="N950" i="4"/>
  <c r="N1442" i="4"/>
  <c r="N2" i="4"/>
  <c r="M882" i="4"/>
  <c r="M4" i="4"/>
  <c r="M1088" i="4"/>
  <c r="M801" i="4"/>
  <c r="M106" i="4"/>
  <c r="M65" i="4"/>
  <c r="M24" i="4"/>
  <c r="M602" i="4"/>
  <c r="M988" i="4"/>
  <c r="M922" i="4"/>
  <c r="M646" i="4"/>
  <c r="M804" i="4"/>
  <c r="M285" i="4"/>
  <c r="M16" i="4"/>
  <c r="M452" i="4"/>
  <c r="M415" i="4"/>
  <c r="M552" i="4"/>
  <c r="M418" i="4"/>
  <c r="M265" i="4"/>
  <c r="M1369" i="4"/>
  <c r="M23" i="4"/>
  <c r="M648" i="4"/>
  <c r="M135" i="4"/>
  <c r="M26" i="4"/>
  <c r="M737" i="4"/>
  <c r="M28" i="4"/>
  <c r="M738" i="4"/>
  <c r="M1104" i="4"/>
  <c r="M994" i="4"/>
  <c r="M868" i="4"/>
  <c r="M1416" i="4"/>
  <c r="M1179" i="4"/>
  <c r="M35" i="4"/>
  <c r="M36" i="4"/>
  <c r="M158" i="4"/>
  <c r="M38" i="4"/>
  <c r="M677" i="4"/>
  <c r="M507" i="4"/>
  <c r="M267" i="4"/>
  <c r="M1077" i="4"/>
  <c r="M268" i="4"/>
  <c r="M44" i="4"/>
  <c r="M805" i="4"/>
  <c r="M1016" i="4"/>
  <c r="M47" i="4"/>
  <c r="M308" i="4"/>
  <c r="M435" i="4"/>
  <c r="M856" i="4"/>
  <c r="M390" i="4"/>
  <c r="M52" i="4"/>
  <c r="M53" i="4"/>
  <c r="M436" i="4"/>
  <c r="M1379" i="4"/>
  <c r="M1142" i="4"/>
  <c r="M495" i="4"/>
  <c r="M1332" i="4"/>
  <c r="M1032" i="4"/>
  <c r="M1017" i="4"/>
  <c r="M120" i="4"/>
  <c r="M972" i="4"/>
  <c r="M39" i="4"/>
  <c r="M603" i="4"/>
  <c r="M1051" i="4"/>
  <c r="M1401" i="4"/>
  <c r="M1036" i="4"/>
  <c r="M613" i="4"/>
  <c r="M649" i="4"/>
  <c r="M292" i="4"/>
  <c r="M71" i="4"/>
  <c r="M843" i="4"/>
  <c r="M923" i="4"/>
  <c r="M692" i="4"/>
  <c r="M1389" i="4"/>
  <c r="M1089" i="4"/>
  <c r="M202" i="4"/>
  <c r="M478" i="4"/>
  <c r="M320" i="4"/>
  <c r="M905" i="4"/>
  <c r="M759" i="4"/>
  <c r="M321" i="4"/>
  <c r="M269" i="4"/>
  <c r="M25" i="4"/>
  <c r="M760" i="4"/>
  <c r="M1166" i="4"/>
  <c r="M1214" i="4"/>
  <c r="M573" i="4"/>
  <c r="M819" i="4"/>
  <c r="M60" i="4"/>
  <c r="M91" i="4"/>
  <c r="M66" i="4"/>
  <c r="M244" i="4"/>
  <c r="M936" i="4"/>
  <c r="M1417" i="4"/>
  <c r="M822" i="4"/>
  <c r="M586" i="4"/>
  <c r="M543" i="4"/>
  <c r="M1362" i="4"/>
  <c r="M1418" i="4"/>
  <c r="M159" i="4"/>
  <c r="M102" i="4"/>
  <c r="M309" i="4"/>
  <c r="M104" i="4"/>
  <c r="M1222" i="4"/>
  <c r="M753" i="4"/>
  <c r="M850" i="4"/>
  <c r="M770" i="4"/>
  <c r="M109" i="4"/>
  <c r="M27" i="4"/>
  <c r="M951" i="4"/>
  <c r="M604" i="4"/>
  <c r="M113" i="4"/>
  <c r="M1363" i="4"/>
  <c r="M783" i="4"/>
  <c r="M1037" i="4"/>
  <c r="M1131" i="4"/>
  <c r="M906" i="4"/>
  <c r="M186" i="4"/>
  <c r="M333" i="4"/>
  <c r="M410" i="4"/>
  <c r="M222" i="4"/>
  <c r="M1122" i="4"/>
  <c r="M124" i="4"/>
  <c r="M1272" i="4"/>
  <c r="M126" i="4"/>
  <c r="M784" i="4"/>
  <c r="M128" i="4"/>
  <c r="M129" i="4"/>
  <c r="M1234" i="4"/>
  <c r="M820" i="4"/>
  <c r="M712" i="4"/>
  <c r="M869" i="4"/>
  <c r="M134" i="4"/>
  <c r="M614" i="4"/>
  <c r="M1005" i="4"/>
  <c r="M693" i="4"/>
  <c r="M138" i="4"/>
  <c r="M588" i="4"/>
  <c r="M907" i="4"/>
  <c r="M167" i="4"/>
  <c r="M142" i="4"/>
  <c r="M351" i="4"/>
  <c r="M479" i="4"/>
  <c r="M1333" i="4"/>
  <c r="M334" i="4"/>
  <c r="M352" i="4"/>
  <c r="M48" i="4"/>
  <c r="M61" i="4"/>
  <c r="M223" i="4"/>
  <c r="M353" i="4"/>
  <c r="M650" i="4"/>
  <c r="M1052" i="4"/>
  <c r="M175" i="4"/>
  <c r="M785" i="4"/>
  <c r="M49" i="4"/>
  <c r="M806" i="4"/>
  <c r="M661" i="4"/>
  <c r="M203" i="4"/>
  <c r="M1078" i="4"/>
  <c r="M1080" i="4"/>
  <c r="M419" i="4"/>
  <c r="M1274" i="4"/>
  <c r="M480" i="4"/>
  <c r="M420" i="4"/>
  <c r="M1064" i="4"/>
  <c r="M739" i="4"/>
  <c r="M952" i="4"/>
  <c r="M1153" i="4"/>
  <c r="M786" i="4"/>
  <c r="M335" i="4"/>
  <c r="M1216" i="4"/>
  <c r="M173" i="4"/>
  <c r="M211" i="4"/>
  <c r="M364" i="4"/>
  <c r="M1419" i="4"/>
  <c r="M439" i="4"/>
  <c r="M694" i="4"/>
  <c r="M179" i="4"/>
  <c r="M1053" i="4"/>
  <c r="M714" i="4"/>
  <c r="M553" i="4"/>
  <c r="M1054" i="4"/>
  <c r="M184" i="4"/>
  <c r="M1246" i="4"/>
  <c r="M1276" i="4"/>
  <c r="M574" i="4"/>
  <c r="M1019" i="4"/>
  <c r="M245" i="4"/>
  <c r="M1223" i="4"/>
  <c r="M678" i="4"/>
  <c r="M204" i="4"/>
  <c r="M1123" i="4"/>
  <c r="M194" i="4"/>
  <c r="M270" i="4"/>
  <c r="M715" i="4"/>
  <c r="M635" i="4"/>
  <c r="M1154" i="4"/>
  <c r="M176" i="4"/>
  <c r="M141" i="4"/>
  <c r="M1452" i="4"/>
  <c r="M168" i="4"/>
  <c r="M1370" i="4"/>
  <c r="M391" i="4"/>
  <c r="M1167" i="4"/>
  <c r="M206" i="4"/>
  <c r="M207" i="4"/>
  <c r="M169" i="4"/>
  <c r="M160" i="4"/>
  <c r="M716" i="4"/>
  <c r="M346" i="4"/>
  <c r="M212" i="4"/>
  <c r="M1180" i="4"/>
  <c r="M107" i="4"/>
  <c r="M924" i="4"/>
  <c r="M216" i="4"/>
  <c r="M937" i="4"/>
  <c r="M218" i="4"/>
  <c r="M219" i="4"/>
  <c r="M1453" i="4"/>
  <c r="M953" i="4"/>
  <c r="M883" i="4"/>
  <c r="M205" i="4"/>
  <c r="M1090" i="4"/>
  <c r="M293" i="4"/>
  <c r="M195" i="4"/>
  <c r="M1197" i="4"/>
  <c r="M1039" i="4"/>
  <c r="M605" i="4"/>
  <c r="M3" i="4"/>
  <c r="M231" i="4"/>
  <c r="M1132" i="4"/>
  <c r="M1277" i="4"/>
  <c r="M787" i="4"/>
  <c r="M771" i="4"/>
  <c r="M236" i="4"/>
  <c r="M12" i="4"/>
  <c r="M238" i="4"/>
  <c r="M421" i="4"/>
  <c r="M788" i="4"/>
  <c r="M241" i="4"/>
  <c r="M224" i="4"/>
  <c r="M1235" i="4"/>
  <c r="M271" i="4"/>
  <c r="M884" i="4"/>
  <c r="M246" i="4"/>
  <c r="M1198" i="4"/>
  <c r="M521" i="4"/>
  <c r="M1318" i="4"/>
  <c r="M143" i="4"/>
  <c r="M1319" i="4"/>
  <c r="M252" i="4"/>
  <c r="M938" i="4"/>
  <c r="M1402" i="4"/>
  <c r="M1065" i="4"/>
  <c r="M90" i="4"/>
  <c r="M1262" i="4"/>
  <c r="M789" i="4"/>
  <c r="M790" i="4"/>
  <c r="M679" i="4"/>
  <c r="M261" i="4"/>
  <c r="M99" i="4"/>
  <c r="M392" i="4"/>
  <c r="M1380" i="4"/>
  <c r="M522" i="4"/>
  <c r="M266" i="4"/>
  <c r="M925" i="4"/>
  <c r="M1137" i="4"/>
  <c r="M761" i="4"/>
  <c r="M196" i="4"/>
  <c r="M1403" i="4"/>
  <c r="M197" i="4"/>
  <c r="M273" i="4"/>
  <c r="M1124" i="4"/>
  <c r="M857" i="4"/>
  <c r="M347" i="4"/>
  <c r="M1133" i="4"/>
  <c r="M576" i="4"/>
  <c r="M1364" i="4"/>
  <c r="M144" i="4"/>
  <c r="M755" i="4"/>
  <c r="M1294" i="4"/>
  <c r="M286" i="4"/>
  <c r="M1295" i="4"/>
  <c r="M393" i="4"/>
  <c r="M1091" i="4"/>
  <c r="M1296" i="4"/>
  <c r="M288" i="4"/>
  <c r="M995" i="4"/>
  <c r="M290" i="4"/>
  <c r="M523" i="4"/>
  <c r="M1465" i="4"/>
  <c r="M544" i="4"/>
  <c r="M870" i="4"/>
  <c r="M295" i="4"/>
  <c r="M1404" i="4"/>
  <c r="M422" i="4"/>
  <c r="M298" i="4"/>
  <c r="M1125" i="4"/>
  <c r="M823" i="4"/>
  <c r="M1181" i="4"/>
  <c r="M824" i="4"/>
  <c r="M1443" i="4"/>
  <c r="M1199" i="4"/>
  <c r="M680" i="4"/>
  <c r="M651" i="4"/>
  <c r="M1278" i="4"/>
  <c r="M1168" i="4"/>
  <c r="M13" i="4"/>
  <c r="M606" i="4"/>
  <c r="M871" i="4"/>
  <c r="M636" i="4"/>
  <c r="M287" i="4"/>
  <c r="M973" i="4"/>
  <c r="M440" i="4"/>
  <c r="M615" i="4"/>
  <c r="M272" i="4"/>
  <c r="M1247" i="4"/>
  <c r="M319" i="4"/>
  <c r="M233" i="4"/>
  <c r="M772" i="4"/>
  <c r="M80" i="4"/>
  <c r="M1006" i="4"/>
  <c r="M1263" i="4"/>
  <c r="M325" i="4"/>
  <c r="M1336" i="4"/>
  <c r="M86" i="4"/>
  <c r="M1217" i="4"/>
  <c r="M329" i="4"/>
  <c r="M255" i="4"/>
  <c r="M1420" i="4"/>
  <c r="M425" i="4"/>
  <c r="M939" i="4"/>
  <c r="M1040" i="4"/>
  <c r="M336" i="4"/>
  <c r="M637" i="4"/>
  <c r="M453" i="4"/>
  <c r="M338" i="4"/>
  <c r="M274" i="4"/>
  <c r="M807" i="4"/>
  <c r="M454" i="4"/>
  <c r="M81" i="4"/>
  <c r="M5" i="4"/>
  <c r="M808" i="4"/>
  <c r="M1421" i="4"/>
  <c r="M1007" i="4"/>
  <c r="M996" i="4"/>
  <c r="M617" i="4"/>
  <c r="M858" i="4"/>
  <c r="M974" i="4"/>
  <c r="M117" i="4"/>
  <c r="M381" i="4"/>
  <c r="M161" i="4"/>
  <c r="M496" i="4"/>
  <c r="M652" i="4"/>
  <c r="M872" i="4"/>
  <c r="M895" i="4"/>
  <c r="M618" i="4"/>
  <c r="M359" i="4"/>
  <c r="M1105" i="4"/>
  <c r="M532" i="4"/>
  <c r="M234" i="4"/>
  <c r="M1279" i="4"/>
  <c r="M337" i="4"/>
  <c r="M365" i="4"/>
  <c r="M225" i="4"/>
  <c r="M1297" i="4"/>
  <c r="M368" i="4"/>
  <c r="M187" i="4"/>
  <c r="M370" i="4"/>
  <c r="M394" i="4"/>
  <c r="M372" i="4"/>
  <c r="M1357" i="4"/>
  <c r="M619" i="4"/>
  <c r="M1066" i="4"/>
  <c r="M411" i="4"/>
  <c r="M1042" i="4"/>
  <c r="M67" i="4"/>
  <c r="M620" i="4"/>
  <c r="M380" i="4"/>
  <c r="M1372" i="4"/>
  <c r="M145" i="4"/>
  <c r="M366" i="4"/>
  <c r="M384" i="4"/>
  <c r="M1466" i="4"/>
  <c r="M1139" i="4"/>
  <c r="M387" i="4"/>
  <c r="M1055" i="4"/>
  <c r="M456" i="4"/>
  <c r="M681" i="4"/>
  <c r="M1280" i="4"/>
  <c r="M653" i="4"/>
  <c r="M825" i="4"/>
  <c r="M1067" i="4"/>
  <c r="M1390" i="4"/>
  <c r="M1467" i="4"/>
  <c r="M367" i="4"/>
  <c r="M369" i="4"/>
  <c r="M914" i="4"/>
  <c r="M247" i="4"/>
  <c r="M1309" i="4"/>
  <c r="M1282" i="4"/>
  <c r="M1382" i="4"/>
  <c r="M1068" i="4"/>
  <c r="M896" i="4"/>
  <c r="M997" i="4"/>
  <c r="M407" i="4"/>
  <c r="M748" i="4"/>
  <c r="M717" i="4"/>
  <c r="M1422" i="4"/>
  <c r="M6" i="4"/>
  <c r="M1043" i="4"/>
  <c r="M1156" i="4"/>
  <c r="M1320" i="4"/>
  <c r="M508" i="4"/>
  <c r="M416" i="4"/>
  <c r="M417" i="4"/>
  <c r="M663" i="4"/>
  <c r="M1249" i="4"/>
  <c r="M68" i="4"/>
  <c r="M1358" i="4"/>
  <c r="M916" i="4"/>
  <c r="M423" i="4"/>
  <c r="M424" i="4"/>
  <c r="M1200" i="4"/>
  <c r="M792" i="4"/>
  <c r="M1134" i="4"/>
  <c r="M40" i="4"/>
  <c r="M762" i="4"/>
  <c r="M773" i="4"/>
  <c r="M654" i="4"/>
  <c r="M457" i="4"/>
  <c r="M395" i="4"/>
  <c r="M524" i="4"/>
  <c r="M226" i="4"/>
  <c r="M666" i="4"/>
  <c r="M437" i="4"/>
  <c r="M438" i="4"/>
  <c r="M1455" i="4"/>
  <c r="M718" i="4"/>
  <c r="M441" i="4"/>
  <c r="M442" i="4"/>
  <c r="M412" i="4"/>
  <c r="M667" i="4"/>
  <c r="M445" i="4"/>
  <c r="M92" i="4"/>
  <c r="M235" i="4"/>
  <c r="M1092" i="4"/>
  <c r="M1069" i="4"/>
  <c r="M719" i="4"/>
  <c r="M322" i="4"/>
  <c r="M696" i="4"/>
  <c r="M1020" i="4"/>
  <c r="M443" i="4"/>
  <c r="M455" i="4"/>
  <c r="M483" i="4"/>
  <c r="M918" i="4"/>
  <c r="M545" i="4"/>
  <c r="M459" i="4"/>
  <c r="M1218" i="4"/>
  <c r="M29" i="4"/>
  <c r="M1106" i="4"/>
  <c r="M509" i="4"/>
  <c r="M1265" i="4"/>
  <c r="M465" i="4"/>
  <c r="M1284" i="4"/>
  <c r="M560" i="4"/>
  <c r="M1170" i="4"/>
  <c r="M1266" i="4"/>
  <c r="M354" i="4"/>
  <c r="M471" i="4"/>
  <c r="M339" i="4"/>
  <c r="M1434" i="4"/>
  <c r="M525" i="4"/>
  <c r="M41" i="4"/>
  <c r="M874" i="4"/>
  <c r="M834" i="4"/>
  <c r="M682" i="4"/>
  <c r="M136" i="4"/>
  <c r="M213" i="4"/>
  <c r="M481" i="4"/>
  <c r="M482" i="4"/>
  <c r="M765" i="4"/>
  <c r="M484" i="4"/>
  <c r="M1143" i="4"/>
  <c r="M310" i="4"/>
  <c r="M1337" i="4"/>
  <c r="M444" i="4"/>
  <c r="M1383" i="4"/>
  <c r="M698" i="4"/>
  <c r="M897" i="4"/>
  <c r="M908" i="4"/>
  <c r="M940" i="4"/>
  <c r="M275" i="4"/>
  <c r="M323" i="4"/>
  <c r="M214" i="4"/>
  <c r="M497" i="4"/>
  <c r="M589" i="4"/>
  <c r="M340" i="4"/>
  <c r="M1338" i="4"/>
  <c r="M670" i="4"/>
  <c r="M498" i="4"/>
  <c r="M30" i="4"/>
  <c r="M341" i="4"/>
  <c r="M1423" i="4"/>
  <c r="M506" i="4"/>
  <c r="M248" i="4"/>
  <c r="M485" i="4"/>
  <c r="M885" i="4"/>
  <c r="M699" i="4"/>
  <c r="M1424" i="4"/>
  <c r="M998" i="4"/>
  <c r="M590" i="4"/>
  <c r="M956" i="4"/>
  <c r="M515" i="4"/>
  <c r="M516" i="4"/>
  <c r="M486" i="4"/>
  <c r="M1144" i="4"/>
  <c r="M1021" i="4"/>
  <c r="M1405" i="4"/>
  <c r="M1000" i="4"/>
  <c r="M1145" i="4"/>
  <c r="M835" i="4"/>
  <c r="M355" i="4"/>
  <c r="M31" i="4"/>
  <c r="M1022" i="4"/>
  <c r="M527" i="4"/>
  <c r="M1250" i="4"/>
  <c r="M458" i="4"/>
  <c r="M530" i="4"/>
  <c r="M1365" i="4"/>
  <c r="M311" i="4"/>
  <c r="M1157" i="4"/>
  <c r="M1158" i="4"/>
  <c r="M1093" i="4"/>
  <c r="M42" i="4"/>
  <c r="M371" i="4"/>
  <c r="M926" i="4"/>
  <c r="M1159" i="4"/>
  <c r="M740" i="4"/>
  <c r="M121" i="4"/>
  <c r="M542" i="4"/>
  <c r="M720" i="4"/>
  <c r="M69" i="4"/>
  <c r="M1406" i="4"/>
  <c r="M460" i="4"/>
  <c r="M1236" i="4"/>
  <c r="M1310" i="4"/>
  <c r="M549" i="4"/>
  <c r="M957" i="4"/>
  <c r="M1126" i="4"/>
  <c r="M1107" i="4"/>
  <c r="M215" i="4"/>
  <c r="M561" i="4"/>
  <c r="M766" i="4"/>
  <c r="M1456" i="4"/>
  <c r="M1321" i="4"/>
  <c r="M1182" i="4"/>
  <c r="M836" i="4"/>
  <c r="M875" i="4"/>
  <c r="M188" i="4"/>
  <c r="M487" i="4"/>
  <c r="M672" i="4"/>
  <c r="M564" i="4"/>
  <c r="M177" i="4"/>
  <c r="M170" i="4"/>
  <c r="M1322" i="4"/>
  <c r="M568" i="4"/>
  <c r="M1146" i="4"/>
  <c r="M570" i="4"/>
  <c r="M294" i="4"/>
  <c r="M1109" i="4"/>
  <c r="M639" i="4"/>
  <c r="M1339" i="4"/>
  <c r="M575" i="4"/>
  <c r="M721" i="4"/>
  <c r="M413" i="4"/>
  <c r="M1183" i="4"/>
  <c r="M237" i="4"/>
  <c r="M446" i="4"/>
  <c r="M70" i="4"/>
  <c r="M447" i="4"/>
  <c r="M1044" i="4"/>
  <c r="M1298" i="4"/>
  <c r="M348" i="4"/>
  <c r="M1081" i="4"/>
  <c r="M587" i="4"/>
  <c r="M1285" i="4"/>
  <c r="M108" i="4"/>
  <c r="M1342" i="4"/>
  <c r="M591" i="4"/>
  <c r="M256" i="4"/>
  <c r="M593" i="4"/>
  <c r="M546" i="4"/>
  <c r="M1301" i="4"/>
  <c r="M826" i="4"/>
  <c r="M597" i="4"/>
  <c r="M1160" i="4"/>
  <c r="M547" i="4"/>
  <c r="M600" i="4"/>
  <c r="M93" i="4"/>
  <c r="M100" i="4"/>
  <c r="M382" i="4"/>
  <c r="M845" i="4"/>
  <c r="M7" i="4"/>
  <c r="M1056" i="4"/>
  <c r="M749" i="4"/>
  <c r="M289" i="4"/>
  <c r="M609" i="4"/>
  <c r="M610" i="4"/>
  <c r="M860" i="4"/>
  <c r="M131" i="4"/>
  <c r="M1094" i="4"/>
  <c r="M876" i="4"/>
  <c r="M1184" i="4"/>
  <c r="M616" i="4"/>
  <c r="M171" i="4"/>
  <c r="M1445" i="4"/>
  <c r="M958" i="4"/>
  <c r="M1201" i="4"/>
  <c r="M1457" i="4"/>
  <c r="M959" i="4"/>
  <c r="M257" i="4"/>
  <c r="M886" i="4"/>
  <c r="M943" i="4"/>
  <c r="M1323" i="4"/>
  <c r="M312" i="4"/>
  <c r="M8" i="4"/>
  <c r="M146" i="4"/>
  <c r="M944" i="4"/>
  <c r="M1202" i="4"/>
  <c r="M396" i="4"/>
  <c r="M723" i="4"/>
  <c r="M178" i="4"/>
  <c r="M827" i="4"/>
  <c r="M861" i="4"/>
  <c r="M1391" i="4"/>
  <c r="M638" i="4"/>
  <c r="M724" i="4"/>
  <c r="M198" i="4"/>
  <c r="M673" i="4"/>
  <c r="M960" i="4"/>
  <c r="M1359" i="4"/>
  <c r="M683" i="4"/>
  <c r="M684" i="4"/>
  <c r="M324" i="4"/>
  <c r="M647" i="4"/>
  <c r="M1343" i="4"/>
  <c r="M562" i="4"/>
  <c r="M1024" i="4"/>
  <c r="M640" i="4"/>
  <c r="M488" i="4"/>
  <c r="M50" i="4"/>
  <c r="M397" i="4"/>
  <c r="M863" i="4"/>
  <c r="M132" i="4"/>
  <c r="M258" i="4"/>
  <c r="M658" i="4"/>
  <c r="M1267" i="4"/>
  <c r="M448" i="4"/>
  <c r="M1432" i="4"/>
  <c r="M662" i="4"/>
  <c r="M1025" i="4"/>
  <c r="M664" i="4"/>
  <c r="M665" i="4"/>
  <c r="M1204" i="4"/>
  <c r="M1205" i="4"/>
  <c r="M668" i="4"/>
  <c r="M669" i="4"/>
  <c r="M1001" i="4"/>
  <c r="M671" i="4"/>
  <c r="M1252" i="4"/>
  <c r="M356" i="4"/>
  <c r="M1447" i="4"/>
  <c r="M1171" i="4"/>
  <c r="M1468" i="4"/>
  <c r="M975" i="4"/>
  <c r="M1458" i="4"/>
  <c r="M961" i="4"/>
  <c r="M383" i="4"/>
  <c r="M51" i="4"/>
  <c r="M577" i="4"/>
  <c r="M1135" i="4"/>
  <c r="M82" i="4"/>
  <c r="M685" i="4"/>
  <c r="M449" i="4"/>
  <c r="M533" i="4"/>
  <c r="M592" i="4"/>
  <c r="M296" i="4"/>
  <c r="M690" i="4"/>
  <c r="M691" i="4"/>
  <c r="M1425" i="4"/>
  <c r="M54" i="4"/>
  <c r="M349" i="4"/>
  <c r="M695" i="4"/>
  <c r="M1045" i="4"/>
  <c r="M697" i="4"/>
  <c r="M898" i="4"/>
  <c r="M1071" i="4"/>
  <c r="M72" i="4"/>
  <c r="M774" i="4"/>
  <c r="M702" i="4"/>
  <c r="M1426" i="4"/>
  <c r="M1344" i="4"/>
  <c r="M1435" i="4"/>
  <c r="M1311" i="4"/>
  <c r="M276" i="4"/>
  <c r="M708" i="4"/>
  <c r="M578" i="4"/>
  <c r="M239" i="4"/>
  <c r="M711" i="4"/>
  <c r="M217" i="4"/>
  <c r="M713" i="4"/>
  <c r="M655" i="4"/>
  <c r="M621" i="4"/>
  <c r="M725" i="4"/>
  <c r="M73" i="4"/>
  <c r="M1082" i="4"/>
  <c r="M180" i="4"/>
  <c r="M607" i="4"/>
  <c r="M767" i="4"/>
  <c r="M722" i="4"/>
  <c r="M227" i="4"/>
  <c r="M1448" i="4"/>
  <c r="M579" i="4"/>
  <c r="M1226" i="4"/>
  <c r="M727" i="4"/>
  <c r="M228" i="4"/>
  <c r="M1010" i="4"/>
  <c r="M846" i="4"/>
  <c r="M326" i="4"/>
  <c r="M1393" i="4"/>
  <c r="M733" i="4"/>
  <c r="M734" i="4"/>
  <c r="M489" i="4"/>
  <c r="M1237" i="4"/>
  <c r="M1172" i="4"/>
  <c r="M297" i="4"/>
  <c r="M809" i="4"/>
  <c r="M249" i="4"/>
  <c r="M461" i="4"/>
  <c r="M220" i="4"/>
  <c r="M14" i="4"/>
  <c r="M1268" i="4"/>
  <c r="M1449" i="4"/>
  <c r="M746" i="4"/>
  <c r="M1345" i="4"/>
  <c r="M1147" i="4"/>
  <c r="M810" i="4"/>
  <c r="M750" i="4"/>
  <c r="M751" i="4"/>
  <c r="M656" i="4"/>
  <c r="M756" i="4"/>
  <c r="M754" i="4"/>
  <c r="M510" i="4"/>
  <c r="M877" i="4"/>
  <c r="M1436" i="4"/>
  <c r="M162" i="4"/>
  <c r="M373" i="4"/>
  <c r="M887" i="4"/>
  <c r="M277" i="4"/>
  <c r="M1161" i="4"/>
  <c r="M763" i="4"/>
  <c r="M764" i="4"/>
  <c r="M563" i="4"/>
  <c r="M1208" i="4"/>
  <c r="M1427" i="4"/>
  <c r="M163" i="4"/>
  <c r="M133" i="4"/>
  <c r="M1450" i="4"/>
  <c r="M726" i="4"/>
  <c r="M1428" i="4"/>
  <c r="M398" i="4"/>
  <c r="M1011" i="4"/>
  <c r="M962" i="4"/>
  <c r="M342" i="4"/>
  <c r="M627" i="4"/>
  <c r="M778" i="4"/>
  <c r="M779" i="4"/>
  <c r="M250" i="4"/>
  <c r="M781" i="4"/>
  <c r="M782" i="4"/>
  <c r="M462" i="4"/>
  <c r="M828" i="4"/>
  <c r="M1110" i="4"/>
  <c r="M526" i="4"/>
  <c r="M374" i="4"/>
  <c r="M147" i="4"/>
  <c r="M945" i="4"/>
  <c r="M795" i="4"/>
  <c r="M791" i="4"/>
  <c r="M55" i="4"/>
  <c r="M793" i="4"/>
  <c r="M794" i="4"/>
  <c r="M534" i="4"/>
  <c r="M1162" i="4"/>
  <c r="M511" i="4"/>
  <c r="M798" i="4"/>
  <c r="M799" i="4"/>
  <c r="M800" i="4"/>
  <c r="M548" i="4"/>
  <c r="M802" i="4"/>
  <c r="M803" i="4"/>
  <c r="M221" i="4"/>
  <c r="M811" i="4"/>
  <c r="M812" i="4"/>
  <c r="M641" i="4"/>
  <c r="M15" i="4"/>
  <c r="M1346" i="4"/>
  <c r="M229" i="4"/>
  <c r="M1433" i="4"/>
  <c r="M741" i="4"/>
  <c r="M674" i="4"/>
  <c r="M1384" i="4"/>
  <c r="M815" i="4"/>
  <c r="M1111" i="4"/>
  <c r="M251" i="4"/>
  <c r="M837" i="4"/>
  <c r="M1437" i="4"/>
  <c r="M528" i="4"/>
  <c r="M775" i="4"/>
  <c r="M1459" i="4"/>
  <c r="M1460" i="4"/>
  <c r="M554" i="4"/>
  <c r="M888" i="4"/>
  <c r="M535" i="4"/>
  <c r="M199" i="4"/>
  <c r="M1227" i="4"/>
  <c r="M976" i="4"/>
  <c r="M830" i="4"/>
  <c r="M831" i="4"/>
  <c r="M899" i="4"/>
  <c r="M833" i="4"/>
  <c r="M1461" i="4"/>
  <c r="M122" i="4"/>
  <c r="M728" i="4"/>
  <c r="M189" i="4"/>
  <c r="M838" i="4"/>
  <c r="M1385" i="4"/>
  <c r="M840" i="4"/>
  <c r="M1115" i="4"/>
  <c r="M1095" i="4"/>
  <c r="M463" i="4"/>
  <c r="M844" i="4"/>
  <c r="M357" i="4"/>
  <c r="M1269" i="4"/>
  <c r="M1127" i="4"/>
  <c r="M813" i="4"/>
  <c r="M1128" i="4"/>
  <c r="M1407" i="4"/>
  <c r="M851" i="4"/>
  <c r="M17" i="4"/>
  <c r="M1240" i="4"/>
  <c r="M594" i="4"/>
  <c r="M536" i="4"/>
  <c r="M700" i="4"/>
  <c r="M1408" i="4"/>
  <c r="M512" i="4"/>
  <c r="M859" i="4"/>
  <c r="M1409" i="4"/>
  <c r="M889" i="4"/>
  <c r="M862" i="4"/>
  <c r="M776" i="4"/>
  <c r="M729" i="4"/>
  <c r="M622" i="4"/>
  <c r="M866" i="4"/>
  <c r="M375" i="4"/>
  <c r="M730" i="4"/>
  <c r="M1046" i="4"/>
  <c r="M1253" i="4"/>
  <c r="M1096" i="4"/>
  <c r="M1129" i="4"/>
  <c r="M873" i="4"/>
  <c r="M1438" i="4"/>
  <c r="M900" i="4"/>
  <c r="M847" i="4"/>
  <c r="M399" i="4"/>
  <c r="M400" i="4"/>
  <c r="M208" i="4"/>
  <c r="M628" i="4"/>
  <c r="M327" i="4"/>
  <c r="M74" i="4"/>
  <c r="M56" i="4"/>
  <c r="M1072" i="4"/>
  <c r="M537" i="4"/>
  <c r="M148" i="4"/>
  <c r="M963" i="4"/>
  <c r="M313" i="4"/>
  <c r="M1097" i="4"/>
  <c r="M1324" i="4"/>
  <c r="M1228" i="4"/>
  <c r="M1098" i="4"/>
  <c r="M1209" i="4"/>
  <c r="M894" i="4"/>
  <c r="M499" i="4"/>
  <c r="M240" i="4"/>
  <c r="M701" i="4"/>
  <c r="M989" i="4"/>
  <c r="M901" i="4"/>
  <c r="M1373" i="4"/>
  <c r="M358" i="4"/>
  <c r="M538" i="4"/>
  <c r="M1439" i="4"/>
  <c r="M110" i="4"/>
  <c r="M513" i="4"/>
  <c r="M927" i="4"/>
  <c r="M1073" i="4"/>
  <c r="M426" i="4"/>
  <c r="M75" i="4"/>
  <c r="M149" i="4"/>
  <c r="M1360" i="4"/>
  <c r="M1286" i="4"/>
  <c r="M913" i="4"/>
  <c r="M657" i="4"/>
  <c r="M915" i="4"/>
  <c r="M1229" i="4"/>
  <c r="M917" i="4"/>
  <c r="M909" i="4"/>
  <c r="M565" i="4"/>
  <c r="M1325" i="4"/>
  <c r="M642" i="4"/>
  <c r="M1099" i="4"/>
  <c r="M1230" i="4"/>
  <c r="M500" i="4"/>
  <c r="M1148" i="4"/>
  <c r="M529" i="4"/>
  <c r="M566" i="4"/>
  <c r="M123" i="4"/>
  <c r="M464" i="4"/>
  <c r="M930" i="4"/>
  <c r="M1026" i="4"/>
  <c r="M1116" i="4"/>
  <c r="M450" i="4"/>
  <c r="M934" i="4"/>
  <c r="M514" i="4"/>
  <c r="M401" i="4"/>
  <c r="M539" i="4"/>
  <c r="M1185" i="4"/>
  <c r="M990" i="4"/>
  <c r="M242" i="4"/>
  <c r="M941" i="4"/>
  <c r="M942" i="4"/>
  <c r="M259" i="4"/>
  <c r="M1394" i="4"/>
  <c r="M181" i="4"/>
  <c r="M385" i="4"/>
  <c r="M182" i="4"/>
  <c r="M948" i="4"/>
  <c r="M949" i="4"/>
  <c r="M1057" i="4"/>
  <c r="M1302" i="4"/>
  <c r="M1410" i="4"/>
  <c r="M402" i="4"/>
  <c r="M954" i="4"/>
  <c r="M955" i="4"/>
  <c r="M403" i="4"/>
  <c r="M466" i="4"/>
  <c r="M919" i="4"/>
  <c r="M1395" i="4"/>
  <c r="M1074" i="4"/>
  <c r="M9" i="4"/>
  <c r="M1012" i="4"/>
  <c r="M1075" i="4"/>
  <c r="M878" i="4"/>
  <c r="M278" i="4"/>
  <c r="M1347" i="4"/>
  <c r="M1013" i="4"/>
  <c r="M968" i="4"/>
  <c r="M427" i="4"/>
  <c r="M428" i="4"/>
  <c r="M467" i="4"/>
  <c r="M1241" i="4"/>
  <c r="M928" i="4"/>
  <c r="M1374" i="4"/>
  <c r="M796" i="4"/>
  <c r="M1429" i="4"/>
  <c r="M977" i="4"/>
  <c r="M890" i="4"/>
  <c r="M230" i="4"/>
  <c r="M200" i="4"/>
  <c r="M703" i="4"/>
  <c r="M982" i="4"/>
  <c r="M983" i="4"/>
  <c r="M1287" i="4"/>
  <c r="M101" i="4"/>
  <c r="M260" i="4"/>
  <c r="M987" i="4"/>
  <c r="M404" i="4"/>
  <c r="M1100" i="4"/>
  <c r="M1210" i="4"/>
  <c r="M1411" i="4"/>
  <c r="M1083" i="4"/>
  <c r="M1303" i="4"/>
  <c r="M1348" i="4"/>
  <c r="M1174" i="4"/>
  <c r="M125" i="4"/>
  <c r="M891" i="4"/>
  <c r="M137" i="4"/>
  <c r="M999" i="4"/>
  <c r="M343" i="4"/>
  <c r="M405" i="4"/>
  <c r="M1288" i="4"/>
  <c r="M555" i="4"/>
  <c r="M595" i="4"/>
  <c r="M929" i="4"/>
  <c r="M501" i="4"/>
  <c r="M1149" i="4"/>
  <c r="M1008" i="4"/>
  <c r="M1009" i="4"/>
  <c r="M540" i="4"/>
  <c r="M150" i="4"/>
  <c r="M299" i="4"/>
  <c r="M502" i="4"/>
  <c r="M1014" i="4"/>
  <c r="M376" i="4"/>
  <c r="M1375" i="4"/>
  <c r="M1242" i="4"/>
  <c r="M1018" i="4"/>
  <c r="M821" i="4"/>
  <c r="M608" i="4"/>
  <c r="M1175" i="4"/>
  <c r="M1211" i="4"/>
  <c r="M1023" i="4"/>
  <c r="M768" i="4"/>
  <c r="M360" i="4"/>
  <c r="M300" i="4"/>
  <c r="M1231" i="4"/>
  <c r="M920" i="4"/>
  <c r="M629" i="4"/>
  <c r="M1186" i="4"/>
  <c r="M1326" i="4"/>
  <c r="M852" i="4"/>
  <c r="M1033" i="4"/>
  <c r="M1034" i="4"/>
  <c r="M1035" i="4"/>
  <c r="M1176" i="4"/>
  <c r="M864" i="4"/>
  <c r="M1038" i="4"/>
  <c r="M1027" i="4"/>
  <c r="M556" i="4"/>
  <c r="M1041" i="4"/>
  <c r="M1028" i="4"/>
  <c r="M517" i="4"/>
  <c r="M1187" i="4"/>
  <c r="M1117" i="4"/>
  <c r="M103" i="4"/>
  <c r="M1349" i="4"/>
  <c r="M172" i="4"/>
  <c r="M1219" i="4"/>
  <c r="M1254" i="4"/>
  <c r="M991" i="4"/>
  <c r="M1350" i="4"/>
  <c r="M1002" i="4"/>
  <c r="M580" i="4"/>
  <c r="M686" i="4"/>
  <c r="M1232" i="4"/>
  <c r="M1212" i="4"/>
  <c r="M1058" i="4"/>
  <c r="M1059" i="4"/>
  <c r="M1060" i="4"/>
  <c r="M1441" i="4"/>
  <c r="M1062" i="4"/>
  <c r="M1189" i="4"/>
  <c r="M567" i="4"/>
  <c r="M151" i="4"/>
  <c r="M1220" i="4"/>
  <c r="M1304" i="4"/>
  <c r="M630" i="4"/>
  <c r="M152" i="4"/>
  <c r="M1070" i="4"/>
  <c r="M1351" i="4"/>
  <c r="M964" i="4"/>
  <c r="M1305" i="4"/>
  <c r="M1061" i="4"/>
  <c r="M623" i="4"/>
  <c r="M946" i="4"/>
  <c r="M581" i="4"/>
  <c r="M111" i="4"/>
  <c r="M1079" i="4"/>
  <c r="M1306" i="4"/>
  <c r="M279" i="4"/>
  <c r="M1150" i="4"/>
  <c r="M557" i="4"/>
  <c r="M1376" i="4"/>
  <c r="M1085" i="4"/>
  <c r="M164" i="4"/>
  <c r="M1087" i="4"/>
  <c r="M631" i="4"/>
  <c r="M848" i="4"/>
  <c r="M1352" i="4"/>
  <c r="M386" i="4"/>
  <c r="M94" i="4"/>
  <c r="M406" i="4"/>
  <c r="M1378" i="4"/>
  <c r="M910" i="4"/>
  <c r="M174" i="4"/>
  <c r="M153" i="4"/>
  <c r="M280" i="4"/>
  <c r="M965" i="4"/>
  <c r="M314" i="4"/>
  <c r="M165" i="4"/>
  <c r="M62" i="4"/>
  <c r="M253" i="4"/>
  <c r="M731" i="4"/>
  <c r="M1243" i="4"/>
  <c r="M10" i="4"/>
  <c r="M1029" i="4"/>
  <c r="M1108" i="4"/>
  <c r="M377" i="4"/>
  <c r="M777" i="4"/>
  <c r="M1430" i="4"/>
  <c r="M1112" i="4"/>
  <c r="M1113" i="4"/>
  <c r="M1114" i="4"/>
  <c r="M732" i="4"/>
  <c r="M83" i="4"/>
  <c r="M1047" i="4"/>
  <c r="M659" i="4"/>
  <c r="M978" i="4"/>
  <c r="M76" i="4"/>
  <c r="M704" i="4"/>
  <c r="M569" i="4"/>
  <c r="M32" i="4"/>
  <c r="M201" i="4"/>
  <c r="M43" i="4"/>
  <c r="M490" i="4"/>
  <c r="M1190" i="4"/>
  <c r="M262" i="4"/>
  <c r="M57" i="4"/>
  <c r="M632" i="4"/>
  <c r="M1244" i="4"/>
  <c r="M1462" i="4"/>
  <c r="M1177" i="4"/>
  <c r="M361" i="4"/>
  <c r="M18" i="4"/>
  <c r="M643" i="4"/>
  <c r="M902" i="4"/>
  <c r="M1138" i="4"/>
  <c r="M1386" i="4"/>
  <c r="M281" i="4"/>
  <c r="M814" i="4"/>
  <c r="M282" i="4"/>
  <c r="M328" i="4"/>
  <c r="M468" i="4"/>
  <c r="M903" i="4"/>
  <c r="M1289" i="4"/>
  <c r="M705" i="4"/>
  <c r="M1118" i="4"/>
  <c r="M77" i="4"/>
  <c r="M154" i="4"/>
  <c r="M582" i="4"/>
  <c r="M388" i="4"/>
  <c r="M1048" i="4"/>
  <c r="M624" i="4"/>
  <c r="M1155" i="4"/>
  <c r="M558" i="4"/>
  <c r="M518" i="4"/>
  <c r="M1327" i="4"/>
  <c r="M1030" i="4"/>
  <c r="M769" i="4"/>
  <c r="M1191" i="4"/>
  <c r="M541" i="4"/>
  <c r="M742" i="4"/>
  <c r="M1164" i="4"/>
  <c r="M451" i="4"/>
  <c r="M429" i="4"/>
  <c r="M1163" i="4"/>
  <c r="M1329" i="4"/>
  <c r="M1169" i="4"/>
  <c r="M1431" i="4"/>
  <c r="M931" i="4"/>
  <c r="M430" i="4"/>
  <c r="M1173" i="4"/>
  <c r="M491" i="4"/>
  <c r="M979" i="4"/>
  <c r="M362" i="4"/>
  <c r="M33" i="4"/>
  <c r="M34" i="4"/>
  <c r="M743" i="4"/>
  <c r="M492" i="4"/>
  <c r="M254" i="4"/>
  <c r="M829" i="4"/>
  <c r="M95" i="4"/>
  <c r="M493" i="4"/>
  <c r="M519" i="4"/>
  <c r="M350" i="4"/>
  <c r="M892" i="4"/>
  <c r="M1188" i="4"/>
  <c r="M571" i="4"/>
  <c r="M96" i="4"/>
  <c r="M232" i="4"/>
  <c r="M1049" i="4"/>
  <c r="M118" i="4"/>
  <c r="M1084" i="4"/>
  <c r="M283" i="4"/>
  <c r="M209" i="4"/>
  <c r="M1119" i="4"/>
  <c r="M431" i="4"/>
  <c r="M1464" i="4"/>
  <c r="M853" i="4"/>
  <c r="M301" i="4"/>
  <c r="M611" i="4"/>
  <c r="M1203" i="4"/>
  <c r="M112" i="4"/>
  <c r="M966" i="4"/>
  <c r="M1206" i="4"/>
  <c r="M1207" i="4"/>
  <c r="M706" i="4"/>
  <c r="M992" i="4"/>
  <c r="M744" i="4"/>
  <c r="M1063" i="4"/>
  <c r="M707" i="4"/>
  <c r="M1366" i="4"/>
  <c r="M1307" i="4"/>
  <c r="M1215" i="4"/>
  <c r="M190" i="4"/>
  <c r="M1387" i="4"/>
  <c r="M119" i="4"/>
  <c r="M1140" i="4"/>
  <c r="M1165" i="4"/>
  <c r="M97" i="4"/>
  <c r="M127" i="4"/>
  <c r="M839" i="4"/>
  <c r="M1224" i="4"/>
  <c r="M1225" i="4"/>
  <c r="M315" i="4"/>
  <c r="M596" i="4"/>
  <c r="M745" i="4"/>
  <c r="M583" i="4"/>
  <c r="M747" i="4"/>
  <c r="M687" i="4"/>
  <c r="M191" i="4"/>
  <c r="M494" i="4"/>
  <c r="M263" i="4"/>
  <c r="M1368" i="4"/>
  <c r="M155" i="4"/>
  <c r="M780" i="4"/>
  <c r="M1238" i="4"/>
  <c r="M1239" i="4"/>
  <c r="M967" i="4"/>
  <c r="M98" i="4"/>
  <c r="M302" i="4"/>
  <c r="M572" i="4"/>
  <c r="M1330" i="4"/>
  <c r="M264" i="4"/>
  <c r="M879" i="4"/>
  <c r="M469" i="4"/>
  <c r="M1248" i="4"/>
  <c r="M1101" i="4"/>
  <c r="M893" i="4"/>
  <c r="M1251" i="4"/>
  <c r="M1015" i="4"/>
  <c r="M192" i="4"/>
  <c r="M139" i="4"/>
  <c r="M1353" i="4"/>
  <c r="M932" i="4"/>
  <c r="M1257" i="4"/>
  <c r="M1086" i="4"/>
  <c r="M1259" i="4"/>
  <c r="M291" i="4"/>
  <c r="M470" i="4"/>
  <c r="M378" i="4"/>
  <c r="M1361" i="4"/>
  <c r="M1264" i="4"/>
  <c r="M472" i="4"/>
  <c r="M660" i="4"/>
  <c r="M1192" i="4"/>
  <c r="M1312" i="4"/>
  <c r="M303" i="4"/>
  <c r="M904" i="4"/>
  <c r="M63" i="4"/>
  <c r="M854" i="4"/>
  <c r="M1273" i="4"/>
  <c r="M1308" i="4"/>
  <c r="M1275" i="4"/>
  <c r="M1313" i="4"/>
  <c r="M1102" i="4"/>
  <c r="M330" i="4"/>
  <c r="M45" i="4"/>
  <c r="M1193" i="4"/>
  <c r="M1281" i="4"/>
  <c r="M114" i="4"/>
  <c r="M1283" i="4"/>
  <c r="M880" i="4"/>
  <c r="M832" i="4"/>
  <c r="M1354" i="4"/>
  <c r="M865" i="4"/>
  <c r="M503" i="4"/>
  <c r="M1316" i="4"/>
  <c r="M709" i="4"/>
  <c r="M193" i="4"/>
  <c r="M1292" i="4"/>
  <c r="M1293" i="4"/>
  <c r="M1194" i="4"/>
  <c r="M1103" i="4"/>
  <c r="M243" i="4"/>
  <c r="M1003" i="4"/>
  <c r="M1270" i="4"/>
  <c r="M1299" i="4"/>
  <c r="M1300" i="4"/>
  <c r="M849" i="4"/>
  <c r="M11" i="4"/>
  <c r="M969" i="4"/>
  <c r="M105" i="4"/>
  <c r="M1317" i="4"/>
  <c r="M1151" i="4"/>
  <c r="M316" i="4"/>
  <c r="M841" i="4"/>
  <c r="M735" i="4"/>
  <c r="M1195" i="4"/>
  <c r="M797" i="4"/>
  <c r="M1004" i="4"/>
  <c r="M612" i="4"/>
  <c r="M1314" i="4"/>
  <c r="M1315" i="4"/>
  <c r="M644" i="4"/>
  <c r="M1396" i="4"/>
  <c r="M559" i="4"/>
  <c r="M473" i="4"/>
  <c r="M1120" i="4"/>
  <c r="M432" i="4"/>
  <c r="M58" i="4"/>
  <c r="M584" i="4"/>
  <c r="M19" i="4"/>
  <c r="M911" i="4"/>
  <c r="M1178" i="4"/>
  <c r="M433" i="4"/>
  <c r="M1328" i="4"/>
  <c r="M980" i="4"/>
  <c r="M1121" i="4"/>
  <c r="M1255" i="4"/>
  <c r="M633" i="4"/>
  <c r="M757" i="4"/>
  <c r="M1334" i="4"/>
  <c r="M1335" i="4"/>
  <c r="M1196" i="4"/>
  <c r="M1469" i="4"/>
  <c r="M64" i="4"/>
  <c r="M1256" i="4"/>
  <c r="M1340" i="4"/>
  <c r="M1341" i="4"/>
  <c r="M1213" i="4"/>
  <c r="M78" i="4"/>
  <c r="M947" i="4"/>
  <c r="M389" i="4"/>
  <c r="M1258" i="4"/>
  <c r="M1470" i="4"/>
  <c r="M1245" i="4"/>
  <c r="M504" i="4"/>
  <c r="M867" i="4"/>
  <c r="M434" i="4"/>
  <c r="M1260" i="4"/>
  <c r="M970" i="4"/>
  <c r="M710" i="4"/>
  <c r="M1355" i="4"/>
  <c r="M1356" i="4"/>
  <c r="M344" i="4"/>
  <c r="M1412" i="4"/>
  <c r="M1388" i="4"/>
  <c r="M1331" i="4"/>
  <c r="M317" i="4"/>
  <c r="M645" i="4"/>
  <c r="M736" i="4"/>
  <c r="M345" i="4"/>
  <c r="M981" i="4"/>
  <c r="M1471" i="4"/>
  <c r="M1367" i="4"/>
  <c r="M816" i="4"/>
  <c r="M675" i="4"/>
  <c r="M304" i="4"/>
  <c r="M1371" i="4"/>
  <c r="M1451" i="4"/>
  <c r="M156" i="4"/>
  <c r="M305" i="4"/>
  <c r="M46" i="4"/>
  <c r="M1399" i="4"/>
  <c r="M1377" i="4"/>
  <c r="M37" i="4"/>
  <c r="M817" i="4"/>
  <c r="M20" i="4"/>
  <c r="M1381" i="4"/>
  <c r="M84" i="4"/>
  <c r="M1221" i="4"/>
  <c r="M598" i="4"/>
  <c r="M85" i="4"/>
  <c r="M912" i="4"/>
  <c r="M550" i="4"/>
  <c r="M1130" i="4"/>
  <c r="M115" i="4"/>
  <c r="M855" i="4"/>
  <c r="M87" i="4"/>
  <c r="M1392" i="4"/>
  <c r="M88" i="4"/>
  <c r="M971" i="4"/>
  <c r="M984" i="4"/>
  <c r="M89" i="4"/>
  <c r="M1397" i="4"/>
  <c r="M1398" i="4"/>
  <c r="M166" i="4"/>
  <c r="M676" i="4"/>
  <c r="M183" i="4"/>
  <c r="M21" i="4"/>
  <c r="M379" i="4"/>
  <c r="M474" i="4"/>
  <c r="M22" i="4"/>
  <c r="M551" i="4"/>
  <c r="M408" i="4"/>
  <c r="M1261" i="4"/>
  <c r="M985" i="4"/>
  <c r="M306" i="4"/>
  <c r="M531" i="4"/>
  <c r="M625" i="4"/>
  <c r="M116" i="4"/>
  <c r="M157" i="4"/>
  <c r="M599" i="4"/>
  <c r="M881" i="4"/>
  <c r="M1413" i="4"/>
  <c r="M307" i="4"/>
  <c r="M475" i="4"/>
  <c r="M585" i="4"/>
  <c r="M409" i="4"/>
  <c r="M933" i="4"/>
  <c r="M993" i="4"/>
  <c r="M986" i="4"/>
  <c r="M842" i="4"/>
  <c r="M1031" i="4"/>
  <c r="M688" i="4"/>
  <c r="M1290" i="4"/>
  <c r="M363" i="4"/>
  <c r="M1271" i="4"/>
  <c r="M601" i="4"/>
  <c r="M505" i="4"/>
  <c r="M210" i="4"/>
  <c r="M752" i="4"/>
  <c r="M1076" i="4"/>
  <c r="M59" i="4"/>
  <c r="M284" i="4"/>
  <c r="M1152" i="4"/>
  <c r="M79" i="4"/>
  <c r="M1440" i="4"/>
  <c r="M414" i="4"/>
  <c r="M140" i="4"/>
  <c r="M476" i="4"/>
  <c r="M1444" i="4"/>
  <c r="M1414" i="4"/>
  <c r="M1446" i="4"/>
  <c r="M1291" i="4"/>
  <c r="M758" i="4"/>
  <c r="M634" i="4"/>
  <c r="M1415" i="4"/>
  <c r="M1136" i="4"/>
  <c r="M1233" i="4"/>
  <c r="M689" i="4"/>
  <c r="M1454" i="4"/>
  <c r="M921" i="4"/>
  <c r="M477" i="4"/>
  <c r="M331" i="4"/>
  <c r="M520" i="4"/>
  <c r="M626" i="4"/>
  <c r="M1400" i="4"/>
  <c r="M332" i="4"/>
  <c r="M1141" i="4"/>
  <c r="M1463" i="4"/>
  <c r="M130" i="4"/>
  <c r="M318" i="4"/>
  <c r="M185" i="4"/>
  <c r="M1050" i="4"/>
  <c r="M818" i="4"/>
  <c r="M935" i="4"/>
  <c r="M950" i="4"/>
  <c r="M1442" i="4"/>
  <c r="M2" i="4"/>
  <c r="L882" i="4"/>
  <c r="L4" i="4"/>
  <c r="L1088" i="4"/>
  <c r="L801" i="4"/>
  <c r="L106" i="4"/>
  <c r="L65" i="4"/>
  <c r="L24" i="4"/>
  <c r="L602" i="4"/>
  <c r="L988" i="4"/>
  <c r="L922" i="4"/>
  <c r="L646" i="4"/>
  <c r="L804" i="4"/>
  <c r="L285" i="4"/>
  <c r="L16" i="4"/>
  <c r="L452" i="4"/>
  <c r="L415" i="4"/>
  <c r="L552" i="4"/>
  <c r="L418" i="4"/>
  <c r="L265" i="4"/>
  <c r="L1369" i="4"/>
  <c r="L23" i="4"/>
  <c r="L648" i="4"/>
  <c r="L135" i="4"/>
  <c r="L26" i="4"/>
  <c r="L737" i="4"/>
  <c r="L28" i="4"/>
  <c r="L738" i="4"/>
  <c r="L1104" i="4"/>
  <c r="L994" i="4"/>
  <c r="L868" i="4"/>
  <c r="L1416" i="4"/>
  <c r="L1179" i="4"/>
  <c r="L35" i="4"/>
  <c r="L36" i="4"/>
  <c r="L158" i="4"/>
  <c r="L38" i="4"/>
  <c r="L677" i="4"/>
  <c r="L507" i="4"/>
  <c r="L267" i="4"/>
  <c r="L1077" i="4"/>
  <c r="L268" i="4"/>
  <c r="L44" i="4"/>
  <c r="L805" i="4"/>
  <c r="L1016" i="4"/>
  <c r="L47" i="4"/>
  <c r="L308" i="4"/>
  <c r="L435" i="4"/>
  <c r="L856" i="4"/>
  <c r="L390" i="4"/>
  <c r="L52" i="4"/>
  <c r="L53" i="4"/>
  <c r="L436" i="4"/>
  <c r="L1379" i="4"/>
  <c r="L1142" i="4"/>
  <c r="L495" i="4"/>
  <c r="L1332" i="4"/>
  <c r="L1032" i="4"/>
  <c r="L1017" i="4"/>
  <c r="L120" i="4"/>
  <c r="L972" i="4"/>
  <c r="L39" i="4"/>
  <c r="L603" i="4"/>
  <c r="L1051" i="4"/>
  <c r="L1401" i="4"/>
  <c r="L1036" i="4"/>
  <c r="L613" i="4"/>
  <c r="L649" i="4"/>
  <c r="L292" i="4"/>
  <c r="L71" i="4"/>
  <c r="L843" i="4"/>
  <c r="L923" i="4"/>
  <c r="L692" i="4"/>
  <c r="L1389" i="4"/>
  <c r="L1089" i="4"/>
  <c r="L202" i="4"/>
  <c r="L478" i="4"/>
  <c r="L320" i="4"/>
  <c r="L905" i="4"/>
  <c r="L759" i="4"/>
  <c r="L321" i="4"/>
  <c r="L269" i="4"/>
  <c r="L25" i="4"/>
  <c r="L760" i="4"/>
  <c r="L1166" i="4"/>
  <c r="L1214" i="4"/>
  <c r="L573" i="4"/>
  <c r="L819" i="4"/>
  <c r="L60" i="4"/>
  <c r="L91" i="4"/>
  <c r="L66" i="4"/>
  <c r="L244" i="4"/>
  <c r="L936" i="4"/>
  <c r="L1417" i="4"/>
  <c r="L822" i="4"/>
  <c r="L586" i="4"/>
  <c r="L543" i="4"/>
  <c r="L1362" i="4"/>
  <c r="L1418" i="4"/>
  <c r="L159" i="4"/>
  <c r="L102" i="4"/>
  <c r="L309" i="4"/>
  <c r="L104" i="4"/>
  <c r="L1222" i="4"/>
  <c r="L753" i="4"/>
  <c r="L850" i="4"/>
  <c r="L770" i="4"/>
  <c r="L109" i="4"/>
  <c r="L27" i="4"/>
  <c r="L951" i="4"/>
  <c r="L604" i="4"/>
  <c r="L113" i="4"/>
  <c r="L1363" i="4"/>
  <c r="L783" i="4"/>
  <c r="L1037" i="4"/>
  <c r="L1131" i="4"/>
  <c r="L906" i="4"/>
  <c r="L186" i="4"/>
  <c r="L333" i="4"/>
  <c r="L410" i="4"/>
  <c r="L222" i="4"/>
  <c r="L1122" i="4"/>
  <c r="L124" i="4"/>
  <c r="L1272" i="4"/>
  <c r="L126" i="4"/>
  <c r="L784" i="4"/>
  <c r="L128" i="4"/>
  <c r="L129" i="4"/>
  <c r="L1234" i="4"/>
  <c r="L820" i="4"/>
  <c r="L712" i="4"/>
  <c r="L869" i="4"/>
  <c r="L134" i="4"/>
  <c r="L614" i="4"/>
  <c r="L1005" i="4"/>
  <c r="L693" i="4"/>
  <c r="L138" i="4"/>
  <c r="L588" i="4"/>
  <c r="L907" i="4"/>
  <c r="L167" i="4"/>
  <c r="L142" i="4"/>
  <c r="L351" i="4"/>
  <c r="L479" i="4"/>
  <c r="L1333" i="4"/>
  <c r="L334" i="4"/>
  <c r="L352" i="4"/>
  <c r="L48" i="4"/>
  <c r="L61" i="4"/>
  <c r="L223" i="4"/>
  <c r="L353" i="4"/>
  <c r="L650" i="4"/>
  <c r="L1052" i="4"/>
  <c r="L175" i="4"/>
  <c r="L785" i="4"/>
  <c r="L49" i="4"/>
  <c r="L806" i="4"/>
  <c r="L661" i="4"/>
  <c r="L203" i="4"/>
  <c r="L1078" i="4"/>
  <c r="L1080" i="4"/>
  <c r="L419" i="4"/>
  <c r="L1274" i="4"/>
  <c r="L480" i="4"/>
  <c r="L420" i="4"/>
  <c r="L1064" i="4"/>
  <c r="L739" i="4"/>
  <c r="L952" i="4"/>
  <c r="L1153" i="4"/>
  <c r="L786" i="4"/>
  <c r="L335" i="4"/>
  <c r="L1216" i="4"/>
  <c r="L173" i="4"/>
  <c r="L211" i="4"/>
  <c r="L364" i="4"/>
  <c r="L1419" i="4"/>
  <c r="L439" i="4"/>
  <c r="L694" i="4"/>
  <c r="L179" i="4"/>
  <c r="L1053" i="4"/>
  <c r="L714" i="4"/>
  <c r="L553" i="4"/>
  <c r="L1054" i="4"/>
  <c r="L184" i="4"/>
  <c r="L1246" i="4"/>
  <c r="L1276" i="4"/>
  <c r="L574" i="4"/>
  <c r="L1019" i="4"/>
  <c r="L245" i="4"/>
  <c r="L1223" i="4"/>
  <c r="L678" i="4"/>
  <c r="L204" i="4"/>
  <c r="L1123" i="4"/>
  <c r="L194" i="4"/>
  <c r="L270" i="4"/>
  <c r="L715" i="4"/>
  <c r="L635" i="4"/>
  <c r="L1154" i="4"/>
  <c r="L176" i="4"/>
  <c r="L141" i="4"/>
  <c r="L1452" i="4"/>
  <c r="L168" i="4"/>
  <c r="L1370" i="4"/>
  <c r="L391" i="4"/>
  <c r="L1167" i="4"/>
  <c r="L206" i="4"/>
  <c r="L207" i="4"/>
  <c r="L169" i="4"/>
  <c r="L160" i="4"/>
  <c r="L716" i="4"/>
  <c r="L346" i="4"/>
  <c r="L212" i="4"/>
  <c r="L1180" i="4"/>
  <c r="L107" i="4"/>
  <c r="L924" i="4"/>
  <c r="L216" i="4"/>
  <c r="L937" i="4"/>
  <c r="L218" i="4"/>
  <c r="L219" i="4"/>
  <c r="L1453" i="4"/>
  <c r="L953" i="4"/>
  <c r="L883" i="4"/>
  <c r="L205" i="4"/>
  <c r="L1090" i="4"/>
  <c r="L293" i="4"/>
  <c r="L195" i="4"/>
  <c r="L1197" i="4"/>
  <c r="L1039" i="4"/>
  <c r="L605" i="4"/>
  <c r="L3" i="4"/>
  <c r="L231" i="4"/>
  <c r="L1132" i="4"/>
  <c r="L1277" i="4"/>
  <c r="L787" i="4"/>
  <c r="L771" i="4"/>
  <c r="L236" i="4"/>
  <c r="L12" i="4"/>
  <c r="L238" i="4"/>
  <c r="L421" i="4"/>
  <c r="L788" i="4"/>
  <c r="L241" i="4"/>
  <c r="L224" i="4"/>
  <c r="L1235" i="4"/>
  <c r="L271" i="4"/>
  <c r="L884" i="4"/>
  <c r="L246" i="4"/>
  <c r="L1198" i="4"/>
  <c r="L521" i="4"/>
  <c r="L1318" i="4"/>
  <c r="L143" i="4"/>
  <c r="L1319" i="4"/>
  <c r="L252" i="4"/>
  <c r="L938" i="4"/>
  <c r="L1402" i="4"/>
  <c r="L1065" i="4"/>
  <c r="L90" i="4"/>
  <c r="L1262" i="4"/>
  <c r="L789" i="4"/>
  <c r="L790" i="4"/>
  <c r="L679" i="4"/>
  <c r="L261" i="4"/>
  <c r="L99" i="4"/>
  <c r="L392" i="4"/>
  <c r="L1380" i="4"/>
  <c r="L522" i="4"/>
  <c r="L266" i="4"/>
  <c r="L925" i="4"/>
  <c r="L1137" i="4"/>
  <c r="L761" i="4"/>
  <c r="L196" i="4"/>
  <c r="L1403" i="4"/>
  <c r="L197" i="4"/>
  <c r="L273" i="4"/>
  <c r="L1124" i="4"/>
  <c r="L857" i="4"/>
  <c r="L347" i="4"/>
  <c r="L1133" i="4"/>
  <c r="L576" i="4"/>
  <c r="L1364" i="4"/>
  <c r="L144" i="4"/>
  <c r="L755" i="4"/>
  <c r="L1294" i="4"/>
  <c r="L286" i="4"/>
  <c r="L1295" i="4"/>
  <c r="L393" i="4"/>
  <c r="L1091" i="4"/>
  <c r="L1296" i="4"/>
  <c r="L288" i="4"/>
  <c r="L995" i="4"/>
  <c r="L290" i="4"/>
  <c r="L523" i="4"/>
  <c r="L1465" i="4"/>
  <c r="L544" i="4"/>
  <c r="L870" i="4"/>
  <c r="L295" i="4"/>
  <c r="L1404" i="4"/>
  <c r="L422" i="4"/>
  <c r="L298" i="4"/>
  <c r="L1125" i="4"/>
  <c r="L823" i="4"/>
  <c r="L1181" i="4"/>
  <c r="L824" i="4"/>
  <c r="L1443" i="4"/>
  <c r="L1199" i="4"/>
  <c r="L680" i="4"/>
  <c r="L651" i="4"/>
  <c r="L1278" i="4"/>
  <c r="L1168" i="4"/>
  <c r="L13" i="4"/>
  <c r="L606" i="4"/>
  <c r="L871" i="4"/>
  <c r="L636" i="4"/>
  <c r="L287" i="4"/>
  <c r="L973" i="4"/>
  <c r="L440" i="4"/>
  <c r="L615" i="4"/>
  <c r="L272" i="4"/>
  <c r="L1247" i="4"/>
  <c r="L319" i="4"/>
  <c r="L233" i="4"/>
  <c r="L772" i="4"/>
  <c r="L80" i="4"/>
  <c r="L1006" i="4"/>
  <c r="L1263" i="4"/>
  <c r="L325" i="4"/>
  <c r="L1336" i="4"/>
  <c r="L86" i="4"/>
  <c r="L1217" i="4"/>
  <c r="L329" i="4"/>
  <c r="L255" i="4"/>
  <c r="L1420" i="4"/>
  <c r="L425" i="4"/>
  <c r="L939" i="4"/>
  <c r="L1040" i="4"/>
  <c r="L336" i="4"/>
  <c r="L637" i="4"/>
  <c r="L453" i="4"/>
  <c r="L338" i="4"/>
  <c r="L274" i="4"/>
  <c r="L807" i="4"/>
  <c r="L454" i="4"/>
  <c r="L81" i="4"/>
  <c r="L5" i="4"/>
  <c r="L808" i="4"/>
  <c r="L1421" i="4"/>
  <c r="L1007" i="4"/>
  <c r="L996" i="4"/>
  <c r="L617" i="4"/>
  <c r="L858" i="4"/>
  <c r="L974" i="4"/>
  <c r="L117" i="4"/>
  <c r="L381" i="4"/>
  <c r="L161" i="4"/>
  <c r="L496" i="4"/>
  <c r="L652" i="4"/>
  <c r="L872" i="4"/>
  <c r="L895" i="4"/>
  <c r="L618" i="4"/>
  <c r="L359" i="4"/>
  <c r="L1105" i="4"/>
  <c r="L532" i="4"/>
  <c r="L234" i="4"/>
  <c r="L1279" i="4"/>
  <c r="L337" i="4"/>
  <c r="L365" i="4"/>
  <c r="L225" i="4"/>
  <c r="L1297" i="4"/>
  <c r="L368" i="4"/>
  <c r="L187" i="4"/>
  <c r="L370" i="4"/>
  <c r="L394" i="4"/>
  <c r="L372" i="4"/>
  <c r="L1357" i="4"/>
  <c r="L619" i="4"/>
  <c r="L1066" i="4"/>
  <c r="L411" i="4"/>
  <c r="L1042" i="4"/>
  <c r="L67" i="4"/>
  <c r="L620" i="4"/>
  <c r="L380" i="4"/>
  <c r="L1372" i="4"/>
  <c r="L145" i="4"/>
  <c r="L366" i="4"/>
  <c r="L384" i="4"/>
  <c r="L1466" i="4"/>
  <c r="L1139" i="4"/>
  <c r="L387" i="4"/>
  <c r="L1055" i="4"/>
  <c r="L456" i="4"/>
  <c r="L681" i="4"/>
  <c r="L1280" i="4"/>
  <c r="L653" i="4"/>
  <c r="L825" i="4"/>
  <c r="L1067" i="4"/>
  <c r="L1390" i="4"/>
  <c r="L1467" i="4"/>
  <c r="L367" i="4"/>
  <c r="L369" i="4"/>
  <c r="L914" i="4"/>
  <c r="L247" i="4"/>
  <c r="L1309" i="4"/>
  <c r="L1282" i="4"/>
  <c r="L1382" i="4"/>
  <c r="L1068" i="4"/>
  <c r="L896" i="4"/>
  <c r="L997" i="4"/>
  <c r="L407" i="4"/>
  <c r="L748" i="4"/>
  <c r="L717" i="4"/>
  <c r="L1422" i="4"/>
  <c r="L6" i="4"/>
  <c r="L1043" i="4"/>
  <c r="L1156" i="4"/>
  <c r="L1320" i="4"/>
  <c r="L508" i="4"/>
  <c r="L416" i="4"/>
  <c r="L417" i="4"/>
  <c r="L663" i="4"/>
  <c r="L1249" i="4"/>
  <c r="L68" i="4"/>
  <c r="L1358" i="4"/>
  <c r="L916" i="4"/>
  <c r="L423" i="4"/>
  <c r="L424" i="4"/>
  <c r="L1200" i="4"/>
  <c r="L792" i="4"/>
  <c r="L1134" i="4"/>
  <c r="L40" i="4"/>
  <c r="L762" i="4"/>
  <c r="L773" i="4"/>
  <c r="L654" i="4"/>
  <c r="L457" i="4"/>
  <c r="L395" i="4"/>
  <c r="L524" i="4"/>
  <c r="L226" i="4"/>
  <c r="L666" i="4"/>
  <c r="L437" i="4"/>
  <c r="L438" i="4"/>
  <c r="L1455" i="4"/>
  <c r="L718" i="4"/>
  <c r="L441" i="4"/>
  <c r="L442" i="4"/>
  <c r="L412" i="4"/>
  <c r="L667" i="4"/>
  <c r="L445" i="4"/>
  <c r="L92" i="4"/>
  <c r="L235" i="4"/>
  <c r="L1092" i="4"/>
  <c r="L1069" i="4"/>
  <c r="L719" i="4"/>
  <c r="L322" i="4"/>
  <c r="L696" i="4"/>
  <c r="L1020" i="4"/>
  <c r="L443" i="4"/>
  <c r="L455" i="4"/>
  <c r="L483" i="4"/>
  <c r="L918" i="4"/>
  <c r="L545" i="4"/>
  <c r="L459" i="4"/>
  <c r="L1218" i="4"/>
  <c r="L29" i="4"/>
  <c r="L1106" i="4"/>
  <c r="L509" i="4"/>
  <c r="L1265" i="4"/>
  <c r="L465" i="4"/>
  <c r="L1284" i="4"/>
  <c r="L560" i="4"/>
  <c r="L1170" i="4"/>
  <c r="L1266" i="4"/>
  <c r="L354" i="4"/>
  <c r="L471" i="4"/>
  <c r="L339" i="4"/>
  <c r="L1434" i="4"/>
  <c r="L525" i="4"/>
  <c r="L41" i="4"/>
  <c r="L874" i="4"/>
  <c r="L834" i="4"/>
  <c r="L682" i="4"/>
  <c r="L136" i="4"/>
  <c r="L213" i="4"/>
  <c r="L481" i="4"/>
  <c r="L482" i="4"/>
  <c r="L765" i="4"/>
  <c r="L484" i="4"/>
  <c r="L1143" i="4"/>
  <c r="L310" i="4"/>
  <c r="L1337" i="4"/>
  <c r="L444" i="4"/>
  <c r="L1383" i="4"/>
  <c r="L698" i="4"/>
  <c r="L897" i="4"/>
  <c r="L908" i="4"/>
  <c r="L940" i="4"/>
  <c r="L275" i="4"/>
  <c r="L323" i="4"/>
  <c r="L214" i="4"/>
  <c r="L497" i="4"/>
  <c r="L589" i="4"/>
  <c r="L340" i="4"/>
  <c r="L1338" i="4"/>
  <c r="L670" i="4"/>
  <c r="L498" i="4"/>
  <c r="L30" i="4"/>
  <c r="L341" i="4"/>
  <c r="L1423" i="4"/>
  <c r="L506" i="4"/>
  <c r="L248" i="4"/>
  <c r="L485" i="4"/>
  <c r="L885" i="4"/>
  <c r="L699" i="4"/>
  <c r="L1424" i="4"/>
  <c r="L998" i="4"/>
  <c r="L590" i="4"/>
  <c r="L956" i="4"/>
  <c r="L515" i="4"/>
  <c r="L516" i="4"/>
  <c r="L486" i="4"/>
  <c r="L1144" i="4"/>
  <c r="L1021" i="4"/>
  <c r="L1405" i="4"/>
  <c r="L1000" i="4"/>
  <c r="L1145" i="4"/>
  <c r="L835" i="4"/>
  <c r="L355" i="4"/>
  <c r="L31" i="4"/>
  <c r="L1022" i="4"/>
  <c r="L527" i="4"/>
  <c r="L1250" i="4"/>
  <c r="L458" i="4"/>
  <c r="L530" i="4"/>
  <c r="L1365" i="4"/>
  <c r="L311" i="4"/>
  <c r="L1157" i="4"/>
  <c r="L1158" i="4"/>
  <c r="L1093" i="4"/>
  <c r="L42" i="4"/>
  <c r="L371" i="4"/>
  <c r="L926" i="4"/>
  <c r="L1159" i="4"/>
  <c r="L740" i="4"/>
  <c r="L121" i="4"/>
  <c r="L542" i="4"/>
  <c r="L720" i="4"/>
  <c r="L69" i="4"/>
  <c r="L1406" i="4"/>
  <c r="L460" i="4"/>
  <c r="L1236" i="4"/>
  <c r="L1310" i="4"/>
  <c r="L549" i="4"/>
  <c r="L957" i="4"/>
  <c r="L1126" i="4"/>
  <c r="L1107" i="4"/>
  <c r="L215" i="4"/>
  <c r="L561" i="4"/>
  <c r="L766" i="4"/>
  <c r="L1456" i="4"/>
  <c r="L1321" i="4"/>
  <c r="L1182" i="4"/>
  <c r="L836" i="4"/>
  <c r="L875" i="4"/>
  <c r="L188" i="4"/>
  <c r="L487" i="4"/>
  <c r="L672" i="4"/>
  <c r="L564" i="4"/>
  <c r="L177" i="4"/>
  <c r="L170" i="4"/>
  <c r="L1322" i="4"/>
  <c r="L568" i="4"/>
  <c r="L1146" i="4"/>
  <c r="L570" i="4"/>
  <c r="L294" i="4"/>
  <c r="L1109" i="4"/>
  <c r="L639" i="4"/>
  <c r="L1339" i="4"/>
  <c r="L575" i="4"/>
  <c r="L721" i="4"/>
  <c r="L413" i="4"/>
  <c r="L1183" i="4"/>
  <c r="L237" i="4"/>
  <c r="L446" i="4"/>
  <c r="L70" i="4"/>
  <c r="L447" i="4"/>
  <c r="L1044" i="4"/>
  <c r="L1298" i="4"/>
  <c r="L348" i="4"/>
  <c r="L1081" i="4"/>
  <c r="L587" i="4"/>
  <c r="L1285" i="4"/>
  <c r="L108" i="4"/>
  <c r="L1342" i="4"/>
  <c r="L591" i="4"/>
  <c r="L256" i="4"/>
  <c r="L593" i="4"/>
  <c r="L546" i="4"/>
  <c r="L1301" i="4"/>
  <c r="L826" i="4"/>
  <c r="L597" i="4"/>
  <c r="L1160" i="4"/>
  <c r="L547" i="4"/>
  <c r="L600" i="4"/>
  <c r="L93" i="4"/>
  <c r="L100" i="4"/>
  <c r="L382" i="4"/>
  <c r="L845" i="4"/>
  <c r="L7" i="4"/>
  <c r="L1056" i="4"/>
  <c r="L749" i="4"/>
  <c r="L289" i="4"/>
  <c r="L609" i="4"/>
  <c r="L610" i="4"/>
  <c r="L860" i="4"/>
  <c r="L131" i="4"/>
  <c r="L1094" i="4"/>
  <c r="L876" i="4"/>
  <c r="L1184" i="4"/>
  <c r="L616" i="4"/>
  <c r="L171" i="4"/>
  <c r="L1445" i="4"/>
  <c r="L958" i="4"/>
  <c r="L1201" i="4"/>
  <c r="L1457" i="4"/>
  <c r="L959" i="4"/>
  <c r="L257" i="4"/>
  <c r="L886" i="4"/>
  <c r="L943" i="4"/>
  <c r="L1323" i="4"/>
  <c r="L312" i="4"/>
  <c r="L8" i="4"/>
  <c r="L146" i="4"/>
  <c r="L944" i="4"/>
  <c r="L1202" i="4"/>
  <c r="L396" i="4"/>
  <c r="L723" i="4"/>
  <c r="L178" i="4"/>
  <c r="L827" i="4"/>
  <c r="L861" i="4"/>
  <c r="L1391" i="4"/>
  <c r="L638" i="4"/>
  <c r="L724" i="4"/>
  <c r="L198" i="4"/>
  <c r="L673" i="4"/>
  <c r="L960" i="4"/>
  <c r="L1359" i="4"/>
  <c r="L683" i="4"/>
  <c r="L684" i="4"/>
  <c r="L324" i="4"/>
  <c r="L647" i="4"/>
  <c r="L1343" i="4"/>
  <c r="L562" i="4"/>
  <c r="L1024" i="4"/>
  <c r="L640" i="4"/>
  <c r="L488" i="4"/>
  <c r="L50" i="4"/>
  <c r="L397" i="4"/>
  <c r="L863" i="4"/>
  <c r="L132" i="4"/>
  <c r="L258" i="4"/>
  <c r="L658" i="4"/>
  <c r="L1267" i="4"/>
  <c r="L448" i="4"/>
  <c r="L1432" i="4"/>
  <c r="L662" i="4"/>
  <c r="L1025" i="4"/>
  <c r="L664" i="4"/>
  <c r="L665" i="4"/>
  <c r="L1204" i="4"/>
  <c r="L1205" i="4"/>
  <c r="L668" i="4"/>
  <c r="L669" i="4"/>
  <c r="L1001" i="4"/>
  <c r="L671" i="4"/>
  <c r="L1252" i="4"/>
  <c r="L356" i="4"/>
  <c r="L1447" i="4"/>
  <c r="L1171" i="4"/>
  <c r="L1468" i="4"/>
  <c r="L975" i="4"/>
  <c r="L1458" i="4"/>
  <c r="L961" i="4"/>
  <c r="L383" i="4"/>
  <c r="L51" i="4"/>
  <c r="L577" i="4"/>
  <c r="L1135" i="4"/>
  <c r="L82" i="4"/>
  <c r="L685" i="4"/>
  <c r="L449" i="4"/>
  <c r="L533" i="4"/>
  <c r="L592" i="4"/>
  <c r="L296" i="4"/>
  <c r="L690" i="4"/>
  <c r="L691" i="4"/>
  <c r="L1425" i="4"/>
  <c r="L54" i="4"/>
  <c r="L349" i="4"/>
  <c r="L695" i="4"/>
  <c r="L1045" i="4"/>
  <c r="L697" i="4"/>
  <c r="L898" i="4"/>
  <c r="L1071" i="4"/>
  <c r="L72" i="4"/>
  <c r="L774" i="4"/>
  <c r="L702" i="4"/>
  <c r="L1426" i="4"/>
  <c r="L1344" i="4"/>
  <c r="L1435" i="4"/>
  <c r="L1311" i="4"/>
  <c r="L276" i="4"/>
  <c r="L708" i="4"/>
  <c r="L578" i="4"/>
  <c r="L239" i="4"/>
  <c r="L711" i="4"/>
  <c r="L217" i="4"/>
  <c r="L713" i="4"/>
  <c r="L655" i="4"/>
  <c r="L621" i="4"/>
  <c r="L725" i="4"/>
  <c r="L73" i="4"/>
  <c r="L1082" i="4"/>
  <c r="L180" i="4"/>
  <c r="L607" i="4"/>
  <c r="L767" i="4"/>
  <c r="L722" i="4"/>
  <c r="L227" i="4"/>
  <c r="L1448" i="4"/>
  <c r="L579" i="4"/>
  <c r="L1226" i="4"/>
  <c r="L727" i="4"/>
  <c r="L228" i="4"/>
  <c r="L1010" i="4"/>
  <c r="L846" i="4"/>
  <c r="L326" i="4"/>
  <c r="L1393" i="4"/>
  <c r="L733" i="4"/>
  <c r="L734" i="4"/>
  <c r="L489" i="4"/>
  <c r="L1237" i="4"/>
  <c r="L1172" i="4"/>
  <c r="L297" i="4"/>
  <c r="L809" i="4"/>
  <c r="L249" i="4"/>
  <c r="L461" i="4"/>
  <c r="L220" i="4"/>
  <c r="L14" i="4"/>
  <c r="L1268" i="4"/>
  <c r="L1449" i="4"/>
  <c r="L746" i="4"/>
  <c r="L1345" i="4"/>
  <c r="L1147" i="4"/>
  <c r="L810" i="4"/>
  <c r="L750" i="4"/>
  <c r="L751" i="4"/>
  <c r="L656" i="4"/>
  <c r="L756" i="4"/>
  <c r="L754" i="4"/>
  <c r="L510" i="4"/>
  <c r="L877" i="4"/>
  <c r="L1436" i="4"/>
  <c r="L162" i="4"/>
  <c r="L373" i="4"/>
  <c r="L887" i="4"/>
  <c r="L277" i="4"/>
  <c r="L1161" i="4"/>
  <c r="L763" i="4"/>
  <c r="L764" i="4"/>
  <c r="L563" i="4"/>
  <c r="L1208" i="4"/>
  <c r="L1427" i="4"/>
  <c r="L163" i="4"/>
  <c r="L133" i="4"/>
  <c r="L1450" i="4"/>
  <c r="L726" i="4"/>
  <c r="L1428" i="4"/>
  <c r="L398" i="4"/>
  <c r="L1011" i="4"/>
  <c r="L962" i="4"/>
  <c r="L342" i="4"/>
  <c r="L627" i="4"/>
  <c r="L778" i="4"/>
  <c r="L779" i="4"/>
  <c r="L250" i="4"/>
  <c r="L781" i="4"/>
  <c r="L782" i="4"/>
  <c r="L462" i="4"/>
  <c r="L828" i="4"/>
  <c r="L1110" i="4"/>
  <c r="L526" i="4"/>
  <c r="L374" i="4"/>
  <c r="L147" i="4"/>
  <c r="L945" i="4"/>
  <c r="L795" i="4"/>
  <c r="L791" i="4"/>
  <c r="L55" i="4"/>
  <c r="L793" i="4"/>
  <c r="L794" i="4"/>
  <c r="L534" i="4"/>
  <c r="L1162" i="4"/>
  <c r="L511" i="4"/>
  <c r="L798" i="4"/>
  <c r="L799" i="4"/>
  <c r="L800" i="4"/>
  <c r="L548" i="4"/>
  <c r="L802" i="4"/>
  <c r="L803" i="4"/>
  <c r="L221" i="4"/>
  <c r="L811" i="4"/>
  <c r="L812" i="4"/>
  <c r="L641" i="4"/>
  <c r="L15" i="4"/>
  <c r="L1346" i="4"/>
  <c r="L229" i="4"/>
  <c r="L1433" i="4"/>
  <c r="L741" i="4"/>
  <c r="L674" i="4"/>
  <c r="L1384" i="4"/>
  <c r="L815" i="4"/>
  <c r="L1111" i="4"/>
  <c r="L251" i="4"/>
  <c r="L837" i="4"/>
  <c r="L1437" i="4"/>
  <c r="L528" i="4"/>
  <c r="L775" i="4"/>
  <c r="L1459" i="4"/>
  <c r="L1460" i="4"/>
  <c r="L554" i="4"/>
  <c r="L888" i="4"/>
  <c r="L535" i="4"/>
  <c r="L199" i="4"/>
  <c r="L1227" i="4"/>
  <c r="L976" i="4"/>
  <c r="L830" i="4"/>
  <c r="L831" i="4"/>
  <c r="L899" i="4"/>
  <c r="L833" i="4"/>
  <c r="L1461" i="4"/>
  <c r="L122" i="4"/>
  <c r="L728" i="4"/>
  <c r="L189" i="4"/>
  <c r="L838" i="4"/>
  <c r="L1385" i="4"/>
  <c r="L840" i="4"/>
  <c r="L1115" i="4"/>
  <c r="L1095" i="4"/>
  <c r="L463" i="4"/>
  <c r="L844" i="4"/>
  <c r="L357" i="4"/>
  <c r="L1269" i="4"/>
  <c r="L1127" i="4"/>
  <c r="L813" i="4"/>
  <c r="L1128" i="4"/>
  <c r="L1407" i="4"/>
  <c r="L851" i="4"/>
  <c r="L17" i="4"/>
  <c r="L1240" i="4"/>
  <c r="L594" i="4"/>
  <c r="L536" i="4"/>
  <c r="L700" i="4"/>
  <c r="L1408" i="4"/>
  <c r="L512" i="4"/>
  <c r="L859" i="4"/>
  <c r="L1409" i="4"/>
  <c r="L889" i="4"/>
  <c r="L862" i="4"/>
  <c r="L776" i="4"/>
  <c r="L729" i="4"/>
  <c r="L622" i="4"/>
  <c r="L866" i="4"/>
  <c r="L375" i="4"/>
  <c r="L730" i="4"/>
  <c r="L1046" i="4"/>
  <c r="L1253" i="4"/>
  <c r="L1096" i="4"/>
  <c r="L1129" i="4"/>
  <c r="L873" i="4"/>
  <c r="L1438" i="4"/>
  <c r="L900" i="4"/>
  <c r="L847" i="4"/>
  <c r="L399" i="4"/>
  <c r="L400" i="4"/>
  <c r="L208" i="4"/>
  <c r="L628" i="4"/>
  <c r="L327" i="4"/>
  <c r="L74" i="4"/>
  <c r="L56" i="4"/>
  <c r="L1072" i="4"/>
  <c r="L537" i="4"/>
  <c r="L148" i="4"/>
  <c r="L963" i="4"/>
  <c r="L313" i="4"/>
  <c r="L1097" i="4"/>
  <c r="L1324" i="4"/>
  <c r="L1228" i="4"/>
  <c r="L1098" i="4"/>
  <c r="L1209" i="4"/>
  <c r="L894" i="4"/>
  <c r="L499" i="4"/>
  <c r="L240" i="4"/>
  <c r="L701" i="4"/>
  <c r="L989" i="4"/>
  <c r="L901" i="4"/>
  <c r="L1373" i="4"/>
  <c r="L358" i="4"/>
  <c r="L538" i="4"/>
  <c r="L1439" i="4"/>
  <c r="L110" i="4"/>
  <c r="L513" i="4"/>
  <c r="L927" i="4"/>
  <c r="L1073" i="4"/>
  <c r="L426" i="4"/>
  <c r="L75" i="4"/>
  <c r="L149" i="4"/>
  <c r="L1360" i="4"/>
  <c r="L1286" i="4"/>
  <c r="L913" i="4"/>
  <c r="L657" i="4"/>
  <c r="L915" i="4"/>
  <c r="L1229" i="4"/>
  <c r="L917" i="4"/>
  <c r="L909" i="4"/>
  <c r="L565" i="4"/>
  <c r="L1325" i="4"/>
  <c r="L642" i="4"/>
  <c r="L1099" i="4"/>
  <c r="L1230" i="4"/>
  <c r="L500" i="4"/>
  <c r="L1148" i="4"/>
  <c r="L529" i="4"/>
  <c r="L566" i="4"/>
  <c r="L123" i="4"/>
  <c r="L464" i="4"/>
  <c r="L930" i="4"/>
  <c r="L1026" i="4"/>
  <c r="L1116" i="4"/>
  <c r="L450" i="4"/>
  <c r="L934" i="4"/>
  <c r="L514" i="4"/>
  <c r="L401" i="4"/>
  <c r="L539" i="4"/>
  <c r="L1185" i="4"/>
  <c r="L990" i="4"/>
  <c r="L242" i="4"/>
  <c r="L941" i="4"/>
  <c r="L942" i="4"/>
  <c r="L259" i="4"/>
  <c r="L1394" i="4"/>
  <c r="L181" i="4"/>
  <c r="L385" i="4"/>
  <c r="L182" i="4"/>
  <c r="L948" i="4"/>
  <c r="L949" i="4"/>
  <c r="L1057" i="4"/>
  <c r="L1302" i="4"/>
  <c r="L1410" i="4"/>
  <c r="L402" i="4"/>
  <c r="L954" i="4"/>
  <c r="L955" i="4"/>
  <c r="L403" i="4"/>
  <c r="L466" i="4"/>
  <c r="L919" i="4"/>
  <c r="L1395" i="4"/>
  <c r="L1074" i="4"/>
  <c r="L9" i="4"/>
  <c r="L1012" i="4"/>
  <c r="L1075" i="4"/>
  <c r="L878" i="4"/>
  <c r="L278" i="4"/>
  <c r="L1347" i="4"/>
  <c r="L1013" i="4"/>
  <c r="L968" i="4"/>
  <c r="L427" i="4"/>
  <c r="L428" i="4"/>
  <c r="L467" i="4"/>
  <c r="L1241" i="4"/>
  <c r="L928" i="4"/>
  <c r="L1374" i="4"/>
  <c r="L796" i="4"/>
  <c r="L1429" i="4"/>
  <c r="L977" i="4"/>
  <c r="L890" i="4"/>
  <c r="L230" i="4"/>
  <c r="L200" i="4"/>
  <c r="L703" i="4"/>
  <c r="L982" i="4"/>
  <c r="L983" i="4"/>
  <c r="L1287" i="4"/>
  <c r="L101" i="4"/>
  <c r="L260" i="4"/>
  <c r="L987" i="4"/>
  <c r="L404" i="4"/>
  <c r="L1100" i="4"/>
  <c r="L1210" i="4"/>
  <c r="L1411" i="4"/>
  <c r="L1083" i="4"/>
  <c r="L1303" i="4"/>
  <c r="L1348" i="4"/>
  <c r="L1174" i="4"/>
  <c r="L125" i="4"/>
  <c r="L891" i="4"/>
  <c r="L137" i="4"/>
  <c r="L999" i="4"/>
  <c r="L343" i="4"/>
  <c r="L405" i="4"/>
  <c r="L1288" i="4"/>
  <c r="L555" i="4"/>
  <c r="L595" i="4"/>
  <c r="L929" i="4"/>
  <c r="L501" i="4"/>
  <c r="L1149" i="4"/>
  <c r="L1008" i="4"/>
  <c r="L1009" i="4"/>
  <c r="L540" i="4"/>
  <c r="L150" i="4"/>
  <c r="L299" i="4"/>
  <c r="L502" i="4"/>
  <c r="L1014" i="4"/>
  <c r="L376" i="4"/>
  <c r="L1375" i="4"/>
  <c r="L1242" i="4"/>
  <c r="L1018" i="4"/>
  <c r="L821" i="4"/>
  <c r="L608" i="4"/>
  <c r="L1175" i="4"/>
  <c r="L1211" i="4"/>
  <c r="L1023" i="4"/>
  <c r="L768" i="4"/>
  <c r="L360" i="4"/>
  <c r="L300" i="4"/>
  <c r="L1231" i="4"/>
  <c r="L920" i="4"/>
  <c r="L629" i="4"/>
  <c r="L1186" i="4"/>
  <c r="L1326" i="4"/>
  <c r="L852" i="4"/>
  <c r="L1033" i="4"/>
  <c r="L1034" i="4"/>
  <c r="L1035" i="4"/>
  <c r="L1176" i="4"/>
  <c r="L864" i="4"/>
  <c r="L1038" i="4"/>
  <c r="L1027" i="4"/>
  <c r="L556" i="4"/>
  <c r="L1041" i="4"/>
  <c r="L1028" i="4"/>
  <c r="L517" i="4"/>
  <c r="L1187" i="4"/>
  <c r="L1117" i="4"/>
  <c r="L103" i="4"/>
  <c r="L1349" i="4"/>
  <c r="L172" i="4"/>
  <c r="L1219" i="4"/>
  <c r="L1254" i="4"/>
  <c r="L991" i="4"/>
  <c r="L1350" i="4"/>
  <c r="L1002" i="4"/>
  <c r="L580" i="4"/>
  <c r="L686" i="4"/>
  <c r="L1232" i="4"/>
  <c r="L1212" i="4"/>
  <c r="L1058" i="4"/>
  <c r="L1059" i="4"/>
  <c r="L1060" i="4"/>
  <c r="L1441" i="4"/>
  <c r="L1062" i="4"/>
  <c r="L1189" i="4"/>
  <c r="L567" i="4"/>
  <c r="L151" i="4"/>
  <c r="L1220" i="4"/>
  <c r="L1304" i="4"/>
  <c r="L630" i="4"/>
  <c r="L152" i="4"/>
  <c r="L1070" i="4"/>
  <c r="L1351" i="4"/>
  <c r="L964" i="4"/>
  <c r="L1305" i="4"/>
  <c r="L1061" i="4"/>
  <c r="L623" i="4"/>
  <c r="L946" i="4"/>
  <c r="L581" i="4"/>
  <c r="L111" i="4"/>
  <c r="L1079" i="4"/>
  <c r="L1306" i="4"/>
  <c r="L279" i="4"/>
  <c r="L1150" i="4"/>
  <c r="L557" i="4"/>
  <c r="L1376" i="4"/>
  <c r="L1085" i="4"/>
  <c r="L164" i="4"/>
  <c r="L1087" i="4"/>
  <c r="L631" i="4"/>
  <c r="L848" i="4"/>
  <c r="L1352" i="4"/>
  <c r="L386" i="4"/>
  <c r="L94" i="4"/>
  <c r="L406" i="4"/>
  <c r="L1378" i="4"/>
  <c r="L910" i="4"/>
  <c r="L174" i="4"/>
  <c r="L153" i="4"/>
  <c r="L280" i="4"/>
  <c r="L965" i="4"/>
  <c r="L314" i="4"/>
  <c r="L165" i="4"/>
  <c r="L62" i="4"/>
  <c r="L253" i="4"/>
  <c r="L731" i="4"/>
  <c r="L1243" i="4"/>
  <c r="L10" i="4"/>
  <c r="L1029" i="4"/>
  <c r="L1108" i="4"/>
  <c r="L377" i="4"/>
  <c r="L777" i="4"/>
  <c r="L1430" i="4"/>
  <c r="L1112" i="4"/>
  <c r="L1113" i="4"/>
  <c r="L1114" i="4"/>
  <c r="L732" i="4"/>
  <c r="L83" i="4"/>
  <c r="L1047" i="4"/>
  <c r="L659" i="4"/>
  <c r="L978" i="4"/>
  <c r="L76" i="4"/>
  <c r="L704" i="4"/>
  <c r="L569" i="4"/>
  <c r="L32" i="4"/>
  <c r="L201" i="4"/>
  <c r="L43" i="4"/>
  <c r="L490" i="4"/>
  <c r="L1190" i="4"/>
  <c r="L262" i="4"/>
  <c r="L57" i="4"/>
  <c r="L632" i="4"/>
  <c r="L1244" i="4"/>
  <c r="L1462" i="4"/>
  <c r="L1177" i="4"/>
  <c r="L361" i="4"/>
  <c r="L18" i="4"/>
  <c r="L643" i="4"/>
  <c r="L902" i="4"/>
  <c r="L1138" i="4"/>
  <c r="L1386" i="4"/>
  <c r="L281" i="4"/>
  <c r="L814" i="4"/>
  <c r="L282" i="4"/>
  <c r="L328" i="4"/>
  <c r="L468" i="4"/>
  <c r="L903" i="4"/>
  <c r="L1289" i="4"/>
  <c r="L705" i="4"/>
  <c r="L1118" i="4"/>
  <c r="L77" i="4"/>
  <c r="L154" i="4"/>
  <c r="L582" i="4"/>
  <c r="L388" i="4"/>
  <c r="L1048" i="4"/>
  <c r="L624" i="4"/>
  <c r="L1155" i="4"/>
  <c r="L558" i="4"/>
  <c r="L518" i="4"/>
  <c r="L1327" i="4"/>
  <c r="L1030" i="4"/>
  <c r="L769" i="4"/>
  <c r="L1191" i="4"/>
  <c r="L541" i="4"/>
  <c r="L742" i="4"/>
  <c r="L1164" i="4"/>
  <c r="L451" i="4"/>
  <c r="L429" i="4"/>
  <c r="L1163" i="4"/>
  <c r="L1329" i="4"/>
  <c r="L1169" i="4"/>
  <c r="L1431" i="4"/>
  <c r="L931" i="4"/>
  <c r="L430" i="4"/>
  <c r="L1173" i="4"/>
  <c r="L491" i="4"/>
  <c r="L979" i="4"/>
  <c r="L362" i="4"/>
  <c r="L33" i="4"/>
  <c r="L34" i="4"/>
  <c r="L743" i="4"/>
  <c r="L492" i="4"/>
  <c r="L254" i="4"/>
  <c r="L829" i="4"/>
  <c r="L95" i="4"/>
  <c r="L493" i="4"/>
  <c r="L519" i="4"/>
  <c r="L350" i="4"/>
  <c r="L892" i="4"/>
  <c r="L1188" i="4"/>
  <c r="L571" i="4"/>
  <c r="L96" i="4"/>
  <c r="L232" i="4"/>
  <c r="L1049" i="4"/>
  <c r="L118" i="4"/>
  <c r="L1084" i="4"/>
  <c r="L283" i="4"/>
  <c r="L209" i="4"/>
  <c r="L1119" i="4"/>
  <c r="L431" i="4"/>
  <c r="L1464" i="4"/>
  <c r="L853" i="4"/>
  <c r="L301" i="4"/>
  <c r="L611" i="4"/>
  <c r="L1203" i="4"/>
  <c r="L112" i="4"/>
  <c r="L966" i="4"/>
  <c r="L1206" i="4"/>
  <c r="L1207" i="4"/>
  <c r="L706" i="4"/>
  <c r="L992" i="4"/>
  <c r="L744" i="4"/>
  <c r="L1063" i="4"/>
  <c r="L707" i="4"/>
  <c r="L1366" i="4"/>
  <c r="L1307" i="4"/>
  <c r="L1215" i="4"/>
  <c r="L190" i="4"/>
  <c r="L1387" i="4"/>
  <c r="L119" i="4"/>
  <c r="L1140" i="4"/>
  <c r="L1165" i="4"/>
  <c r="L97" i="4"/>
  <c r="L127" i="4"/>
  <c r="L839" i="4"/>
  <c r="L1224" i="4"/>
  <c r="L1225" i="4"/>
  <c r="L315" i="4"/>
  <c r="L596" i="4"/>
  <c r="L745" i="4"/>
  <c r="L583" i="4"/>
  <c r="L747" i="4"/>
  <c r="L687" i="4"/>
  <c r="L191" i="4"/>
  <c r="L494" i="4"/>
  <c r="L263" i="4"/>
  <c r="L1368" i="4"/>
  <c r="L155" i="4"/>
  <c r="L780" i="4"/>
  <c r="L1238" i="4"/>
  <c r="L1239" i="4"/>
  <c r="L967" i="4"/>
  <c r="L98" i="4"/>
  <c r="L302" i="4"/>
  <c r="L572" i="4"/>
  <c r="L1330" i="4"/>
  <c r="L264" i="4"/>
  <c r="L879" i="4"/>
  <c r="L469" i="4"/>
  <c r="L1248" i="4"/>
  <c r="L1101" i="4"/>
  <c r="L893" i="4"/>
  <c r="L1251" i="4"/>
  <c r="L1015" i="4"/>
  <c r="L192" i="4"/>
  <c r="L139" i="4"/>
  <c r="L1353" i="4"/>
  <c r="L932" i="4"/>
  <c r="L1257" i="4"/>
  <c r="L1086" i="4"/>
  <c r="L1259" i="4"/>
  <c r="L291" i="4"/>
  <c r="L470" i="4"/>
  <c r="L378" i="4"/>
  <c r="L1361" i="4"/>
  <c r="L1264" i="4"/>
  <c r="L472" i="4"/>
  <c r="L660" i="4"/>
  <c r="L1192" i="4"/>
  <c r="L1312" i="4"/>
  <c r="L303" i="4"/>
  <c r="L904" i="4"/>
  <c r="L63" i="4"/>
  <c r="L854" i="4"/>
  <c r="L1273" i="4"/>
  <c r="L1308" i="4"/>
  <c r="L1275" i="4"/>
  <c r="L1313" i="4"/>
  <c r="L1102" i="4"/>
  <c r="L330" i="4"/>
  <c r="L45" i="4"/>
  <c r="L1193" i="4"/>
  <c r="L1281" i="4"/>
  <c r="L114" i="4"/>
  <c r="L1283" i="4"/>
  <c r="L880" i="4"/>
  <c r="L832" i="4"/>
  <c r="L1354" i="4"/>
  <c r="L865" i="4"/>
  <c r="L503" i="4"/>
  <c r="L1316" i="4"/>
  <c r="L709" i="4"/>
  <c r="L193" i="4"/>
  <c r="L1292" i="4"/>
  <c r="L1293" i="4"/>
  <c r="L1194" i="4"/>
  <c r="L1103" i="4"/>
  <c r="L243" i="4"/>
  <c r="L1003" i="4"/>
  <c r="L1270" i="4"/>
  <c r="L1299" i="4"/>
  <c r="L1300" i="4"/>
  <c r="L849" i="4"/>
  <c r="L11" i="4"/>
  <c r="L969" i="4"/>
  <c r="L105" i="4"/>
  <c r="L1317" i="4"/>
  <c r="L1151" i="4"/>
  <c r="L316" i="4"/>
  <c r="L841" i="4"/>
  <c r="L735" i="4"/>
  <c r="L1195" i="4"/>
  <c r="L797" i="4"/>
  <c r="L1004" i="4"/>
  <c r="L612" i="4"/>
  <c r="L1314" i="4"/>
  <c r="L1315" i="4"/>
  <c r="L644" i="4"/>
  <c r="L1396" i="4"/>
  <c r="L559" i="4"/>
  <c r="L473" i="4"/>
  <c r="L1120" i="4"/>
  <c r="L432" i="4"/>
  <c r="L58" i="4"/>
  <c r="L584" i="4"/>
  <c r="L19" i="4"/>
  <c r="L911" i="4"/>
  <c r="L1178" i="4"/>
  <c r="L433" i="4"/>
  <c r="L1328" i="4"/>
  <c r="L980" i="4"/>
  <c r="L1121" i="4"/>
  <c r="L1255" i="4"/>
  <c r="L633" i="4"/>
  <c r="L757" i="4"/>
  <c r="L1334" i="4"/>
  <c r="L1335" i="4"/>
  <c r="L1196" i="4"/>
  <c r="L1469" i="4"/>
  <c r="L64" i="4"/>
  <c r="L1256" i="4"/>
  <c r="L1340" i="4"/>
  <c r="L1341" i="4"/>
  <c r="L1213" i="4"/>
  <c r="L78" i="4"/>
  <c r="L947" i="4"/>
  <c r="L389" i="4"/>
  <c r="L1258" i="4"/>
  <c r="L1470" i="4"/>
  <c r="L1245" i="4"/>
  <c r="L504" i="4"/>
  <c r="L867" i="4"/>
  <c r="L434" i="4"/>
  <c r="L1260" i="4"/>
  <c r="L970" i="4"/>
  <c r="L710" i="4"/>
  <c r="L1355" i="4"/>
  <c r="L1356" i="4"/>
  <c r="L344" i="4"/>
  <c r="L1412" i="4"/>
  <c r="L1388" i="4"/>
  <c r="L1331" i="4"/>
  <c r="L317" i="4"/>
  <c r="L645" i="4"/>
  <c r="L736" i="4"/>
  <c r="L345" i="4"/>
  <c r="L981" i="4"/>
  <c r="L1471" i="4"/>
  <c r="L1367" i="4"/>
  <c r="L816" i="4"/>
  <c r="L675" i="4"/>
  <c r="L304" i="4"/>
  <c r="L1371" i="4"/>
  <c r="L1451" i="4"/>
  <c r="L156" i="4"/>
  <c r="L305" i="4"/>
  <c r="L46" i="4"/>
  <c r="L1399" i="4"/>
  <c r="L1377" i="4"/>
  <c r="L37" i="4"/>
  <c r="L817" i="4"/>
  <c r="L20" i="4"/>
  <c r="L1381" i="4"/>
  <c r="L84" i="4"/>
  <c r="L1221" i="4"/>
  <c r="L598" i="4"/>
  <c r="L85" i="4"/>
  <c r="L912" i="4"/>
  <c r="L550" i="4"/>
  <c r="L1130" i="4"/>
  <c r="L115" i="4"/>
  <c r="L855" i="4"/>
  <c r="L87" i="4"/>
  <c r="L1392" i="4"/>
  <c r="L88" i="4"/>
  <c r="L971" i="4"/>
  <c r="L984" i="4"/>
  <c r="L89" i="4"/>
  <c r="L1397" i="4"/>
  <c r="L1398" i="4"/>
  <c r="L166" i="4"/>
  <c r="L676" i="4"/>
  <c r="L183" i="4"/>
  <c r="L21" i="4"/>
  <c r="L379" i="4"/>
  <c r="L474" i="4"/>
  <c r="L22" i="4"/>
  <c r="L551" i="4"/>
  <c r="L408" i="4"/>
  <c r="L1261" i="4"/>
  <c r="L985" i="4"/>
  <c r="L306" i="4"/>
  <c r="L531" i="4"/>
  <c r="L625" i="4"/>
  <c r="L116" i="4"/>
  <c r="L157" i="4"/>
  <c r="L599" i="4"/>
  <c r="L881" i="4"/>
  <c r="L1413" i="4"/>
  <c r="L307" i="4"/>
  <c r="L475" i="4"/>
  <c r="L585" i="4"/>
  <c r="L409" i="4"/>
  <c r="L933" i="4"/>
  <c r="L993" i="4"/>
  <c r="L986" i="4"/>
  <c r="L842" i="4"/>
  <c r="L1031" i="4"/>
  <c r="L688" i="4"/>
  <c r="L1290" i="4"/>
  <c r="L363" i="4"/>
  <c r="L1271" i="4"/>
  <c r="L601" i="4"/>
  <c r="L505" i="4"/>
  <c r="L210" i="4"/>
  <c r="L752" i="4"/>
  <c r="L1076" i="4"/>
  <c r="L59" i="4"/>
  <c r="L284" i="4"/>
  <c r="L1152" i="4"/>
  <c r="L79" i="4"/>
  <c r="L1440" i="4"/>
  <c r="L414" i="4"/>
  <c r="L140" i="4"/>
  <c r="L476" i="4"/>
  <c r="L1444" i="4"/>
  <c r="L1414" i="4"/>
  <c r="L1446" i="4"/>
  <c r="L1291" i="4"/>
  <c r="L758" i="4"/>
  <c r="L634" i="4"/>
  <c r="L1415" i="4"/>
  <c r="L1136" i="4"/>
  <c r="L1233" i="4"/>
  <c r="L689" i="4"/>
  <c r="L1454" i="4"/>
  <c r="L921" i="4"/>
  <c r="L477" i="4"/>
  <c r="L331" i="4"/>
  <c r="L520" i="4"/>
  <c r="L626" i="4"/>
  <c r="L1400" i="4"/>
  <c r="L332" i="4"/>
  <c r="L1141" i="4"/>
  <c r="L1463" i="4"/>
  <c r="L130" i="4"/>
  <c r="L318" i="4"/>
  <c r="L185" i="4"/>
  <c r="L1050" i="4"/>
  <c r="L818" i="4"/>
  <c r="L935" i="4"/>
  <c r="L950" i="4"/>
  <c r="L1442" i="4"/>
  <c r="L2" i="4"/>
  <c r="I882" i="4"/>
  <c r="I4" i="4"/>
  <c r="I1088" i="4"/>
  <c r="I801" i="4"/>
  <c r="I106" i="4"/>
  <c r="I65" i="4"/>
  <c r="I24" i="4"/>
  <c r="I602" i="4"/>
  <c r="I988" i="4"/>
  <c r="I922" i="4"/>
  <c r="I646" i="4"/>
  <c r="I804" i="4"/>
  <c r="I285" i="4"/>
  <c r="I16" i="4"/>
  <c r="I452" i="4"/>
  <c r="I415" i="4"/>
  <c r="I552" i="4"/>
  <c r="I418" i="4"/>
  <c r="I265" i="4"/>
  <c r="I1369" i="4"/>
  <c r="I23" i="4"/>
  <c r="I648" i="4"/>
  <c r="I135" i="4"/>
  <c r="I26" i="4"/>
  <c r="I737" i="4"/>
  <c r="I28" i="4"/>
  <c r="I738" i="4"/>
  <c r="I1104" i="4"/>
  <c r="I994" i="4"/>
  <c r="I868" i="4"/>
  <c r="I1416" i="4"/>
  <c r="I1179" i="4"/>
  <c r="I35" i="4"/>
  <c r="I36" i="4"/>
  <c r="I158" i="4"/>
  <c r="I38" i="4"/>
  <c r="I677" i="4"/>
  <c r="I507" i="4"/>
  <c r="I267" i="4"/>
  <c r="I1077" i="4"/>
  <c r="I268" i="4"/>
  <c r="I44" i="4"/>
  <c r="I805" i="4"/>
  <c r="I1016" i="4"/>
  <c r="I47" i="4"/>
  <c r="I308" i="4"/>
  <c r="I435" i="4"/>
  <c r="I856" i="4"/>
  <c r="I390" i="4"/>
  <c r="I52" i="4"/>
  <c r="I53" i="4"/>
  <c r="I436" i="4"/>
  <c r="I1379" i="4"/>
  <c r="I1142" i="4"/>
  <c r="I495" i="4"/>
  <c r="I1332" i="4"/>
  <c r="I1032" i="4"/>
  <c r="I1017" i="4"/>
  <c r="I120" i="4"/>
  <c r="I972" i="4"/>
  <c r="I39" i="4"/>
  <c r="I603" i="4"/>
  <c r="I1051" i="4"/>
  <c r="I1401" i="4"/>
  <c r="I1036" i="4"/>
  <c r="I613" i="4"/>
  <c r="I649" i="4"/>
  <c r="I292" i="4"/>
  <c r="I71" i="4"/>
  <c r="I843" i="4"/>
  <c r="I923" i="4"/>
  <c r="I692" i="4"/>
  <c r="I1389" i="4"/>
  <c r="I1089" i="4"/>
  <c r="I202" i="4"/>
  <c r="I478" i="4"/>
  <c r="I320" i="4"/>
  <c r="I905" i="4"/>
  <c r="I759" i="4"/>
  <c r="I321" i="4"/>
  <c r="I269" i="4"/>
  <c r="I25" i="4"/>
  <c r="I760" i="4"/>
  <c r="I1166" i="4"/>
  <c r="I1214" i="4"/>
  <c r="I573" i="4"/>
  <c r="I819" i="4"/>
  <c r="I60" i="4"/>
  <c r="I91" i="4"/>
  <c r="I66" i="4"/>
  <c r="I244" i="4"/>
  <c r="I936" i="4"/>
  <c r="I1417" i="4"/>
  <c r="I822" i="4"/>
  <c r="I586" i="4"/>
  <c r="I543" i="4"/>
  <c r="I1362" i="4"/>
  <c r="I1418" i="4"/>
  <c r="I159" i="4"/>
  <c r="I102" i="4"/>
  <c r="I309" i="4"/>
  <c r="I104" i="4"/>
  <c r="I1222" i="4"/>
  <c r="I753" i="4"/>
  <c r="I850" i="4"/>
  <c r="I770" i="4"/>
  <c r="I109" i="4"/>
  <c r="I27" i="4"/>
  <c r="I951" i="4"/>
  <c r="I604" i="4"/>
  <c r="I113" i="4"/>
  <c r="I1363" i="4"/>
  <c r="I783" i="4"/>
  <c r="I1037" i="4"/>
  <c r="I1131" i="4"/>
  <c r="I906" i="4"/>
  <c r="I186" i="4"/>
  <c r="I333" i="4"/>
  <c r="I410" i="4"/>
  <c r="I222" i="4"/>
  <c r="I1122" i="4"/>
  <c r="I124" i="4"/>
  <c r="I1272" i="4"/>
  <c r="I126" i="4"/>
  <c r="I784" i="4"/>
  <c r="I128" i="4"/>
  <c r="I129" i="4"/>
  <c r="I1234" i="4"/>
  <c r="I820" i="4"/>
  <c r="I712" i="4"/>
  <c r="I869" i="4"/>
  <c r="I134" i="4"/>
  <c r="I614" i="4"/>
  <c r="I1005" i="4"/>
  <c r="I693" i="4"/>
  <c r="I138" i="4"/>
  <c r="I588" i="4"/>
  <c r="I907" i="4"/>
  <c r="I167" i="4"/>
  <c r="I142" i="4"/>
  <c r="I351" i="4"/>
  <c r="I479" i="4"/>
  <c r="I1333" i="4"/>
  <c r="I334" i="4"/>
  <c r="I352" i="4"/>
  <c r="I48" i="4"/>
  <c r="I61" i="4"/>
  <c r="I223" i="4"/>
  <c r="I353" i="4"/>
  <c r="I650" i="4"/>
  <c r="I1052" i="4"/>
  <c r="I175" i="4"/>
  <c r="I785" i="4"/>
  <c r="I49" i="4"/>
  <c r="I806" i="4"/>
  <c r="I661" i="4"/>
  <c r="I203" i="4"/>
  <c r="I1078" i="4"/>
  <c r="I1080" i="4"/>
  <c r="I419" i="4"/>
  <c r="I1274" i="4"/>
  <c r="I480" i="4"/>
  <c r="I420" i="4"/>
  <c r="I1064" i="4"/>
  <c r="I739" i="4"/>
  <c r="I952" i="4"/>
  <c r="I1153" i="4"/>
  <c r="I786" i="4"/>
  <c r="I335" i="4"/>
  <c r="I1216" i="4"/>
  <c r="I173" i="4"/>
  <c r="I211" i="4"/>
  <c r="I364" i="4"/>
  <c r="I1419" i="4"/>
  <c r="I439" i="4"/>
  <c r="I694" i="4"/>
  <c r="I179" i="4"/>
  <c r="I1053" i="4"/>
  <c r="I714" i="4"/>
  <c r="I553" i="4"/>
  <c r="I1054" i="4"/>
  <c r="I184" i="4"/>
  <c r="I1246" i="4"/>
  <c r="I1276" i="4"/>
  <c r="I574" i="4"/>
  <c r="I1019" i="4"/>
  <c r="I245" i="4"/>
  <c r="I1223" i="4"/>
  <c r="I678" i="4"/>
  <c r="I204" i="4"/>
  <c r="I1123" i="4"/>
  <c r="I194" i="4"/>
  <c r="I270" i="4"/>
  <c r="I715" i="4"/>
  <c r="I635" i="4"/>
  <c r="I1154" i="4"/>
  <c r="I176" i="4"/>
  <c r="I141" i="4"/>
  <c r="I1452" i="4"/>
  <c r="I168" i="4"/>
  <c r="I1370" i="4"/>
  <c r="I391" i="4"/>
  <c r="I1167" i="4"/>
  <c r="I206" i="4"/>
  <c r="I207" i="4"/>
  <c r="I169" i="4"/>
  <c r="I160" i="4"/>
  <c r="I716" i="4"/>
  <c r="I346" i="4"/>
  <c r="I212" i="4"/>
  <c r="I1180" i="4"/>
  <c r="I107" i="4"/>
  <c r="I924" i="4"/>
  <c r="I216" i="4"/>
  <c r="I937" i="4"/>
  <c r="I218" i="4"/>
  <c r="I219" i="4"/>
  <c r="I1453" i="4"/>
  <c r="I953" i="4"/>
  <c r="I883" i="4"/>
  <c r="I205" i="4"/>
  <c r="I1090" i="4"/>
  <c r="I293" i="4"/>
  <c r="I195" i="4"/>
  <c r="I1197" i="4"/>
  <c r="I1039" i="4"/>
  <c r="I605" i="4"/>
  <c r="I3" i="4"/>
  <c r="I231" i="4"/>
  <c r="I1132" i="4"/>
  <c r="I1277" i="4"/>
  <c r="I787" i="4"/>
  <c r="I771" i="4"/>
  <c r="I236" i="4"/>
  <c r="I12" i="4"/>
  <c r="I238" i="4"/>
  <c r="I421" i="4"/>
  <c r="I788" i="4"/>
  <c r="I241" i="4"/>
  <c r="I224" i="4"/>
  <c r="I1235" i="4"/>
  <c r="I271" i="4"/>
  <c r="I884" i="4"/>
  <c r="I246" i="4"/>
  <c r="I1198" i="4"/>
  <c r="I521" i="4"/>
  <c r="I1318" i="4"/>
  <c r="I143" i="4"/>
  <c r="I1319" i="4"/>
  <c r="I252" i="4"/>
  <c r="I938" i="4"/>
  <c r="I1402" i="4"/>
  <c r="I1065" i="4"/>
  <c r="I90" i="4"/>
  <c r="I1262" i="4"/>
  <c r="I789" i="4"/>
  <c r="I790" i="4"/>
  <c r="I679" i="4"/>
  <c r="I261" i="4"/>
  <c r="I99" i="4"/>
  <c r="I392" i="4"/>
  <c r="I1380" i="4"/>
  <c r="I522" i="4"/>
  <c r="I266" i="4"/>
  <c r="I925" i="4"/>
  <c r="I1137" i="4"/>
  <c r="I761" i="4"/>
  <c r="I196" i="4"/>
  <c r="I1403" i="4"/>
  <c r="I197" i="4"/>
  <c r="I273" i="4"/>
  <c r="I1124" i="4"/>
  <c r="I857" i="4"/>
  <c r="I347" i="4"/>
  <c r="I1133" i="4"/>
  <c r="I576" i="4"/>
  <c r="I1364" i="4"/>
  <c r="I144" i="4"/>
  <c r="I755" i="4"/>
  <c r="I1294" i="4"/>
  <c r="I286" i="4"/>
  <c r="I1295" i="4"/>
  <c r="I393" i="4"/>
  <c r="I1091" i="4"/>
  <c r="I1296" i="4"/>
  <c r="I288" i="4"/>
  <c r="I995" i="4"/>
  <c r="I290" i="4"/>
  <c r="I523" i="4"/>
  <c r="I1465" i="4"/>
  <c r="I544" i="4"/>
  <c r="I870" i="4"/>
  <c r="I295" i="4"/>
  <c r="I1404" i="4"/>
  <c r="I422" i="4"/>
  <c r="I298" i="4"/>
  <c r="I1125" i="4"/>
  <c r="I823" i="4"/>
  <c r="I1181" i="4"/>
  <c r="I824" i="4"/>
  <c r="I1443" i="4"/>
  <c r="I1199" i="4"/>
  <c r="I680" i="4"/>
  <c r="I651" i="4"/>
  <c r="I1278" i="4"/>
  <c r="I1168" i="4"/>
  <c r="I13" i="4"/>
  <c r="I606" i="4"/>
  <c r="I871" i="4"/>
  <c r="I636" i="4"/>
  <c r="I287" i="4"/>
  <c r="I973" i="4"/>
  <c r="I440" i="4"/>
  <c r="I615" i="4"/>
  <c r="I272" i="4"/>
  <c r="I1247" i="4"/>
  <c r="I319" i="4"/>
  <c r="I233" i="4"/>
  <c r="I772" i="4"/>
  <c r="I80" i="4"/>
  <c r="I1006" i="4"/>
  <c r="I1263" i="4"/>
  <c r="I325" i="4"/>
  <c r="I1336" i="4"/>
  <c r="I86" i="4"/>
  <c r="I1217" i="4"/>
  <c r="I329" i="4"/>
  <c r="I255" i="4"/>
  <c r="I1420" i="4"/>
  <c r="I425" i="4"/>
  <c r="I939" i="4"/>
  <c r="I1040" i="4"/>
  <c r="I336" i="4"/>
  <c r="I637" i="4"/>
  <c r="I453" i="4"/>
  <c r="I338" i="4"/>
  <c r="I274" i="4"/>
  <c r="I807" i="4"/>
  <c r="I454" i="4"/>
  <c r="I81" i="4"/>
  <c r="I5" i="4"/>
  <c r="I808" i="4"/>
  <c r="I1421" i="4"/>
  <c r="I1007" i="4"/>
  <c r="I996" i="4"/>
  <c r="I617" i="4"/>
  <c r="I858" i="4"/>
  <c r="I974" i="4"/>
  <c r="I117" i="4"/>
  <c r="I381" i="4"/>
  <c r="I161" i="4"/>
  <c r="I496" i="4"/>
  <c r="I652" i="4"/>
  <c r="I872" i="4"/>
  <c r="I895" i="4"/>
  <c r="I618" i="4"/>
  <c r="I359" i="4"/>
  <c r="I1105" i="4"/>
  <c r="I532" i="4"/>
  <c r="I234" i="4"/>
  <c r="I1279" i="4"/>
  <c r="I337" i="4"/>
  <c r="I365" i="4"/>
  <c r="I225" i="4"/>
  <c r="I1297" i="4"/>
  <c r="I368" i="4"/>
  <c r="I187" i="4"/>
  <c r="I370" i="4"/>
  <c r="I394" i="4"/>
  <c r="I372" i="4"/>
  <c r="I1357" i="4"/>
  <c r="I619" i="4"/>
  <c r="I1066" i="4"/>
  <c r="I411" i="4"/>
  <c r="I1042" i="4"/>
  <c r="I67" i="4"/>
  <c r="I620" i="4"/>
  <c r="I380" i="4"/>
  <c r="I1372" i="4"/>
  <c r="I145" i="4"/>
  <c r="I366" i="4"/>
  <c r="I384" i="4"/>
  <c r="I1466" i="4"/>
  <c r="I1139" i="4"/>
  <c r="I387" i="4"/>
  <c r="I1055" i="4"/>
  <c r="I456" i="4"/>
  <c r="I681" i="4"/>
  <c r="I1280" i="4"/>
  <c r="I653" i="4"/>
  <c r="I825" i="4"/>
  <c r="I1067" i="4"/>
  <c r="I1390" i="4"/>
  <c r="I1467" i="4"/>
  <c r="I367" i="4"/>
  <c r="I369" i="4"/>
  <c r="I914" i="4"/>
  <c r="I247" i="4"/>
  <c r="I1309" i="4"/>
  <c r="I1282" i="4"/>
  <c r="I1382" i="4"/>
  <c r="I1068" i="4"/>
  <c r="I896" i="4"/>
  <c r="I997" i="4"/>
  <c r="I407" i="4"/>
  <c r="I748" i="4"/>
  <c r="I717" i="4"/>
  <c r="I1422" i="4"/>
  <c r="I6" i="4"/>
  <c r="I1043" i="4"/>
  <c r="I1156" i="4"/>
  <c r="I1320" i="4"/>
  <c r="I508" i="4"/>
  <c r="I416" i="4"/>
  <c r="I417" i="4"/>
  <c r="I663" i="4"/>
  <c r="I1249" i="4"/>
  <c r="I68" i="4"/>
  <c r="I1358" i="4"/>
  <c r="I916" i="4"/>
  <c r="I423" i="4"/>
  <c r="I424" i="4"/>
  <c r="I1200" i="4"/>
  <c r="I792" i="4"/>
  <c r="I1134" i="4"/>
  <c r="I40" i="4"/>
  <c r="I762" i="4"/>
  <c r="I773" i="4"/>
  <c r="I654" i="4"/>
  <c r="I457" i="4"/>
  <c r="I395" i="4"/>
  <c r="I524" i="4"/>
  <c r="I226" i="4"/>
  <c r="I666" i="4"/>
  <c r="I437" i="4"/>
  <c r="I438" i="4"/>
  <c r="I1455" i="4"/>
  <c r="I718" i="4"/>
  <c r="I441" i="4"/>
  <c r="I442" i="4"/>
  <c r="I412" i="4"/>
  <c r="I667" i="4"/>
  <c r="I445" i="4"/>
  <c r="I92" i="4"/>
  <c r="I235" i="4"/>
  <c r="I1092" i="4"/>
  <c r="I1069" i="4"/>
  <c r="I719" i="4"/>
  <c r="I322" i="4"/>
  <c r="I696" i="4"/>
  <c r="I1020" i="4"/>
  <c r="I443" i="4"/>
  <c r="I455" i="4"/>
  <c r="I483" i="4"/>
  <c r="I918" i="4"/>
  <c r="I545" i="4"/>
  <c r="I459" i="4"/>
  <c r="I1218" i="4"/>
  <c r="I29" i="4"/>
  <c r="I1106" i="4"/>
  <c r="I509" i="4"/>
  <c r="I1265" i="4"/>
  <c r="I465" i="4"/>
  <c r="I1284" i="4"/>
  <c r="I560" i="4"/>
  <c r="I1170" i="4"/>
  <c r="I1266" i="4"/>
  <c r="I354" i="4"/>
  <c r="I471" i="4"/>
  <c r="I339" i="4"/>
  <c r="I1434" i="4"/>
  <c r="I525" i="4"/>
  <c r="I41" i="4"/>
  <c r="I874" i="4"/>
  <c r="I834" i="4"/>
  <c r="I682" i="4"/>
  <c r="I136" i="4"/>
  <c r="I213" i="4"/>
  <c r="I481" i="4"/>
  <c r="I482" i="4"/>
  <c r="I765" i="4"/>
  <c r="I484" i="4"/>
  <c r="I1143" i="4"/>
  <c r="I310" i="4"/>
  <c r="I1337" i="4"/>
  <c r="I444" i="4"/>
  <c r="I1383" i="4"/>
  <c r="I698" i="4"/>
  <c r="I897" i="4"/>
  <c r="I908" i="4"/>
  <c r="I940" i="4"/>
  <c r="I275" i="4"/>
  <c r="I323" i="4"/>
  <c r="I214" i="4"/>
  <c r="I497" i="4"/>
  <c r="I589" i="4"/>
  <c r="I340" i="4"/>
  <c r="I1338" i="4"/>
  <c r="I670" i="4"/>
  <c r="I498" i="4"/>
  <c r="I30" i="4"/>
  <c r="I341" i="4"/>
  <c r="I1423" i="4"/>
  <c r="I506" i="4"/>
  <c r="I248" i="4"/>
  <c r="I485" i="4"/>
  <c r="I885" i="4"/>
  <c r="I699" i="4"/>
  <c r="I1424" i="4"/>
  <c r="I998" i="4"/>
  <c r="I590" i="4"/>
  <c r="I956" i="4"/>
  <c r="I515" i="4"/>
  <c r="I516" i="4"/>
  <c r="I486" i="4"/>
  <c r="I1144" i="4"/>
  <c r="I1021" i="4"/>
  <c r="I1405" i="4"/>
  <c r="I1000" i="4"/>
  <c r="I1145" i="4"/>
  <c r="I835" i="4"/>
  <c r="I355" i="4"/>
  <c r="I31" i="4"/>
  <c r="I1022" i="4"/>
  <c r="I527" i="4"/>
  <c r="I1250" i="4"/>
  <c r="I458" i="4"/>
  <c r="I530" i="4"/>
  <c r="I1365" i="4"/>
  <c r="I311" i="4"/>
  <c r="I1157" i="4"/>
  <c r="I1158" i="4"/>
  <c r="I1093" i="4"/>
  <c r="I42" i="4"/>
  <c r="I371" i="4"/>
  <c r="I926" i="4"/>
  <c r="I1159" i="4"/>
  <c r="I740" i="4"/>
  <c r="I121" i="4"/>
  <c r="I542" i="4"/>
  <c r="I720" i="4"/>
  <c r="I69" i="4"/>
  <c r="I1406" i="4"/>
  <c r="I460" i="4"/>
  <c r="I1236" i="4"/>
  <c r="I1310" i="4"/>
  <c r="I549" i="4"/>
  <c r="I957" i="4"/>
  <c r="I1126" i="4"/>
  <c r="I1107" i="4"/>
  <c r="I215" i="4"/>
  <c r="I561" i="4"/>
  <c r="I766" i="4"/>
  <c r="I1456" i="4"/>
  <c r="I1321" i="4"/>
  <c r="I1182" i="4"/>
  <c r="I836" i="4"/>
  <c r="I875" i="4"/>
  <c r="I188" i="4"/>
  <c r="I487" i="4"/>
  <c r="I672" i="4"/>
  <c r="I564" i="4"/>
  <c r="I177" i="4"/>
  <c r="I170" i="4"/>
  <c r="I1322" i="4"/>
  <c r="I568" i="4"/>
  <c r="I1146" i="4"/>
  <c r="I570" i="4"/>
  <c r="I294" i="4"/>
  <c r="I1109" i="4"/>
  <c r="I639" i="4"/>
  <c r="I1339" i="4"/>
  <c r="I575" i="4"/>
  <c r="I721" i="4"/>
  <c r="I413" i="4"/>
  <c r="I1183" i="4"/>
  <c r="I237" i="4"/>
  <c r="I446" i="4"/>
  <c r="I70" i="4"/>
  <c r="I447" i="4"/>
  <c r="I1044" i="4"/>
  <c r="I1298" i="4"/>
  <c r="I348" i="4"/>
  <c r="I1081" i="4"/>
  <c r="I587" i="4"/>
  <c r="I1285" i="4"/>
  <c r="I108" i="4"/>
  <c r="I1342" i="4"/>
  <c r="I591" i="4"/>
  <c r="I256" i="4"/>
  <c r="I593" i="4"/>
  <c r="I546" i="4"/>
  <c r="I1301" i="4"/>
  <c r="I826" i="4"/>
  <c r="I597" i="4"/>
  <c r="I1160" i="4"/>
  <c r="I547" i="4"/>
  <c r="I600" i="4"/>
  <c r="I93" i="4"/>
  <c r="I100" i="4"/>
  <c r="I382" i="4"/>
  <c r="I845" i="4"/>
  <c r="I7" i="4"/>
  <c r="I1056" i="4"/>
  <c r="I749" i="4"/>
  <c r="I289" i="4"/>
  <c r="I609" i="4"/>
  <c r="I610" i="4"/>
  <c r="I860" i="4"/>
  <c r="I131" i="4"/>
  <c r="I1094" i="4"/>
  <c r="I876" i="4"/>
  <c r="I1184" i="4"/>
  <c r="I616" i="4"/>
  <c r="I171" i="4"/>
  <c r="I1445" i="4"/>
  <c r="I958" i="4"/>
  <c r="I1201" i="4"/>
  <c r="I1457" i="4"/>
  <c r="I959" i="4"/>
  <c r="I257" i="4"/>
  <c r="I886" i="4"/>
  <c r="I943" i="4"/>
  <c r="I1323" i="4"/>
  <c r="I312" i="4"/>
  <c r="I8" i="4"/>
  <c r="I146" i="4"/>
  <c r="I944" i="4"/>
  <c r="I1202" i="4"/>
  <c r="I396" i="4"/>
  <c r="I723" i="4"/>
  <c r="I178" i="4"/>
  <c r="I827" i="4"/>
  <c r="I861" i="4"/>
  <c r="I1391" i="4"/>
  <c r="I638" i="4"/>
  <c r="I724" i="4"/>
  <c r="I198" i="4"/>
  <c r="I673" i="4"/>
  <c r="I960" i="4"/>
  <c r="I1359" i="4"/>
  <c r="I683" i="4"/>
  <c r="I684" i="4"/>
  <c r="I324" i="4"/>
  <c r="I647" i="4"/>
  <c r="I1343" i="4"/>
  <c r="I562" i="4"/>
  <c r="I1024" i="4"/>
  <c r="I640" i="4"/>
  <c r="I488" i="4"/>
  <c r="I50" i="4"/>
  <c r="I397" i="4"/>
  <c r="I863" i="4"/>
  <c r="I132" i="4"/>
  <c r="I258" i="4"/>
  <c r="I658" i="4"/>
  <c r="I1267" i="4"/>
  <c r="I448" i="4"/>
  <c r="I1432" i="4"/>
  <c r="I662" i="4"/>
  <c r="I1025" i="4"/>
  <c r="I664" i="4"/>
  <c r="I665" i="4"/>
  <c r="I1204" i="4"/>
  <c r="I1205" i="4"/>
  <c r="I668" i="4"/>
  <c r="I669" i="4"/>
  <c r="I1001" i="4"/>
  <c r="I671" i="4"/>
  <c r="I1252" i="4"/>
  <c r="I356" i="4"/>
  <c r="I1447" i="4"/>
  <c r="I1171" i="4"/>
  <c r="I1468" i="4"/>
  <c r="I975" i="4"/>
  <c r="I1458" i="4"/>
  <c r="I961" i="4"/>
  <c r="I383" i="4"/>
  <c r="I51" i="4"/>
  <c r="I577" i="4"/>
  <c r="I1135" i="4"/>
  <c r="I82" i="4"/>
  <c r="I685" i="4"/>
  <c r="I449" i="4"/>
  <c r="I533" i="4"/>
  <c r="I592" i="4"/>
  <c r="I296" i="4"/>
  <c r="I690" i="4"/>
  <c r="I691" i="4"/>
  <c r="I1425" i="4"/>
  <c r="I54" i="4"/>
  <c r="I349" i="4"/>
  <c r="I695" i="4"/>
  <c r="I1045" i="4"/>
  <c r="I697" i="4"/>
  <c r="I898" i="4"/>
  <c r="I1071" i="4"/>
  <c r="I72" i="4"/>
  <c r="I774" i="4"/>
  <c r="I702" i="4"/>
  <c r="I1426" i="4"/>
  <c r="I1344" i="4"/>
  <c r="I1435" i="4"/>
  <c r="I1311" i="4"/>
  <c r="I276" i="4"/>
  <c r="I708" i="4"/>
  <c r="I578" i="4"/>
  <c r="I239" i="4"/>
  <c r="I711" i="4"/>
  <c r="I217" i="4"/>
  <c r="I713" i="4"/>
  <c r="I655" i="4"/>
  <c r="I621" i="4"/>
  <c r="I725" i="4"/>
  <c r="I73" i="4"/>
  <c r="I1082" i="4"/>
  <c r="I180" i="4"/>
  <c r="I607" i="4"/>
  <c r="I767" i="4"/>
  <c r="I722" i="4"/>
  <c r="I227" i="4"/>
  <c r="I1448" i="4"/>
  <c r="I579" i="4"/>
  <c r="I1226" i="4"/>
  <c r="I727" i="4"/>
  <c r="I228" i="4"/>
  <c r="I1010" i="4"/>
  <c r="I846" i="4"/>
  <c r="I326" i="4"/>
  <c r="I1393" i="4"/>
  <c r="I733" i="4"/>
  <c r="I734" i="4"/>
  <c r="I489" i="4"/>
  <c r="I1237" i="4"/>
  <c r="I1172" i="4"/>
  <c r="I297" i="4"/>
  <c r="I809" i="4"/>
  <c r="I249" i="4"/>
  <c r="I461" i="4"/>
  <c r="I220" i="4"/>
  <c r="I14" i="4"/>
  <c r="I1268" i="4"/>
  <c r="I1449" i="4"/>
  <c r="I746" i="4"/>
  <c r="I1345" i="4"/>
  <c r="I1147" i="4"/>
  <c r="I810" i="4"/>
  <c r="I750" i="4"/>
  <c r="I751" i="4"/>
  <c r="I656" i="4"/>
  <c r="I756" i="4"/>
  <c r="I754" i="4"/>
  <c r="I510" i="4"/>
  <c r="I877" i="4"/>
  <c r="I1436" i="4"/>
  <c r="I162" i="4"/>
  <c r="I373" i="4"/>
  <c r="I887" i="4"/>
  <c r="I277" i="4"/>
  <c r="I1161" i="4"/>
  <c r="I763" i="4"/>
  <c r="I764" i="4"/>
  <c r="I563" i="4"/>
  <c r="I1208" i="4"/>
  <c r="I1427" i="4"/>
  <c r="I163" i="4"/>
  <c r="I133" i="4"/>
  <c r="I1450" i="4"/>
  <c r="I726" i="4"/>
  <c r="I1428" i="4"/>
  <c r="I398" i="4"/>
  <c r="I1011" i="4"/>
  <c r="I962" i="4"/>
  <c r="I342" i="4"/>
  <c r="I627" i="4"/>
  <c r="I778" i="4"/>
  <c r="I779" i="4"/>
  <c r="I250" i="4"/>
  <c r="I781" i="4"/>
  <c r="I782" i="4"/>
  <c r="I462" i="4"/>
  <c r="I828" i="4"/>
  <c r="I1110" i="4"/>
  <c r="I526" i="4"/>
  <c r="I374" i="4"/>
  <c r="I147" i="4"/>
  <c r="I945" i="4"/>
  <c r="I795" i="4"/>
  <c r="I791" i="4"/>
  <c r="I55" i="4"/>
  <c r="I793" i="4"/>
  <c r="I794" i="4"/>
  <c r="I534" i="4"/>
  <c r="I1162" i="4"/>
  <c r="I511" i="4"/>
  <c r="I798" i="4"/>
  <c r="I799" i="4"/>
  <c r="I800" i="4"/>
  <c r="I548" i="4"/>
  <c r="I802" i="4"/>
  <c r="I803" i="4"/>
  <c r="I221" i="4"/>
  <c r="I811" i="4"/>
  <c r="I812" i="4"/>
  <c r="I641" i="4"/>
  <c r="I15" i="4"/>
  <c r="I1346" i="4"/>
  <c r="I229" i="4"/>
  <c r="I1433" i="4"/>
  <c r="I741" i="4"/>
  <c r="I674" i="4"/>
  <c r="I1384" i="4"/>
  <c r="I815" i="4"/>
  <c r="I1111" i="4"/>
  <c r="I251" i="4"/>
  <c r="I837" i="4"/>
  <c r="I1437" i="4"/>
  <c r="I528" i="4"/>
  <c r="I775" i="4"/>
  <c r="I1459" i="4"/>
  <c r="I1460" i="4"/>
  <c r="I554" i="4"/>
  <c r="I888" i="4"/>
  <c r="I535" i="4"/>
  <c r="I199" i="4"/>
  <c r="I1227" i="4"/>
  <c r="I976" i="4"/>
  <c r="I830" i="4"/>
  <c r="I831" i="4"/>
  <c r="I899" i="4"/>
  <c r="I833" i="4"/>
  <c r="I1461" i="4"/>
  <c r="I122" i="4"/>
  <c r="I728" i="4"/>
  <c r="I189" i="4"/>
  <c r="I838" i="4"/>
  <c r="I1385" i="4"/>
  <c r="I840" i="4"/>
  <c r="I1115" i="4"/>
  <c r="I1095" i="4"/>
  <c r="I463" i="4"/>
  <c r="I844" i="4"/>
  <c r="I357" i="4"/>
  <c r="I1269" i="4"/>
  <c r="I1127" i="4"/>
  <c r="I813" i="4"/>
  <c r="I1128" i="4"/>
  <c r="I1407" i="4"/>
  <c r="I851" i="4"/>
  <c r="I17" i="4"/>
  <c r="I1240" i="4"/>
  <c r="I594" i="4"/>
  <c r="I536" i="4"/>
  <c r="I700" i="4"/>
  <c r="I1408" i="4"/>
  <c r="I512" i="4"/>
  <c r="I859" i="4"/>
  <c r="I1409" i="4"/>
  <c r="I889" i="4"/>
  <c r="I862" i="4"/>
  <c r="I776" i="4"/>
  <c r="I729" i="4"/>
  <c r="I622" i="4"/>
  <c r="I866" i="4"/>
  <c r="I375" i="4"/>
  <c r="I730" i="4"/>
  <c r="I1046" i="4"/>
  <c r="I1253" i="4"/>
  <c r="I1096" i="4"/>
  <c r="I1129" i="4"/>
  <c r="I873" i="4"/>
  <c r="I1438" i="4"/>
  <c r="I900" i="4"/>
  <c r="I847" i="4"/>
  <c r="I399" i="4"/>
  <c r="I400" i="4"/>
  <c r="I208" i="4"/>
  <c r="I628" i="4"/>
  <c r="I327" i="4"/>
  <c r="I74" i="4"/>
  <c r="I56" i="4"/>
  <c r="I1072" i="4"/>
  <c r="I537" i="4"/>
  <c r="I148" i="4"/>
  <c r="I963" i="4"/>
  <c r="I313" i="4"/>
  <c r="I1097" i="4"/>
  <c r="I1324" i="4"/>
  <c r="I1228" i="4"/>
  <c r="I1098" i="4"/>
  <c r="I1209" i="4"/>
  <c r="I894" i="4"/>
  <c r="I499" i="4"/>
  <c r="I240" i="4"/>
  <c r="I701" i="4"/>
  <c r="I989" i="4"/>
  <c r="I901" i="4"/>
  <c r="I1373" i="4"/>
  <c r="I358" i="4"/>
  <c r="I538" i="4"/>
  <c r="I1439" i="4"/>
  <c r="I110" i="4"/>
  <c r="I513" i="4"/>
  <c r="I927" i="4"/>
  <c r="I1073" i="4"/>
  <c r="I426" i="4"/>
  <c r="I75" i="4"/>
  <c r="I149" i="4"/>
  <c r="I1360" i="4"/>
  <c r="I1286" i="4"/>
  <c r="I913" i="4"/>
  <c r="I657" i="4"/>
  <c r="I915" i="4"/>
  <c r="I1229" i="4"/>
  <c r="I917" i="4"/>
  <c r="I909" i="4"/>
  <c r="I565" i="4"/>
  <c r="I1325" i="4"/>
  <c r="I642" i="4"/>
  <c r="I1099" i="4"/>
  <c r="I1230" i="4"/>
  <c r="I500" i="4"/>
  <c r="I1148" i="4"/>
  <c r="I529" i="4"/>
  <c r="I566" i="4"/>
  <c r="I123" i="4"/>
  <c r="I464" i="4"/>
  <c r="I930" i="4"/>
  <c r="I1026" i="4"/>
  <c r="I1116" i="4"/>
  <c r="I450" i="4"/>
  <c r="I934" i="4"/>
  <c r="I514" i="4"/>
  <c r="I401" i="4"/>
  <c r="I539" i="4"/>
  <c r="I1185" i="4"/>
  <c r="I990" i="4"/>
  <c r="I242" i="4"/>
  <c r="I941" i="4"/>
  <c r="I942" i="4"/>
  <c r="I259" i="4"/>
  <c r="I1394" i="4"/>
  <c r="I181" i="4"/>
  <c r="I385" i="4"/>
  <c r="I182" i="4"/>
  <c r="I948" i="4"/>
  <c r="I949" i="4"/>
  <c r="I1057" i="4"/>
  <c r="I1302" i="4"/>
  <c r="I1410" i="4"/>
  <c r="I402" i="4"/>
  <c r="I954" i="4"/>
  <c r="I955" i="4"/>
  <c r="I403" i="4"/>
  <c r="I466" i="4"/>
  <c r="I919" i="4"/>
  <c r="I1395" i="4"/>
  <c r="I1074" i="4"/>
  <c r="I9" i="4"/>
  <c r="I1012" i="4"/>
  <c r="I1075" i="4"/>
  <c r="I878" i="4"/>
  <c r="I278" i="4"/>
  <c r="I1347" i="4"/>
  <c r="I1013" i="4"/>
  <c r="I968" i="4"/>
  <c r="I427" i="4"/>
  <c r="I428" i="4"/>
  <c r="I467" i="4"/>
  <c r="I1241" i="4"/>
  <c r="I928" i="4"/>
  <c r="I1374" i="4"/>
  <c r="I796" i="4"/>
  <c r="I1429" i="4"/>
  <c r="I977" i="4"/>
  <c r="I890" i="4"/>
  <c r="I230" i="4"/>
  <c r="I200" i="4"/>
  <c r="I703" i="4"/>
  <c r="I982" i="4"/>
  <c r="I983" i="4"/>
  <c r="I1287" i="4"/>
  <c r="I101" i="4"/>
  <c r="I260" i="4"/>
  <c r="I987" i="4"/>
  <c r="I404" i="4"/>
  <c r="I1100" i="4"/>
  <c r="I1210" i="4"/>
  <c r="I1411" i="4"/>
  <c r="I1083" i="4"/>
  <c r="I1303" i="4"/>
  <c r="I1348" i="4"/>
  <c r="I1174" i="4"/>
  <c r="I125" i="4"/>
  <c r="I891" i="4"/>
  <c r="I137" i="4"/>
  <c r="I999" i="4"/>
  <c r="I343" i="4"/>
  <c r="I405" i="4"/>
  <c r="I1288" i="4"/>
  <c r="I555" i="4"/>
  <c r="I595" i="4"/>
  <c r="I929" i="4"/>
  <c r="I501" i="4"/>
  <c r="I1149" i="4"/>
  <c r="I1008" i="4"/>
  <c r="I1009" i="4"/>
  <c r="I540" i="4"/>
  <c r="I150" i="4"/>
  <c r="I299" i="4"/>
  <c r="I502" i="4"/>
  <c r="I1014" i="4"/>
  <c r="I376" i="4"/>
  <c r="I1375" i="4"/>
  <c r="I1242" i="4"/>
  <c r="I1018" i="4"/>
  <c r="I821" i="4"/>
  <c r="I608" i="4"/>
  <c r="I1175" i="4"/>
  <c r="I1211" i="4"/>
  <c r="I1023" i="4"/>
  <c r="I768" i="4"/>
  <c r="I360" i="4"/>
  <c r="I300" i="4"/>
  <c r="I1231" i="4"/>
  <c r="I920" i="4"/>
  <c r="I629" i="4"/>
  <c r="I1186" i="4"/>
  <c r="I1326" i="4"/>
  <c r="I852" i="4"/>
  <c r="I1033" i="4"/>
  <c r="I1034" i="4"/>
  <c r="I1035" i="4"/>
  <c r="I1176" i="4"/>
  <c r="I864" i="4"/>
  <c r="I1038" i="4"/>
  <c r="I1027" i="4"/>
  <c r="I556" i="4"/>
  <c r="I1041" i="4"/>
  <c r="I1028" i="4"/>
  <c r="I517" i="4"/>
  <c r="I1187" i="4"/>
  <c r="I1117" i="4"/>
  <c r="I103" i="4"/>
  <c r="I1349" i="4"/>
  <c r="I172" i="4"/>
  <c r="I1219" i="4"/>
  <c r="I1254" i="4"/>
  <c r="I991" i="4"/>
  <c r="I1350" i="4"/>
  <c r="I1002" i="4"/>
  <c r="I580" i="4"/>
  <c r="I686" i="4"/>
  <c r="I1232" i="4"/>
  <c r="I1212" i="4"/>
  <c r="I1058" i="4"/>
  <c r="I1059" i="4"/>
  <c r="I1060" i="4"/>
  <c r="I1441" i="4"/>
  <c r="I1062" i="4"/>
  <c r="I1189" i="4"/>
  <c r="I567" i="4"/>
  <c r="I151" i="4"/>
  <c r="I1220" i="4"/>
  <c r="I1304" i="4"/>
  <c r="I630" i="4"/>
  <c r="I152" i="4"/>
  <c r="I1070" i="4"/>
  <c r="I1351" i="4"/>
  <c r="I964" i="4"/>
  <c r="I1305" i="4"/>
  <c r="I1061" i="4"/>
  <c r="I623" i="4"/>
  <c r="I946" i="4"/>
  <c r="I581" i="4"/>
  <c r="I111" i="4"/>
  <c r="I1079" i="4"/>
  <c r="I1306" i="4"/>
  <c r="I279" i="4"/>
  <c r="I1150" i="4"/>
  <c r="I557" i="4"/>
  <c r="I1376" i="4"/>
  <c r="I1085" i="4"/>
  <c r="I164" i="4"/>
  <c r="I1087" i="4"/>
  <c r="I631" i="4"/>
  <c r="I848" i="4"/>
  <c r="I1352" i="4"/>
  <c r="I386" i="4"/>
  <c r="I94" i="4"/>
  <c r="I406" i="4"/>
  <c r="I1378" i="4"/>
  <c r="I910" i="4"/>
  <c r="I174" i="4"/>
  <c r="I153" i="4"/>
  <c r="I280" i="4"/>
  <c r="I965" i="4"/>
  <c r="I314" i="4"/>
  <c r="I165" i="4"/>
  <c r="I62" i="4"/>
  <c r="I253" i="4"/>
  <c r="I731" i="4"/>
  <c r="I1243" i="4"/>
  <c r="I10" i="4"/>
  <c r="I1029" i="4"/>
  <c r="I1108" i="4"/>
  <c r="I377" i="4"/>
  <c r="I777" i="4"/>
  <c r="I1430" i="4"/>
  <c r="I1112" i="4"/>
  <c r="I1113" i="4"/>
  <c r="I1114" i="4"/>
  <c r="I732" i="4"/>
  <c r="I83" i="4"/>
  <c r="I1047" i="4"/>
  <c r="I659" i="4"/>
  <c r="I978" i="4"/>
  <c r="I76" i="4"/>
  <c r="I704" i="4"/>
  <c r="I569" i="4"/>
  <c r="I32" i="4"/>
  <c r="I201" i="4"/>
  <c r="I43" i="4"/>
  <c r="I490" i="4"/>
  <c r="I1190" i="4"/>
  <c r="I262" i="4"/>
  <c r="I57" i="4"/>
  <c r="I632" i="4"/>
  <c r="I1244" i="4"/>
  <c r="I1462" i="4"/>
  <c r="I1177" i="4"/>
  <c r="I361" i="4"/>
  <c r="I18" i="4"/>
  <c r="I643" i="4"/>
  <c r="I902" i="4"/>
  <c r="I1138" i="4"/>
  <c r="I1386" i="4"/>
  <c r="I281" i="4"/>
  <c r="I814" i="4"/>
  <c r="I282" i="4"/>
  <c r="I328" i="4"/>
  <c r="I468" i="4"/>
  <c r="I903" i="4"/>
  <c r="I1289" i="4"/>
  <c r="I705" i="4"/>
  <c r="I1118" i="4"/>
  <c r="I77" i="4"/>
  <c r="I154" i="4"/>
  <c r="I582" i="4"/>
  <c r="I388" i="4"/>
  <c r="I1048" i="4"/>
  <c r="I624" i="4"/>
  <c r="I1155" i="4"/>
  <c r="I558" i="4"/>
  <c r="I518" i="4"/>
  <c r="I1327" i="4"/>
  <c r="I1030" i="4"/>
  <c r="I769" i="4"/>
  <c r="I1191" i="4"/>
  <c r="I541" i="4"/>
  <c r="I742" i="4"/>
  <c r="I1164" i="4"/>
  <c r="I451" i="4"/>
  <c r="I429" i="4"/>
  <c r="I1163" i="4"/>
  <c r="I1329" i="4"/>
  <c r="I1169" i="4"/>
  <c r="I1431" i="4"/>
  <c r="I931" i="4"/>
  <c r="I430" i="4"/>
  <c r="I1173" i="4"/>
  <c r="I491" i="4"/>
  <c r="I979" i="4"/>
  <c r="I362" i="4"/>
  <c r="I33" i="4"/>
  <c r="I34" i="4"/>
  <c r="I743" i="4"/>
  <c r="I492" i="4"/>
  <c r="I254" i="4"/>
  <c r="I829" i="4"/>
  <c r="I95" i="4"/>
  <c r="I493" i="4"/>
  <c r="I519" i="4"/>
  <c r="I350" i="4"/>
  <c r="I892" i="4"/>
  <c r="I1188" i="4"/>
  <c r="I571" i="4"/>
  <c r="I96" i="4"/>
  <c r="I232" i="4"/>
  <c r="I1049" i="4"/>
  <c r="I118" i="4"/>
  <c r="I1084" i="4"/>
  <c r="I283" i="4"/>
  <c r="I209" i="4"/>
  <c r="I1119" i="4"/>
  <c r="I431" i="4"/>
  <c r="I1464" i="4"/>
  <c r="I853" i="4"/>
  <c r="I301" i="4"/>
  <c r="I611" i="4"/>
  <c r="I1203" i="4"/>
  <c r="I112" i="4"/>
  <c r="I966" i="4"/>
  <c r="I1206" i="4"/>
  <c r="I1207" i="4"/>
  <c r="I706" i="4"/>
  <c r="I992" i="4"/>
  <c r="I744" i="4"/>
  <c r="I1063" i="4"/>
  <c r="I707" i="4"/>
  <c r="I1366" i="4"/>
  <c r="I1307" i="4"/>
  <c r="I1215" i="4"/>
  <c r="I190" i="4"/>
  <c r="I1387" i="4"/>
  <c r="I119" i="4"/>
  <c r="I1140" i="4"/>
  <c r="I1165" i="4"/>
  <c r="I97" i="4"/>
  <c r="I127" i="4"/>
  <c r="I839" i="4"/>
  <c r="I1224" i="4"/>
  <c r="I1225" i="4"/>
  <c r="I315" i="4"/>
  <c r="I596" i="4"/>
  <c r="I745" i="4"/>
  <c r="I583" i="4"/>
  <c r="I747" i="4"/>
  <c r="I687" i="4"/>
  <c r="I191" i="4"/>
  <c r="I494" i="4"/>
  <c r="I263" i="4"/>
  <c r="I1368" i="4"/>
  <c r="I155" i="4"/>
  <c r="I780" i="4"/>
  <c r="I1238" i="4"/>
  <c r="I1239" i="4"/>
  <c r="I967" i="4"/>
  <c r="I98" i="4"/>
  <c r="I302" i="4"/>
  <c r="I572" i="4"/>
  <c r="I1330" i="4"/>
  <c r="I264" i="4"/>
  <c r="I879" i="4"/>
  <c r="I469" i="4"/>
  <c r="I1248" i="4"/>
  <c r="I1101" i="4"/>
  <c r="I893" i="4"/>
  <c r="I1251" i="4"/>
  <c r="I1015" i="4"/>
  <c r="I192" i="4"/>
  <c r="I139" i="4"/>
  <c r="I1353" i="4"/>
  <c r="I932" i="4"/>
  <c r="I1257" i="4"/>
  <c r="I1086" i="4"/>
  <c r="I1259" i="4"/>
  <c r="I291" i="4"/>
  <c r="I470" i="4"/>
  <c r="I378" i="4"/>
  <c r="I1361" i="4"/>
  <c r="I1264" i="4"/>
  <c r="I472" i="4"/>
  <c r="I660" i="4"/>
  <c r="I1192" i="4"/>
  <c r="I1312" i="4"/>
  <c r="I303" i="4"/>
  <c r="I904" i="4"/>
  <c r="I63" i="4"/>
  <c r="I854" i="4"/>
  <c r="I1273" i="4"/>
  <c r="I1308" i="4"/>
  <c r="I1275" i="4"/>
  <c r="I1313" i="4"/>
  <c r="I1102" i="4"/>
  <c r="I330" i="4"/>
  <c r="I45" i="4"/>
  <c r="I1193" i="4"/>
  <c r="I1281" i="4"/>
  <c r="I114" i="4"/>
  <c r="I1283" i="4"/>
  <c r="I880" i="4"/>
  <c r="I832" i="4"/>
  <c r="I1354" i="4"/>
  <c r="I865" i="4"/>
  <c r="I503" i="4"/>
  <c r="I1316" i="4"/>
  <c r="I709" i="4"/>
  <c r="I193" i="4"/>
  <c r="I1292" i="4"/>
  <c r="I1293" i="4"/>
  <c r="I1194" i="4"/>
  <c r="I1103" i="4"/>
  <c r="I243" i="4"/>
  <c r="I1003" i="4"/>
  <c r="I1270" i="4"/>
  <c r="I1299" i="4"/>
  <c r="I1300" i="4"/>
  <c r="I849" i="4"/>
  <c r="I11" i="4"/>
  <c r="I969" i="4"/>
  <c r="I105" i="4"/>
  <c r="I1317" i="4"/>
  <c r="I1151" i="4"/>
  <c r="I316" i="4"/>
  <c r="I841" i="4"/>
  <c r="I735" i="4"/>
  <c r="I1195" i="4"/>
  <c r="I797" i="4"/>
  <c r="I1004" i="4"/>
  <c r="I612" i="4"/>
  <c r="I1314" i="4"/>
  <c r="I1315" i="4"/>
  <c r="I644" i="4"/>
  <c r="I1396" i="4"/>
  <c r="I559" i="4"/>
  <c r="I473" i="4"/>
  <c r="I1120" i="4"/>
  <c r="I432" i="4"/>
  <c r="I58" i="4"/>
  <c r="I584" i="4"/>
  <c r="I19" i="4"/>
  <c r="I911" i="4"/>
  <c r="I1178" i="4"/>
  <c r="I433" i="4"/>
  <c r="I1328" i="4"/>
  <c r="I980" i="4"/>
  <c r="I1121" i="4"/>
  <c r="I1255" i="4"/>
  <c r="I633" i="4"/>
  <c r="I757" i="4"/>
  <c r="I1334" i="4"/>
  <c r="I1335" i="4"/>
  <c r="I1196" i="4"/>
  <c r="I1469" i="4"/>
  <c r="I64" i="4"/>
  <c r="I1256" i="4"/>
  <c r="I1340" i="4"/>
  <c r="I1341" i="4"/>
  <c r="I1213" i="4"/>
  <c r="I78" i="4"/>
  <c r="I947" i="4"/>
  <c r="I389" i="4"/>
  <c r="I1258" i="4"/>
  <c r="I1470" i="4"/>
  <c r="I1245" i="4"/>
  <c r="I504" i="4"/>
  <c r="I867" i="4"/>
  <c r="I434" i="4"/>
  <c r="I1260" i="4"/>
  <c r="I970" i="4"/>
  <c r="I710" i="4"/>
  <c r="I1355" i="4"/>
  <c r="I1356" i="4"/>
  <c r="I344" i="4"/>
  <c r="I1412" i="4"/>
  <c r="I1388" i="4"/>
  <c r="I1331" i="4"/>
  <c r="I317" i="4"/>
  <c r="I645" i="4"/>
  <c r="I736" i="4"/>
  <c r="I345" i="4"/>
  <c r="I981" i="4"/>
  <c r="I1471" i="4"/>
  <c r="I1367" i="4"/>
  <c r="I816" i="4"/>
  <c r="I675" i="4"/>
  <c r="I304" i="4"/>
  <c r="I1371" i="4"/>
  <c r="I1451" i="4"/>
  <c r="I156" i="4"/>
  <c r="I305" i="4"/>
  <c r="I46" i="4"/>
  <c r="I1399" i="4"/>
  <c r="I1377" i="4"/>
  <c r="I37" i="4"/>
  <c r="I817" i="4"/>
  <c r="I20" i="4"/>
  <c r="I1381" i="4"/>
  <c r="I84" i="4"/>
  <c r="I1221" i="4"/>
  <c r="I598" i="4"/>
  <c r="I85" i="4"/>
  <c r="I912" i="4"/>
  <c r="I550" i="4"/>
  <c r="I1130" i="4"/>
  <c r="I115" i="4"/>
  <c r="I855" i="4"/>
  <c r="I87" i="4"/>
  <c r="I1392" i="4"/>
  <c r="I88" i="4"/>
  <c r="I971" i="4"/>
  <c r="I984" i="4"/>
  <c r="I89" i="4"/>
  <c r="I1397" i="4"/>
  <c r="I1398" i="4"/>
  <c r="I166" i="4"/>
  <c r="I676" i="4"/>
  <c r="I183" i="4"/>
  <c r="I21" i="4"/>
  <c r="I379" i="4"/>
  <c r="I474" i="4"/>
  <c r="I22" i="4"/>
  <c r="I551" i="4"/>
  <c r="I408" i="4"/>
  <c r="I1261" i="4"/>
  <c r="I985" i="4"/>
  <c r="I306" i="4"/>
  <c r="I531" i="4"/>
  <c r="I625" i="4"/>
  <c r="I116" i="4"/>
  <c r="I157" i="4"/>
  <c r="I599" i="4"/>
  <c r="I881" i="4"/>
  <c r="I1413" i="4"/>
  <c r="I307" i="4"/>
  <c r="I475" i="4"/>
  <c r="I585" i="4"/>
  <c r="I409" i="4"/>
  <c r="I933" i="4"/>
  <c r="I993" i="4"/>
  <c r="I986" i="4"/>
  <c r="I842" i="4"/>
  <c r="I1031" i="4"/>
  <c r="I688" i="4"/>
  <c r="I1290" i="4"/>
  <c r="I363" i="4"/>
  <c r="I1271" i="4"/>
  <c r="I601" i="4"/>
  <c r="I505" i="4"/>
  <c r="I210" i="4"/>
  <c r="I752" i="4"/>
  <c r="I1076" i="4"/>
  <c r="I59" i="4"/>
  <c r="I284" i="4"/>
  <c r="I1152" i="4"/>
  <c r="I79" i="4"/>
  <c r="I1440" i="4"/>
  <c r="I414" i="4"/>
  <c r="I140" i="4"/>
  <c r="I476" i="4"/>
  <c r="I1444" i="4"/>
  <c r="I1414" i="4"/>
  <c r="I1446" i="4"/>
  <c r="I1291" i="4"/>
  <c r="I758" i="4"/>
  <c r="I634" i="4"/>
  <c r="I1415" i="4"/>
  <c r="I1136" i="4"/>
  <c r="I1233" i="4"/>
  <c r="I689" i="4"/>
  <c r="I1454" i="4"/>
  <c r="I921" i="4"/>
  <c r="I477" i="4"/>
  <c r="I331" i="4"/>
  <c r="I520" i="4"/>
  <c r="I626" i="4"/>
  <c r="I1400" i="4"/>
  <c r="I332" i="4"/>
  <c r="I1141" i="4"/>
  <c r="I1463" i="4"/>
  <c r="I130" i="4"/>
  <c r="I318" i="4"/>
  <c r="I185" i="4"/>
  <c r="I1050" i="4"/>
  <c r="I818" i="4"/>
  <c r="I935" i="4"/>
  <c r="I950" i="4"/>
  <c r="I1442" i="4"/>
  <c r="I2" i="4"/>
  <c r="H882" i="4"/>
  <c r="H4" i="4"/>
  <c r="H1088" i="4"/>
  <c r="H801" i="4"/>
  <c r="H106" i="4"/>
  <c r="H65" i="4"/>
  <c r="H24" i="4"/>
  <c r="H602" i="4"/>
  <c r="H988" i="4"/>
  <c r="H922" i="4"/>
  <c r="H646" i="4"/>
  <c r="H804" i="4"/>
  <c r="H285" i="4"/>
  <c r="H16" i="4"/>
  <c r="H452" i="4"/>
  <c r="H415" i="4"/>
  <c r="H552" i="4"/>
  <c r="H418" i="4"/>
  <c r="H265" i="4"/>
  <c r="H1369" i="4"/>
  <c r="H23" i="4"/>
  <c r="H648" i="4"/>
  <c r="H135" i="4"/>
  <c r="H26" i="4"/>
  <c r="H737" i="4"/>
  <c r="H28" i="4"/>
  <c r="H738" i="4"/>
  <c r="H1104" i="4"/>
  <c r="H994" i="4"/>
  <c r="H868" i="4"/>
  <c r="H1416" i="4"/>
  <c r="H1179" i="4"/>
  <c r="H35" i="4"/>
  <c r="H36" i="4"/>
  <c r="H158" i="4"/>
  <c r="H38" i="4"/>
  <c r="H677" i="4"/>
  <c r="H507" i="4"/>
  <c r="H267" i="4"/>
  <c r="H1077" i="4"/>
  <c r="H268" i="4"/>
  <c r="H44" i="4"/>
  <c r="H805" i="4"/>
  <c r="H1016" i="4"/>
  <c r="H47" i="4"/>
  <c r="H308" i="4"/>
  <c r="H435" i="4"/>
  <c r="H856" i="4"/>
  <c r="H390" i="4"/>
  <c r="H52" i="4"/>
  <c r="H53" i="4"/>
  <c r="H436" i="4"/>
  <c r="H1379" i="4"/>
  <c r="H1142" i="4"/>
  <c r="H495" i="4"/>
  <c r="H1332" i="4"/>
  <c r="H1032" i="4"/>
  <c r="H1017" i="4"/>
  <c r="H120" i="4"/>
  <c r="H972" i="4"/>
  <c r="H39" i="4"/>
  <c r="H603" i="4"/>
  <c r="H1051" i="4"/>
  <c r="H1401" i="4"/>
  <c r="H1036" i="4"/>
  <c r="H613" i="4"/>
  <c r="H649" i="4"/>
  <c r="H292" i="4"/>
  <c r="H71" i="4"/>
  <c r="H843" i="4"/>
  <c r="H923" i="4"/>
  <c r="H692" i="4"/>
  <c r="H1389" i="4"/>
  <c r="H1089" i="4"/>
  <c r="H202" i="4"/>
  <c r="H478" i="4"/>
  <c r="H320" i="4"/>
  <c r="H905" i="4"/>
  <c r="H759" i="4"/>
  <c r="H321" i="4"/>
  <c r="H269" i="4"/>
  <c r="H25" i="4"/>
  <c r="H760" i="4"/>
  <c r="H1166" i="4"/>
  <c r="H1214" i="4"/>
  <c r="H573" i="4"/>
  <c r="H819" i="4"/>
  <c r="H60" i="4"/>
  <c r="H91" i="4"/>
  <c r="H66" i="4"/>
  <c r="H244" i="4"/>
  <c r="H936" i="4"/>
  <c r="H1417" i="4"/>
  <c r="H822" i="4"/>
  <c r="H586" i="4"/>
  <c r="H543" i="4"/>
  <c r="H1362" i="4"/>
  <c r="H1418" i="4"/>
  <c r="H159" i="4"/>
  <c r="H102" i="4"/>
  <c r="H309" i="4"/>
  <c r="H104" i="4"/>
  <c r="H1222" i="4"/>
  <c r="H753" i="4"/>
  <c r="H850" i="4"/>
  <c r="H770" i="4"/>
  <c r="H109" i="4"/>
  <c r="H27" i="4"/>
  <c r="H951" i="4"/>
  <c r="H604" i="4"/>
  <c r="H113" i="4"/>
  <c r="H1363" i="4"/>
  <c r="H783" i="4"/>
  <c r="H1037" i="4"/>
  <c r="H1131" i="4"/>
  <c r="H906" i="4"/>
  <c r="H186" i="4"/>
  <c r="H333" i="4"/>
  <c r="H410" i="4"/>
  <c r="H222" i="4"/>
  <c r="H1122" i="4"/>
  <c r="H124" i="4"/>
  <c r="H1272" i="4"/>
  <c r="H126" i="4"/>
  <c r="H784" i="4"/>
  <c r="H128" i="4"/>
  <c r="H129" i="4"/>
  <c r="H1234" i="4"/>
  <c r="H820" i="4"/>
  <c r="H712" i="4"/>
  <c r="H869" i="4"/>
  <c r="H134" i="4"/>
  <c r="H614" i="4"/>
  <c r="H1005" i="4"/>
  <c r="H693" i="4"/>
  <c r="H138" i="4"/>
  <c r="H588" i="4"/>
  <c r="H907" i="4"/>
  <c r="H167" i="4"/>
  <c r="H142" i="4"/>
  <c r="H351" i="4"/>
  <c r="H479" i="4"/>
  <c r="H1333" i="4"/>
  <c r="H334" i="4"/>
  <c r="H352" i="4"/>
  <c r="H48" i="4"/>
  <c r="H61" i="4"/>
  <c r="H223" i="4"/>
  <c r="H353" i="4"/>
  <c r="H650" i="4"/>
  <c r="H1052" i="4"/>
  <c r="H175" i="4"/>
  <c r="H785" i="4"/>
  <c r="H49" i="4"/>
  <c r="H806" i="4"/>
  <c r="H661" i="4"/>
  <c r="H203" i="4"/>
  <c r="H1078" i="4"/>
  <c r="H1080" i="4"/>
  <c r="H419" i="4"/>
  <c r="H1274" i="4"/>
  <c r="H480" i="4"/>
  <c r="H420" i="4"/>
  <c r="H1064" i="4"/>
  <c r="H739" i="4"/>
  <c r="H952" i="4"/>
  <c r="H1153" i="4"/>
  <c r="H786" i="4"/>
  <c r="H335" i="4"/>
  <c r="H1216" i="4"/>
  <c r="H173" i="4"/>
  <c r="H211" i="4"/>
  <c r="H364" i="4"/>
  <c r="H1419" i="4"/>
  <c r="H439" i="4"/>
  <c r="H694" i="4"/>
  <c r="H179" i="4"/>
  <c r="H1053" i="4"/>
  <c r="H714" i="4"/>
  <c r="H553" i="4"/>
  <c r="H1054" i="4"/>
  <c r="H184" i="4"/>
  <c r="H1246" i="4"/>
  <c r="H1276" i="4"/>
  <c r="H574" i="4"/>
  <c r="H1019" i="4"/>
  <c r="H245" i="4"/>
  <c r="H1223" i="4"/>
  <c r="H678" i="4"/>
  <c r="H204" i="4"/>
  <c r="H1123" i="4"/>
  <c r="H194" i="4"/>
  <c r="H270" i="4"/>
  <c r="H715" i="4"/>
  <c r="H635" i="4"/>
  <c r="H1154" i="4"/>
  <c r="H176" i="4"/>
  <c r="H141" i="4"/>
  <c r="H1452" i="4"/>
  <c r="H168" i="4"/>
  <c r="H1370" i="4"/>
  <c r="H391" i="4"/>
  <c r="H1167" i="4"/>
  <c r="H206" i="4"/>
  <c r="H207" i="4"/>
  <c r="H169" i="4"/>
  <c r="H160" i="4"/>
  <c r="H716" i="4"/>
  <c r="H346" i="4"/>
  <c r="H212" i="4"/>
  <c r="H1180" i="4"/>
  <c r="H107" i="4"/>
  <c r="H924" i="4"/>
  <c r="H216" i="4"/>
  <c r="H937" i="4"/>
  <c r="H218" i="4"/>
  <c r="H219" i="4"/>
  <c r="H1453" i="4"/>
  <c r="H953" i="4"/>
  <c r="H883" i="4"/>
  <c r="H205" i="4"/>
  <c r="H1090" i="4"/>
  <c r="H293" i="4"/>
  <c r="H195" i="4"/>
  <c r="H1197" i="4"/>
  <c r="H1039" i="4"/>
  <c r="H605" i="4"/>
  <c r="H3" i="4"/>
  <c r="H231" i="4"/>
  <c r="H1132" i="4"/>
  <c r="H1277" i="4"/>
  <c r="H787" i="4"/>
  <c r="H771" i="4"/>
  <c r="H236" i="4"/>
  <c r="H12" i="4"/>
  <c r="H238" i="4"/>
  <c r="H421" i="4"/>
  <c r="H788" i="4"/>
  <c r="H241" i="4"/>
  <c r="H224" i="4"/>
  <c r="H1235" i="4"/>
  <c r="H271" i="4"/>
  <c r="H884" i="4"/>
  <c r="H246" i="4"/>
  <c r="H1198" i="4"/>
  <c r="H521" i="4"/>
  <c r="H1318" i="4"/>
  <c r="H143" i="4"/>
  <c r="H1319" i="4"/>
  <c r="H252" i="4"/>
  <c r="H938" i="4"/>
  <c r="H1402" i="4"/>
  <c r="H1065" i="4"/>
  <c r="H90" i="4"/>
  <c r="H1262" i="4"/>
  <c r="H789" i="4"/>
  <c r="H790" i="4"/>
  <c r="H679" i="4"/>
  <c r="H261" i="4"/>
  <c r="H99" i="4"/>
  <c r="H392" i="4"/>
  <c r="H1380" i="4"/>
  <c r="H522" i="4"/>
  <c r="H266" i="4"/>
  <c r="H925" i="4"/>
  <c r="H1137" i="4"/>
  <c r="H761" i="4"/>
  <c r="H196" i="4"/>
  <c r="H1403" i="4"/>
  <c r="H197" i="4"/>
  <c r="H273" i="4"/>
  <c r="H1124" i="4"/>
  <c r="H857" i="4"/>
  <c r="H347" i="4"/>
  <c r="H1133" i="4"/>
  <c r="H576" i="4"/>
  <c r="H1364" i="4"/>
  <c r="H144" i="4"/>
  <c r="H755" i="4"/>
  <c r="H1294" i="4"/>
  <c r="H286" i="4"/>
  <c r="H1295" i="4"/>
  <c r="H393" i="4"/>
  <c r="H1091" i="4"/>
  <c r="H1296" i="4"/>
  <c r="H288" i="4"/>
  <c r="H995" i="4"/>
  <c r="H290" i="4"/>
  <c r="H523" i="4"/>
  <c r="H1465" i="4"/>
  <c r="H544" i="4"/>
  <c r="H870" i="4"/>
  <c r="H295" i="4"/>
  <c r="H1404" i="4"/>
  <c r="H422" i="4"/>
  <c r="H298" i="4"/>
  <c r="H1125" i="4"/>
  <c r="H823" i="4"/>
  <c r="H1181" i="4"/>
  <c r="H824" i="4"/>
  <c r="H1443" i="4"/>
  <c r="H1199" i="4"/>
  <c r="H680" i="4"/>
  <c r="H651" i="4"/>
  <c r="H1278" i="4"/>
  <c r="H1168" i="4"/>
  <c r="H13" i="4"/>
  <c r="H606" i="4"/>
  <c r="H871" i="4"/>
  <c r="H636" i="4"/>
  <c r="H287" i="4"/>
  <c r="H973" i="4"/>
  <c r="H440" i="4"/>
  <c r="H615" i="4"/>
  <c r="H272" i="4"/>
  <c r="H1247" i="4"/>
  <c r="H319" i="4"/>
  <c r="H233" i="4"/>
  <c r="H772" i="4"/>
  <c r="H80" i="4"/>
  <c r="H1006" i="4"/>
  <c r="H1263" i="4"/>
  <c r="H325" i="4"/>
  <c r="H1336" i="4"/>
  <c r="H86" i="4"/>
  <c r="H1217" i="4"/>
  <c r="H329" i="4"/>
  <c r="H255" i="4"/>
  <c r="H1420" i="4"/>
  <c r="H425" i="4"/>
  <c r="H939" i="4"/>
  <c r="H1040" i="4"/>
  <c r="H336" i="4"/>
  <c r="H637" i="4"/>
  <c r="H453" i="4"/>
  <c r="H338" i="4"/>
  <c r="H274" i="4"/>
  <c r="H807" i="4"/>
  <c r="H454" i="4"/>
  <c r="H81" i="4"/>
  <c r="H5" i="4"/>
  <c r="H808" i="4"/>
  <c r="H1421" i="4"/>
  <c r="H1007" i="4"/>
  <c r="H996" i="4"/>
  <c r="H617" i="4"/>
  <c r="H858" i="4"/>
  <c r="H974" i="4"/>
  <c r="H117" i="4"/>
  <c r="H381" i="4"/>
  <c r="H161" i="4"/>
  <c r="H496" i="4"/>
  <c r="H652" i="4"/>
  <c r="H872" i="4"/>
  <c r="H895" i="4"/>
  <c r="H618" i="4"/>
  <c r="H359" i="4"/>
  <c r="H1105" i="4"/>
  <c r="H532" i="4"/>
  <c r="H234" i="4"/>
  <c r="H1279" i="4"/>
  <c r="H337" i="4"/>
  <c r="H365" i="4"/>
  <c r="H225" i="4"/>
  <c r="H1297" i="4"/>
  <c r="H368" i="4"/>
  <c r="H187" i="4"/>
  <c r="H370" i="4"/>
  <c r="H394" i="4"/>
  <c r="H372" i="4"/>
  <c r="H1357" i="4"/>
  <c r="H619" i="4"/>
  <c r="H1066" i="4"/>
  <c r="H411" i="4"/>
  <c r="H1042" i="4"/>
  <c r="H67" i="4"/>
  <c r="H620" i="4"/>
  <c r="H380" i="4"/>
  <c r="H1372" i="4"/>
  <c r="H145" i="4"/>
  <c r="H366" i="4"/>
  <c r="H384" i="4"/>
  <c r="H1466" i="4"/>
  <c r="H1139" i="4"/>
  <c r="H387" i="4"/>
  <c r="H1055" i="4"/>
  <c r="H456" i="4"/>
  <c r="H681" i="4"/>
  <c r="H1280" i="4"/>
  <c r="H653" i="4"/>
  <c r="H825" i="4"/>
  <c r="H1067" i="4"/>
  <c r="H1390" i="4"/>
  <c r="H1467" i="4"/>
  <c r="H367" i="4"/>
  <c r="H369" i="4"/>
  <c r="H914" i="4"/>
  <c r="H247" i="4"/>
  <c r="H1309" i="4"/>
  <c r="H1282" i="4"/>
  <c r="H1382" i="4"/>
  <c r="H1068" i="4"/>
  <c r="H896" i="4"/>
  <c r="H997" i="4"/>
  <c r="H407" i="4"/>
  <c r="H748" i="4"/>
  <c r="H717" i="4"/>
  <c r="H1422" i="4"/>
  <c r="H6" i="4"/>
  <c r="H1043" i="4"/>
  <c r="H1156" i="4"/>
  <c r="H1320" i="4"/>
  <c r="H508" i="4"/>
  <c r="H416" i="4"/>
  <c r="H417" i="4"/>
  <c r="H663" i="4"/>
  <c r="H1249" i="4"/>
  <c r="H68" i="4"/>
  <c r="H1358" i="4"/>
  <c r="H916" i="4"/>
  <c r="H423" i="4"/>
  <c r="H424" i="4"/>
  <c r="H1200" i="4"/>
  <c r="H792" i="4"/>
  <c r="H1134" i="4"/>
  <c r="H40" i="4"/>
  <c r="H762" i="4"/>
  <c r="H773" i="4"/>
  <c r="H654" i="4"/>
  <c r="H457" i="4"/>
  <c r="H395" i="4"/>
  <c r="H524" i="4"/>
  <c r="H226" i="4"/>
  <c r="H666" i="4"/>
  <c r="H437" i="4"/>
  <c r="H438" i="4"/>
  <c r="H1455" i="4"/>
  <c r="H718" i="4"/>
  <c r="H441" i="4"/>
  <c r="H442" i="4"/>
  <c r="H412" i="4"/>
  <c r="H667" i="4"/>
  <c r="H445" i="4"/>
  <c r="H92" i="4"/>
  <c r="H235" i="4"/>
  <c r="H1092" i="4"/>
  <c r="H1069" i="4"/>
  <c r="H719" i="4"/>
  <c r="H322" i="4"/>
  <c r="H696" i="4"/>
  <c r="H1020" i="4"/>
  <c r="H443" i="4"/>
  <c r="H455" i="4"/>
  <c r="H483" i="4"/>
  <c r="H918" i="4"/>
  <c r="H545" i="4"/>
  <c r="H459" i="4"/>
  <c r="H1218" i="4"/>
  <c r="H29" i="4"/>
  <c r="H1106" i="4"/>
  <c r="H509" i="4"/>
  <c r="H1265" i="4"/>
  <c r="H465" i="4"/>
  <c r="H1284" i="4"/>
  <c r="H560" i="4"/>
  <c r="H1170" i="4"/>
  <c r="H1266" i="4"/>
  <c r="H354" i="4"/>
  <c r="H471" i="4"/>
  <c r="H339" i="4"/>
  <c r="H1434" i="4"/>
  <c r="H525" i="4"/>
  <c r="H41" i="4"/>
  <c r="H874" i="4"/>
  <c r="H834" i="4"/>
  <c r="H682" i="4"/>
  <c r="H136" i="4"/>
  <c r="H213" i="4"/>
  <c r="H481" i="4"/>
  <c r="H482" i="4"/>
  <c r="H765" i="4"/>
  <c r="H484" i="4"/>
  <c r="H1143" i="4"/>
  <c r="H310" i="4"/>
  <c r="H1337" i="4"/>
  <c r="H444" i="4"/>
  <c r="H1383" i="4"/>
  <c r="H698" i="4"/>
  <c r="H897" i="4"/>
  <c r="H908" i="4"/>
  <c r="H940" i="4"/>
  <c r="H275" i="4"/>
  <c r="H323" i="4"/>
  <c r="H214" i="4"/>
  <c r="H497" i="4"/>
  <c r="H589" i="4"/>
  <c r="H340" i="4"/>
  <c r="H1338" i="4"/>
  <c r="H670" i="4"/>
  <c r="H498" i="4"/>
  <c r="H30" i="4"/>
  <c r="H341" i="4"/>
  <c r="H1423" i="4"/>
  <c r="H506" i="4"/>
  <c r="H248" i="4"/>
  <c r="H485" i="4"/>
  <c r="H885" i="4"/>
  <c r="H699" i="4"/>
  <c r="H1424" i="4"/>
  <c r="H998" i="4"/>
  <c r="H590" i="4"/>
  <c r="H956" i="4"/>
  <c r="H515" i="4"/>
  <c r="H516" i="4"/>
  <c r="H486" i="4"/>
  <c r="H1144" i="4"/>
  <c r="H1021" i="4"/>
  <c r="H1405" i="4"/>
  <c r="H1000" i="4"/>
  <c r="H1145" i="4"/>
  <c r="H835" i="4"/>
  <c r="H355" i="4"/>
  <c r="H31" i="4"/>
  <c r="H1022" i="4"/>
  <c r="H527" i="4"/>
  <c r="H1250" i="4"/>
  <c r="H458" i="4"/>
  <c r="H530" i="4"/>
  <c r="H1365" i="4"/>
  <c r="H311" i="4"/>
  <c r="H1157" i="4"/>
  <c r="H1158" i="4"/>
  <c r="H1093" i="4"/>
  <c r="H42" i="4"/>
  <c r="H371" i="4"/>
  <c r="H926" i="4"/>
  <c r="H1159" i="4"/>
  <c r="H740" i="4"/>
  <c r="H121" i="4"/>
  <c r="H542" i="4"/>
  <c r="H720" i="4"/>
  <c r="H69" i="4"/>
  <c r="H1406" i="4"/>
  <c r="H460" i="4"/>
  <c r="H1236" i="4"/>
  <c r="H1310" i="4"/>
  <c r="H549" i="4"/>
  <c r="H957" i="4"/>
  <c r="H1126" i="4"/>
  <c r="H1107" i="4"/>
  <c r="H215" i="4"/>
  <c r="H561" i="4"/>
  <c r="H766" i="4"/>
  <c r="H1456" i="4"/>
  <c r="H1321" i="4"/>
  <c r="H1182" i="4"/>
  <c r="H836" i="4"/>
  <c r="H875" i="4"/>
  <c r="H188" i="4"/>
  <c r="H487" i="4"/>
  <c r="H672" i="4"/>
  <c r="H564" i="4"/>
  <c r="H177" i="4"/>
  <c r="H170" i="4"/>
  <c r="H1322" i="4"/>
  <c r="H568" i="4"/>
  <c r="H1146" i="4"/>
  <c r="H570" i="4"/>
  <c r="H294" i="4"/>
  <c r="H1109" i="4"/>
  <c r="H639" i="4"/>
  <c r="H1339" i="4"/>
  <c r="H575" i="4"/>
  <c r="H721" i="4"/>
  <c r="H413" i="4"/>
  <c r="H1183" i="4"/>
  <c r="H237" i="4"/>
  <c r="H446" i="4"/>
  <c r="H70" i="4"/>
  <c r="H447" i="4"/>
  <c r="H1044" i="4"/>
  <c r="H1298" i="4"/>
  <c r="H348" i="4"/>
  <c r="H1081" i="4"/>
  <c r="H587" i="4"/>
  <c r="H1285" i="4"/>
  <c r="H108" i="4"/>
  <c r="H1342" i="4"/>
  <c r="H591" i="4"/>
  <c r="H256" i="4"/>
  <c r="H593" i="4"/>
  <c r="H546" i="4"/>
  <c r="H1301" i="4"/>
  <c r="H826" i="4"/>
  <c r="H597" i="4"/>
  <c r="H1160" i="4"/>
  <c r="H547" i="4"/>
  <c r="H600" i="4"/>
  <c r="H93" i="4"/>
  <c r="H100" i="4"/>
  <c r="H382" i="4"/>
  <c r="H845" i="4"/>
  <c r="H7" i="4"/>
  <c r="H1056" i="4"/>
  <c r="H749" i="4"/>
  <c r="H289" i="4"/>
  <c r="H609" i="4"/>
  <c r="H610" i="4"/>
  <c r="H860" i="4"/>
  <c r="H131" i="4"/>
  <c r="H1094" i="4"/>
  <c r="H876" i="4"/>
  <c r="H1184" i="4"/>
  <c r="H616" i="4"/>
  <c r="H171" i="4"/>
  <c r="H1445" i="4"/>
  <c r="H958" i="4"/>
  <c r="H1201" i="4"/>
  <c r="H1457" i="4"/>
  <c r="H959" i="4"/>
  <c r="H257" i="4"/>
  <c r="H886" i="4"/>
  <c r="H943" i="4"/>
  <c r="H1323" i="4"/>
  <c r="H312" i="4"/>
  <c r="H8" i="4"/>
  <c r="H146" i="4"/>
  <c r="H944" i="4"/>
  <c r="H1202" i="4"/>
  <c r="H396" i="4"/>
  <c r="H723" i="4"/>
  <c r="H178" i="4"/>
  <c r="H827" i="4"/>
  <c r="H861" i="4"/>
  <c r="H1391" i="4"/>
  <c r="H638" i="4"/>
  <c r="H724" i="4"/>
  <c r="H198" i="4"/>
  <c r="H673" i="4"/>
  <c r="H960" i="4"/>
  <c r="H1359" i="4"/>
  <c r="H683" i="4"/>
  <c r="H684" i="4"/>
  <c r="H324" i="4"/>
  <c r="H647" i="4"/>
  <c r="H1343" i="4"/>
  <c r="H562" i="4"/>
  <c r="H1024" i="4"/>
  <c r="H640" i="4"/>
  <c r="H488" i="4"/>
  <c r="H50" i="4"/>
  <c r="H397" i="4"/>
  <c r="H863" i="4"/>
  <c r="H132" i="4"/>
  <c r="H258" i="4"/>
  <c r="H658" i="4"/>
  <c r="H1267" i="4"/>
  <c r="H448" i="4"/>
  <c r="H1432" i="4"/>
  <c r="H662" i="4"/>
  <c r="H1025" i="4"/>
  <c r="H664" i="4"/>
  <c r="H665" i="4"/>
  <c r="H1204" i="4"/>
  <c r="H1205" i="4"/>
  <c r="H668" i="4"/>
  <c r="H669" i="4"/>
  <c r="H1001" i="4"/>
  <c r="H671" i="4"/>
  <c r="H1252" i="4"/>
  <c r="H356" i="4"/>
  <c r="H1447" i="4"/>
  <c r="H1171" i="4"/>
  <c r="H1468" i="4"/>
  <c r="H975" i="4"/>
  <c r="H1458" i="4"/>
  <c r="H961" i="4"/>
  <c r="H383" i="4"/>
  <c r="H51" i="4"/>
  <c r="H577" i="4"/>
  <c r="H1135" i="4"/>
  <c r="H82" i="4"/>
  <c r="H685" i="4"/>
  <c r="H449" i="4"/>
  <c r="H533" i="4"/>
  <c r="H592" i="4"/>
  <c r="H296" i="4"/>
  <c r="H690" i="4"/>
  <c r="H691" i="4"/>
  <c r="H1425" i="4"/>
  <c r="H54" i="4"/>
  <c r="H349" i="4"/>
  <c r="H695" i="4"/>
  <c r="H1045" i="4"/>
  <c r="H697" i="4"/>
  <c r="H898" i="4"/>
  <c r="H1071" i="4"/>
  <c r="H72" i="4"/>
  <c r="H774" i="4"/>
  <c r="H702" i="4"/>
  <c r="H1426" i="4"/>
  <c r="H1344" i="4"/>
  <c r="H1435" i="4"/>
  <c r="H1311" i="4"/>
  <c r="H276" i="4"/>
  <c r="H708" i="4"/>
  <c r="H578" i="4"/>
  <c r="H239" i="4"/>
  <c r="H711" i="4"/>
  <c r="H217" i="4"/>
  <c r="H713" i="4"/>
  <c r="H655" i="4"/>
  <c r="H621" i="4"/>
  <c r="H725" i="4"/>
  <c r="H73" i="4"/>
  <c r="H1082" i="4"/>
  <c r="H180" i="4"/>
  <c r="H607" i="4"/>
  <c r="H767" i="4"/>
  <c r="H722" i="4"/>
  <c r="H227" i="4"/>
  <c r="H1448" i="4"/>
  <c r="H579" i="4"/>
  <c r="H1226" i="4"/>
  <c r="H727" i="4"/>
  <c r="H228" i="4"/>
  <c r="H1010" i="4"/>
  <c r="H846" i="4"/>
  <c r="H326" i="4"/>
  <c r="H1393" i="4"/>
  <c r="H733" i="4"/>
  <c r="H734" i="4"/>
  <c r="H489" i="4"/>
  <c r="H1237" i="4"/>
  <c r="H1172" i="4"/>
  <c r="H297" i="4"/>
  <c r="H809" i="4"/>
  <c r="H249" i="4"/>
  <c r="H461" i="4"/>
  <c r="H220" i="4"/>
  <c r="H14" i="4"/>
  <c r="H1268" i="4"/>
  <c r="H1449" i="4"/>
  <c r="H746" i="4"/>
  <c r="H1345" i="4"/>
  <c r="H1147" i="4"/>
  <c r="H810" i="4"/>
  <c r="H750" i="4"/>
  <c r="H751" i="4"/>
  <c r="H656" i="4"/>
  <c r="H756" i="4"/>
  <c r="H754" i="4"/>
  <c r="H510" i="4"/>
  <c r="H877" i="4"/>
  <c r="H1436" i="4"/>
  <c r="H162" i="4"/>
  <c r="H373" i="4"/>
  <c r="H887" i="4"/>
  <c r="H277" i="4"/>
  <c r="H1161" i="4"/>
  <c r="H763" i="4"/>
  <c r="H764" i="4"/>
  <c r="H563" i="4"/>
  <c r="H1208" i="4"/>
  <c r="H1427" i="4"/>
  <c r="H163" i="4"/>
  <c r="H133" i="4"/>
  <c r="H1450" i="4"/>
  <c r="H726" i="4"/>
  <c r="H1428" i="4"/>
  <c r="H398" i="4"/>
  <c r="H1011" i="4"/>
  <c r="H962" i="4"/>
  <c r="H342" i="4"/>
  <c r="H627" i="4"/>
  <c r="H778" i="4"/>
  <c r="H779" i="4"/>
  <c r="H250" i="4"/>
  <c r="H781" i="4"/>
  <c r="H782" i="4"/>
  <c r="H462" i="4"/>
  <c r="H828" i="4"/>
  <c r="H1110" i="4"/>
  <c r="H526" i="4"/>
  <c r="H374" i="4"/>
  <c r="H147" i="4"/>
  <c r="H945" i="4"/>
  <c r="H795" i="4"/>
  <c r="H791" i="4"/>
  <c r="H55" i="4"/>
  <c r="H793" i="4"/>
  <c r="H794" i="4"/>
  <c r="H534" i="4"/>
  <c r="H1162" i="4"/>
  <c r="H511" i="4"/>
  <c r="H798" i="4"/>
  <c r="H799" i="4"/>
  <c r="H800" i="4"/>
  <c r="H548" i="4"/>
  <c r="H802" i="4"/>
  <c r="H803" i="4"/>
  <c r="H221" i="4"/>
  <c r="H811" i="4"/>
  <c r="H812" i="4"/>
  <c r="H641" i="4"/>
  <c r="H15" i="4"/>
  <c r="H1346" i="4"/>
  <c r="H229" i="4"/>
  <c r="H1433" i="4"/>
  <c r="H741" i="4"/>
  <c r="H674" i="4"/>
  <c r="H1384" i="4"/>
  <c r="H815" i="4"/>
  <c r="H1111" i="4"/>
  <c r="H251" i="4"/>
  <c r="H837" i="4"/>
  <c r="H1437" i="4"/>
  <c r="H528" i="4"/>
  <c r="H775" i="4"/>
  <c r="H1459" i="4"/>
  <c r="H1460" i="4"/>
  <c r="H554" i="4"/>
  <c r="H888" i="4"/>
  <c r="H535" i="4"/>
  <c r="H199" i="4"/>
  <c r="H1227" i="4"/>
  <c r="H976" i="4"/>
  <c r="H830" i="4"/>
  <c r="H831" i="4"/>
  <c r="H899" i="4"/>
  <c r="H833" i="4"/>
  <c r="H1461" i="4"/>
  <c r="H122" i="4"/>
  <c r="H728" i="4"/>
  <c r="H189" i="4"/>
  <c r="H838" i="4"/>
  <c r="H1385" i="4"/>
  <c r="H840" i="4"/>
  <c r="H1115" i="4"/>
  <c r="H1095" i="4"/>
  <c r="H463" i="4"/>
  <c r="H844" i="4"/>
  <c r="H357" i="4"/>
  <c r="H1269" i="4"/>
  <c r="H1127" i="4"/>
  <c r="H813" i="4"/>
  <c r="H1128" i="4"/>
  <c r="H1407" i="4"/>
  <c r="H851" i="4"/>
  <c r="H17" i="4"/>
  <c r="H1240" i="4"/>
  <c r="H594" i="4"/>
  <c r="H536" i="4"/>
  <c r="H700" i="4"/>
  <c r="H1408" i="4"/>
  <c r="H512" i="4"/>
  <c r="H859" i="4"/>
  <c r="H1409" i="4"/>
  <c r="H889" i="4"/>
  <c r="H862" i="4"/>
  <c r="H776" i="4"/>
  <c r="H729" i="4"/>
  <c r="H622" i="4"/>
  <c r="H866" i="4"/>
  <c r="H375" i="4"/>
  <c r="H730" i="4"/>
  <c r="H1046" i="4"/>
  <c r="H1253" i="4"/>
  <c r="H1096" i="4"/>
  <c r="H1129" i="4"/>
  <c r="H873" i="4"/>
  <c r="H1438" i="4"/>
  <c r="H900" i="4"/>
  <c r="H847" i="4"/>
  <c r="H399" i="4"/>
  <c r="H400" i="4"/>
  <c r="H208" i="4"/>
  <c r="H628" i="4"/>
  <c r="H327" i="4"/>
  <c r="H74" i="4"/>
  <c r="H56" i="4"/>
  <c r="H1072" i="4"/>
  <c r="H537" i="4"/>
  <c r="H148" i="4"/>
  <c r="H963" i="4"/>
  <c r="H313" i="4"/>
  <c r="H1097" i="4"/>
  <c r="H1324" i="4"/>
  <c r="H1228" i="4"/>
  <c r="H1098" i="4"/>
  <c r="H1209" i="4"/>
  <c r="H894" i="4"/>
  <c r="H499" i="4"/>
  <c r="H240" i="4"/>
  <c r="H701" i="4"/>
  <c r="H989" i="4"/>
  <c r="H901" i="4"/>
  <c r="H1373" i="4"/>
  <c r="H358" i="4"/>
  <c r="H538" i="4"/>
  <c r="H1439" i="4"/>
  <c r="H110" i="4"/>
  <c r="H513" i="4"/>
  <c r="H927" i="4"/>
  <c r="H1073" i="4"/>
  <c r="H426" i="4"/>
  <c r="H75" i="4"/>
  <c r="H149" i="4"/>
  <c r="H1360" i="4"/>
  <c r="H1286" i="4"/>
  <c r="H913" i="4"/>
  <c r="H657" i="4"/>
  <c r="H915" i="4"/>
  <c r="H1229" i="4"/>
  <c r="H917" i="4"/>
  <c r="H909" i="4"/>
  <c r="H565" i="4"/>
  <c r="H1325" i="4"/>
  <c r="H642" i="4"/>
  <c r="H1099" i="4"/>
  <c r="H1230" i="4"/>
  <c r="H500" i="4"/>
  <c r="H1148" i="4"/>
  <c r="H529" i="4"/>
  <c r="H566" i="4"/>
  <c r="H123" i="4"/>
  <c r="H464" i="4"/>
  <c r="H930" i="4"/>
  <c r="H1026" i="4"/>
  <c r="H1116" i="4"/>
  <c r="H450" i="4"/>
  <c r="H934" i="4"/>
  <c r="H514" i="4"/>
  <c r="H401" i="4"/>
  <c r="H539" i="4"/>
  <c r="H1185" i="4"/>
  <c r="H990" i="4"/>
  <c r="H242" i="4"/>
  <c r="H941" i="4"/>
  <c r="H942" i="4"/>
  <c r="H259" i="4"/>
  <c r="H1394" i="4"/>
  <c r="H181" i="4"/>
  <c r="H385" i="4"/>
  <c r="H182" i="4"/>
  <c r="H948" i="4"/>
  <c r="H949" i="4"/>
  <c r="H1057" i="4"/>
  <c r="H1302" i="4"/>
  <c r="H1410" i="4"/>
  <c r="H402" i="4"/>
  <c r="H954" i="4"/>
  <c r="H955" i="4"/>
  <c r="H403" i="4"/>
  <c r="H466" i="4"/>
  <c r="H919" i="4"/>
  <c r="H1395" i="4"/>
  <c r="H1074" i="4"/>
  <c r="H9" i="4"/>
  <c r="H1012" i="4"/>
  <c r="H1075" i="4"/>
  <c r="H878" i="4"/>
  <c r="H278" i="4"/>
  <c r="H1347" i="4"/>
  <c r="H1013" i="4"/>
  <c r="H968" i="4"/>
  <c r="H427" i="4"/>
  <c r="H428" i="4"/>
  <c r="H467" i="4"/>
  <c r="H1241" i="4"/>
  <c r="H928" i="4"/>
  <c r="H1374" i="4"/>
  <c r="H796" i="4"/>
  <c r="H1429" i="4"/>
  <c r="H977" i="4"/>
  <c r="H890" i="4"/>
  <c r="H230" i="4"/>
  <c r="H200" i="4"/>
  <c r="H703" i="4"/>
  <c r="H982" i="4"/>
  <c r="H983" i="4"/>
  <c r="H1287" i="4"/>
  <c r="H101" i="4"/>
  <c r="H260" i="4"/>
  <c r="H987" i="4"/>
  <c r="H404" i="4"/>
  <c r="H1100" i="4"/>
  <c r="H1210" i="4"/>
  <c r="H1411" i="4"/>
  <c r="H1083" i="4"/>
  <c r="H1303" i="4"/>
  <c r="H1348" i="4"/>
  <c r="H1174" i="4"/>
  <c r="H125" i="4"/>
  <c r="H891" i="4"/>
  <c r="H137" i="4"/>
  <c r="H999" i="4"/>
  <c r="H343" i="4"/>
  <c r="H405" i="4"/>
  <c r="H1288" i="4"/>
  <c r="H555" i="4"/>
  <c r="H595" i="4"/>
  <c r="H929" i="4"/>
  <c r="H501" i="4"/>
  <c r="H1149" i="4"/>
  <c r="H1008" i="4"/>
  <c r="H1009" i="4"/>
  <c r="H540" i="4"/>
  <c r="H150" i="4"/>
  <c r="H299" i="4"/>
  <c r="H502" i="4"/>
  <c r="H1014" i="4"/>
  <c r="H376" i="4"/>
  <c r="H1375" i="4"/>
  <c r="H1242" i="4"/>
  <c r="H1018" i="4"/>
  <c r="H821" i="4"/>
  <c r="H608" i="4"/>
  <c r="H1175" i="4"/>
  <c r="H1211" i="4"/>
  <c r="H1023" i="4"/>
  <c r="H768" i="4"/>
  <c r="H360" i="4"/>
  <c r="H300" i="4"/>
  <c r="H1231" i="4"/>
  <c r="H920" i="4"/>
  <c r="H629" i="4"/>
  <c r="H1186" i="4"/>
  <c r="H1326" i="4"/>
  <c r="H852" i="4"/>
  <c r="H1033" i="4"/>
  <c r="H1034" i="4"/>
  <c r="H1035" i="4"/>
  <c r="H1176" i="4"/>
  <c r="H864" i="4"/>
  <c r="H1038" i="4"/>
  <c r="H1027" i="4"/>
  <c r="H556" i="4"/>
  <c r="H1041" i="4"/>
  <c r="H1028" i="4"/>
  <c r="H517" i="4"/>
  <c r="H1187" i="4"/>
  <c r="H1117" i="4"/>
  <c r="H103" i="4"/>
  <c r="H1349" i="4"/>
  <c r="H172" i="4"/>
  <c r="H1219" i="4"/>
  <c r="H1254" i="4"/>
  <c r="H991" i="4"/>
  <c r="H1350" i="4"/>
  <c r="H1002" i="4"/>
  <c r="H580" i="4"/>
  <c r="H686" i="4"/>
  <c r="H1232" i="4"/>
  <c r="H1212" i="4"/>
  <c r="H1058" i="4"/>
  <c r="H1059" i="4"/>
  <c r="H1060" i="4"/>
  <c r="H1441" i="4"/>
  <c r="H1062" i="4"/>
  <c r="H1189" i="4"/>
  <c r="H567" i="4"/>
  <c r="H151" i="4"/>
  <c r="H1220" i="4"/>
  <c r="H1304" i="4"/>
  <c r="H630" i="4"/>
  <c r="H152" i="4"/>
  <c r="H1070" i="4"/>
  <c r="H1351" i="4"/>
  <c r="H964" i="4"/>
  <c r="H1305" i="4"/>
  <c r="H1061" i="4"/>
  <c r="H623" i="4"/>
  <c r="H946" i="4"/>
  <c r="H581" i="4"/>
  <c r="H111" i="4"/>
  <c r="H1079" i="4"/>
  <c r="H1306" i="4"/>
  <c r="H279" i="4"/>
  <c r="H1150" i="4"/>
  <c r="H557" i="4"/>
  <c r="H1376" i="4"/>
  <c r="H1085" i="4"/>
  <c r="H164" i="4"/>
  <c r="H1087" i="4"/>
  <c r="H631" i="4"/>
  <c r="H848" i="4"/>
  <c r="H1352" i="4"/>
  <c r="H386" i="4"/>
  <c r="H94" i="4"/>
  <c r="H406" i="4"/>
  <c r="H1378" i="4"/>
  <c r="H910" i="4"/>
  <c r="H174" i="4"/>
  <c r="H153" i="4"/>
  <c r="H280" i="4"/>
  <c r="H965" i="4"/>
  <c r="H314" i="4"/>
  <c r="H165" i="4"/>
  <c r="H62" i="4"/>
  <c r="H253" i="4"/>
  <c r="H731" i="4"/>
  <c r="H1243" i="4"/>
  <c r="H10" i="4"/>
  <c r="H1029" i="4"/>
  <c r="H1108" i="4"/>
  <c r="H377" i="4"/>
  <c r="H777" i="4"/>
  <c r="H1430" i="4"/>
  <c r="H1112" i="4"/>
  <c r="H1113" i="4"/>
  <c r="H1114" i="4"/>
  <c r="H732" i="4"/>
  <c r="H83" i="4"/>
  <c r="H1047" i="4"/>
  <c r="H659" i="4"/>
  <c r="H978" i="4"/>
  <c r="H76" i="4"/>
  <c r="H704" i="4"/>
  <c r="H569" i="4"/>
  <c r="H32" i="4"/>
  <c r="H201" i="4"/>
  <c r="H43" i="4"/>
  <c r="H490" i="4"/>
  <c r="H1190" i="4"/>
  <c r="H262" i="4"/>
  <c r="H57" i="4"/>
  <c r="H632" i="4"/>
  <c r="H1244" i="4"/>
  <c r="H1462" i="4"/>
  <c r="H1177" i="4"/>
  <c r="H361" i="4"/>
  <c r="H18" i="4"/>
  <c r="H643" i="4"/>
  <c r="H902" i="4"/>
  <c r="H1138" i="4"/>
  <c r="H1386" i="4"/>
  <c r="H281" i="4"/>
  <c r="H814" i="4"/>
  <c r="H282" i="4"/>
  <c r="H328" i="4"/>
  <c r="H468" i="4"/>
  <c r="H903" i="4"/>
  <c r="H1289" i="4"/>
  <c r="H705" i="4"/>
  <c r="H1118" i="4"/>
  <c r="H77" i="4"/>
  <c r="H154" i="4"/>
  <c r="H582" i="4"/>
  <c r="H388" i="4"/>
  <c r="H1048" i="4"/>
  <c r="H624" i="4"/>
  <c r="H1155" i="4"/>
  <c r="H558" i="4"/>
  <c r="H518" i="4"/>
  <c r="H1327" i="4"/>
  <c r="H1030" i="4"/>
  <c r="H769" i="4"/>
  <c r="H1191" i="4"/>
  <c r="H541" i="4"/>
  <c r="H742" i="4"/>
  <c r="H1164" i="4"/>
  <c r="H451" i="4"/>
  <c r="H429" i="4"/>
  <c r="H1163" i="4"/>
  <c r="H1329" i="4"/>
  <c r="H1169" i="4"/>
  <c r="H1431" i="4"/>
  <c r="H931" i="4"/>
  <c r="H430" i="4"/>
  <c r="H1173" i="4"/>
  <c r="H491" i="4"/>
  <c r="H979" i="4"/>
  <c r="H362" i="4"/>
  <c r="H33" i="4"/>
  <c r="H34" i="4"/>
  <c r="H743" i="4"/>
  <c r="H492" i="4"/>
  <c r="H254" i="4"/>
  <c r="H829" i="4"/>
  <c r="H95" i="4"/>
  <c r="H493" i="4"/>
  <c r="H519" i="4"/>
  <c r="H350" i="4"/>
  <c r="H892" i="4"/>
  <c r="H1188" i="4"/>
  <c r="H571" i="4"/>
  <c r="H96" i="4"/>
  <c r="H232" i="4"/>
  <c r="H1049" i="4"/>
  <c r="H118" i="4"/>
  <c r="H1084" i="4"/>
  <c r="H283" i="4"/>
  <c r="H209" i="4"/>
  <c r="H1119" i="4"/>
  <c r="H431" i="4"/>
  <c r="H1464" i="4"/>
  <c r="H853" i="4"/>
  <c r="H301" i="4"/>
  <c r="H611" i="4"/>
  <c r="H1203" i="4"/>
  <c r="H112" i="4"/>
  <c r="H966" i="4"/>
  <c r="H1206" i="4"/>
  <c r="H1207" i="4"/>
  <c r="H706" i="4"/>
  <c r="H992" i="4"/>
  <c r="H744" i="4"/>
  <c r="H1063" i="4"/>
  <c r="H707" i="4"/>
  <c r="H1366" i="4"/>
  <c r="H1307" i="4"/>
  <c r="H1215" i="4"/>
  <c r="H190" i="4"/>
  <c r="H1387" i="4"/>
  <c r="H119" i="4"/>
  <c r="H1140" i="4"/>
  <c r="H1165" i="4"/>
  <c r="H97" i="4"/>
  <c r="H127" i="4"/>
  <c r="H839" i="4"/>
  <c r="H1224" i="4"/>
  <c r="H1225" i="4"/>
  <c r="H315" i="4"/>
  <c r="H596" i="4"/>
  <c r="H745" i="4"/>
  <c r="H583" i="4"/>
  <c r="H747" i="4"/>
  <c r="H687" i="4"/>
  <c r="H191" i="4"/>
  <c r="H494" i="4"/>
  <c r="H263" i="4"/>
  <c r="H1368" i="4"/>
  <c r="H155" i="4"/>
  <c r="H780" i="4"/>
  <c r="H1238" i="4"/>
  <c r="H1239" i="4"/>
  <c r="H967" i="4"/>
  <c r="H98" i="4"/>
  <c r="H302" i="4"/>
  <c r="H572" i="4"/>
  <c r="H1330" i="4"/>
  <c r="H264" i="4"/>
  <c r="H879" i="4"/>
  <c r="H469" i="4"/>
  <c r="H1248" i="4"/>
  <c r="H1101" i="4"/>
  <c r="H893" i="4"/>
  <c r="H1251" i="4"/>
  <c r="H1015" i="4"/>
  <c r="H192" i="4"/>
  <c r="H139" i="4"/>
  <c r="H1353" i="4"/>
  <c r="H932" i="4"/>
  <c r="H1257" i="4"/>
  <c r="H1086" i="4"/>
  <c r="H1259" i="4"/>
  <c r="H291" i="4"/>
  <c r="H470" i="4"/>
  <c r="H378" i="4"/>
  <c r="H1361" i="4"/>
  <c r="H1264" i="4"/>
  <c r="H472" i="4"/>
  <c r="H660" i="4"/>
  <c r="H1192" i="4"/>
  <c r="H1312" i="4"/>
  <c r="H303" i="4"/>
  <c r="H904" i="4"/>
  <c r="H63" i="4"/>
  <c r="H854" i="4"/>
  <c r="H1273" i="4"/>
  <c r="H1308" i="4"/>
  <c r="H1275" i="4"/>
  <c r="H1313" i="4"/>
  <c r="H1102" i="4"/>
  <c r="H330" i="4"/>
  <c r="H45" i="4"/>
  <c r="H1193" i="4"/>
  <c r="H1281" i="4"/>
  <c r="H114" i="4"/>
  <c r="H1283" i="4"/>
  <c r="H880" i="4"/>
  <c r="H832" i="4"/>
  <c r="H1354" i="4"/>
  <c r="H865" i="4"/>
  <c r="H503" i="4"/>
  <c r="H1316" i="4"/>
  <c r="H709" i="4"/>
  <c r="H193" i="4"/>
  <c r="H1292" i="4"/>
  <c r="H1293" i="4"/>
  <c r="H1194" i="4"/>
  <c r="H1103" i="4"/>
  <c r="H243" i="4"/>
  <c r="H1003" i="4"/>
  <c r="H1270" i="4"/>
  <c r="H1299" i="4"/>
  <c r="H1300" i="4"/>
  <c r="H849" i="4"/>
  <c r="H11" i="4"/>
  <c r="H969" i="4"/>
  <c r="H105" i="4"/>
  <c r="H1317" i="4"/>
  <c r="H1151" i="4"/>
  <c r="H316" i="4"/>
  <c r="H841" i="4"/>
  <c r="H735" i="4"/>
  <c r="H1195" i="4"/>
  <c r="H797" i="4"/>
  <c r="H1004" i="4"/>
  <c r="H612" i="4"/>
  <c r="H1314" i="4"/>
  <c r="H1315" i="4"/>
  <c r="H644" i="4"/>
  <c r="H1396" i="4"/>
  <c r="H559" i="4"/>
  <c r="H473" i="4"/>
  <c r="H1120" i="4"/>
  <c r="H432" i="4"/>
  <c r="H58" i="4"/>
  <c r="H584" i="4"/>
  <c r="H19" i="4"/>
  <c r="H911" i="4"/>
  <c r="H1178" i="4"/>
  <c r="H433" i="4"/>
  <c r="H1328" i="4"/>
  <c r="H980" i="4"/>
  <c r="H1121" i="4"/>
  <c r="H1255" i="4"/>
  <c r="H633" i="4"/>
  <c r="H757" i="4"/>
  <c r="H1334" i="4"/>
  <c r="H1335" i="4"/>
  <c r="H1196" i="4"/>
  <c r="H1469" i="4"/>
  <c r="H64" i="4"/>
  <c r="H1256" i="4"/>
  <c r="H1340" i="4"/>
  <c r="H1341" i="4"/>
  <c r="H1213" i="4"/>
  <c r="H78" i="4"/>
  <c r="H947" i="4"/>
  <c r="H389" i="4"/>
  <c r="H1258" i="4"/>
  <c r="H1470" i="4"/>
  <c r="H1245" i="4"/>
  <c r="H504" i="4"/>
  <c r="H867" i="4"/>
  <c r="H434" i="4"/>
  <c r="H1260" i="4"/>
  <c r="H970" i="4"/>
  <c r="H710" i="4"/>
  <c r="H1355" i="4"/>
  <c r="H1356" i="4"/>
  <c r="H344" i="4"/>
  <c r="H1412" i="4"/>
  <c r="H1388" i="4"/>
  <c r="H1331" i="4"/>
  <c r="H317" i="4"/>
  <c r="H645" i="4"/>
  <c r="H736" i="4"/>
  <c r="H345" i="4"/>
  <c r="H981" i="4"/>
  <c r="H1471" i="4"/>
  <c r="H1367" i="4"/>
  <c r="H816" i="4"/>
  <c r="H675" i="4"/>
  <c r="H304" i="4"/>
  <c r="H1371" i="4"/>
  <c r="H1451" i="4"/>
  <c r="H156" i="4"/>
  <c r="H305" i="4"/>
  <c r="H46" i="4"/>
  <c r="H1399" i="4"/>
  <c r="H1377" i="4"/>
  <c r="H37" i="4"/>
  <c r="H817" i="4"/>
  <c r="H20" i="4"/>
  <c r="H1381" i="4"/>
  <c r="H84" i="4"/>
  <c r="H1221" i="4"/>
  <c r="H598" i="4"/>
  <c r="H85" i="4"/>
  <c r="H912" i="4"/>
  <c r="H550" i="4"/>
  <c r="H1130" i="4"/>
  <c r="H115" i="4"/>
  <c r="H855" i="4"/>
  <c r="H87" i="4"/>
  <c r="H1392" i="4"/>
  <c r="H88" i="4"/>
  <c r="H971" i="4"/>
  <c r="H984" i="4"/>
  <c r="H89" i="4"/>
  <c r="H1397" i="4"/>
  <c r="H1398" i="4"/>
  <c r="H166" i="4"/>
  <c r="H676" i="4"/>
  <c r="H183" i="4"/>
  <c r="H21" i="4"/>
  <c r="H379" i="4"/>
  <c r="H474" i="4"/>
  <c r="H22" i="4"/>
  <c r="H551" i="4"/>
  <c r="H408" i="4"/>
  <c r="H1261" i="4"/>
  <c r="H985" i="4"/>
  <c r="H306" i="4"/>
  <c r="H531" i="4"/>
  <c r="H625" i="4"/>
  <c r="H116" i="4"/>
  <c r="H157" i="4"/>
  <c r="H599" i="4"/>
  <c r="H881" i="4"/>
  <c r="H1413" i="4"/>
  <c r="H307" i="4"/>
  <c r="H475" i="4"/>
  <c r="H585" i="4"/>
  <c r="H409" i="4"/>
  <c r="H933" i="4"/>
  <c r="H993" i="4"/>
  <c r="H986" i="4"/>
  <c r="H842" i="4"/>
  <c r="H1031" i="4"/>
  <c r="H688" i="4"/>
  <c r="H1290" i="4"/>
  <c r="H363" i="4"/>
  <c r="H1271" i="4"/>
  <c r="H601" i="4"/>
  <c r="H505" i="4"/>
  <c r="H210" i="4"/>
  <c r="H752" i="4"/>
  <c r="H1076" i="4"/>
  <c r="H59" i="4"/>
  <c r="H284" i="4"/>
  <c r="H1152" i="4"/>
  <c r="H79" i="4"/>
  <c r="H1440" i="4"/>
  <c r="H414" i="4"/>
  <c r="H140" i="4"/>
  <c r="H476" i="4"/>
  <c r="H1444" i="4"/>
  <c r="H1414" i="4"/>
  <c r="H1446" i="4"/>
  <c r="H1291" i="4"/>
  <c r="H758" i="4"/>
  <c r="H634" i="4"/>
  <c r="H1415" i="4"/>
  <c r="H1136" i="4"/>
  <c r="H1233" i="4"/>
  <c r="H689" i="4"/>
  <c r="H1454" i="4"/>
  <c r="H921" i="4"/>
  <c r="H477" i="4"/>
  <c r="H331" i="4"/>
  <c r="H520" i="4"/>
  <c r="H626" i="4"/>
  <c r="H1400" i="4"/>
  <c r="H332" i="4"/>
  <c r="H1141" i="4"/>
  <c r="H1463" i="4"/>
  <c r="H130" i="4"/>
  <c r="H318" i="4"/>
  <c r="H185" i="4"/>
  <c r="H1050" i="4"/>
  <c r="H818" i="4"/>
  <c r="H935" i="4"/>
  <c r="H950" i="4"/>
  <c r="H1442" i="4"/>
  <c r="H2" i="4"/>
  <c r="G882" i="4"/>
  <c r="G4" i="4"/>
  <c r="G1088" i="4"/>
  <c r="G801" i="4"/>
  <c r="G106" i="4"/>
  <c r="G65" i="4"/>
  <c r="G24" i="4"/>
  <c r="G602" i="4"/>
  <c r="G988" i="4"/>
  <c r="G922" i="4"/>
  <c r="G646" i="4"/>
  <c r="G804" i="4"/>
  <c r="G285" i="4"/>
  <c r="G16" i="4"/>
  <c r="G452" i="4"/>
  <c r="G415" i="4"/>
  <c r="G552" i="4"/>
  <c r="G418" i="4"/>
  <c r="G265" i="4"/>
  <c r="G1369" i="4"/>
  <c r="G23" i="4"/>
  <c r="G648" i="4"/>
  <c r="G135" i="4"/>
  <c r="G26" i="4"/>
  <c r="G737" i="4"/>
  <c r="G28" i="4"/>
  <c r="G738" i="4"/>
  <c r="G1104" i="4"/>
  <c r="G994" i="4"/>
  <c r="G868" i="4"/>
  <c r="G1416" i="4"/>
  <c r="G1179" i="4"/>
  <c r="G35" i="4"/>
  <c r="G36" i="4"/>
  <c r="G158" i="4"/>
  <c r="G38" i="4"/>
  <c r="G677" i="4"/>
  <c r="G507" i="4"/>
  <c r="G267" i="4"/>
  <c r="G1077" i="4"/>
  <c r="G268" i="4"/>
  <c r="G44" i="4"/>
  <c r="G805" i="4"/>
  <c r="G1016" i="4"/>
  <c r="G47" i="4"/>
  <c r="G308" i="4"/>
  <c r="G435" i="4"/>
  <c r="G856" i="4"/>
  <c r="G390" i="4"/>
  <c r="G52" i="4"/>
  <c r="G53" i="4"/>
  <c r="G436" i="4"/>
  <c r="G1379" i="4"/>
  <c r="G1142" i="4"/>
  <c r="G495" i="4"/>
  <c r="G1332" i="4"/>
  <c r="G1032" i="4"/>
  <c r="G1017" i="4"/>
  <c r="G120" i="4"/>
  <c r="G972" i="4"/>
  <c r="G39" i="4"/>
  <c r="G603" i="4"/>
  <c r="G1051" i="4"/>
  <c r="G1401" i="4"/>
  <c r="G1036" i="4"/>
  <c r="G613" i="4"/>
  <c r="G649" i="4"/>
  <c r="G292" i="4"/>
  <c r="G71" i="4"/>
  <c r="G843" i="4"/>
  <c r="G923" i="4"/>
  <c r="G692" i="4"/>
  <c r="G1389" i="4"/>
  <c r="G1089" i="4"/>
  <c r="G202" i="4"/>
  <c r="G478" i="4"/>
  <c r="G320" i="4"/>
  <c r="G905" i="4"/>
  <c r="G759" i="4"/>
  <c r="G321" i="4"/>
  <c r="G269" i="4"/>
  <c r="G25" i="4"/>
  <c r="G760" i="4"/>
  <c r="G1166" i="4"/>
  <c r="G1214" i="4"/>
  <c r="G573" i="4"/>
  <c r="G819" i="4"/>
  <c r="G60" i="4"/>
  <c r="G91" i="4"/>
  <c r="G66" i="4"/>
  <c r="G244" i="4"/>
  <c r="G936" i="4"/>
  <c r="G1417" i="4"/>
  <c r="G822" i="4"/>
  <c r="G586" i="4"/>
  <c r="G543" i="4"/>
  <c r="G1362" i="4"/>
  <c r="G1418" i="4"/>
  <c r="G159" i="4"/>
  <c r="G102" i="4"/>
  <c r="G309" i="4"/>
  <c r="G104" i="4"/>
  <c r="G1222" i="4"/>
  <c r="G753" i="4"/>
  <c r="G850" i="4"/>
  <c r="G770" i="4"/>
  <c r="G109" i="4"/>
  <c r="G27" i="4"/>
  <c r="G951" i="4"/>
  <c r="G604" i="4"/>
  <c r="G113" i="4"/>
  <c r="G1363" i="4"/>
  <c r="G783" i="4"/>
  <c r="G1037" i="4"/>
  <c r="G1131" i="4"/>
  <c r="G906" i="4"/>
  <c r="G186" i="4"/>
  <c r="G333" i="4"/>
  <c r="G410" i="4"/>
  <c r="G222" i="4"/>
  <c r="G1122" i="4"/>
  <c r="G124" i="4"/>
  <c r="G1272" i="4"/>
  <c r="G126" i="4"/>
  <c r="G784" i="4"/>
  <c r="G128" i="4"/>
  <c r="G129" i="4"/>
  <c r="G1234" i="4"/>
  <c r="G820" i="4"/>
  <c r="G712" i="4"/>
  <c r="G869" i="4"/>
  <c r="G134" i="4"/>
  <c r="G614" i="4"/>
  <c r="G1005" i="4"/>
  <c r="G693" i="4"/>
  <c r="G138" i="4"/>
  <c r="G588" i="4"/>
  <c r="G907" i="4"/>
  <c r="G167" i="4"/>
  <c r="G142" i="4"/>
  <c r="G351" i="4"/>
  <c r="G479" i="4"/>
  <c r="G1333" i="4"/>
  <c r="G334" i="4"/>
  <c r="G352" i="4"/>
  <c r="G48" i="4"/>
  <c r="G61" i="4"/>
  <c r="G223" i="4"/>
  <c r="G353" i="4"/>
  <c r="G650" i="4"/>
  <c r="G1052" i="4"/>
  <c r="G175" i="4"/>
  <c r="G785" i="4"/>
  <c r="G49" i="4"/>
  <c r="G806" i="4"/>
  <c r="G661" i="4"/>
  <c r="G203" i="4"/>
  <c r="G1078" i="4"/>
  <c r="G1080" i="4"/>
  <c r="G419" i="4"/>
  <c r="G1274" i="4"/>
  <c r="G480" i="4"/>
  <c r="G420" i="4"/>
  <c r="G1064" i="4"/>
  <c r="G739" i="4"/>
  <c r="G952" i="4"/>
  <c r="G1153" i="4"/>
  <c r="G786" i="4"/>
  <c r="G335" i="4"/>
  <c r="G1216" i="4"/>
  <c r="G173" i="4"/>
  <c r="G211" i="4"/>
  <c r="G364" i="4"/>
  <c r="G1419" i="4"/>
  <c r="G439" i="4"/>
  <c r="G694" i="4"/>
  <c r="G179" i="4"/>
  <c r="G1053" i="4"/>
  <c r="G714" i="4"/>
  <c r="G553" i="4"/>
  <c r="G1054" i="4"/>
  <c r="G184" i="4"/>
  <c r="G1246" i="4"/>
  <c r="G1276" i="4"/>
  <c r="G574" i="4"/>
  <c r="G1019" i="4"/>
  <c r="G245" i="4"/>
  <c r="G1223" i="4"/>
  <c r="G678" i="4"/>
  <c r="G204" i="4"/>
  <c r="G1123" i="4"/>
  <c r="G194" i="4"/>
  <c r="G270" i="4"/>
  <c r="G715" i="4"/>
  <c r="G635" i="4"/>
  <c r="G1154" i="4"/>
  <c r="G176" i="4"/>
  <c r="G141" i="4"/>
  <c r="G1452" i="4"/>
  <c r="G168" i="4"/>
  <c r="G1370" i="4"/>
  <c r="G391" i="4"/>
  <c r="G1167" i="4"/>
  <c r="G206" i="4"/>
  <c r="G207" i="4"/>
  <c r="G169" i="4"/>
  <c r="G160" i="4"/>
  <c r="G716" i="4"/>
  <c r="G346" i="4"/>
  <c r="G212" i="4"/>
  <c r="G1180" i="4"/>
  <c r="G107" i="4"/>
  <c r="G924" i="4"/>
  <c r="G216" i="4"/>
  <c r="G937" i="4"/>
  <c r="G218" i="4"/>
  <c r="G219" i="4"/>
  <c r="G1453" i="4"/>
  <c r="G953" i="4"/>
  <c r="G883" i="4"/>
  <c r="G205" i="4"/>
  <c r="G1090" i="4"/>
  <c r="G293" i="4"/>
  <c r="G195" i="4"/>
  <c r="G1197" i="4"/>
  <c r="G1039" i="4"/>
  <c r="G605" i="4"/>
  <c r="G3" i="4"/>
  <c r="G231" i="4"/>
  <c r="G1132" i="4"/>
  <c r="G1277" i="4"/>
  <c r="G787" i="4"/>
  <c r="G771" i="4"/>
  <c r="G236" i="4"/>
  <c r="G12" i="4"/>
  <c r="G238" i="4"/>
  <c r="G421" i="4"/>
  <c r="G788" i="4"/>
  <c r="G241" i="4"/>
  <c r="G224" i="4"/>
  <c r="G1235" i="4"/>
  <c r="G271" i="4"/>
  <c r="G884" i="4"/>
  <c r="G246" i="4"/>
  <c r="G1198" i="4"/>
  <c r="G521" i="4"/>
  <c r="G1318" i="4"/>
  <c r="G143" i="4"/>
  <c r="G1319" i="4"/>
  <c r="G252" i="4"/>
  <c r="G938" i="4"/>
  <c r="G1402" i="4"/>
  <c r="G1065" i="4"/>
  <c r="G90" i="4"/>
  <c r="G1262" i="4"/>
  <c r="G789" i="4"/>
  <c r="G790" i="4"/>
  <c r="G679" i="4"/>
  <c r="G261" i="4"/>
  <c r="G99" i="4"/>
  <c r="G392" i="4"/>
  <c r="G1380" i="4"/>
  <c r="G522" i="4"/>
  <c r="G266" i="4"/>
  <c r="G925" i="4"/>
  <c r="G1137" i="4"/>
  <c r="G761" i="4"/>
  <c r="G196" i="4"/>
  <c r="G1403" i="4"/>
  <c r="G197" i="4"/>
  <c r="G273" i="4"/>
  <c r="G1124" i="4"/>
  <c r="G857" i="4"/>
  <c r="G347" i="4"/>
  <c r="G1133" i="4"/>
  <c r="G576" i="4"/>
  <c r="G1364" i="4"/>
  <c r="G144" i="4"/>
  <c r="G755" i="4"/>
  <c r="G1294" i="4"/>
  <c r="G286" i="4"/>
  <c r="G1295" i="4"/>
  <c r="G393" i="4"/>
  <c r="G1091" i="4"/>
  <c r="G1296" i="4"/>
  <c r="G288" i="4"/>
  <c r="G995" i="4"/>
  <c r="G290" i="4"/>
  <c r="G523" i="4"/>
  <c r="G1465" i="4"/>
  <c r="G544" i="4"/>
  <c r="G870" i="4"/>
  <c r="G295" i="4"/>
  <c r="G1404" i="4"/>
  <c r="G422" i="4"/>
  <c r="G298" i="4"/>
  <c r="G1125" i="4"/>
  <c r="G823" i="4"/>
  <c r="G1181" i="4"/>
  <c r="G824" i="4"/>
  <c r="G1443" i="4"/>
  <c r="G1199" i="4"/>
  <c r="G680" i="4"/>
  <c r="G651" i="4"/>
  <c r="G1278" i="4"/>
  <c r="G1168" i="4"/>
  <c r="G13" i="4"/>
  <c r="G606" i="4"/>
  <c r="G871" i="4"/>
  <c r="G636" i="4"/>
  <c r="G287" i="4"/>
  <c r="G973" i="4"/>
  <c r="G440" i="4"/>
  <c r="G615" i="4"/>
  <c r="G272" i="4"/>
  <c r="G1247" i="4"/>
  <c r="G319" i="4"/>
  <c r="G233" i="4"/>
  <c r="G772" i="4"/>
  <c r="G80" i="4"/>
  <c r="G1006" i="4"/>
  <c r="G1263" i="4"/>
  <c r="G325" i="4"/>
  <c r="G1336" i="4"/>
  <c r="G86" i="4"/>
  <c r="G1217" i="4"/>
  <c r="G329" i="4"/>
  <c r="G255" i="4"/>
  <c r="G1420" i="4"/>
  <c r="G425" i="4"/>
  <c r="G939" i="4"/>
  <c r="G1040" i="4"/>
  <c r="G336" i="4"/>
  <c r="G637" i="4"/>
  <c r="G453" i="4"/>
  <c r="G338" i="4"/>
  <c r="G274" i="4"/>
  <c r="G807" i="4"/>
  <c r="G454" i="4"/>
  <c r="G81" i="4"/>
  <c r="G5" i="4"/>
  <c r="G808" i="4"/>
  <c r="G1421" i="4"/>
  <c r="G1007" i="4"/>
  <c r="G996" i="4"/>
  <c r="G617" i="4"/>
  <c r="G858" i="4"/>
  <c r="G974" i="4"/>
  <c r="G117" i="4"/>
  <c r="G381" i="4"/>
  <c r="G161" i="4"/>
  <c r="G496" i="4"/>
  <c r="G652" i="4"/>
  <c r="G872" i="4"/>
  <c r="G895" i="4"/>
  <c r="G618" i="4"/>
  <c r="G359" i="4"/>
  <c r="G1105" i="4"/>
  <c r="G532" i="4"/>
  <c r="G234" i="4"/>
  <c r="G1279" i="4"/>
  <c r="G337" i="4"/>
  <c r="G365" i="4"/>
  <c r="G225" i="4"/>
  <c r="G1297" i="4"/>
  <c r="G368" i="4"/>
  <c r="G187" i="4"/>
  <c r="G370" i="4"/>
  <c r="G394" i="4"/>
  <c r="G372" i="4"/>
  <c r="G1357" i="4"/>
  <c r="G619" i="4"/>
  <c r="G1066" i="4"/>
  <c r="G411" i="4"/>
  <c r="G1042" i="4"/>
  <c r="G67" i="4"/>
  <c r="G620" i="4"/>
  <c r="G380" i="4"/>
  <c r="G1372" i="4"/>
  <c r="G145" i="4"/>
  <c r="G366" i="4"/>
  <c r="G384" i="4"/>
  <c r="G1466" i="4"/>
  <c r="G1139" i="4"/>
  <c r="G387" i="4"/>
  <c r="G1055" i="4"/>
  <c r="G456" i="4"/>
  <c r="G681" i="4"/>
  <c r="G1280" i="4"/>
  <c r="G653" i="4"/>
  <c r="G825" i="4"/>
  <c r="G1067" i="4"/>
  <c r="G1390" i="4"/>
  <c r="G1467" i="4"/>
  <c r="G367" i="4"/>
  <c r="G369" i="4"/>
  <c r="G914" i="4"/>
  <c r="G247" i="4"/>
  <c r="G1309" i="4"/>
  <c r="G1282" i="4"/>
  <c r="G1382" i="4"/>
  <c r="G1068" i="4"/>
  <c r="G896" i="4"/>
  <c r="G997" i="4"/>
  <c r="G407" i="4"/>
  <c r="G748" i="4"/>
  <c r="G717" i="4"/>
  <c r="G1422" i="4"/>
  <c r="G6" i="4"/>
  <c r="G1043" i="4"/>
  <c r="G1156" i="4"/>
  <c r="G1320" i="4"/>
  <c r="G508" i="4"/>
  <c r="G416" i="4"/>
  <c r="G417" i="4"/>
  <c r="G663" i="4"/>
  <c r="G1249" i="4"/>
  <c r="G68" i="4"/>
  <c r="G1358" i="4"/>
  <c r="G916" i="4"/>
  <c r="G423" i="4"/>
  <c r="G424" i="4"/>
  <c r="G1200" i="4"/>
  <c r="G792" i="4"/>
  <c r="G1134" i="4"/>
  <c r="G40" i="4"/>
  <c r="G762" i="4"/>
  <c r="G773" i="4"/>
  <c r="G654" i="4"/>
  <c r="G457" i="4"/>
  <c r="G395" i="4"/>
  <c r="G524" i="4"/>
  <c r="G226" i="4"/>
  <c r="G666" i="4"/>
  <c r="G437" i="4"/>
  <c r="G438" i="4"/>
  <c r="G1455" i="4"/>
  <c r="G718" i="4"/>
  <c r="G441" i="4"/>
  <c r="G442" i="4"/>
  <c r="G412" i="4"/>
  <c r="G667" i="4"/>
  <c r="G445" i="4"/>
  <c r="G92" i="4"/>
  <c r="G235" i="4"/>
  <c r="G1092" i="4"/>
  <c r="G1069" i="4"/>
  <c r="G719" i="4"/>
  <c r="G322" i="4"/>
  <c r="G696" i="4"/>
  <c r="G1020" i="4"/>
  <c r="G443" i="4"/>
  <c r="G455" i="4"/>
  <c r="G483" i="4"/>
  <c r="G918" i="4"/>
  <c r="G545" i="4"/>
  <c r="G459" i="4"/>
  <c r="G1218" i="4"/>
  <c r="G29" i="4"/>
  <c r="G1106" i="4"/>
  <c r="G509" i="4"/>
  <c r="G1265" i="4"/>
  <c r="G465" i="4"/>
  <c r="G1284" i="4"/>
  <c r="G560" i="4"/>
  <c r="G1170" i="4"/>
  <c r="G1266" i="4"/>
  <c r="G354" i="4"/>
  <c r="G471" i="4"/>
  <c r="G339" i="4"/>
  <c r="G1434" i="4"/>
  <c r="G525" i="4"/>
  <c r="G41" i="4"/>
  <c r="G874" i="4"/>
  <c r="G834" i="4"/>
  <c r="G682" i="4"/>
  <c r="G136" i="4"/>
  <c r="G213" i="4"/>
  <c r="G481" i="4"/>
  <c r="G482" i="4"/>
  <c r="G765" i="4"/>
  <c r="G484" i="4"/>
  <c r="G1143" i="4"/>
  <c r="G310" i="4"/>
  <c r="G1337" i="4"/>
  <c r="G444" i="4"/>
  <c r="G1383" i="4"/>
  <c r="G698" i="4"/>
  <c r="G897" i="4"/>
  <c r="G908" i="4"/>
  <c r="G940" i="4"/>
  <c r="G275" i="4"/>
  <c r="G323" i="4"/>
  <c r="G214" i="4"/>
  <c r="G497" i="4"/>
  <c r="G589" i="4"/>
  <c r="G340" i="4"/>
  <c r="G1338" i="4"/>
  <c r="G670" i="4"/>
  <c r="G498" i="4"/>
  <c r="G30" i="4"/>
  <c r="G341" i="4"/>
  <c r="G1423" i="4"/>
  <c r="G506" i="4"/>
  <c r="G248" i="4"/>
  <c r="G485" i="4"/>
  <c r="G885" i="4"/>
  <c r="G699" i="4"/>
  <c r="G1424" i="4"/>
  <c r="G998" i="4"/>
  <c r="G590" i="4"/>
  <c r="G956" i="4"/>
  <c r="G515" i="4"/>
  <c r="G516" i="4"/>
  <c r="G486" i="4"/>
  <c r="G1144" i="4"/>
  <c r="G1021" i="4"/>
  <c r="G1405" i="4"/>
  <c r="G1000" i="4"/>
  <c r="G1145" i="4"/>
  <c r="G835" i="4"/>
  <c r="G355" i="4"/>
  <c r="G31" i="4"/>
  <c r="G1022" i="4"/>
  <c r="G527" i="4"/>
  <c r="G1250" i="4"/>
  <c r="G458" i="4"/>
  <c r="G530" i="4"/>
  <c r="G1365" i="4"/>
  <c r="G311" i="4"/>
  <c r="G1157" i="4"/>
  <c r="G1158" i="4"/>
  <c r="G1093" i="4"/>
  <c r="G42" i="4"/>
  <c r="G371" i="4"/>
  <c r="G926" i="4"/>
  <c r="G1159" i="4"/>
  <c r="G740" i="4"/>
  <c r="G121" i="4"/>
  <c r="G542" i="4"/>
  <c r="G720" i="4"/>
  <c r="G69" i="4"/>
  <c r="G1406" i="4"/>
  <c r="G460" i="4"/>
  <c r="G1236" i="4"/>
  <c r="G1310" i="4"/>
  <c r="G549" i="4"/>
  <c r="G957" i="4"/>
  <c r="G1126" i="4"/>
  <c r="G1107" i="4"/>
  <c r="G215" i="4"/>
  <c r="G561" i="4"/>
  <c r="G766" i="4"/>
  <c r="G1456" i="4"/>
  <c r="G1321" i="4"/>
  <c r="G1182" i="4"/>
  <c r="G836" i="4"/>
  <c r="G875" i="4"/>
  <c r="G188" i="4"/>
  <c r="G487" i="4"/>
  <c r="G672" i="4"/>
  <c r="G564" i="4"/>
  <c r="G177" i="4"/>
  <c r="G170" i="4"/>
  <c r="G1322" i="4"/>
  <c r="G568" i="4"/>
  <c r="G1146" i="4"/>
  <c r="G570" i="4"/>
  <c r="G294" i="4"/>
  <c r="G1109" i="4"/>
  <c r="G639" i="4"/>
  <c r="G1339" i="4"/>
  <c r="G575" i="4"/>
  <c r="G721" i="4"/>
  <c r="G413" i="4"/>
  <c r="G1183" i="4"/>
  <c r="G237" i="4"/>
  <c r="G446" i="4"/>
  <c r="G70" i="4"/>
  <c r="G447" i="4"/>
  <c r="G1044" i="4"/>
  <c r="G1298" i="4"/>
  <c r="G348" i="4"/>
  <c r="G1081" i="4"/>
  <c r="G587" i="4"/>
  <c r="G1285" i="4"/>
  <c r="G108" i="4"/>
  <c r="G1342" i="4"/>
  <c r="G591" i="4"/>
  <c r="G256" i="4"/>
  <c r="G593" i="4"/>
  <c r="G546" i="4"/>
  <c r="G1301" i="4"/>
  <c r="G826" i="4"/>
  <c r="G597" i="4"/>
  <c r="G1160" i="4"/>
  <c r="G547" i="4"/>
  <c r="G600" i="4"/>
  <c r="G93" i="4"/>
  <c r="G100" i="4"/>
  <c r="G382" i="4"/>
  <c r="G845" i="4"/>
  <c r="G7" i="4"/>
  <c r="G1056" i="4"/>
  <c r="G749" i="4"/>
  <c r="G289" i="4"/>
  <c r="G609" i="4"/>
  <c r="G610" i="4"/>
  <c r="G860" i="4"/>
  <c r="G131" i="4"/>
  <c r="G1094" i="4"/>
  <c r="G876" i="4"/>
  <c r="G1184" i="4"/>
  <c r="G616" i="4"/>
  <c r="G171" i="4"/>
  <c r="G1445" i="4"/>
  <c r="G958" i="4"/>
  <c r="G1201" i="4"/>
  <c r="G1457" i="4"/>
  <c r="G959" i="4"/>
  <c r="G257" i="4"/>
  <c r="G886" i="4"/>
  <c r="G943" i="4"/>
  <c r="G1323" i="4"/>
  <c r="G312" i="4"/>
  <c r="G8" i="4"/>
  <c r="G146" i="4"/>
  <c r="G944" i="4"/>
  <c r="G1202" i="4"/>
  <c r="G396" i="4"/>
  <c r="G723" i="4"/>
  <c r="G178" i="4"/>
  <c r="G827" i="4"/>
  <c r="G861" i="4"/>
  <c r="G1391" i="4"/>
  <c r="G638" i="4"/>
  <c r="G724" i="4"/>
  <c r="G198" i="4"/>
  <c r="G673" i="4"/>
  <c r="G960" i="4"/>
  <c r="G1359" i="4"/>
  <c r="G683" i="4"/>
  <c r="G684" i="4"/>
  <c r="G324" i="4"/>
  <c r="G647" i="4"/>
  <c r="G1343" i="4"/>
  <c r="G562" i="4"/>
  <c r="G1024" i="4"/>
  <c r="G640" i="4"/>
  <c r="G488" i="4"/>
  <c r="G50" i="4"/>
  <c r="G397" i="4"/>
  <c r="G863" i="4"/>
  <c r="G132" i="4"/>
  <c r="G258" i="4"/>
  <c r="G658" i="4"/>
  <c r="G1267" i="4"/>
  <c r="G448" i="4"/>
  <c r="G1432" i="4"/>
  <c r="G662" i="4"/>
  <c r="G1025" i="4"/>
  <c r="G664" i="4"/>
  <c r="G665" i="4"/>
  <c r="G1204" i="4"/>
  <c r="G1205" i="4"/>
  <c r="G668" i="4"/>
  <c r="G669" i="4"/>
  <c r="G1001" i="4"/>
  <c r="G671" i="4"/>
  <c r="G1252" i="4"/>
  <c r="G356" i="4"/>
  <c r="G1447" i="4"/>
  <c r="G1171" i="4"/>
  <c r="G1468" i="4"/>
  <c r="G975" i="4"/>
  <c r="G1458" i="4"/>
  <c r="G961" i="4"/>
  <c r="G383" i="4"/>
  <c r="G51" i="4"/>
  <c r="G577" i="4"/>
  <c r="G1135" i="4"/>
  <c r="G82" i="4"/>
  <c r="G685" i="4"/>
  <c r="G449" i="4"/>
  <c r="G533" i="4"/>
  <c r="G592" i="4"/>
  <c r="G296" i="4"/>
  <c r="G690" i="4"/>
  <c r="G691" i="4"/>
  <c r="G1425" i="4"/>
  <c r="G54" i="4"/>
  <c r="G349" i="4"/>
  <c r="G695" i="4"/>
  <c r="G1045" i="4"/>
  <c r="G697" i="4"/>
  <c r="G898" i="4"/>
  <c r="G1071" i="4"/>
  <c r="G72" i="4"/>
  <c r="G774" i="4"/>
  <c r="G702" i="4"/>
  <c r="G1426" i="4"/>
  <c r="G1344" i="4"/>
  <c r="G1435" i="4"/>
  <c r="G1311" i="4"/>
  <c r="G276" i="4"/>
  <c r="G708" i="4"/>
  <c r="G578" i="4"/>
  <c r="G239" i="4"/>
  <c r="G711" i="4"/>
  <c r="G217" i="4"/>
  <c r="G713" i="4"/>
  <c r="G655" i="4"/>
  <c r="G621" i="4"/>
  <c r="G725" i="4"/>
  <c r="G73" i="4"/>
  <c r="G1082" i="4"/>
  <c r="G180" i="4"/>
  <c r="G607" i="4"/>
  <c r="G767" i="4"/>
  <c r="G722" i="4"/>
  <c r="G227" i="4"/>
  <c r="G1448" i="4"/>
  <c r="G579" i="4"/>
  <c r="G1226" i="4"/>
  <c r="G727" i="4"/>
  <c r="G228" i="4"/>
  <c r="G1010" i="4"/>
  <c r="G846" i="4"/>
  <c r="G326" i="4"/>
  <c r="G1393" i="4"/>
  <c r="G733" i="4"/>
  <c r="G734" i="4"/>
  <c r="G489" i="4"/>
  <c r="G1237" i="4"/>
  <c r="G1172" i="4"/>
  <c r="G297" i="4"/>
  <c r="G809" i="4"/>
  <c r="G249" i="4"/>
  <c r="G461" i="4"/>
  <c r="G220" i="4"/>
  <c r="G14" i="4"/>
  <c r="G1268" i="4"/>
  <c r="G1449" i="4"/>
  <c r="G746" i="4"/>
  <c r="G1345" i="4"/>
  <c r="G1147" i="4"/>
  <c r="G810" i="4"/>
  <c r="G750" i="4"/>
  <c r="G751" i="4"/>
  <c r="G656" i="4"/>
  <c r="G756" i="4"/>
  <c r="G754" i="4"/>
  <c r="G510" i="4"/>
  <c r="G877" i="4"/>
  <c r="G1436" i="4"/>
  <c r="G162" i="4"/>
  <c r="G373" i="4"/>
  <c r="G887" i="4"/>
  <c r="G277" i="4"/>
  <c r="G1161" i="4"/>
  <c r="G763" i="4"/>
  <c r="G764" i="4"/>
  <c r="G563" i="4"/>
  <c r="G1208" i="4"/>
  <c r="G1427" i="4"/>
  <c r="G163" i="4"/>
  <c r="G133" i="4"/>
  <c r="G1450" i="4"/>
  <c r="G726" i="4"/>
  <c r="G1428" i="4"/>
  <c r="G398" i="4"/>
  <c r="G1011" i="4"/>
  <c r="G962" i="4"/>
  <c r="G342" i="4"/>
  <c r="G627" i="4"/>
  <c r="G778" i="4"/>
  <c r="G779" i="4"/>
  <c r="G250" i="4"/>
  <c r="G781" i="4"/>
  <c r="G782" i="4"/>
  <c r="G462" i="4"/>
  <c r="G828" i="4"/>
  <c r="G1110" i="4"/>
  <c r="G526" i="4"/>
  <c r="G374" i="4"/>
  <c r="G147" i="4"/>
  <c r="G945" i="4"/>
  <c r="G795" i="4"/>
  <c r="G791" i="4"/>
  <c r="G55" i="4"/>
  <c r="G793" i="4"/>
  <c r="G794" i="4"/>
  <c r="G534" i="4"/>
  <c r="G1162" i="4"/>
  <c r="G511" i="4"/>
  <c r="G798" i="4"/>
  <c r="G799" i="4"/>
  <c r="G800" i="4"/>
  <c r="G548" i="4"/>
  <c r="G802" i="4"/>
  <c r="G803" i="4"/>
  <c r="G221" i="4"/>
  <c r="G811" i="4"/>
  <c r="G812" i="4"/>
  <c r="G641" i="4"/>
  <c r="G15" i="4"/>
  <c r="G1346" i="4"/>
  <c r="G229" i="4"/>
  <c r="G1433" i="4"/>
  <c r="G741" i="4"/>
  <c r="G674" i="4"/>
  <c r="G1384" i="4"/>
  <c r="G815" i="4"/>
  <c r="G1111" i="4"/>
  <c r="G251" i="4"/>
  <c r="G837" i="4"/>
  <c r="G1437" i="4"/>
  <c r="G528" i="4"/>
  <c r="G775" i="4"/>
  <c r="G1459" i="4"/>
  <c r="G1460" i="4"/>
  <c r="G554" i="4"/>
  <c r="G888" i="4"/>
  <c r="G535" i="4"/>
  <c r="G199" i="4"/>
  <c r="G1227" i="4"/>
  <c r="G976" i="4"/>
  <c r="G830" i="4"/>
  <c r="G831" i="4"/>
  <c r="G899" i="4"/>
  <c r="G833" i="4"/>
  <c r="G1461" i="4"/>
  <c r="G122" i="4"/>
  <c r="G728" i="4"/>
  <c r="G189" i="4"/>
  <c r="G838" i="4"/>
  <c r="G1385" i="4"/>
  <c r="G840" i="4"/>
  <c r="G1115" i="4"/>
  <c r="G1095" i="4"/>
  <c r="G463" i="4"/>
  <c r="G844" i="4"/>
  <c r="G357" i="4"/>
  <c r="G1269" i="4"/>
  <c r="G1127" i="4"/>
  <c r="G813" i="4"/>
  <c r="G1128" i="4"/>
  <c r="G1407" i="4"/>
  <c r="G851" i="4"/>
  <c r="G17" i="4"/>
  <c r="G1240" i="4"/>
  <c r="G594" i="4"/>
  <c r="G536" i="4"/>
  <c r="G700" i="4"/>
  <c r="G1408" i="4"/>
  <c r="G512" i="4"/>
  <c r="G859" i="4"/>
  <c r="G1409" i="4"/>
  <c r="G889" i="4"/>
  <c r="G862" i="4"/>
  <c r="G776" i="4"/>
  <c r="G729" i="4"/>
  <c r="G622" i="4"/>
  <c r="G866" i="4"/>
  <c r="G375" i="4"/>
  <c r="G730" i="4"/>
  <c r="G1046" i="4"/>
  <c r="G1253" i="4"/>
  <c r="G1096" i="4"/>
  <c r="G1129" i="4"/>
  <c r="G873" i="4"/>
  <c r="G1438" i="4"/>
  <c r="G900" i="4"/>
  <c r="G847" i="4"/>
  <c r="G399" i="4"/>
  <c r="G400" i="4"/>
  <c r="G208" i="4"/>
  <c r="G628" i="4"/>
  <c r="G327" i="4"/>
  <c r="G74" i="4"/>
  <c r="G56" i="4"/>
  <c r="G1072" i="4"/>
  <c r="G537" i="4"/>
  <c r="G148" i="4"/>
  <c r="G963" i="4"/>
  <c r="G313" i="4"/>
  <c r="G1097" i="4"/>
  <c r="G1324" i="4"/>
  <c r="G1228" i="4"/>
  <c r="G1098" i="4"/>
  <c r="G1209" i="4"/>
  <c r="G894" i="4"/>
  <c r="G499" i="4"/>
  <c r="G240" i="4"/>
  <c r="G701" i="4"/>
  <c r="G989" i="4"/>
  <c r="G901" i="4"/>
  <c r="G1373" i="4"/>
  <c r="G358" i="4"/>
  <c r="G538" i="4"/>
  <c r="G1439" i="4"/>
  <c r="G110" i="4"/>
  <c r="G513" i="4"/>
  <c r="G927" i="4"/>
  <c r="G1073" i="4"/>
  <c r="G426" i="4"/>
  <c r="G75" i="4"/>
  <c r="G149" i="4"/>
  <c r="G1360" i="4"/>
  <c r="G1286" i="4"/>
  <c r="G913" i="4"/>
  <c r="G657" i="4"/>
  <c r="G915" i="4"/>
  <c r="G1229" i="4"/>
  <c r="G917" i="4"/>
  <c r="G909" i="4"/>
  <c r="G565" i="4"/>
  <c r="G1325" i="4"/>
  <c r="G642" i="4"/>
  <c r="G1099" i="4"/>
  <c r="G1230" i="4"/>
  <c r="G500" i="4"/>
  <c r="G1148" i="4"/>
  <c r="G529" i="4"/>
  <c r="G566" i="4"/>
  <c r="G123" i="4"/>
  <c r="G464" i="4"/>
  <c r="G930" i="4"/>
  <c r="G1026" i="4"/>
  <c r="G1116" i="4"/>
  <c r="G450" i="4"/>
  <c r="G934" i="4"/>
  <c r="G514" i="4"/>
  <c r="G401" i="4"/>
  <c r="G539" i="4"/>
  <c r="G1185" i="4"/>
  <c r="G990" i="4"/>
  <c r="G242" i="4"/>
  <c r="G941" i="4"/>
  <c r="G942" i="4"/>
  <c r="G259" i="4"/>
  <c r="G1394" i="4"/>
  <c r="G181" i="4"/>
  <c r="G385" i="4"/>
  <c r="G182" i="4"/>
  <c r="G948" i="4"/>
  <c r="G949" i="4"/>
  <c r="G1057" i="4"/>
  <c r="G1302" i="4"/>
  <c r="G1410" i="4"/>
  <c r="G402" i="4"/>
  <c r="G954" i="4"/>
  <c r="G955" i="4"/>
  <c r="G403" i="4"/>
  <c r="G466" i="4"/>
  <c r="G919" i="4"/>
  <c r="G1395" i="4"/>
  <c r="G1074" i="4"/>
  <c r="G9" i="4"/>
  <c r="G1012" i="4"/>
  <c r="G1075" i="4"/>
  <c r="G878" i="4"/>
  <c r="G278" i="4"/>
  <c r="G1347" i="4"/>
  <c r="G1013" i="4"/>
  <c r="G968" i="4"/>
  <c r="G427" i="4"/>
  <c r="G428" i="4"/>
  <c r="G467" i="4"/>
  <c r="G1241" i="4"/>
  <c r="G928" i="4"/>
  <c r="G1374" i="4"/>
  <c r="G796" i="4"/>
  <c r="G1429" i="4"/>
  <c r="G977" i="4"/>
  <c r="G890" i="4"/>
  <c r="G230" i="4"/>
  <c r="G200" i="4"/>
  <c r="G703" i="4"/>
  <c r="G982" i="4"/>
  <c r="G983" i="4"/>
  <c r="G1287" i="4"/>
  <c r="G101" i="4"/>
  <c r="G260" i="4"/>
  <c r="G987" i="4"/>
  <c r="G404" i="4"/>
  <c r="G1100" i="4"/>
  <c r="G1210" i="4"/>
  <c r="G1411" i="4"/>
  <c r="G1083" i="4"/>
  <c r="G1303" i="4"/>
  <c r="G1348" i="4"/>
  <c r="G1174" i="4"/>
  <c r="G125" i="4"/>
  <c r="G891" i="4"/>
  <c r="G137" i="4"/>
  <c r="G999" i="4"/>
  <c r="G343" i="4"/>
  <c r="G405" i="4"/>
  <c r="G1288" i="4"/>
  <c r="G555" i="4"/>
  <c r="G595" i="4"/>
  <c r="G929" i="4"/>
  <c r="G501" i="4"/>
  <c r="G1149" i="4"/>
  <c r="G1008" i="4"/>
  <c r="G1009" i="4"/>
  <c r="G540" i="4"/>
  <c r="G150" i="4"/>
  <c r="G299" i="4"/>
  <c r="G502" i="4"/>
  <c r="G1014" i="4"/>
  <c r="G376" i="4"/>
  <c r="G1375" i="4"/>
  <c r="G1242" i="4"/>
  <c r="G1018" i="4"/>
  <c r="G821" i="4"/>
  <c r="G608" i="4"/>
  <c r="G1175" i="4"/>
  <c r="G1211" i="4"/>
  <c r="G1023" i="4"/>
  <c r="G768" i="4"/>
  <c r="G360" i="4"/>
  <c r="G300" i="4"/>
  <c r="G1231" i="4"/>
  <c r="G920" i="4"/>
  <c r="G629" i="4"/>
  <c r="G1186" i="4"/>
  <c r="G1326" i="4"/>
  <c r="G852" i="4"/>
  <c r="G1033" i="4"/>
  <c r="G1034" i="4"/>
  <c r="G1035" i="4"/>
  <c r="G1176" i="4"/>
  <c r="G864" i="4"/>
  <c r="G1038" i="4"/>
  <c r="G1027" i="4"/>
  <c r="G556" i="4"/>
  <c r="G1041" i="4"/>
  <c r="G1028" i="4"/>
  <c r="G517" i="4"/>
  <c r="G1187" i="4"/>
  <c r="G1117" i="4"/>
  <c r="G103" i="4"/>
  <c r="G1349" i="4"/>
  <c r="G172" i="4"/>
  <c r="G1219" i="4"/>
  <c r="G1254" i="4"/>
  <c r="G991" i="4"/>
  <c r="G1350" i="4"/>
  <c r="G1002" i="4"/>
  <c r="G580" i="4"/>
  <c r="G686" i="4"/>
  <c r="G1232" i="4"/>
  <c r="G1212" i="4"/>
  <c r="G1058" i="4"/>
  <c r="G1059" i="4"/>
  <c r="G1060" i="4"/>
  <c r="G1441" i="4"/>
  <c r="G1062" i="4"/>
  <c r="G1189" i="4"/>
  <c r="G567" i="4"/>
  <c r="G151" i="4"/>
  <c r="G1220" i="4"/>
  <c r="G1304" i="4"/>
  <c r="G630" i="4"/>
  <c r="G152" i="4"/>
  <c r="G1070" i="4"/>
  <c r="G1351" i="4"/>
  <c r="G964" i="4"/>
  <c r="G1305" i="4"/>
  <c r="G1061" i="4"/>
  <c r="G623" i="4"/>
  <c r="G946" i="4"/>
  <c r="G581" i="4"/>
  <c r="G111" i="4"/>
  <c r="G1079" i="4"/>
  <c r="G1306" i="4"/>
  <c r="G279" i="4"/>
  <c r="G1150" i="4"/>
  <c r="G557" i="4"/>
  <c r="G1376" i="4"/>
  <c r="G1085" i="4"/>
  <c r="G164" i="4"/>
  <c r="G1087" i="4"/>
  <c r="G631" i="4"/>
  <c r="G848" i="4"/>
  <c r="G1352" i="4"/>
  <c r="G386" i="4"/>
  <c r="G94" i="4"/>
  <c r="G406" i="4"/>
  <c r="G1378" i="4"/>
  <c r="G910" i="4"/>
  <c r="G174" i="4"/>
  <c r="G153" i="4"/>
  <c r="G280" i="4"/>
  <c r="G965" i="4"/>
  <c r="G314" i="4"/>
  <c r="G165" i="4"/>
  <c r="G62" i="4"/>
  <c r="G253" i="4"/>
  <c r="G731" i="4"/>
  <c r="G1243" i="4"/>
  <c r="G10" i="4"/>
  <c r="G1029" i="4"/>
  <c r="G1108" i="4"/>
  <c r="G377" i="4"/>
  <c r="G777" i="4"/>
  <c r="G1430" i="4"/>
  <c r="G1112" i="4"/>
  <c r="G1113" i="4"/>
  <c r="G1114" i="4"/>
  <c r="G732" i="4"/>
  <c r="G83" i="4"/>
  <c r="G1047" i="4"/>
  <c r="G659" i="4"/>
  <c r="G978" i="4"/>
  <c r="G76" i="4"/>
  <c r="G704" i="4"/>
  <c r="G569" i="4"/>
  <c r="G32" i="4"/>
  <c r="G201" i="4"/>
  <c r="G43" i="4"/>
  <c r="G490" i="4"/>
  <c r="G1190" i="4"/>
  <c r="G262" i="4"/>
  <c r="G57" i="4"/>
  <c r="G632" i="4"/>
  <c r="G1244" i="4"/>
  <c r="G1462" i="4"/>
  <c r="G1177" i="4"/>
  <c r="G361" i="4"/>
  <c r="G18" i="4"/>
  <c r="G643" i="4"/>
  <c r="G902" i="4"/>
  <c r="G1138" i="4"/>
  <c r="G1386" i="4"/>
  <c r="G281" i="4"/>
  <c r="G814" i="4"/>
  <c r="G282" i="4"/>
  <c r="G328" i="4"/>
  <c r="G468" i="4"/>
  <c r="G903" i="4"/>
  <c r="G1289" i="4"/>
  <c r="G705" i="4"/>
  <c r="G1118" i="4"/>
  <c r="G77" i="4"/>
  <c r="G154" i="4"/>
  <c r="G582" i="4"/>
  <c r="G388" i="4"/>
  <c r="G1048" i="4"/>
  <c r="G624" i="4"/>
  <c r="G1155" i="4"/>
  <c r="G558" i="4"/>
  <c r="G518" i="4"/>
  <c r="G1327" i="4"/>
  <c r="G1030" i="4"/>
  <c r="G769" i="4"/>
  <c r="G1191" i="4"/>
  <c r="G541" i="4"/>
  <c r="G742" i="4"/>
  <c r="G1164" i="4"/>
  <c r="G451" i="4"/>
  <c r="G429" i="4"/>
  <c r="G1163" i="4"/>
  <c r="G1329" i="4"/>
  <c r="G1169" i="4"/>
  <c r="G1431" i="4"/>
  <c r="G931" i="4"/>
  <c r="G430" i="4"/>
  <c r="G1173" i="4"/>
  <c r="G491" i="4"/>
  <c r="G979" i="4"/>
  <c r="G362" i="4"/>
  <c r="G33" i="4"/>
  <c r="G34" i="4"/>
  <c r="G743" i="4"/>
  <c r="G492" i="4"/>
  <c r="G254" i="4"/>
  <c r="G829" i="4"/>
  <c r="G95" i="4"/>
  <c r="G493" i="4"/>
  <c r="G519" i="4"/>
  <c r="G350" i="4"/>
  <c r="G892" i="4"/>
  <c r="G1188" i="4"/>
  <c r="G571" i="4"/>
  <c r="G96" i="4"/>
  <c r="G232" i="4"/>
  <c r="G1049" i="4"/>
  <c r="G118" i="4"/>
  <c r="G1084" i="4"/>
  <c r="G283" i="4"/>
  <c r="G209" i="4"/>
  <c r="G1119" i="4"/>
  <c r="G431" i="4"/>
  <c r="G1464" i="4"/>
  <c r="G853" i="4"/>
  <c r="G301" i="4"/>
  <c r="G611" i="4"/>
  <c r="G1203" i="4"/>
  <c r="G112" i="4"/>
  <c r="G966" i="4"/>
  <c r="G1206" i="4"/>
  <c r="G1207" i="4"/>
  <c r="G706" i="4"/>
  <c r="G992" i="4"/>
  <c r="G744" i="4"/>
  <c r="G1063" i="4"/>
  <c r="G707" i="4"/>
  <c r="G1366" i="4"/>
  <c r="G1307" i="4"/>
  <c r="G1215" i="4"/>
  <c r="G190" i="4"/>
  <c r="G1387" i="4"/>
  <c r="G119" i="4"/>
  <c r="G1140" i="4"/>
  <c r="G1165" i="4"/>
  <c r="G97" i="4"/>
  <c r="G127" i="4"/>
  <c r="G839" i="4"/>
  <c r="G1224" i="4"/>
  <c r="G1225" i="4"/>
  <c r="G315" i="4"/>
  <c r="G596" i="4"/>
  <c r="G745" i="4"/>
  <c r="G583" i="4"/>
  <c r="G747" i="4"/>
  <c r="G687" i="4"/>
  <c r="G191" i="4"/>
  <c r="G494" i="4"/>
  <c r="G263" i="4"/>
  <c r="G1368" i="4"/>
  <c r="G155" i="4"/>
  <c r="G780" i="4"/>
  <c r="G1238" i="4"/>
  <c r="G1239" i="4"/>
  <c r="G967" i="4"/>
  <c r="G98" i="4"/>
  <c r="G302" i="4"/>
  <c r="G572" i="4"/>
  <c r="G1330" i="4"/>
  <c r="G264" i="4"/>
  <c r="G879" i="4"/>
  <c r="G469" i="4"/>
  <c r="G1248" i="4"/>
  <c r="G1101" i="4"/>
  <c r="G893" i="4"/>
  <c r="G1251" i="4"/>
  <c r="G1015" i="4"/>
  <c r="G192" i="4"/>
  <c r="G139" i="4"/>
  <c r="G1353" i="4"/>
  <c r="G932" i="4"/>
  <c r="G1257" i="4"/>
  <c r="G1086" i="4"/>
  <c r="G1259" i="4"/>
  <c r="G291" i="4"/>
  <c r="G470" i="4"/>
  <c r="G378" i="4"/>
  <c r="G1361" i="4"/>
  <c r="G1264" i="4"/>
  <c r="G472" i="4"/>
  <c r="G660" i="4"/>
  <c r="G1192" i="4"/>
  <c r="G1312" i="4"/>
  <c r="G303" i="4"/>
  <c r="G904" i="4"/>
  <c r="G63" i="4"/>
  <c r="G854" i="4"/>
  <c r="G1273" i="4"/>
  <c r="G1308" i="4"/>
  <c r="G1275" i="4"/>
  <c r="G1313" i="4"/>
  <c r="G1102" i="4"/>
  <c r="G330" i="4"/>
  <c r="G45" i="4"/>
  <c r="G1193" i="4"/>
  <c r="G1281" i="4"/>
  <c r="G114" i="4"/>
  <c r="G1283" i="4"/>
  <c r="G880" i="4"/>
  <c r="G832" i="4"/>
  <c r="G1354" i="4"/>
  <c r="G865" i="4"/>
  <c r="G503" i="4"/>
  <c r="G1316" i="4"/>
  <c r="G709" i="4"/>
  <c r="G193" i="4"/>
  <c r="G1292" i="4"/>
  <c r="G1293" i="4"/>
  <c r="G1194" i="4"/>
  <c r="G1103" i="4"/>
  <c r="G243" i="4"/>
  <c r="G1003" i="4"/>
  <c r="G1270" i="4"/>
  <c r="G1299" i="4"/>
  <c r="G1300" i="4"/>
  <c r="G849" i="4"/>
  <c r="G11" i="4"/>
  <c r="G969" i="4"/>
  <c r="G105" i="4"/>
  <c r="G1317" i="4"/>
  <c r="G1151" i="4"/>
  <c r="G316" i="4"/>
  <c r="G841" i="4"/>
  <c r="G735" i="4"/>
  <c r="G1195" i="4"/>
  <c r="G797" i="4"/>
  <c r="G1004" i="4"/>
  <c r="G612" i="4"/>
  <c r="G1314" i="4"/>
  <c r="G1315" i="4"/>
  <c r="G644" i="4"/>
  <c r="G1396" i="4"/>
  <c r="G559" i="4"/>
  <c r="G473" i="4"/>
  <c r="G1120" i="4"/>
  <c r="G432" i="4"/>
  <c r="G58" i="4"/>
  <c r="G584" i="4"/>
  <c r="G19" i="4"/>
  <c r="G911" i="4"/>
  <c r="G1178" i="4"/>
  <c r="G433" i="4"/>
  <c r="G1328" i="4"/>
  <c r="G980" i="4"/>
  <c r="G1121" i="4"/>
  <c r="G1255" i="4"/>
  <c r="G633" i="4"/>
  <c r="G757" i="4"/>
  <c r="G1334" i="4"/>
  <c r="G1335" i="4"/>
  <c r="G1196" i="4"/>
  <c r="G1469" i="4"/>
  <c r="G64" i="4"/>
  <c r="G1256" i="4"/>
  <c r="G1340" i="4"/>
  <c r="G1341" i="4"/>
  <c r="G1213" i="4"/>
  <c r="G78" i="4"/>
  <c r="G947" i="4"/>
  <c r="G389" i="4"/>
  <c r="G1258" i="4"/>
  <c r="G1470" i="4"/>
  <c r="G1245" i="4"/>
  <c r="G504" i="4"/>
  <c r="G867" i="4"/>
  <c r="G434" i="4"/>
  <c r="G1260" i="4"/>
  <c r="G970" i="4"/>
  <c r="G710" i="4"/>
  <c r="G1355" i="4"/>
  <c r="G1356" i="4"/>
  <c r="G344" i="4"/>
  <c r="G1412" i="4"/>
  <c r="G1388" i="4"/>
  <c r="G1331" i="4"/>
  <c r="G317" i="4"/>
  <c r="G645" i="4"/>
  <c r="G736" i="4"/>
  <c r="G345" i="4"/>
  <c r="G981" i="4"/>
  <c r="G1471" i="4"/>
  <c r="G1367" i="4"/>
  <c r="G816" i="4"/>
  <c r="G675" i="4"/>
  <c r="G304" i="4"/>
  <c r="G1371" i="4"/>
  <c r="G1451" i="4"/>
  <c r="G156" i="4"/>
  <c r="G305" i="4"/>
  <c r="G46" i="4"/>
  <c r="G1399" i="4"/>
  <c r="G1377" i="4"/>
  <c r="G37" i="4"/>
  <c r="G817" i="4"/>
  <c r="G20" i="4"/>
  <c r="G1381" i="4"/>
  <c r="G84" i="4"/>
  <c r="G1221" i="4"/>
  <c r="G598" i="4"/>
  <c r="G85" i="4"/>
  <c r="G912" i="4"/>
  <c r="G550" i="4"/>
  <c r="G1130" i="4"/>
  <c r="G115" i="4"/>
  <c r="G855" i="4"/>
  <c r="G87" i="4"/>
  <c r="G1392" i="4"/>
  <c r="G88" i="4"/>
  <c r="G971" i="4"/>
  <c r="G984" i="4"/>
  <c r="G89" i="4"/>
  <c r="G1397" i="4"/>
  <c r="G1398" i="4"/>
  <c r="G166" i="4"/>
  <c r="G676" i="4"/>
  <c r="G183" i="4"/>
  <c r="G21" i="4"/>
  <c r="G379" i="4"/>
  <c r="G474" i="4"/>
  <c r="G22" i="4"/>
  <c r="G551" i="4"/>
  <c r="G408" i="4"/>
  <c r="G1261" i="4"/>
  <c r="G985" i="4"/>
  <c r="G306" i="4"/>
  <c r="G531" i="4"/>
  <c r="G625" i="4"/>
  <c r="G116" i="4"/>
  <c r="G157" i="4"/>
  <c r="G599" i="4"/>
  <c r="G881" i="4"/>
  <c r="G1413" i="4"/>
  <c r="G307" i="4"/>
  <c r="G475" i="4"/>
  <c r="G585" i="4"/>
  <c r="G409" i="4"/>
  <c r="G933" i="4"/>
  <c r="G993" i="4"/>
  <c r="G986" i="4"/>
  <c r="G842" i="4"/>
  <c r="G1031" i="4"/>
  <c r="G688" i="4"/>
  <c r="G1290" i="4"/>
  <c r="G363" i="4"/>
  <c r="G1271" i="4"/>
  <c r="G601" i="4"/>
  <c r="G505" i="4"/>
  <c r="G210" i="4"/>
  <c r="G752" i="4"/>
  <c r="G1076" i="4"/>
  <c r="G59" i="4"/>
  <c r="G284" i="4"/>
  <c r="G1152" i="4"/>
  <c r="G79" i="4"/>
  <c r="G1440" i="4"/>
  <c r="G414" i="4"/>
  <c r="G140" i="4"/>
  <c r="G476" i="4"/>
  <c r="G1444" i="4"/>
  <c r="G1414" i="4"/>
  <c r="G1446" i="4"/>
  <c r="G1291" i="4"/>
  <c r="G758" i="4"/>
  <c r="G634" i="4"/>
  <c r="G1415" i="4"/>
  <c r="G1136" i="4"/>
  <c r="G1233" i="4"/>
  <c r="G689" i="4"/>
  <c r="G1454" i="4"/>
  <c r="G921" i="4"/>
  <c r="G477" i="4"/>
  <c r="G331" i="4"/>
  <c r="G520" i="4"/>
  <c r="G626" i="4"/>
  <c r="G1400" i="4"/>
  <c r="G332" i="4"/>
  <c r="G1141" i="4"/>
  <c r="G1463" i="4"/>
  <c r="G130" i="4"/>
  <c r="G318" i="4"/>
  <c r="G185" i="4"/>
  <c r="G1050" i="4"/>
  <c r="G818" i="4"/>
  <c r="G935" i="4"/>
  <c r="G950" i="4"/>
  <c r="G1442" i="4"/>
  <c r="G2" i="4"/>
  <c r="F882" i="4"/>
  <c r="P882" i="4" s="1" a="1"/>
  <c r="P882" i="4" s="1"/>
  <c r="F4" i="4"/>
  <c r="P4" i="4" s="1" a="1"/>
  <c r="P4" i="4" s="1"/>
  <c r="F1088" i="4"/>
  <c r="P1088" i="4" s="1" a="1"/>
  <c r="P1088" i="4" s="1"/>
  <c r="F801" i="4"/>
  <c r="P801" i="4" s="1" a="1"/>
  <c r="P801" i="4" s="1"/>
  <c r="F106" i="4"/>
  <c r="P106" i="4" s="1" a="1"/>
  <c r="P106" i="4" s="1"/>
  <c r="F65" i="4"/>
  <c r="P65" i="4" s="1" a="1"/>
  <c r="P65" i="4" s="1"/>
  <c r="F24" i="4"/>
  <c r="P24" i="4" s="1" a="1"/>
  <c r="P24" i="4" s="1"/>
  <c r="F602" i="4"/>
  <c r="P602" i="4" s="1" a="1"/>
  <c r="P602" i="4" s="1"/>
  <c r="F988" i="4"/>
  <c r="P988" i="4" s="1" a="1"/>
  <c r="P988" i="4" s="1"/>
  <c r="F922" i="4"/>
  <c r="P922" i="4" s="1" a="1"/>
  <c r="P922" i="4" s="1"/>
  <c r="F646" i="4"/>
  <c r="P646" i="4" s="1" a="1"/>
  <c r="P646" i="4" s="1"/>
  <c r="F804" i="4"/>
  <c r="P804" i="4" s="1" a="1"/>
  <c r="P804" i="4" s="1"/>
  <c r="F285" i="4"/>
  <c r="P285" i="4" s="1" a="1"/>
  <c r="P285" i="4" s="1"/>
  <c r="F16" i="4"/>
  <c r="P16" i="4" s="1" a="1"/>
  <c r="P16" i="4" s="1"/>
  <c r="F452" i="4"/>
  <c r="P452" i="4" s="1" a="1"/>
  <c r="P452" i="4" s="1"/>
  <c r="F415" i="4"/>
  <c r="P415" i="4" s="1" a="1"/>
  <c r="P415" i="4" s="1"/>
  <c r="F552" i="4"/>
  <c r="P552" i="4" s="1" a="1"/>
  <c r="P552" i="4" s="1"/>
  <c r="F418" i="4"/>
  <c r="P418" i="4" s="1" a="1"/>
  <c r="P418" i="4" s="1"/>
  <c r="F265" i="4"/>
  <c r="P265" i="4" s="1" a="1"/>
  <c r="P265" i="4" s="1"/>
  <c r="F1369" i="4"/>
  <c r="P1369" i="4" s="1" a="1"/>
  <c r="P1369" i="4" s="1"/>
  <c r="F23" i="4"/>
  <c r="P23" i="4" s="1" a="1"/>
  <c r="P23" i="4" s="1"/>
  <c r="F648" i="4"/>
  <c r="P648" i="4" s="1" a="1"/>
  <c r="P648" i="4" s="1"/>
  <c r="F135" i="4"/>
  <c r="P135" i="4" s="1" a="1"/>
  <c r="P135" i="4" s="1"/>
  <c r="F26" i="4"/>
  <c r="P26" i="4" s="1" a="1"/>
  <c r="P26" i="4" s="1"/>
  <c r="F737" i="4"/>
  <c r="P737" i="4" s="1" a="1"/>
  <c r="P737" i="4" s="1"/>
  <c r="F28" i="4"/>
  <c r="P28" i="4" s="1" a="1"/>
  <c r="P28" i="4" s="1"/>
  <c r="F738" i="4"/>
  <c r="P738" i="4" s="1" a="1"/>
  <c r="P738" i="4" s="1"/>
  <c r="F1104" i="4"/>
  <c r="P1104" i="4" s="1" a="1"/>
  <c r="P1104" i="4" s="1"/>
  <c r="F994" i="4"/>
  <c r="P994" i="4" s="1" a="1"/>
  <c r="P994" i="4" s="1"/>
  <c r="F868" i="4"/>
  <c r="P868" i="4" s="1" a="1"/>
  <c r="P868" i="4" s="1"/>
  <c r="F1416" i="4"/>
  <c r="P1416" i="4" s="1" a="1"/>
  <c r="P1416" i="4" s="1"/>
  <c r="F1179" i="4"/>
  <c r="P1179" i="4" s="1" a="1"/>
  <c r="P1179" i="4" s="1"/>
  <c r="F35" i="4"/>
  <c r="P35" i="4" s="1" a="1"/>
  <c r="P35" i="4" s="1"/>
  <c r="F36" i="4"/>
  <c r="P36" i="4" s="1" a="1"/>
  <c r="P36" i="4" s="1"/>
  <c r="F158" i="4"/>
  <c r="P158" i="4" s="1" a="1"/>
  <c r="P158" i="4" s="1"/>
  <c r="F38" i="4"/>
  <c r="P38" i="4" s="1" a="1"/>
  <c r="P38" i="4" s="1"/>
  <c r="F677" i="4"/>
  <c r="P677" i="4" s="1" a="1"/>
  <c r="P677" i="4" s="1"/>
  <c r="F507" i="4"/>
  <c r="P507" i="4" s="1" a="1"/>
  <c r="P507" i="4" s="1"/>
  <c r="F267" i="4"/>
  <c r="P267" i="4" s="1" a="1"/>
  <c r="P267" i="4" s="1"/>
  <c r="F1077" i="4"/>
  <c r="P1077" i="4" s="1" a="1"/>
  <c r="P1077" i="4" s="1"/>
  <c r="F268" i="4"/>
  <c r="P268" i="4" s="1" a="1"/>
  <c r="P268" i="4" s="1"/>
  <c r="F44" i="4"/>
  <c r="P44" i="4" s="1" a="1"/>
  <c r="P44" i="4" s="1"/>
  <c r="F805" i="4"/>
  <c r="P805" i="4" s="1" a="1"/>
  <c r="P805" i="4" s="1"/>
  <c r="F1016" i="4"/>
  <c r="P1016" i="4" s="1" a="1"/>
  <c r="P1016" i="4" s="1"/>
  <c r="F47" i="4"/>
  <c r="P47" i="4" s="1" a="1"/>
  <c r="P47" i="4" s="1"/>
  <c r="F308" i="4"/>
  <c r="P308" i="4" s="1" a="1"/>
  <c r="P308" i="4" s="1"/>
  <c r="F435" i="4"/>
  <c r="P435" i="4" s="1" a="1"/>
  <c r="P435" i="4" s="1"/>
  <c r="F856" i="4"/>
  <c r="P856" i="4" s="1" a="1"/>
  <c r="P856" i="4" s="1"/>
  <c r="F390" i="4"/>
  <c r="P390" i="4" s="1" a="1"/>
  <c r="P390" i="4" s="1"/>
  <c r="F52" i="4"/>
  <c r="P52" i="4" s="1" a="1"/>
  <c r="P52" i="4" s="1"/>
  <c r="F53" i="4"/>
  <c r="P53" i="4" s="1" a="1"/>
  <c r="P53" i="4" s="1"/>
  <c r="F436" i="4"/>
  <c r="P436" i="4" s="1" a="1"/>
  <c r="P436" i="4" s="1"/>
  <c r="F1379" i="4"/>
  <c r="P1379" i="4" s="1" a="1"/>
  <c r="P1379" i="4" s="1"/>
  <c r="F1142" i="4"/>
  <c r="P1142" i="4" s="1" a="1"/>
  <c r="P1142" i="4" s="1"/>
  <c r="F495" i="4"/>
  <c r="P495" i="4" s="1" a="1"/>
  <c r="P495" i="4" s="1"/>
  <c r="F1332" i="4"/>
  <c r="P1332" i="4" s="1" a="1"/>
  <c r="P1332" i="4" s="1"/>
  <c r="F1032" i="4"/>
  <c r="P1032" i="4" s="1" a="1"/>
  <c r="P1032" i="4" s="1"/>
  <c r="F1017" i="4"/>
  <c r="P1017" i="4" s="1" a="1"/>
  <c r="P1017" i="4" s="1"/>
  <c r="F120" i="4"/>
  <c r="P120" i="4" s="1" a="1"/>
  <c r="P120" i="4" s="1"/>
  <c r="F972" i="4"/>
  <c r="P972" i="4" s="1" a="1"/>
  <c r="P972" i="4" s="1"/>
  <c r="F39" i="4"/>
  <c r="P39" i="4" s="1" a="1"/>
  <c r="P39" i="4" s="1"/>
  <c r="F603" i="4"/>
  <c r="P603" i="4" s="1" a="1"/>
  <c r="P603" i="4" s="1"/>
  <c r="F1051" i="4"/>
  <c r="P1051" i="4" s="1" a="1"/>
  <c r="P1051" i="4" s="1"/>
  <c r="F1401" i="4"/>
  <c r="P1401" i="4" s="1" a="1"/>
  <c r="P1401" i="4" s="1"/>
  <c r="F1036" i="4"/>
  <c r="P1036" i="4" s="1" a="1"/>
  <c r="P1036" i="4" s="1"/>
  <c r="F613" i="4"/>
  <c r="P613" i="4" s="1" a="1"/>
  <c r="P613" i="4" s="1"/>
  <c r="F649" i="4"/>
  <c r="P649" i="4" s="1" a="1"/>
  <c r="P649" i="4" s="1"/>
  <c r="F292" i="4"/>
  <c r="P292" i="4" s="1" a="1"/>
  <c r="P292" i="4" s="1"/>
  <c r="F71" i="4"/>
  <c r="P71" i="4" s="1" a="1"/>
  <c r="P71" i="4" s="1"/>
  <c r="F843" i="4"/>
  <c r="P843" i="4" s="1" a="1"/>
  <c r="P843" i="4" s="1"/>
  <c r="F923" i="4"/>
  <c r="P923" i="4" s="1" a="1"/>
  <c r="P923" i="4" s="1"/>
  <c r="F692" i="4"/>
  <c r="P692" i="4" s="1" a="1"/>
  <c r="P692" i="4" s="1"/>
  <c r="F1389" i="4"/>
  <c r="P1389" i="4" s="1" a="1"/>
  <c r="P1389" i="4" s="1"/>
  <c r="F1089" i="4"/>
  <c r="P1089" i="4" s="1" a="1"/>
  <c r="P1089" i="4" s="1"/>
  <c r="F202" i="4"/>
  <c r="P202" i="4" s="1" a="1"/>
  <c r="P202" i="4" s="1"/>
  <c r="F478" i="4"/>
  <c r="P478" i="4" s="1" a="1"/>
  <c r="P478" i="4" s="1"/>
  <c r="F320" i="4"/>
  <c r="P320" i="4" s="1" a="1"/>
  <c r="P320" i="4" s="1"/>
  <c r="F905" i="4"/>
  <c r="P905" i="4" s="1" a="1"/>
  <c r="P905" i="4" s="1"/>
  <c r="F759" i="4"/>
  <c r="P759" i="4" s="1" a="1"/>
  <c r="P759" i="4" s="1"/>
  <c r="F321" i="4"/>
  <c r="P321" i="4" s="1" a="1"/>
  <c r="P321" i="4" s="1"/>
  <c r="F269" i="4"/>
  <c r="P269" i="4" s="1" a="1"/>
  <c r="P269" i="4" s="1"/>
  <c r="F25" i="4"/>
  <c r="P25" i="4" s="1" a="1"/>
  <c r="P25" i="4" s="1"/>
  <c r="F760" i="4"/>
  <c r="P760" i="4" s="1" a="1"/>
  <c r="P760" i="4" s="1"/>
  <c r="F1166" i="4"/>
  <c r="P1166" i="4" s="1" a="1"/>
  <c r="P1166" i="4" s="1"/>
  <c r="F1214" i="4"/>
  <c r="P1214" i="4" s="1" a="1"/>
  <c r="P1214" i="4" s="1"/>
  <c r="F573" i="4"/>
  <c r="P573" i="4" s="1" a="1"/>
  <c r="P573" i="4" s="1"/>
  <c r="F819" i="4"/>
  <c r="P819" i="4" s="1" a="1"/>
  <c r="P819" i="4" s="1"/>
  <c r="F60" i="4"/>
  <c r="P60" i="4" s="1" a="1"/>
  <c r="P60" i="4" s="1"/>
  <c r="F91" i="4"/>
  <c r="P91" i="4" s="1" a="1"/>
  <c r="P91" i="4" s="1"/>
  <c r="F66" i="4"/>
  <c r="P66" i="4" s="1" a="1"/>
  <c r="P66" i="4" s="1"/>
  <c r="F244" i="4"/>
  <c r="P244" i="4" s="1" a="1"/>
  <c r="P244" i="4" s="1"/>
  <c r="F936" i="4"/>
  <c r="P936" i="4" s="1" a="1"/>
  <c r="P936" i="4" s="1"/>
  <c r="F1417" i="4"/>
  <c r="P1417" i="4" s="1" a="1"/>
  <c r="P1417" i="4" s="1"/>
  <c r="F822" i="4"/>
  <c r="P822" i="4" s="1" a="1"/>
  <c r="P822" i="4" s="1"/>
  <c r="F586" i="4"/>
  <c r="P586" i="4" s="1" a="1"/>
  <c r="P586" i="4" s="1"/>
  <c r="F543" i="4"/>
  <c r="P543" i="4" s="1" a="1"/>
  <c r="P543" i="4" s="1"/>
  <c r="F1362" i="4"/>
  <c r="P1362" i="4" s="1" a="1"/>
  <c r="P1362" i="4" s="1"/>
  <c r="F1418" i="4"/>
  <c r="P1418" i="4" s="1" a="1"/>
  <c r="P1418" i="4" s="1"/>
  <c r="F159" i="4"/>
  <c r="P159" i="4" s="1" a="1"/>
  <c r="P159" i="4" s="1"/>
  <c r="F102" i="4"/>
  <c r="P102" i="4" s="1" a="1"/>
  <c r="P102" i="4" s="1"/>
  <c r="F309" i="4"/>
  <c r="P309" i="4" s="1" a="1"/>
  <c r="P309" i="4" s="1"/>
  <c r="F104" i="4"/>
  <c r="P104" i="4" s="1" a="1"/>
  <c r="P104" i="4" s="1"/>
  <c r="F1222" i="4"/>
  <c r="P1222" i="4" s="1" a="1"/>
  <c r="P1222" i="4" s="1"/>
  <c r="F753" i="4"/>
  <c r="P753" i="4" s="1" a="1"/>
  <c r="P753" i="4" s="1"/>
  <c r="F850" i="4"/>
  <c r="P850" i="4" s="1" a="1"/>
  <c r="P850" i="4" s="1"/>
  <c r="F770" i="4"/>
  <c r="P770" i="4" s="1" a="1"/>
  <c r="P770" i="4" s="1"/>
  <c r="F109" i="4"/>
  <c r="P109" i="4" s="1" a="1"/>
  <c r="P109" i="4" s="1"/>
  <c r="F27" i="4"/>
  <c r="P27" i="4" s="1" a="1"/>
  <c r="P27" i="4" s="1"/>
  <c r="F951" i="4"/>
  <c r="P951" i="4" s="1" a="1"/>
  <c r="P951" i="4" s="1"/>
  <c r="F604" i="4"/>
  <c r="P604" i="4" s="1" a="1"/>
  <c r="P604" i="4" s="1"/>
  <c r="F113" i="4"/>
  <c r="P113" i="4" s="1" a="1"/>
  <c r="P113" i="4" s="1"/>
  <c r="F1363" i="4"/>
  <c r="P1363" i="4" s="1" a="1"/>
  <c r="P1363" i="4" s="1"/>
  <c r="F783" i="4"/>
  <c r="P783" i="4" s="1" a="1"/>
  <c r="P783" i="4" s="1"/>
  <c r="F1037" i="4"/>
  <c r="P1037" i="4" s="1" a="1"/>
  <c r="P1037" i="4" s="1"/>
  <c r="F1131" i="4"/>
  <c r="P1131" i="4" s="1" a="1"/>
  <c r="P1131" i="4" s="1"/>
  <c r="F906" i="4"/>
  <c r="P906" i="4" s="1" a="1"/>
  <c r="P906" i="4" s="1"/>
  <c r="F186" i="4"/>
  <c r="P186" i="4" s="1" a="1"/>
  <c r="P186" i="4" s="1"/>
  <c r="F333" i="4"/>
  <c r="P333" i="4" s="1" a="1"/>
  <c r="P333" i="4" s="1"/>
  <c r="F410" i="4"/>
  <c r="P410" i="4" s="1" a="1"/>
  <c r="P410" i="4" s="1"/>
  <c r="F222" i="4"/>
  <c r="P222" i="4" s="1" a="1"/>
  <c r="P222" i="4" s="1"/>
  <c r="F1122" i="4"/>
  <c r="P1122" i="4" s="1" a="1"/>
  <c r="P1122" i="4" s="1"/>
  <c r="F124" i="4"/>
  <c r="P124" i="4" s="1" a="1"/>
  <c r="P124" i="4" s="1"/>
  <c r="F1272" i="4"/>
  <c r="P1272" i="4" s="1" a="1"/>
  <c r="P1272" i="4" s="1"/>
  <c r="F126" i="4"/>
  <c r="P126" i="4" s="1" a="1"/>
  <c r="P126" i="4" s="1"/>
  <c r="F784" i="4"/>
  <c r="P784" i="4" s="1" a="1"/>
  <c r="P784" i="4" s="1"/>
  <c r="F128" i="4"/>
  <c r="P128" i="4" s="1" a="1"/>
  <c r="P128" i="4" s="1"/>
  <c r="F129" i="4"/>
  <c r="P129" i="4" s="1" a="1"/>
  <c r="P129" i="4" s="1"/>
  <c r="F1234" i="4"/>
  <c r="P1234" i="4" s="1" a="1"/>
  <c r="P1234" i="4" s="1"/>
  <c r="F820" i="4"/>
  <c r="P820" i="4" s="1" a="1"/>
  <c r="P820" i="4" s="1"/>
  <c r="F712" i="4"/>
  <c r="P712" i="4" s="1" a="1"/>
  <c r="P712" i="4" s="1"/>
  <c r="F869" i="4"/>
  <c r="P869" i="4" s="1" a="1"/>
  <c r="P869" i="4" s="1"/>
  <c r="F134" i="4"/>
  <c r="P134" i="4" s="1" a="1"/>
  <c r="P134" i="4" s="1"/>
  <c r="F614" i="4"/>
  <c r="P614" i="4" s="1" a="1"/>
  <c r="P614" i="4" s="1"/>
  <c r="F1005" i="4"/>
  <c r="P1005" i="4" s="1" a="1"/>
  <c r="P1005" i="4" s="1"/>
  <c r="F693" i="4"/>
  <c r="P693" i="4" s="1" a="1"/>
  <c r="P693" i="4" s="1"/>
  <c r="F138" i="4"/>
  <c r="P138" i="4" s="1" a="1"/>
  <c r="P138" i="4" s="1"/>
  <c r="F588" i="4"/>
  <c r="P588" i="4" s="1" a="1"/>
  <c r="P588" i="4" s="1"/>
  <c r="F907" i="4"/>
  <c r="P907" i="4" s="1" a="1"/>
  <c r="P907" i="4" s="1"/>
  <c r="F167" i="4"/>
  <c r="P167" i="4" s="1" a="1"/>
  <c r="P167" i="4" s="1"/>
  <c r="F142" i="4"/>
  <c r="P142" i="4" s="1" a="1"/>
  <c r="P142" i="4" s="1"/>
  <c r="F351" i="4"/>
  <c r="P351" i="4" s="1" a="1"/>
  <c r="P351" i="4" s="1"/>
  <c r="F479" i="4"/>
  <c r="P479" i="4" s="1" a="1"/>
  <c r="P479" i="4" s="1"/>
  <c r="F1333" i="4"/>
  <c r="P1333" i="4" s="1" a="1"/>
  <c r="P1333" i="4" s="1"/>
  <c r="F334" i="4"/>
  <c r="P334" i="4" s="1" a="1"/>
  <c r="P334" i="4" s="1"/>
  <c r="F352" i="4"/>
  <c r="P352" i="4" s="1" a="1"/>
  <c r="P352" i="4" s="1"/>
  <c r="F48" i="4"/>
  <c r="P48" i="4" s="1" a="1"/>
  <c r="P48" i="4" s="1"/>
  <c r="F61" i="4"/>
  <c r="P61" i="4" s="1" a="1"/>
  <c r="P61" i="4" s="1"/>
  <c r="F223" i="4"/>
  <c r="P223" i="4" s="1" a="1"/>
  <c r="P223" i="4" s="1"/>
  <c r="F353" i="4"/>
  <c r="P353" i="4" s="1" a="1"/>
  <c r="P353" i="4" s="1"/>
  <c r="F650" i="4"/>
  <c r="P650" i="4" s="1" a="1"/>
  <c r="P650" i="4" s="1"/>
  <c r="F1052" i="4"/>
  <c r="P1052" i="4" s="1" a="1"/>
  <c r="P1052" i="4" s="1"/>
  <c r="F175" i="4"/>
  <c r="P175" i="4" s="1" a="1"/>
  <c r="P175" i="4" s="1"/>
  <c r="F785" i="4"/>
  <c r="P785" i="4" s="1" a="1"/>
  <c r="P785" i="4" s="1"/>
  <c r="F49" i="4"/>
  <c r="P49" i="4" s="1" a="1"/>
  <c r="P49" i="4" s="1"/>
  <c r="F806" i="4"/>
  <c r="P806" i="4" s="1" a="1"/>
  <c r="P806" i="4" s="1"/>
  <c r="F661" i="4"/>
  <c r="P661" i="4" s="1" a="1"/>
  <c r="P661" i="4" s="1"/>
  <c r="F203" i="4"/>
  <c r="P203" i="4" s="1" a="1"/>
  <c r="P203" i="4" s="1"/>
  <c r="F1078" i="4"/>
  <c r="P1078" i="4" s="1" a="1"/>
  <c r="P1078" i="4" s="1"/>
  <c r="F1080" i="4"/>
  <c r="P1080" i="4" s="1" a="1"/>
  <c r="P1080" i="4" s="1"/>
  <c r="F419" i="4"/>
  <c r="P419" i="4" s="1" a="1"/>
  <c r="P419" i="4" s="1"/>
  <c r="F1274" i="4"/>
  <c r="P1274" i="4" s="1" a="1"/>
  <c r="P1274" i="4" s="1"/>
  <c r="F480" i="4"/>
  <c r="P480" i="4" s="1" a="1"/>
  <c r="P480" i="4" s="1"/>
  <c r="F420" i="4"/>
  <c r="P420" i="4" s="1" a="1"/>
  <c r="P420" i="4" s="1"/>
  <c r="F1064" i="4"/>
  <c r="P1064" i="4" s="1" a="1"/>
  <c r="P1064" i="4" s="1"/>
  <c r="F739" i="4"/>
  <c r="P739" i="4" s="1" a="1"/>
  <c r="P739" i="4" s="1"/>
  <c r="F952" i="4"/>
  <c r="P952" i="4" s="1" a="1"/>
  <c r="P952" i="4" s="1"/>
  <c r="F1153" i="4"/>
  <c r="P1153" i="4" s="1" a="1"/>
  <c r="P1153" i="4" s="1"/>
  <c r="F786" i="4"/>
  <c r="P786" i="4" s="1" a="1"/>
  <c r="P786" i="4" s="1"/>
  <c r="F335" i="4"/>
  <c r="P335" i="4" s="1" a="1"/>
  <c r="P335" i="4" s="1"/>
  <c r="F1216" i="4"/>
  <c r="P1216" i="4" s="1" a="1"/>
  <c r="P1216" i="4" s="1"/>
  <c r="F173" i="4"/>
  <c r="P173" i="4" s="1" a="1"/>
  <c r="P173" i="4" s="1"/>
  <c r="F211" i="4"/>
  <c r="P211" i="4" s="1" a="1"/>
  <c r="P211" i="4" s="1"/>
  <c r="F364" i="4"/>
  <c r="P364" i="4" s="1" a="1"/>
  <c r="P364" i="4" s="1"/>
  <c r="F1419" i="4"/>
  <c r="P1419" i="4" s="1" a="1"/>
  <c r="P1419" i="4" s="1"/>
  <c r="F439" i="4"/>
  <c r="P439" i="4" s="1" a="1"/>
  <c r="P439" i="4" s="1"/>
  <c r="F694" i="4"/>
  <c r="P694" i="4" s="1" a="1"/>
  <c r="P694" i="4" s="1"/>
  <c r="F179" i="4"/>
  <c r="P179" i="4" s="1" a="1"/>
  <c r="P179" i="4" s="1"/>
  <c r="F1053" i="4"/>
  <c r="P1053" i="4" s="1" a="1"/>
  <c r="P1053" i="4" s="1"/>
  <c r="F714" i="4"/>
  <c r="P714" i="4" s="1" a="1"/>
  <c r="P714" i="4" s="1"/>
  <c r="F553" i="4"/>
  <c r="P553" i="4" s="1" a="1"/>
  <c r="P553" i="4" s="1"/>
  <c r="F1054" i="4"/>
  <c r="P1054" i="4" s="1" a="1"/>
  <c r="P1054" i="4" s="1"/>
  <c r="F184" i="4"/>
  <c r="P184" i="4" s="1" a="1"/>
  <c r="P184" i="4" s="1"/>
  <c r="F1246" i="4"/>
  <c r="P1246" i="4" s="1" a="1"/>
  <c r="P1246" i="4" s="1"/>
  <c r="F1276" i="4"/>
  <c r="P1276" i="4" s="1" a="1"/>
  <c r="P1276" i="4" s="1"/>
  <c r="F574" i="4"/>
  <c r="P574" i="4" s="1" a="1"/>
  <c r="P574" i="4" s="1"/>
  <c r="F1019" i="4"/>
  <c r="P1019" i="4" s="1" a="1"/>
  <c r="P1019" i="4" s="1"/>
  <c r="F245" i="4"/>
  <c r="P245" i="4" s="1" a="1"/>
  <c r="P245" i="4" s="1"/>
  <c r="F1223" i="4"/>
  <c r="P1223" i="4" s="1" a="1"/>
  <c r="P1223" i="4" s="1"/>
  <c r="F678" i="4"/>
  <c r="P678" i="4" s="1" a="1"/>
  <c r="P678" i="4" s="1"/>
  <c r="F204" i="4"/>
  <c r="P204" i="4" s="1" a="1"/>
  <c r="P204" i="4" s="1"/>
  <c r="F1123" i="4"/>
  <c r="P1123" i="4" s="1" a="1"/>
  <c r="P1123" i="4" s="1"/>
  <c r="F194" i="4"/>
  <c r="P194" i="4" s="1" a="1"/>
  <c r="P194" i="4" s="1"/>
  <c r="F270" i="4"/>
  <c r="P270" i="4" s="1" a="1"/>
  <c r="P270" i="4" s="1"/>
  <c r="F715" i="4"/>
  <c r="P715" i="4" s="1" a="1"/>
  <c r="P715" i="4" s="1"/>
  <c r="F635" i="4"/>
  <c r="P635" i="4" s="1" a="1"/>
  <c r="P635" i="4" s="1"/>
  <c r="F1154" i="4"/>
  <c r="P1154" i="4" s="1" a="1"/>
  <c r="P1154" i="4" s="1"/>
  <c r="F176" i="4"/>
  <c r="P176" i="4" s="1" a="1"/>
  <c r="P176" i="4" s="1"/>
  <c r="F141" i="4"/>
  <c r="P141" i="4" s="1" a="1"/>
  <c r="P141" i="4" s="1"/>
  <c r="F1452" i="4"/>
  <c r="P1452" i="4" s="1" a="1"/>
  <c r="P1452" i="4" s="1"/>
  <c r="F168" i="4"/>
  <c r="P168" i="4" s="1" a="1"/>
  <c r="P168" i="4" s="1"/>
  <c r="F1370" i="4"/>
  <c r="P1370" i="4" s="1" a="1"/>
  <c r="P1370" i="4" s="1"/>
  <c r="F391" i="4"/>
  <c r="P391" i="4" s="1" a="1"/>
  <c r="P391" i="4" s="1"/>
  <c r="F1167" i="4"/>
  <c r="P1167" i="4" s="1" a="1"/>
  <c r="P1167" i="4" s="1"/>
  <c r="F206" i="4"/>
  <c r="P206" i="4" s="1" a="1"/>
  <c r="P206" i="4" s="1"/>
  <c r="F207" i="4"/>
  <c r="P207" i="4" s="1" a="1"/>
  <c r="P207" i="4" s="1"/>
  <c r="F169" i="4"/>
  <c r="P169" i="4" s="1" a="1"/>
  <c r="P169" i="4" s="1"/>
  <c r="F160" i="4"/>
  <c r="P160" i="4" s="1" a="1"/>
  <c r="P160" i="4" s="1"/>
  <c r="F716" i="4"/>
  <c r="P716" i="4" s="1" a="1"/>
  <c r="P716" i="4" s="1"/>
  <c r="F346" i="4"/>
  <c r="P346" i="4" s="1" a="1"/>
  <c r="P346" i="4" s="1"/>
  <c r="F212" i="4"/>
  <c r="P212" i="4" s="1" a="1"/>
  <c r="P212" i="4" s="1"/>
  <c r="F1180" i="4"/>
  <c r="P1180" i="4" s="1" a="1"/>
  <c r="P1180" i="4" s="1"/>
  <c r="F107" i="4"/>
  <c r="P107" i="4" s="1" a="1"/>
  <c r="P107" i="4" s="1"/>
  <c r="F924" i="4"/>
  <c r="P924" i="4" s="1" a="1"/>
  <c r="P924" i="4" s="1"/>
  <c r="F216" i="4"/>
  <c r="P216" i="4" s="1" a="1"/>
  <c r="P216" i="4" s="1"/>
  <c r="F937" i="4"/>
  <c r="P937" i="4" s="1" a="1"/>
  <c r="P937" i="4" s="1"/>
  <c r="F218" i="4"/>
  <c r="P218" i="4" s="1" a="1"/>
  <c r="P218" i="4" s="1"/>
  <c r="F219" i="4"/>
  <c r="P219" i="4" s="1" a="1"/>
  <c r="P219" i="4" s="1"/>
  <c r="F1453" i="4"/>
  <c r="P1453" i="4" s="1" a="1"/>
  <c r="P1453" i="4" s="1"/>
  <c r="F953" i="4"/>
  <c r="P953" i="4" s="1" a="1"/>
  <c r="P953" i="4" s="1"/>
  <c r="F883" i="4"/>
  <c r="P883" i="4" s="1" a="1"/>
  <c r="P883" i="4" s="1"/>
  <c r="F205" i="4"/>
  <c r="P205" i="4" s="1" a="1"/>
  <c r="P205" i="4" s="1"/>
  <c r="F1090" i="4"/>
  <c r="P1090" i="4" s="1" a="1"/>
  <c r="P1090" i="4" s="1"/>
  <c r="F293" i="4"/>
  <c r="P293" i="4" s="1" a="1"/>
  <c r="P293" i="4" s="1"/>
  <c r="F195" i="4"/>
  <c r="P195" i="4" s="1" a="1"/>
  <c r="P195" i="4" s="1"/>
  <c r="F1197" i="4"/>
  <c r="P1197" i="4" s="1" a="1"/>
  <c r="P1197" i="4" s="1"/>
  <c r="F1039" i="4"/>
  <c r="P1039" i="4" s="1" a="1"/>
  <c r="P1039" i="4" s="1"/>
  <c r="F605" i="4"/>
  <c r="P605" i="4" s="1" a="1"/>
  <c r="P605" i="4" s="1"/>
  <c r="F3" i="4"/>
  <c r="P3" i="4" s="1" a="1"/>
  <c r="P3" i="4" s="1"/>
  <c r="F231" i="4"/>
  <c r="P231" i="4" s="1" a="1"/>
  <c r="P231" i="4" s="1"/>
  <c r="F1132" i="4"/>
  <c r="P1132" i="4" s="1" a="1"/>
  <c r="P1132" i="4" s="1"/>
  <c r="F1277" i="4"/>
  <c r="P1277" i="4" s="1" a="1"/>
  <c r="P1277" i="4" s="1"/>
  <c r="F787" i="4"/>
  <c r="P787" i="4" s="1" a="1"/>
  <c r="P787" i="4" s="1"/>
  <c r="F771" i="4"/>
  <c r="P771" i="4" s="1" a="1"/>
  <c r="P771" i="4" s="1"/>
  <c r="F236" i="4"/>
  <c r="P236" i="4" s="1" a="1"/>
  <c r="P236" i="4" s="1"/>
  <c r="F12" i="4"/>
  <c r="P12" i="4" s="1" a="1"/>
  <c r="P12" i="4" s="1"/>
  <c r="F238" i="4"/>
  <c r="P238" i="4" s="1" a="1"/>
  <c r="P238" i="4" s="1"/>
  <c r="F421" i="4"/>
  <c r="P421" i="4" s="1" a="1"/>
  <c r="P421" i="4" s="1"/>
  <c r="F788" i="4"/>
  <c r="P788" i="4" s="1" a="1"/>
  <c r="P788" i="4" s="1"/>
  <c r="F241" i="4"/>
  <c r="P241" i="4" s="1" a="1"/>
  <c r="P241" i="4" s="1"/>
  <c r="F224" i="4"/>
  <c r="P224" i="4" s="1" a="1"/>
  <c r="P224" i="4" s="1"/>
  <c r="F1235" i="4"/>
  <c r="P1235" i="4" s="1" a="1"/>
  <c r="P1235" i="4" s="1"/>
  <c r="F271" i="4"/>
  <c r="P271" i="4" s="1" a="1"/>
  <c r="P271" i="4" s="1"/>
  <c r="F884" i="4"/>
  <c r="P884" i="4" s="1" a="1"/>
  <c r="P884" i="4" s="1"/>
  <c r="F246" i="4"/>
  <c r="P246" i="4" s="1" a="1"/>
  <c r="P246" i="4" s="1"/>
  <c r="F1198" i="4"/>
  <c r="P1198" i="4" s="1" a="1"/>
  <c r="P1198" i="4" s="1"/>
  <c r="F521" i="4"/>
  <c r="P521" i="4" s="1" a="1"/>
  <c r="P521" i="4" s="1"/>
  <c r="F1318" i="4"/>
  <c r="P1318" i="4" s="1" a="1"/>
  <c r="P1318" i="4" s="1"/>
  <c r="F143" i="4"/>
  <c r="P143" i="4" s="1" a="1"/>
  <c r="P143" i="4" s="1"/>
  <c r="F1319" i="4"/>
  <c r="P1319" i="4" s="1" a="1"/>
  <c r="P1319" i="4" s="1"/>
  <c r="F252" i="4"/>
  <c r="P252" i="4" s="1" a="1"/>
  <c r="P252" i="4" s="1"/>
  <c r="F938" i="4"/>
  <c r="P938" i="4" s="1" a="1"/>
  <c r="P938" i="4" s="1"/>
  <c r="F1402" i="4"/>
  <c r="P1402" i="4" s="1" a="1"/>
  <c r="P1402" i="4" s="1"/>
  <c r="F1065" i="4"/>
  <c r="P1065" i="4" s="1" a="1"/>
  <c r="P1065" i="4" s="1"/>
  <c r="F90" i="4"/>
  <c r="P90" i="4" s="1" a="1"/>
  <c r="P90" i="4" s="1"/>
  <c r="F1262" i="4"/>
  <c r="P1262" i="4" s="1" a="1"/>
  <c r="P1262" i="4" s="1"/>
  <c r="F789" i="4"/>
  <c r="P789" i="4" s="1" a="1"/>
  <c r="P789" i="4" s="1"/>
  <c r="F790" i="4"/>
  <c r="P790" i="4" s="1" a="1"/>
  <c r="P790" i="4" s="1"/>
  <c r="F679" i="4"/>
  <c r="P679" i="4" s="1" a="1"/>
  <c r="P679" i="4" s="1"/>
  <c r="F261" i="4"/>
  <c r="P261" i="4" s="1" a="1"/>
  <c r="P261" i="4" s="1"/>
  <c r="F99" i="4"/>
  <c r="P99" i="4" s="1" a="1"/>
  <c r="P99" i="4" s="1"/>
  <c r="F392" i="4"/>
  <c r="P392" i="4" s="1" a="1"/>
  <c r="P392" i="4" s="1"/>
  <c r="F1380" i="4"/>
  <c r="P1380" i="4" s="1" a="1"/>
  <c r="P1380" i="4" s="1"/>
  <c r="F522" i="4"/>
  <c r="P522" i="4" s="1" a="1"/>
  <c r="P522" i="4" s="1"/>
  <c r="F266" i="4"/>
  <c r="P266" i="4" s="1" a="1"/>
  <c r="P266" i="4" s="1"/>
  <c r="F925" i="4"/>
  <c r="P925" i="4" s="1" a="1"/>
  <c r="P925" i="4" s="1"/>
  <c r="F1137" i="4"/>
  <c r="P1137" i="4" s="1" a="1"/>
  <c r="P1137" i="4" s="1"/>
  <c r="F761" i="4"/>
  <c r="P761" i="4" s="1" a="1"/>
  <c r="P761" i="4" s="1"/>
  <c r="F196" i="4"/>
  <c r="P196" i="4" s="1" a="1"/>
  <c r="P196" i="4" s="1"/>
  <c r="F1403" i="4"/>
  <c r="P1403" i="4" s="1" a="1"/>
  <c r="P1403" i="4" s="1"/>
  <c r="F197" i="4"/>
  <c r="P197" i="4" s="1" a="1"/>
  <c r="P197" i="4" s="1"/>
  <c r="F273" i="4"/>
  <c r="P273" i="4" s="1" a="1"/>
  <c r="P273" i="4" s="1"/>
  <c r="F1124" i="4"/>
  <c r="P1124" i="4" s="1" a="1"/>
  <c r="P1124" i="4" s="1"/>
  <c r="F857" i="4"/>
  <c r="P857" i="4" s="1" a="1"/>
  <c r="P857" i="4" s="1"/>
  <c r="F347" i="4"/>
  <c r="P347" i="4" s="1" a="1"/>
  <c r="P347" i="4" s="1"/>
  <c r="F1133" i="4"/>
  <c r="P1133" i="4" s="1" a="1"/>
  <c r="P1133" i="4" s="1"/>
  <c r="F576" i="4"/>
  <c r="P576" i="4" s="1" a="1"/>
  <c r="P576" i="4" s="1"/>
  <c r="F1364" i="4"/>
  <c r="P1364" i="4" s="1" a="1"/>
  <c r="P1364" i="4" s="1"/>
  <c r="F144" i="4"/>
  <c r="P144" i="4" s="1" a="1"/>
  <c r="P144" i="4" s="1"/>
  <c r="F755" i="4"/>
  <c r="P755" i="4" s="1" a="1"/>
  <c r="P755" i="4" s="1"/>
  <c r="F1294" i="4"/>
  <c r="P1294" i="4" s="1" a="1"/>
  <c r="P1294" i="4" s="1"/>
  <c r="F286" i="4"/>
  <c r="P286" i="4" s="1" a="1"/>
  <c r="P286" i="4" s="1"/>
  <c r="F1295" i="4"/>
  <c r="P1295" i="4" s="1" a="1"/>
  <c r="P1295" i="4" s="1"/>
  <c r="F393" i="4"/>
  <c r="P393" i="4" s="1" a="1"/>
  <c r="P393" i="4" s="1"/>
  <c r="F1091" i="4"/>
  <c r="P1091" i="4" s="1" a="1"/>
  <c r="P1091" i="4" s="1"/>
  <c r="F1296" i="4"/>
  <c r="P1296" i="4" s="1" a="1"/>
  <c r="P1296" i="4" s="1"/>
  <c r="F288" i="4"/>
  <c r="P288" i="4" s="1" a="1"/>
  <c r="P288" i="4" s="1"/>
  <c r="F995" i="4"/>
  <c r="P995" i="4" s="1" a="1"/>
  <c r="P995" i="4" s="1"/>
  <c r="F290" i="4"/>
  <c r="P290" i="4" s="1" a="1"/>
  <c r="P290" i="4" s="1"/>
  <c r="F523" i="4"/>
  <c r="P523" i="4" s="1" a="1"/>
  <c r="P523" i="4" s="1"/>
  <c r="F1465" i="4"/>
  <c r="P1465" i="4" s="1" a="1"/>
  <c r="P1465" i="4" s="1"/>
  <c r="F544" i="4"/>
  <c r="P544" i="4" s="1" a="1"/>
  <c r="P544" i="4" s="1"/>
  <c r="F870" i="4"/>
  <c r="P870" i="4" s="1" a="1"/>
  <c r="P870" i="4" s="1"/>
  <c r="F295" i="4"/>
  <c r="P295" i="4" s="1" a="1"/>
  <c r="P295" i="4" s="1"/>
  <c r="F1404" i="4"/>
  <c r="P1404" i="4" s="1" a="1"/>
  <c r="P1404" i="4" s="1"/>
  <c r="F422" i="4"/>
  <c r="P422" i="4" s="1" a="1"/>
  <c r="P422" i="4" s="1"/>
  <c r="F298" i="4"/>
  <c r="P298" i="4" s="1" a="1"/>
  <c r="P298" i="4" s="1"/>
  <c r="F1125" i="4"/>
  <c r="P1125" i="4" s="1" a="1"/>
  <c r="P1125" i="4" s="1"/>
  <c r="F823" i="4"/>
  <c r="P823" i="4" s="1" a="1"/>
  <c r="P823" i="4" s="1"/>
  <c r="F1181" i="4"/>
  <c r="P1181" i="4" s="1" a="1"/>
  <c r="P1181" i="4" s="1"/>
  <c r="F824" i="4"/>
  <c r="P824" i="4" s="1" a="1"/>
  <c r="P824" i="4" s="1"/>
  <c r="F1443" i="4"/>
  <c r="P1443" i="4" s="1" a="1"/>
  <c r="P1443" i="4" s="1"/>
  <c r="F1199" i="4"/>
  <c r="P1199" i="4" s="1" a="1"/>
  <c r="P1199" i="4" s="1"/>
  <c r="F680" i="4"/>
  <c r="P680" i="4" s="1" a="1"/>
  <c r="P680" i="4" s="1"/>
  <c r="F651" i="4"/>
  <c r="P651" i="4" s="1" a="1"/>
  <c r="P651" i="4" s="1"/>
  <c r="F1278" i="4"/>
  <c r="P1278" i="4" s="1" a="1"/>
  <c r="P1278" i="4" s="1"/>
  <c r="F1168" i="4"/>
  <c r="P1168" i="4" s="1" a="1"/>
  <c r="P1168" i="4" s="1"/>
  <c r="F13" i="4"/>
  <c r="P13" i="4" s="1" a="1"/>
  <c r="P13" i="4" s="1"/>
  <c r="F606" i="4"/>
  <c r="P606" i="4" s="1" a="1"/>
  <c r="P606" i="4" s="1"/>
  <c r="F871" i="4"/>
  <c r="P871" i="4" s="1" a="1"/>
  <c r="P871" i="4" s="1"/>
  <c r="F636" i="4"/>
  <c r="P636" i="4" s="1" a="1"/>
  <c r="P636" i="4" s="1"/>
  <c r="F287" i="4"/>
  <c r="P287" i="4" s="1" a="1"/>
  <c r="P287" i="4" s="1"/>
  <c r="F973" i="4"/>
  <c r="P973" i="4" s="1" a="1"/>
  <c r="P973" i="4" s="1"/>
  <c r="F440" i="4"/>
  <c r="P440" i="4" s="1" a="1"/>
  <c r="P440" i="4" s="1"/>
  <c r="F615" i="4"/>
  <c r="P615" i="4" s="1" a="1"/>
  <c r="P615" i="4" s="1"/>
  <c r="F272" i="4"/>
  <c r="P272" i="4" s="1" a="1"/>
  <c r="P272" i="4" s="1"/>
  <c r="F1247" i="4"/>
  <c r="P1247" i="4" s="1" a="1"/>
  <c r="P1247" i="4" s="1"/>
  <c r="F319" i="4"/>
  <c r="P319" i="4" s="1" a="1"/>
  <c r="P319" i="4" s="1"/>
  <c r="F233" i="4"/>
  <c r="P233" i="4" s="1" a="1"/>
  <c r="P233" i="4" s="1"/>
  <c r="F772" i="4"/>
  <c r="P772" i="4" s="1" a="1"/>
  <c r="P772" i="4" s="1"/>
  <c r="F80" i="4"/>
  <c r="P80" i="4" s="1" a="1"/>
  <c r="P80" i="4" s="1"/>
  <c r="F1006" i="4"/>
  <c r="P1006" i="4" s="1" a="1"/>
  <c r="P1006" i="4" s="1"/>
  <c r="F1263" i="4"/>
  <c r="P1263" i="4" s="1" a="1"/>
  <c r="P1263" i="4" s="1"/>
  <c r="F325" i="4"/>
  <c r="P325" i="4" s="1" a="1"/>
  <c r="P325" i="4" s="1"/>
  <c r="F1336" i="4"/>
  <c r="P1336" i="4" s="1" a="1"/>
  <c r="P1336" i="4" s="1"/>
  <c r="F86" i="4"/>
  <c r="P86" i="4" s="1" a="1"/>
  <c r="P86" i="4" s="1"/>
  <c r="F1217" i="4"/>
  <c r="P1217" i="4" s="1" a="1"/>
  <c r="P1217" i="4" s="1"/>
  <c r="F329" i="4"/>
  <c r="P329" i="4" s="1" a="1"/>
  <c r="P329" i="4" s="1"/>
  <c r="F255" i="4"/>
  <c r="P255" i="4" s="1" a="1"/>
  <c r="P255" i="4" s="1"/>
  <c r="F1420" i="4"/>
  <c r="P1420" i="4" s="1" a="1"/>
  <c r="P1420" i="4" s="1"/>
  <c r="F425" i="4"/>
  <c r="P425" i="4" s="1" a="1"/>
  <c r="P425" i="4" s="1"/>
  <c r="F939" i="4"/>
  <c r="P939" i="4" s="1" a="1"/>
  <c r="P939" i="4" s="1"/>
  <c r="F1040" i="4"/>
  <c r="P1040" i="4" s="1" a="1"/>
  <c r="P1040" i="4" s="1"/>
  <c r="F336" i="4"/>
  <c r="P336" i="4" s="1" a="1"/>
  <c r="P336" i="4" s="1"/>
  <c r="F637" i="4"/>
  <c r="P637" i="4" s="1" a="1"/>
  <c r="P637" i="4" s="1"/>
  <c r="F453" i="4"/>
  <c r="P453" i="4" s="1" a="1"/>
  <c r="P453" i="4" s="1"/>
  <c r="F338" i="4"/>
  <c r="P338" i="4" s="1" a="1"/>
  <c r="P338" i="4" s="1"/>
  <c r="F274" i="4"/>
  <c r="P274" i="4" s="1" a="1"/>
  <c r="P274" i="4" s="1"/>
  <c r="F807" i="4"/>
  <c r="P807" i="4" s="1" a="1"/>
  <c r="P807" i="4" s="1"/>
  <c r="F454" i="4"/>
  <c r="P454" i="4" s="1" a="1"/>
  <c r="P454" i="4" s="1"/>
  <c r="F81" i="4"/>
  <c r="P81" i="4" s="1" a="1"/>
  <c r="P81" i="4" s="1"/>
  <c r="F5" i="4"/>
  <c r="P5" i="4" s="1" a="1"/>
  <c r="P5" i="4" s="1"/>
  <c r="F808" i="4"/>
  <c r="P808" i="4" s="1" a="1"/>
  <c r="P808" i="4" s="1"/>
  <c r="F1421" i="4"/>
  <c r="P1421" i="4" s="1" a="1"/>
  <c r="P1421" i="4" s="1"/>
  <c r="F1007" i="4"/>
  <c r="P1007" i="4" s="1" a="1"/>
  <c r="P1007" i="4" s="1"/>
  <c r="F996" i="4"/>
  <c r="P996" i="4" s="1" a="1"/>
  <c r="P996" i="4" s="1"/>
  <c r="F617" i="4"/>
  <c r="P617" i="4" s="1" a="1"/>
  <c r="P617" i="4" s="1"/>
  <c r="F858" i="4"/>
  <c r="P858" i="4" s="1" a="1"/>
  <c r="P858" i="4" s="1"/>
  <c r="F974" i="4"/>
  <c r="P974" i="4" s="1" a="1"/>
  <c r="P974" i="4" s="1"/>
  <c r="F117" i="4"/>
  <c r="P117" i="4" s="1" a="1"/>
  <c r="P117" i="4" s="1"/>
  <c r="F381" i="4"/>
  <c r="P381" i="4" s="1" a="1"/>
  <c r="P381" i="4" s="1"/>
  <c r="F161" i="4"/>
  <c r="P161" i="4" s="1" a="1"/>
  <c r="P161" i="4" s="1"/>
  <c r="F496" i="4"/>
  <c r="P496" i="4" s="1" a="1"/>
  <c r="P496" i="4" s="1"/>
  <c r="F652" i="4"/>
  <c r="P652" i="4" s="1" a="1"/>
  <c r="P652" i="4" s="1"/>
  <c r="F872" i="4"/>
  <c r="P872" i="4" s="1" a="1"/>
  <c r="P872" i="4" s="1"/>
  <c r="F895" i="4"/>
  <c r="P895" i="4" s="1" a="1"/>
  <c r="P895" i="4" s="1"/>
  <c r="F618" i="4"/>
  <c r="P618" i="4" s="1" a="1"/>
  <c r="P618" i="4" s="1"/>
  <c r="F359" i="4"/>
  <c r="P359" i="4" s="1" a="1"/>
  <c r="P359" i="4" s="1"/>
  <c r="F1105" i="4"/>
  <c r="P1105" i="4" s="1" a="1"/>
  <c r="P1105" i="4" s="1"/>
  <c r="F532" i="4"/>
  <c r="P532" i="4" s="1" a="1"/>
  <c r="P532" i="4" s="1"/>
  <c r="F234" i="4"/>
  <c r="P234" i="4" s="1" a="1"/>
  <c r="P234" i="4" s="1"/>
  <c r="F1279" i="4"/>
  <c r="P1279" i="4" s="1" a="1"/>
  <c r="P1279" i="4" s="1"/>
  <c r="F337" i="4"/>
  <c r="P337" i="4" s="1" a="1"/>
  <c r="P337" i="4" s="1"/>
  <c r="F365" i="4"/>
  <c r="P365" i="4" s="1" a="1"/>
  <c r="P365" i="4" s="1"/>
  <c r="F225" i="4"/>
  <c r="P225" i="4" s="1" a="1"/>
  <c r="P225" i="4" s="1"/>
  <c r="F1297" i="4"/>
  <c r="P1297" i="4" s="1" a="1"/>
  <c r="P1297" i="4" s="1"/>
  <c r="F368" i="4"/>
  <c r="P368" i="4" s="1" a="1"/>
  <c r="P368" i="4" s="1"/>
  <c r="F187" i="4"/>
  <c r="P187" i="4" s="1" a="1"/>
  <c r="P187" i="4" s="1"/>
  <c r="F370" i="4"/>
  <c r="P370" i="4" s="1" a="1"/>
  <c r="P370" i="4" s="1"/>
  <c r="F394" i="4"/>
  <c r="P394" i="4" s="1" a="1"/>
  <c r="P394" i="4" s="1"/>
  <c r="F372" i="4"/>
  <c r="P372" i="4" s="1" a="1"/>
  <c r="P372" i="4" s="1"/>
  <c r="F1357" i="4"/>
  <c r="P1357" i="4" s="1" a="1"/>
  <c r="P1357" i="4" s="1"/>
  <c r="F619" i="4"/>
  <c r="P619" i="4" s="1" a="1"/>
  <c r="P619" i="4" s="1"/>
  <c r="F1066" i="4"/>
  <c r="P1066" i="4" s="1" a="1"/>
  <c r="P1066" i="4" s="1"/>
  <c r="F411" i="4"/>
  <c r="P411" i="4" s="1" a="1"/>
  <c r="P411" i="4" s="1"/>
  <c r="F1042" i="4"/>
  <c r="P1042" i="4" s="1" a="1"/>
  <c r="P1042" i="4" s="1"/>
  <c r="F67" i="4"/>
  <c r="P67" i="4" s="1" a="1"/>
  <c r="P67" i="4" s="1"/>
  <c r="F620" i="4"/>
  <c r="P620" i="4" s="1" a="1"/>
  <c r="P620" i="4" s="1"/>
  <c r="F380" i="4"/>
  <c r="P380" i="4" s="1" a="1"/>
  <c r="P380" i="4" s="1"/>
  <c r="F1372" i="4"/>
  <c r="P1372" i="4" s="1" a="1"/>
  <c r="P1372" i="4" s="1"/>
  <c r="F145" i="4"/>
  <c r="P145" i="4" s="1" a="1"/>
  <c r="P145" i="4" s="1"/>
  <c r="F366" i="4"/>
  <c r="P366" i="4" s="1" a="1"/>
  <c r="P366" i="4" s="1"/>
  <c r="F384" i="4"/>
  <c r="P384" i="4" s="1" a="1"/>
  <c r="P384" i="4" s="1"/>
  <c r="F1466" i="4"/>
  <c r="P1466" i="4" s="1" a="1"/>
  <c r="P1466" i="4" s="1"/>
  <c r="F1139" i="4"/>
  <c r="P1139" i="4" s="1" a="1"/>
  <c r="P1139" i="4" s="1"/>
  <c r="F387" i="4"/>
  <c r="P387" i="4" s="1" a="1"/>
  <c r="P387" i="4" s="1"/>
  <c r="F1055" i="4"/>
  <c r="P1055" i="4" s="1" a="1"/>
  <c r="P1055" i="4" s="1"/>
  <c r="F456" i="4"/>
  <c r="P456" i="4" s="1" a="1"/>
  <c r="P456" i="4" s="1"/>
  <c r="F681" i="4"/>
  <c r="P681" i="4" s="1" a="1"/>
  <c r="P681" i="4" s="1"/>
  <c r="F1280" i="4"/>
  <c r="P1280" i="4" s="1" a="1"/>
  <c r="P1280" i="4" s="1"/>
  <c r="F653" i="4"/>
  <c r="P653" i="4" s="1" a="1"/>
  <c r="P653" i="4" s="1"/>
  <c r="F825" i="4"/>
  <c r="P825" i="4" s="1" a="1"/>
  <c r="P825" i="4" s="1"/>
  <c r="F1067" i="4"/>
  <c r="P1067" i="4" s="1" a="1"/>
  <c r="P1067" i="4" s="1"/>
  <c r="F1390" i="4"/>
  <c r="P1390" i="4" s="1" a="1"/>
  <c r="P1390" i="4" s="1"/>
  <c r="F1467" i="4"/>
  <c r="P1467" i="4" s="1" a="1"/>
  <c r="P1467" i="4" s="1"/>
  <c r="F367" i="4"/>
  <c r="P367" i="4" s="1" a="1"/>
  <c r="P367" i="4" s="1"/>
  <c r="F369" i="4"/>
  <c r="P369" i="4" s="1" a="1"/>
  <c r="P369" i="4" s="1"/>
  <c r="F914" i="4"/>
  <c r="P914" i="4" s="1" a="1"/>
  <c r="P914" i="4" s="1"/>
  <c r="F247" i="4"/>
  <c r="P247" i="4" s="1" a="1"/>
  <c r="P247" i="4" s="1"/>
  <c r="F1309" i="4"/>
  <c r="P1309" i="4" s="1" a="1"/>
  <c r="P1309" i="4" s="1"/>
  <c r="F1282" i="4"/>
  <c r="P1282" i="4" s="1" a="1"/>
  <c r="P1282" i="4" s="1"/>
  <c r="F1382" i="4"/>
  <c r="P1382" i="4" s="1" a="1"/>
  <c r="P1382" i="4" s="1"/>
  <c r="F1068" i="4"/>
  <c r="P1068" i="4" s="1" a="1"/>
  <c r="P1068" i="4" s="1"/>
  <c r="F896" i="4"/>
  <c r="P896" i="4" s="1" a="1"/>
  <c r="P896" i="4" s="1"/>
  <c r="F997" i="4"/>
  <c r="P997" i="4" s="1" a="1"/>
  <c r="P997" i="4" s="1"/>
  <c r="F407" i="4"/>
  <c r="P407" i="4" s="1" a="1"/>
  <c r="P407" i="4" s="1"/>
  <c r="F748" i="4"/>
  <c r="P748" i="4" s="1" a="1"/>
  <c r="P748" i="4" s="1"/>
  <c r="F717" i="4"/>
  <c r="P717" i="4" s="1" a="1"/>
  <c r="P717" i="4" s="1"/>
  <c r="F1422" i="4"/>
  <c r="P1422" i="4" s="1" a="1"/>
  <c r="P1422" i="4" s="1"/>
  <c r="F6" i="4"/>
  <c r="P6" i="4" s="1" a="1"/>
  <c r="P6" i="4" s="1"/>
  <c r="F1043" i="4"/>
  <c r="P1043" i="4" s="1" a="1"/>
  <c r="P1043" i="4" s="1"/>
  <c r="F1156" i="4"/>
  <c r="P1156" i="4" s="1" a="1"/>
  <c r="P1156" i="4" s="1"/>
  <c r="F1320" i="4"/>
  <c r="P1320" i="4" s="1" a="1"/>
  <c r="P1320" i="4" s="1"/>
  <c r="F508" i="4"/>
  <c r="P508" i="4" s="1" a="1"/>
  <c r="P508" i="4" s="1"/>
  <c r="F416" i="4"/>
  <c r="P416" i="4" s="1" a="1"/>
  <c r="P416" i="4" s="1"/>
  <c r="F417" i="4"/>
  <c r="P417" i="4" s="1" a="1"/>
  <c r="P417" i="4" s="1"/>
  <c r="F663" i="4"/>
  <c r="P663" i="4" s="1" a="1"/>
  <c r="P663" i="4" s="1"/>
  <c r="F1249" i="4"/>
  <c r="P1249" i="4" s="1" a="1"/>
  <c r="P1249" i="4" s="1"/>
  <c r="F68" i="4"/>
  <c r="P68" i="4" s="1" a="1"/>
  <c r="P68" i="4" s="1"/>
  <c r="F1358" i="4"/>
  <c r="P1358" i="4" s="1" a="1"/>
  <c r="P1358" i="4" s="1"/>
  <c r="F916" i="4"/>
  <c r="P916" i="4" s="1" a="1"/>
  <c r="P916" i="4" s="1"/>
  <c r="F423" i="4"/>
  <c r="P423" i="4" s="1" a="1"/>
  <c r="P423" i="4" s="1"/>
  <c r="F424" i="4"/>
  <c r="P424" i="4" s="1" a="1"/>
  <c r="P424" i="4" s="1"/>
  <c r="F1200" i="4"/>
  <c r="P1200" i="4" s="1" a="1"/>
  <c r="P1200" i="4" s="1"/>
  <c r="F792" i="4"/>
  <c r="P792" i="4" s="1" a="1"/>
  <c r="P792" i="4" s="1"/>
  <c r="F1134" i="4"/>
  <c r="P1134" i="4" s="1" a="1"/>
  <c r="P1134" i="4" s="1"/>
  <c r="F40" i="4"/>
  <c r="P40" i="4" s="1" a="1"/>
  <c r="P40" i="4" s="1"/>
  <c r="F762" i="4"/>
  <c r="P762" i="4" s="1" a="1"/>
  <c r="P762" i="4" s="1"/>
  <c r="F773" i="4"/>
  <c r="P773" i="4" s="1" a="1"/>
  <c r="P773" i="4" s="1"/>
  <c r="F654" i="4"/>
  <c r="P654" i="4" s="1" a="1"/>
  <c r="P654" i="4" s="1"/>
  <c r="F457" i="4"/>
  <c r="P457" i="4" s="1" a="1"/>
  <c r="P457" i="4" s="1"/>
  <c r="F395" i="4"/>
  <c r="P395" i="4" s="1" a="1"/>
  <c r="P395" i="4" s="1"/>
  <c r="F524" i="4"/>
  <c r="P524" i="4" s="1" a="1"/>
  <c r="P524" i="4" s="1"/>
  <c r="F226" i="4"/>
  <c r="P226" i="4" s="1" a="1"/>
  <c r="P226" i="4" s="1"/>
  <c r="F666" i="4"/>
  <c r="P666" i="4" s="1" a="1"/>
  <c r="P666" i="4" s="1"/>
  <c r="F437" i="4"/>
  <c r="P437" i="4" s="1" a="1"/>
  <c r="P437" i="4" s="1"/>
  <c r="F438" i="4"/>
  <c r="P438" i="4" s="1" a="1"/>
  <c r="P438" i="4" s="1"/>
  <c r="F1455" i="4"/>
  <c r="P1455" i="4" s="1" a="1"/>
  <c r="P1455" i="4" s="1"/>
  <c r="F718" i="4"/>
  <c r="P718" i="4" s="1" a="1"/>
  <c r="P718" i="4" s="1"/>
  <c r="F441" i="4"/>
  <c r="P441" i="4" s="1" a="1"/>
  <c r="P441" i="4" s="1"/>
  <c r="F442" i="4"/>
  <c r="P442" i="4" s="1" a="1"/>
  <c r="P442" i="4" s="1"/>
  <c r="F412" i="4"/>
  <c r="P412" i="4" s="1" a="1"/>
  <c r="P412" i="4" s="1"/>
  <c r="F667" i="4"/>
  <c r="P667" i="4" s="1" a="1"/>
  <c r="P667" i="4" s="1"/>
  <c r="F445" i="4"/>
  <c r="P445" i="4" s="1" a="1"/>
  <c r="P445" i="4" s="1"/>
  <c r="F92" i="4"/>
  <c r="P92" i="4" s="1" a="1"/>
  <c r="P92" i="4" s="1"/>
  <c r="F235" i="4"/>
  <c r="P235" i="4" s="1" a="1"/>
  <c r="P235" i="4" s="1"/>
  <c r="F1092" i="4"/>
  <c r="P1092" i="4" s="1" a="1"/>
  <c r="P1092" i="4" s="1"/>
  <c r="F1069" i="4"/>
  <c r="P1069" i="4" s="1" a="1"/>
  <c r="P1069" i="4" s="1"/>
  <c r="F719" i="4"/>
  <c r="P719" i="4" s="1" a="1"/>
  <c r="P719" i="4" s="1"/>
  <c r="F322" i="4"/>
  <c r="P322" i="4" s="1" a="1"/>
  <c r="P322" i="4" s="1"/>
  <c r="F696" i="4"/>
  <c r="P696" i="4" s="1" a="1"/>
  <c r="P696" i="4" s="1"/>
  <c r="F1020" i="4"/>
  <c r="P1020" i="4" s="1" a="1"/>
  <c r="P1020" i="4" s="1"/>
  <c r="F443" i="4"/>
  <c r="P443" i="4" s="1" a="1"/>
  <c r="P443" i="4" s="1"/>
  <c r="F455" i="4"/>
  <c r="P455" i="4" s="1" a="1"/>
  <c r="P455" i="4" s="1"/>
  <c r="F483" i="4"/>
  <c r="P483" i="4" s="1" a="1"/>
  <c r="P483" i="4" s="1"/>
  <c r="F918" i="4"/>
  <c r="P918" i="4" s="1" a="1"/>
  <c r="P918" i="4" s="1"/>
  <c r="F545" i="4"/>
  <c r="P545" i="4" s="1" a="1"/>
  <c r="P545" i="4" s="1"/>
  <c r="F459" i="4"/>
  <c r="P459" i="4" s="1" a="1"/>
  <c r="P459" i="4" s="1"/>
  <c r="F1218" i="4"/>
  <c r="P1218" i="4" s="1" a="1"/>
  <c r="P1218" i="4" s="1"/>
  <c r="F29" i="4"/>
  <c r="P29" i="4" s="1" a="1"/>
  <c r="P29" i="4" s="1"/>
  <c r="F1106" i="4"/>
  <c r="P1106" i="4" s="1" a="1"/>
  <c r="P1106" i="4" s="1"/>
  <c r="F509" i="4"/>
  <c r="P509" i="4" s="1" a="1"/>
  <c r="P509" i="4" s="1"/>
  <c r="F1265" i="4"/>
  <c r="P1265" i="4" s="1" a="1"/>
  <c r="P1265" i="4" s="1"/>
  <c r="F465" i="4"/>
  <c r="P465" i="4" s="1" a="1"/>
  <c r="P465" i="4" s="1"/>
  <c r="F1284" i="4"/>
  <c r="P1284" i="4" s="1" a="1"/>
  <c r="P1284" i="4" s="1"/>
  <c r="F560" i="4"/>
  <c r="P560" i="4" s="1" a="1"/>
  <c r="P560" i="4" s="1"/>
  <c r="F1170" i="4"/>
  <c r="P1170" i="4" s="1" a="1"/>
  <c r="P1170" i="4" s="1"/>
  <c r="F1266" i="4"/>
  <c r="P1266" i="4" s="1" a="1"/>
  <c r="P1266" i="4" s="1"/>
  <c r="F354" i="4"/>
  <c r="P354" i="4" s="1" a="1"/>
  <c r="P354" i="4" s="1"/>
  <c r="F471" i="4"/>
  <c r="P471" i="4" s="1" a="1"/>
  <c r="P471" i="4" s="1"/>
  <c r="F339" i="4"/>
  <c r="P339" i="4" s="1" a="1"/>
  <c r="P339" i="4" s="1"/>
  <c r="F1434" i="4"/>
  <c r="P1434" i="4" s="1" a="1"/>
  <c r="P1434" i="4" s="1"/>
  <c r="F525" i="4"/>
  <c r="P525" i="4" s="1" a="1"/>
  <c r="P525" i="4" s="1"/>
  <c r="F41" i="4"/>
  <c r="P41" i="4" s="1" a="1"/>
  <c r="P41" i="4" s="1"/>
  <c r="F874" i="4"/>
  <c r="P874" i="4" s="1" a="1"/>
  <c r="P874" i="4" s="1"/>
  <c r="F834" i="4"/>
  <c r="P834" i="4" s="1" a="1"/>
  <c r="P834" i="4" s="1"/>
  <c r="F682" i="4"/>
  <c r="P682" i="4" s="1" a="1"/>
  <c r="P682" i="4" s="1"/>
  <c r="F136" i="4"/>
  <c r="P136" i="4" s="1" a="1"/>
  <c r="P136" i="4" s="1"/>
  <c r="F213" i="4"/>
  <c r="P213" i="4" s="1" a="1"/>
  <c r="P213" i="4" s="1"/>
  <c r="F481" i="4"/>
  <c r="P481" i="4" s="1" a="1"/>
  <c r="P481" i="4" s="1"/>
  <c r="F482" i="4"/>
  <c r="P482" i="4" s="1" a="1"/>
  <c r="P482" i="4" s="1"/>
  <c r="F765" i="4"/>
  <c r="P765" i="4" s="1" a="1"/>
  <c r="P765" i="4" s="1"/>
  <c r="F484" i="4"/>
  <c r="P484" i="4" s="1" a="1"/>
  <c r="P484" i="4" s="1"/>
  <c r="F1143" i="4"/>
  <c r="P1143" i="4" s="1" a="1"/>
  <c r="P1143" i="4" s="1"/>
  <c r="F310" i="4"/>
  <c r="P310" i="4" s="1" a="1"/>
  <c r="P310" i="4" s="1"/>
  <c r="F1337" i="4"/>
  <c r="P1337" i="4" s="1" a="1"/>
  <c r="P1337" i="4" s="1"/>
  <c r="F444" i="4"/>
  <c r="P444" i="4" s="1" a="1"/>
  <c r="P444" i="4" s="1"/>
  <c r="F1383" i="4"/>
  <c r="P1383" i="4" s="1" a="1"/>
  <c r="P1383" i="4" s="1"/>
  <c r="F698" i="4"/>
  <c r="P698" i="4" s="1" a="1"/>
  <c r="P698" i="4" s="1"/>
  <c r="F897" i="4"/>
  <c r="P897" i="4" s="1" a="1"/>
  <c r="P897" i="4" s="1"/>
  <c r="F908" i="4"/>
  <c r="P908" i="4" s="1" a="1"/>
  <c r="P908" i="4" s="1"/>
  <c r="F940" i="4"/>
  <c r="P940" i="4" s="1" a="1"/>
  <c r="P940" i="4" s="1"/>
  <c r="F275" i="4"/>
  <c r="P275" i="4" s="1" a="1"/>
  <c r="P275" i="4" s="1"/>
  <c r="F323" i="4"/>
  <c r="P323" i="4" s="1" a="1"/>
  <c r="P323" i="4" s="1"/>
  <c r="F214" i="4"/>
  <c r="P214" i="4" s="1" a="1"/>
  <c r="P214" i="4" s="1"/>
  <c r="F497" i="4"/>
  <c r="P497" i="4" s="1" a="1"/>
  <c r="P497" i="4" s="1"/>
  <c r="F589" i="4"/>
  <c r="P589" i="4" s="1" a="1"/>
  <c r="P589" i="4" s="1"/>
  <c r="F340" i="4"/>
  <c r="P340" i="4" s="1" a="1"/>
  <c r="P340" i="4" s="1"/>
  <c r="F1338" i="4"/>
  <c r="P1338" i="4" s="1" a="1"/>
  <c r="P1338" i="4" s="1"/>
  <c r="F670" i="4"/>
  <c r="P670" i="4" s="1" a="1"/>
  <c r="P670" i="4" s="1"/>
  <c r="F498" i="4"/>
  <c r="P498" i="4" s="1" a="1"/>
  <c r="P498" i="4" s="1"/>
  <c r="F30" i="4"/>
  <c r="P30" i="4" s="1" a="1"/>
  <c r="P30" i="4" s="1"/>
  <c r="F341" i="4"/>
  <c r="P341" i="4" s="1" a="1"/>
  <c r="P341" i="4" s="1"/>
  <c r="F1423" i="4"/>
  <c r="P1423" i="4" s="1" a="1"/>
  <c r="P1423" i="4" s="1"/>
  <c r="F506" i="4"/>
  <c r="P506" i="4" s="1" a="1"/>
  <c r="P506" i="4" s="1"/>
  <c r="F248" i="4"/>
  <c r="P248" i="4" s="1" a="1"/>
  <c r="P248" i="4" s="1"/>
  <c r="F485" i="4"/>
  <c r="P485" i="4" s="1" a="1"/>
  <c r="P485" i="4" s="1"/>
  <c r="F885" i="4"/>
  <c r="P885" i="4" s="1" a="1"/>
  <c r="P885" i="4" s="1"/>
  <c r="F699" i="4"/>
  <c r="P699" i="4" s="1" a="1"/>
  <c r="P699" i="4" s="1"/>
  <c r="F1424" i="4"/>
  <c r="P1424" i="4" s="1" a="1"/>
  <c r="P1424" i="4" s="1"/>
  <c r="F998" i="4"/>
  <c r="P998" i="4" s="1" a="1"/>
  <c r="P998" i="4" s="1"/>
  <c r="F590" i="4"/>
  <c r="P590" i="4" s="1" a="1"/>
  <c r="P590" i="4" s="1"/>
  <c r="F956" i="4"/>
  <c r="P956" i="4" s="1" a="1"/>
  <c r="P956" i="4" s="1"/>
  <c r="F515" i="4"/>
  <c r="P515" i="4" s="1" a="1"/>
  <c r="P515" i="4" s="1"/>
  <c r="F516" i="4"/>
  <c r="P516" i="4" s="1" a="1"/>
  <c r="P516" i="4" s="1"/>
  <c r="F486" i="4"/>
  <c r="P486" i="4" s="1" a="1"/>
  <c r="P486" i="4" s="1"/>
  <c r="F1144" i="4"/>
  <c r="P1144" i="4" s="1" a="1"/>
  <c r="P1144" i="4" s="1"/>
  <c r="F1021" i="4"/>
  <c r="P1021" i="4" s="1" a="1"/>
  <c r="P1021" i="4" s="1"/>
  <c r="F1405" i="4"/>
  <c r="P1405" i="4" s="1" a="1"/>
  <c r="P1405" i="4" s="1"/>
  <c r="F1000" i="4"/>
  <c r="P1000" i="4" s="1" a="1"/>
  <c r="P1000" i="4" s="1"/>
  <c r="F1145" i="4"/>
  <c r="P1145" i="4" s="1" a="1"/>
  <c r="P1145" i="4" s="1"/>
  <c r="F835" i="4"/>
  <c r="P835" i="4" s="1" a="1"/>
  <c r="P835" i="4" s="1"/>
  <c r="F355" i="4"/>
  <c r="P355" i="4" s="1" a="1"/>
  <c r="P355" i="4" s="1"/>
  <c r="F31" i="4"/>
  <c r="P31" i="4" s="1" a="1"/>
  <c r="P31" i="4" s="1"/>
  <c r="F1022" i="4"/>
  <c r="P1022" i="4" s="1" a="1"/>
  <c r="P1022" i="4" s="1"/>
  <c r="F527" i="4"/>
  <c r="P527" i="4" s="1" a="1"/>
  <c r="P527" i="4" s="1"/>
  <c r="F1250" i="4"/>
  <c r="P1250" i="4" s="1" a="1"/>
  <c r="P1250" i="4" s="1"/>
  <c r="F458" i="4"/>
  <c r="P458" i="4" s="1" a="1"/>
  <c r="P458" i="4" s="1"/>
  <c r="F530" i="4"/>
  <c r="P530" i="4" s="1" a="1"/>
  <c r="P530" i="4" s="1"/>
  <c r="F1365" i="4"/>
  <c r="P1365" i="4" s="1" a="1"/>
  <c r="P1365" i="4" s="1"/>
  <c r="F311" i="4"/>
  <c r="P311" i="4" s="1" a="1"/>
  <c r="P311" i="4" s="1"/>
  <c r="F1157" i="4"/>
  <c r="P1157" i="4" s="1" a="1"/>
  <c r="P1157" i="4" s="1"/>
  <c r="F1158" i="4"/>
  <c r="P1158" i="4" s="1" a="1"/>
  <c r="P1158" i="4" s="1"/>
  <c r="F1093" i="4"/>
  <c r="P1093" i="4" s="1" a="1"/>
  <c r="P1093" i="4" s="1"/>
  <c r="F42" i="4"/>
  <c r="P42" i="4" s="1" a="1"/>
  <c r="P42" i="4" s="1"/>
  <c r="F371" i="4"/>
  <c r="P371" i="4" s="1" a="1"/>
  <c r="P371" i="4" s="1"/>
  <c r="F926" i="4"/>
  <c r="P926" i="4" s="1" a="1"/>
  <c r="P926" i="4" s="1"/>
  <c r="F1159" i="4"/>
  <c r="P1159" i="4" s="1" a="1"/>
  <c r="P1159" i="4" s="1"/>
  <c r="F740" i="4"/>
  <c r="P740" i="4" s="1" a="1"/>
  <c r="P740" i="4" s="1"/>
  <c r="F121" i="4"/>
  <c r="P121" i="4" s="1" a="1"/>
  <c r="P121" i="4" s="1"/>
  <c r="F542" i="4"/>
  <c r="P542" i="4" s="1" a="1"/>
  <c r="P542" i="4" s="1"/>
  <c r="F720" i="4"/>
  <c r="P720" i="4" s="1" a="1"/>
  <c r="P720" i="4" s="1"/>
  <c r="F69" i="4"/>
  <c r="P69" i="4" s="1" a="1"/>
  <c r="P69" i="4" s="1"/>
  <c r="F1406" i="4"/>
  <c r="P1406" i="4" s="1" a="1"/>
  <c r="P1406" i="4" s="1"/>
  <c r="F460" i="4"/>
  <c r="P460" i="4" s="1" a="1"/>
  <c r="P460" i="4" s="1"/>
  <c r="F1236" i="4"/>
  <c r="P1236" i="4" s="1" a="1"/>
  <c r="P1236" i="4" s="1"/>
  <c r="F1310" i="4"/>
  <c r="P1310" i="4" s="1" a="1"/>
  <c r="P1310" i="4" s="1"/>
  <c r="F549" i="4"/>
  <c r="P549" i="4" s="1" a="1"/>
  <c r="P549" i="4" s="1"/>
  <c r="F957" i="4"/>
  <c r="P957" i="4" s="1" a="1"/>
  <c r="P957" i="4" s="1"/>
  <c r="F1126" i="4"/>
  <c r="P1126" i="4" s="1" a="1"/>
  <c r="P1126" i="4" s="1"/>
  <c r="F1107" i="4"/>
  <c r="P1107" i="4" s="1" a="1"/>
  <c r="P1107" i="4" s="1"/>
  <c r="F215" i="4"/>
  <c r="P215" i="4" s="1" a="1"/>
  <c r="P215" i="4" s="1"/>
  <c r="F561" i="4"/>
  <c r="P561" i="4" s="1" a="1"/>
  <c r="P561" i="4" s="1"/>
  <c r="F766" i="4"/>
  <c r="P766" i="4" s="1" a="1"/>
  <c r="P766" i="4" s="1"/>
  <c r="F1456" i="4"/>
  <c r="P1456" i="4" s="1" a="1"/>
  <c r="P1456" i="4" s="1"/>
  <c r="F1321" i="4"/>
  <c r="P1321" i="4" s="1" a="1"/>
  <c r="P1321" i="4" s="1"/>
  <c r="F1182" i="4"/>
  <c r="P1182" i="4" s="1" a="1"/>
  <c r="P1182" i="4" s="1"/>
  <c r="F836" i="4"/>
  <c r="P836" i="4" s="1" a="1"/>
  <c r="P836" i="4" s="1"/>
  <c r="F875" i="4"/>
  <c r="P875" i="4" s="1" a="1"/>
  <c r="P875" i="4" s="1"/>
  <c r="F188" i="4"/>
  <c r="P188" i="4" s="1" a="1"/>
  <c r="P188" i="4" s="1"/>
  <c r="F487" i="4"/>
  <c r="P487" i="4" s="1" a="1"/>
  <c r="P487" i="4" s="1"/>
  <c r="F672" i="4"/>
  <c r="P672" i="4" s="1" a="1"/>
  <c r="P672" i="4" s="1"/>
  <c r="F564" i="4"/>
  <c r="P564" i="4" s="1" a="1"/>
  <c r="P564" i="4" s="1"/>
  <c r="F177" i="4"/>
  <c r="P177" i="4" s="1" a="1"/>
  <c r="P177" i="4" s="1"/>
  <c r="F170" i="4"/>
  <c r="P170" i="4" s="1" a="1"/>
  <c r="P170" i="4" s="1"/>
  <c r="F1322" i="4"/>
  <c r="P1322" i="4" s="1" a="1"/>
  <c r="P1322" i="4" s="1"/>
  <c r="F568" i="4"/>
  <c r="P568" i="4" s="1" a="1"/>
  <c r="P568" i="4" s="1"/>
  <c r="F1146" i="4"/>
  <c r="P1146" i="4" s="1" a="1"/>
  <c r="P1146" i="4" s="1"/>
  <c r="F570" i="4"/>
  <c r="P570" i="4" s="1" a="1"/>
  <c r="P570" i="4" s="1"/>
  <c r="F294" i="4"/>
  <c r="P294" i="4" s="1" a="1"/>
  <c r="P294" i="4" s="1"/>
  <c r="F1109" i="4"/>
  <c r="P1109" i="4" s="1" a="1"/>
  <c r="P1109" i="4" s="1"/>
  <c r="F639" i="4"/>
  <c r="P639" i="4" s="1" a="1"/>
  <c r="P639" i="4" s="1"/>
  <c r="F1339" i="4"/>
  <c r="P1339" i="4" s="1" a="1"/>
  <c r="P1339" i="4" s="1"/>
  <c r="F575" i="4"/>
  <c r="P575" i="4" s="1" a="1"/>
  <c r="P575" i="4" s="1"/>
  <c r="F721" i="4"/>
  <c r="P721" i="4" s="1" a="1"/>
  <c r="P721" i="4" s="1"/>
  <c r="F413" i="4"/>
  <c r="P413" i="4" s="1" a="1"/>
  <c r="P413" i="4" s="1"/>
  <c r="F1183" i="4"/>
  <c r="P1183" i="4" s="1" a="1"/>
  <c r="P1183" i="4" s="1"/>
  <c r="F237" i="4"/>
  <c r="P237" i="4" s="1" a="1"/>
  <c r="P237" i="4" s="1"/>
  <c r="F446" i="4"/>
  <c r="P446" i="4" s="1" a="1"/>
  <c r="P446" i="4" s="1"/>
  <c r="F70" i="4"/>
  <c r="P70" i="4" s="1" a="1"/>
  <c r="P70" i="4" s="1"/>
  <c r="F447" i="4"/>
  <c r="P447" i="4" s="1" a="1"/>
  <c r="P447" i="4" s="1"/>
  <c r="F1044" i="4"/>
  <c r="P1044" i="4" s="1" a="1"/>
  <c r="P1044" i="4" s="1"/>
  <c r="F1298" i="4"/>
  <c r="P1298" i="4" s="1" a="1"/>
  <c r="P1298" i="4" s="1"/>
  <c r="F348" i="4"/>
  <c r="P348" i="4" s="1" a="1"/>
  <c r="P348" i="4" s="1"/>
  <c r="F1081" i="4"/>
  <c r="P1081" i="4" s="1" a="1"/>
  <c r="P1081" i="4" s="1"/>
  <c r="F587" i="4"/>
  <c r="P587" i="4" s="1" a="1"/>
  <c r="P587" i="4" s="1"/>
  <c r="F1285" i="4"/>
  <c r="P1285" i="4" s="1" a="1"/>
  <c r="P1285" i="4" s="1"/>
  <c r="F108" i="4"/>
  <c r="P108" i="4" s="1" a="1"/>
  <c r="P108" i="4" s="1"/>
  <c r="F1342" i="4"/>
  <c r="P1342" i="4" s="1" a="1"/>
  <c r="P1342" i="4" s="1"/>
  <c r="F591" i="4"/>
  <c r="P591" i="4" s="1" a="1"/>
  <c r="P591" i="4" s="1"/>
  <c r="F256" i="4"/>
  <c r="P256" i="4" s="1" a="1"/>
  <c r="P256" i="4" s="1"/>
  <c r="F593" i="4"/>
  <c r="P593" i="4" s="1" a="1"/>
  <c r="P593" i="4" s="1"/>
  <c r="F546" i="4"/>
  <c r="P546" i="4" s="1" a="1"/>
  <c r="P546" i="4" s="1"/>
  <c r="F1301" i="4"/>
  <c r="P1301" i="4" s="1" a="1"/>
  <c r="P1301" i="4" s="1"/>
  <c r="F826" i="4"/>
  <c r="P826" i="4" s="1" a="1"/>
  <c r="P826" i="4" s="1"/>
  <c r="F597" i="4"/>
  <c r="P597" i="4" s="1" a="1"/>
  <c r="P597" i="4" s="1"/>
  <c r="F1160" i="4"/>
  <c r="P1160" i="4" s="1" a="1"/>
  <c r="P1160" i="4" s="1"/>
  <c r="F547" i="4"/>
  <c r="P547" i="4" s="1" a="1"/>
  <c r="P547" i="4" s="1"/>
  <c r="F600" i="4"/>
  <c r="P600" i="4" s="1" a="1"/>
  <c r="P600" i="4" s="1"/>
  <c r="F93" i="4"/>
  <c r="P93" i="4" s="1" a="1"/>
  <c r="P93" i="4" s="1"/>
  <c r="F100" i="4"/>
  <c r="P100" i="4" s="1" a="1"/>
  <c r="P100" i="4" s="1"/>
  <c r="F382" i="4"/>
  <c r="P382" i="4" s="1" a="1"/>
  <c r="P382" i="4" s="1"/>
  <c r="F845" i="4"/>
  <c r="P845" i="4" s="1" a="1"/>
  <c r="P845" i="4" s="1"/>
  <c r="F7" i="4"/>
  <c r="P7" i="4" s="1" a="1"/>
  <c r="P7" i="4" s="1"/>
  <c r="F1056" i="4"/>
  <c r="P1056" i="4" s="1" a="1"/>
  <c r="P1056" i="4" s="1"/>
  <c r="F749" i="4"/>
  <c r="P749" i="4" s="1" a="1"/>
  <c r="P749" i="4" s="1"/>
  <c r="F289" i="4"/>
  <c r="P289" i="4" s="1" a="1"/>
  <c r="P289" i="4" s="1"/>
  <c r="F609" i="4"/>
  <c r="P609" i="4" s="1" a="1"/>
  <c r="P609" i="4" s="1"/>
  <c r="F610" i="4"/>
  <c r="P610" i="4" s="1" a="1"/>
  <c r="P610" i="4" s="1"/>
  <c r="F860" i="4"/>
  <c r="P860" i="4" s="1" a="1"/>
  <c r="P860" i="4" s="1"/>
  <c r="F131" i="4"/>
  <c r="P131" i="4" s="1" a="1"/>
  <c r="P131" i="4" s="1"/>
  <c r="F1094" i="4"/>
  <c r="P1094" i="4" s="1" a="1"/>
  <c r="P1094" i="4" s="1"/>
  <c r="F876" i="4"/>
  <c r="P876" i="4" s="1" a="1"/>
  <c r="P876" i="4" s="1"/>
  <c r="F1184" i="4"/>
  <c r="P1184" i="4" s="1" a="1"/>
  <c r="P1184" i="4" s="1"/>
  <c r="F616" i="4"/>
  <c r="P616" i="4" s="1" a="1"/>
  <c r="P616" i="4" s="1"/>
  <c r="F171" i="4"/>
  <c r="P171" i="4" s="1" a="1"/>
  <c r="P171" i="4" s="1"/>
  <c r="F1445" i="4"/>
  <c r="P1445" i="4" s="1" a="1"/>
  <c r="P1445" i="4" s="1"/>
  <c r="F958" i="4"/>
  <c r="P958" i="4" s="1" a="1"/>
  <c r="P958" i="4" s="1"/>
  <c r="F1201" i="4"/>
  <c r="P1201" i="4" s="1" a="1"/>
  <c r="P1201" i="4" s="1"/>
  <c r="F1457" i="4"/>
  <c r="P1457" i="4" s="1" a="1"/>
  <c r="P1457" i="4" s="1"/>
  <c r="F959" i="4"/>
  <c r="P959" i="4" s="1" a="1"/>
  <c r="P959" i="4" s="1"/>
  <c r="F257" i="4"/>
  <c r="P257" i="4" s="1" a="1"/>
  <c r="P257" i="4" s="1"/>
  <c r="F886" i="4"/>
  <c r="P886" i="4" s="1" a="1"/>
  <c r="P886" i="4" s="1"/>
  <c r="F943" i="4"/>
  <c r="P943" i="4" s="1" a="1"/>
  <c r="P943" i="4" s="1"/>
  <c r="F1323" i="4"/>
  <c r="P1323" i="4" s="1" a="1"/>
  <c r="P1323" i="4" s="1"/>
  <c r="F312" i="4"/>
  <c r="P312" i="4" s="1" a="1"/>
  <c r="P312" i="4" s="1"/>
  <c r="F8" i="4"/>
  <c r="P8" i="4" s="1" a="1"/>
  <c r="P8" i="4" s="1"/>
  <c r="F146" i="4"/>
  <c r="P146" i="4" s="1" a="1"/>
  <c r="P146" i="4" s="1"/>
  <c r="F944" i="4"/>
  <c r="P944" i="4" s="1" a="1"/>
  <c r="P944" i="4" s="1"/>
  <c r="F1202" i="4"/>
  <c r="P1202" i="4" s="1" a="1"/>
  <c r="P1202" i="4" s="1"/>
  <c r="F396" i="4"/>
  <c r="P396" i="4" s="1" a="1"/>
  <c r="P396" i="4" s="1"/>
  <c r="F723" i="4"/>
  <c r="P723" i="4" s="1" a="1"/>
  <c r="P723" i="4" s="1"/>
  <c r="F178" i="4"/>
  <c r="P178" i="4" s="1" a="1"/>
  <c r="P178" i="4" s="1"/>
  <c r="F827" i="4"/>
  <c r="P827" i="4" s="1" a="1"/>
  <c r="P827" i="4" s="1"/>
  <c r="F861" i="4"/>
  <c r="P861" i="4" s="1" a="1"/>
  <c r="P861" i="4" s="1"/>
  <c r="F1391" i="4"/>
  <c r="P1391" i="4" s="1" a="1"/>
  <c r="P1391" i="4" s="1"/>
  <c r="F638" i="4"/>
  <c r="P638" i="4" s="1" a="1"/>
  <c r="P638" i="4" s="1"/>
  <c r="F724" i="4"/>
  <c r="P724" i="4" s="1" a="1"/>
  <c r="P724" i="4" s="1"/>
  <c r="F198" i="4"/>
  <c r="P198" i="4" s="1" a="1"/>
  <c r="P198" i="4" s="1"/>
  <c r="F673" i="4"/>
  <c r="P673" i="4" s="1" a="1"/>
  <c r="P673" i="4" s="1"/>
  <c r="F960" i="4"/>
  <c r="P960" i="4" s="1" a="1"/>
  <c r="P960" i="4" s="1"/>
  <c r="F1359" i="4"/>
  <c r="P1359" i="4" s="1" a="1"/>
  <c r="P1359" i="4" s="1"/>
  <c r="F683" i="4"/>
  <c r="P683" i="4" s="1" a="1"/>
  <c r="P683" i="4" s="1"/>
  <c r="F684" i="4"/>
  <c r="P684" i="4" s="1" a="1"/>
  <c r="P684" i="4" s="1"/>
  <c r="F324" i="4"/>
  <c r="P324" i="4" s="1" a="1"/>
  <c r="P324" i="4" s="1"/>
  <c r="F647" i="4"/>
  <c r="P647" i="4" s="1" a="1"/>
  <c r="P647" i="4" s="1"/>
  <c r="F1343" i="4"/>
  <c r="P1343" i="4" s="1" a="1"/>
  <c r="P1343" i="4" s="1"/>
  <c r="F562" i="4"/>
  <c r="P562" i="4" s="1" a="1"/>
  <c r="P562" i="4" s="1"/>
  <c r="F1024" i="4"/>
  <c r="P1024" i="4" s="1" a="1"/>
  <c r="P1024" i="4" s="1"/>
  <c r="F640" i="4"/>
  <c r="P640" i="4" s="1" a="1"/>
  <c r="P640" i="4" s="1"/>
  <c r="F488" i="4"/>
  <c r="P488" i="4" s="1" a="1"/>
  <c r="P488" i="4" s="1"/>
  <c r="F50" i="4"/>
  <c r="P50" i="4" s="1" a="1"/>
  <c r="P50" i="4" s="1"/>
  <c r="F397" i="4"/>
  <c r="P397" i="4" s="1" a="1"/>
  <c r="P397" i="4" s="1"/>
  <c r="F863" i="4"/>
  <c r="P863" i="4" s="1" a="1"/>
  <c r="P863" i="4" s="1"/>
  <c r="F132" i="4"/>
  <c r="P132" i="4" s="1" a="1"/>
  <c r="P132" i="4" s="1"/>
  <c r="F258" i="4"/>
  <c r="P258" i="4" s="1" a="1"/>
  <c r="P258" i="4" s="1"/>
  <c r="F658" i="4"/>
  <c r="P658" i="4" s="1" a="1"/>
  <c r="P658" i="4" s="1"/>
  <c r="F1267" i="4"/>
  <c r="P1267" i="4" s="1" a="1"/>
  <c r="P1267" i="4" s="1"/>
  <c r="F448" i="4"/>
  <c r="P448" i="4" s="1" a="1"/>
  <c r="P448" i="4" s="1"/>
  <c r="F1432" i="4"/>
  <c r="P1432" i="4" s="1" a="1"/>
  <c r="P1432" i="4" s="1"/>
  <c r="F662" i="4"/>
  <c r="P662" i="4" s="1" a="1"/>
  <c r="P662" i="4" s="1"/>
  <c r="F1025" i="4"/>
  <c r="P1025" i="4" s="1" a="1"/>
  <c r="P1025" i="4" s="1"/>
  <c r="F664" i="4"/>
  <c r="P664" i="4" s="1" a="1"/>
  <c r="P664" i="4" s="1"/>
  <c r="F665" i="4"/>
  <c r="P665" i="4" s="1" a="1"/>
  <c r="P665" i="4" s="1"/>
  <c r="F1204" i="4"/>
  <c r="P1204" i="4" s="1" a="1"/>
  <c r="P1204" i="4" s="1"/>
  <c r="F1205" i="4"/>
  <c r="P1205" i="4" s="1" a="1"/>
  <c r="P1205" i="4" s="1"/>
  <c r="F668" i="4"/>
  <c r="P668" i="4" s="1" a="1"/>
  <c r="P668" i="4" s="1"/>
  <c r="F669" i="4"/>
  <c r="P669" i="4" s="1" a="1"/>
  <c r="P669" i="4" s="1"/>
  <c r="F1001" i="4"/>
  <c r="P1001" i="4" s="1" a="1"/>
  <c r="P1001" i="4" s="1"/>
  <c r="F671" i="4"/>
  <c r="P671" i="4" s="1" a="1"/>
  <c r="P671" i="4" s="1"/>
  <c r="F1252" i="4"/>
  <c r="P1252" i="4" s="1" a="1"/>
  <c r="P1252" i="4" s="1"/>
  <c r="F356" i="4"/>
  <c r="P356" i="4" s="1" a="1"/>
  <c r="P356" i="4" s="1"/>
  <c r="F1447" i="4"/>
  <c r="P1447" i="4" s="1" a="1"/>
  <c r="P1447" i="4" s="1"/>
  <c r="F1171" i="4"/>
  <c r="P1171" i="4" s="1" a="1"/>
  <c r="P1171" i="4" s="1"/>
  <c r="F1468" i="4"/>
  <c r="P1468" i="4" s="1" a="1"/>
  <c r="P1468" i="4" s="1"/>
  <c r="F975" i="4"/>
  <c r="P975" i="4" s="1" a="1"/>
  <c r="P975" i="4" s="1"/>
  <c r="F1458" i="4"/>
  <c r="P1458" i="4" s="1" a="1"/>
  <c r="P1458" i="4" s="1"/>
  <c r="F961" i="4"/>
  <c r="P961" i="4" s="1" a="1"/>
  <c r="P961" i="4" s="1"/>
  <c r="F383" i="4"/>
  <c r="P383" i="4" s="1" a="1"/>
  <c r="P383" i="4" s="1"/>
  <c r="F51" i="4"/>
  <c r="P51" i="4" s="1" a="1"/>
  <c r="P51" i="4" s="1"/>
  <c r="F577" i="4"/>
  <c r="P577" i="4" s="1" a="1"/>
  <c r="P577" i="4" s="1"/>
  <c r="F1135" i="4"/>
  <c r="P1135" i="4" s="1" a="1"/>
  <c r="P1135" i="4" s="1"/>
  <c r="F82" i="4"/>
  <c r="P82" i="4" s="1" a="1"/>
  <c r="P82" i="4" s="1"/>
  <c r="F685" i="4"/>
  <c r="P685" i="4" s="1" a="1"/>
  <c r="P685" i="4" s="1"/>
  <c r="F449" i="4"/>
  <c r="P449" i="4" s="1" a="1"/>
  <c r="P449" i="4" s="1"/>
  <c r="F533" i="4"/>
  <c r="P533" i="4" s="1" a="1"/>
  <c r="P533" i="4" s="1"/>
  <c r="F592" i="4"/>
  <c r="P592" i="4" s="1" a="1"/>
  <c r="P592" i="4" s="1"/>
  <c r="F296" i="4"/>
  <c r="P296" i="4" s="1" a="1"/>
  <c r="P296" i="4" s="1"/>
  <c r="F690" i="4"/>
  <c r="P690" i="4" s="1" a="1"/>
  <c r="P690" i="4" s="1"/>
  <c r="F691" i="4"/>
  <c r="P691" i="4" s="1" a="1"/>
  <c r="P691" i="4" s="1"/>
  <c r="F1425" i="4"/>
  <c r="P1425" i="4" s="1" a="1"/>
  <c r="P1425" i="4" s="1"/>
  <c r="F54" i="4"/>
  <c r="P54" i="4" s="1" a="1"/>
  <c r="P54" i="4" s="1"/>
  <c r="F349" i="4"/>
  <c r="P349" i="4" s="1" a="1"/>
  <c r="P349" i="4" s="1"/>
  <c r="F695" i="4"/>
  <c r="P695" i="4" s="1" a="1"/>
  <c r="P695" i="4" s="1"/>
  <c r="F1045" i="4"/>
  <c r="P1045" i="4" s="1" a="1"/>
  <c r="P1045" i="4" s="1"/>
  <c r="F697" i="4"/>
  <c r="P697" i="4" s="1" a="1"/>
  <c r="P697" i="4" s="1"/>
  <c r="F898" i="4"/>
  <c r="P898" i="4" s="1" a="1"/>
  <c r="P898" i="4" s="1"/>
  <c r="F1071" i="4"/>
  <c r="P1071" i="4" s="1" a="1"/>
  <c r="P1071" i="4" s="1"/>
  <c r="F72" i="4"/>
  <c r="P72" i="4" s="1" a="1"/>
  <c r="P72" i="4" s="1"/>
  <c r="F774" i="4"/>
  <c r="P774" i="4" s="1" a="1"/>
  <c r="P774" i="4" s="1"/>
  <c r="F702" i="4"/>
  <c r="P702" i="4" s="1" a="1"/>
  <c r="P702" i="4" s="1"/>
  <c r="F1426" i="4"/>
  <c r="P1426" i="4" s="1" a="1"/>
  <c r="P1426" i="4" s="1"/>
  <c r="F1344" i="4"/>
  <c r="P1344" i="4" s="1" a="1"/>
  <c r="P1344" i="4" s="1"/>
  <c r="F1435" i="4"/>
  <c r="P1435" i="4" s="1" a="1"/>
  <c r="P1435" i="4" s="1"/>
  <c r="F1311" i="4"/>
  <c r="P1311" i="4" s="1" a="1"/>
  <c r="P1311" i="4" s="1"/>
  <c r="F276" i="4"/>
  <c r="P276" i="4" s="1" a="1"/>
  <c r="P276" i="4" s="1"/>
  <c r="F708" i="4"/>
  <c r="P708" i="4" s="1" a="1"/>
  <c r="P708" i="4" s="1"/>
  <c r="F578" i="4"/>
  <c r="P578" i="4" s="1" a="1"/>
  <c r="P578" i="4" s="1"/>
  <c r="F239" i="4"/>
  <c r="P239" i="4" s="1" a="1"/>
  <c r="P239" i="4" s="1"/>
  <c r="F711" i="4"/>
  <c r="P711" i="4" s="1" a="1"/>
  <c r="P711" i="4" s="1"/>
  <c r="F217" i="4"/>
  <c r="P217" i="4" s="1" a="1"/>
  <c r="P217" i="4" s="1"/>
  <c r="F713" i="4"/>
  <c r="P713" i="4" s="1" a="1"/>
  <c r="P713" i="4" s="1"/>
  <c r="F655" i="4"/>
  <c r="P655" i="4" s="1" a="1"/>
  <c r="P655" i="4" s="1"/>
  <c r="F621" i="4"/>
  <c r="P621" i="4" s="1" a="1"/>
  <c r="P621" i="4" s="1"/>
  <c r="F725" i="4"/>
  <c r="P725" i="4" s="1" a="1"/>
  <c r="P725" i="4" s="1"/>
  <c r="F73" i="4"/>
  <c r="P73" i="4" s="1" a="1"/>
  <c r="P73" i="4" s="1"/>
  <c r="F1082" i="4"/>
  <c r="P1082" i="4" s="1" a="1"/>
  <c r="P1082" i="4" s="1"/>
  <c r="F180" i="4"/>
  <c r="P180" i="4" s="1" a="1"/>
  <c r="P180" i="4" s="1"/>
  <c r="F607" i="4"/>
  <c r="P607" i="4" s="1" a="1"/>
  <c r="P607" i="4" s="1"/>
  <c r="F767" i="4"/>
  <c r="P767" i="4" s="1" a="1"/>
  <c r="P767" i="4" s="1"/>
  <c r="F722" i="4"/>
  <c r="P722" i="4" s="1" a="1"/>
  <c r="P722" i="4" s="1"/>
  <c r="F227" i="4"/>
  <c r="P227" i="4" s="1" a="1"/>
  <c r="P227" i="4" s="1"/>
  <c r="F1448" i="4"/>
  <c r="P1448" i="4" s="1" a="1"/>
  <c r="P1448" i="4" s="1"/>
  <c r="F579" i="4"/>
  <c r="P579" i="4" s="1" a="1"/>
  <c r="P579" i="4" s="1"/>
  <c r="F1226" i="4"/>
  <c r="P1226" i="4" s="1" a="1"/>
  <c r="P1226" i="4" s="1"/>
  <c r="F727" i="4"/>
  <c r="P727" i="4" s="1" a="1"/>
  <c r="P727" i="4" s="1"/>
  <c r="F228" i="4"/>
  <c r="P228" i="4" s="1" a="1"/>
  <c r="P228" i="4" s="1"/>
  <c r="F1010" i="4"/>
  <c r="P1010" i="4" s="1" a="1"/>
  <c r="P1010" i="4" s="1"/>
  <c r="F846" i="4"/>
  <c r="P846" i="4" s="1" a="1"/>
  <c r="P846" i="4" s="1"/>
  <c r="F326" i="4"/>
  <c r="P326" i="4" s="1" a="1"/>
  <c r="P326" i="4" s="1"/>
  <c r="F1393" i="4"/>
  <c r="P1393" i="4" s="1" a="1"/>
  <c r="P1393" i="4" s="1"/>
  <c r="F733" i="4"/>
  <c r="P733" i="4" s="1" a="1"/>
  <c r="P733" i="4" s="1"/>
  <c r="F734" i="4"/>
  <c r="P734" i="4" s="1" a="1"/>
  <c r="P734" i="4" s="1"/>
  <c r="F489" i="4"/>
  <c r="P489" i="4" s="1" a="1"/>
  <c r="P489" i="4" s="1"/>
  <c r="F1237" i="4"/>
  <c r="P1237" i="4" s="1" a="1"/>
  <c r="P1237" i="4" s="1"/>
  <c r="F1172" i="4"/>
  <c r="P1172" i="4" s="1" a="1"/>
  <c r="P1172" i="4" s="1"/>
  <c r="F297" i="4"/>
  <c r="P297" i="4" s="1" a="1"/>
  <c r="P297" i="4" s="1"/>
  <c r="F809" i="4"/>
  <c r="P809" i="4" s="1" a="1"/>
  <c r="P809" i="4" s="1"/>
  <c r="F249" i="4"/>
  <c r="P249" i="4" s="1" a="1"/>
  <c r="P249" i="4" s="1"/>
  <c r="F461" i="4"/>
  <c r="P461" i="4" s="1" a="1"/>
  <c r="P461" i="4" s="1"/>
  <c r="F220" i="4"/>
  <c r="P220" i="4" s="1" a="1"/>
  <c r="P220" i="4" s="1"/>
  <c r="F14" i="4"/>
  <c r="P14" i="4" s="1" a="1"/>
  <c r="P14" i="4" s="1"/>
  <c r="F1268" i="4"/>
  <c r="P1268" i="4" s="1" a="1"/>
  <c r="P1268" i="4" s="1"/>
  <c r="F1449" i="4"/>
  <c r="P1449" i="4" s="1" a="1"/>
  <c r="P1449" i="4" s="1"/>
  <c r="F746" i="4"/>
  <c r="P746" i="4" s="1" a="1"/>
  <c r="P746" i="4" s="1"/>
  <c r="F1345" i="4"/>
  <c r="P1345" i="4" s="1" a="1"/>
  <c r="P1345" i="4" s="1"/>
  <c r="F1147" i="4"/>
  <c r="P1147" i="4" s="1" a="1"/>
  <c r="P1147" i="4" s="1"/>
  <c r="F810" i="4"/>
  <c r="P810" i="4" s="1" a="1"/>
  <c r="P810" i="4" s="1"/>
  <c r="F750" i="4"/>
  <c r="P750" i="4" s="1" a="1"/>
  <c r="P750" i="4" s="1"/>
  <c r="F751" i="4"/>
  <c r="P751" i="4" s="1" a="1"/>
  <c r="P751" i="4" s="1"/>
  <c r="F656" i="4"/>
  <c r="P656" i="4" s="1" a="1"/>
  <c r="P656" i="4" s="1"/>
  <c r="F756" i="4"/>
  <c r="P756" i="4" s="1" a="1"/>
  <c r="P756" i="4" s="1"/>
  <c r="F754" i="4"/>
  <c r="P754" i="4" s="1" a="1"/>
  <c r="P754" i="4" s="1"/>
  <c r="F510" i="4"/>
  <c r="P510" i="4" s="1" a="1"/>
  <c r="P510" i="4" s="1"/>
  <c r="F877" i="4"/>
  <c r="P877" i="4" s="1" a="1"/>
  <c r="P877" i="4" s="1"/>
  <c r="F1436" i="4"/>
  <c r="P1436" i="4" s="1" a="1"/>
  <c r="P1436" i="4" s="1"/>
  <c r="F162" i="4"/>
  <c r="P162" i="4" s="1" a="1"/>
  <c r="P162" i="4" s="1"/>
  <c r="F373" i="4"/>
  <c r="P373" i="4" s="1" a="1"/>
  <c r="P373" i="4" s="1"/>
  <c r="F887" i="4"/>
  <c r="P887" i="4" s="1" a="1"/>
  <c r="P887" i="4" s="1"/>
  <c r="F277" i="4"/>
  <c r="P277" i="4" s="1" a="1"/>
  <c r="P277" i="4" s="1"/>
  <c r="F1161" i="4"/>
  <c r="P1161" i="4" s="1" a="1"/>
  <c r="P1161" i="4" s="1"/>
  <c r="F763" i="4"/>
  <c r="P763" i="4" s="1" a="1"/>
  <c r="P763" i="4" s="1"/>
  <c r="F764" i="4"/>
  <c r="P764" i="4" s="1" a="1"/>
  <c r="P764" i="4" s="1"/>
  <c r="F563" i="4"/>
  <c r="P563" i="4" s="1" a="1"/>
  <c r="P563" i="4" s="1"/>
  <c r="F1208" i="4"/>
  <c r="P1208" i="4" s="1" a="1"/>
  <c r="P1208" i="4" s="1"/>
  <c r="F1427" i="4"/>
  <c r="P1427" i="4" s="1" a="1"/>
  <c r="P1427" i="4" s="1"/>
  <c r="F163" i="4"/>
  <c r="P163" i="4" s="1" a="1"/>
  <c r="P163" i="4" s="1"/>
  <c r="F133" i="4"/>
  <c r="P133" i="4" s="1" a="1"/>
  <c r="P133" i="4" s="1"/>
  <c r="F1450" i="4"/>
  <c r="P1450" i="4" s="1" a="1"/>
  <c r="P1450" i="4" s="1"/>
  <c r="F726" i="4"/>
  <c r="P726" i="4" s="1" a="1"/>
  <c r="P726" i="4" s="1"/>
  <c r="F1428" i="4"/>
  <c r="P1428" i="4" s="1" a="1"/>
  <c r="P1428" i="4" s="1"/>
  <c r="F398" i="4"/>
  <c r="P398" i="4" s="1" a="1"/>
  <c r="P398" i="4" s="1"/>
  <c r="F1011" i="4"/>
  <c r="P1011" i="4" s="1" a="1"/>
  <c r="P1011" i="4" s="1"/>
  <c r="F962" i="4"/>
  <c r="P962" i="4" s="1" a="1"/>
  <c r="P962" i="4" s="1"/>
  <c r="F342" i="4"/>
  <c r="P342" i="4" s="1" a="1"/>
  <c r="P342" i="4" s="1"/>
  <c r="F627" i="4"/>
  <c r="P627" i="4" s="1" a="1"/>
  <c r="P627" i="4" s="1"/>
  <c r="F778" i="4"/>
  <c r="P778" i="4" s="1" a="1"/>
  <c r="P778" i="4" s="1"/>
  <c r="F779" i="4"/>
  <c r="P779" i="4" s="1" a="1"/>
  <c r="P779" i="4" s="1"/>
  <c r="F250" i="4"/>
  <c r="P250" i="4" s="1" a="1"/>
  <c r="P250" i="4" s="1"/>
  <c r="F781" i="4"/>
  <c r="P781" i="4" s="1" a="1"/>
  <c r="P781" i="4" s="1"/>
  <c r="F782" i="4"/>
  <c r="P782" i="4" s="1" a="1"/>
  <c r="P782" i="4" s="1"/>
  <c r="F462" i="4"/>
  <c r="P462" i="4" s="1" a="1"/>
  <c r="P462" i="4" s="1"/>
  <c r="F828" i="4"/>
  <c r="P828" i="4" s="1" a="1"/>
  <c r="P828" i="4" s="1"/>
  <c r="F1110" i="4"/>
  <c r="P1110" i="4" s="1" a="1"/>
  <c r="P1110" i="4" s="1"/>
  <c r="F526" i="4"/>
  <c r="P526" i="4" s="1" a="1"/>
  <c r="P526" i="4" s="1"/>
  <c r="F374" i="4"/>
  <c r="P374" i="4" s="1" a="1"/>
  <c r="P374" i="4" s="1"/>
  <c r="F147" i="4"/>
  <c r="P147" i="4" s="1" a="1"/>
  <c r="P147" i="4" s="1"/>
  <c r="F945" i="4"/>
  <c r="P945" i="4" s="1" a="1"/>
  <c r="P945" i="4" s="1"/>
  <c r="F795" i="4"/>
  <c r="P795" i="4" s="1" a="1"/>
  <c r="P795" i="4" s="1"/>
  <c r="F791" i="4"/>
  <c r="P791" i="4" s="1" a="1"/>
  <c r="P791" i="4" s="1"/>
  <c r="F55" i="4"/>
  <c r="P55" i="4" s="1" a="1"/>
  <c r="P55" i="4" s="1"/>
  <c r="F793" i="4"/>
  <c r="P793" i="4" s="1" a="1"/>
  <c r="P793" i="4" s="1"/>
  <c r="F794" i="4"/>
  <c r="P794" i="4" s="1" a="1"/>
  <c r="P794" i="4" s="1"/>
  <c r="F534" i="4"/>
  <c r="P534" i="4" s="1" a="1"/>
  <c r="P534" i="4" s="1"/>
  <c r="F1162" i="4"/>
  <c r="P1162" i="4" s="1" a="1"/>
  <c r="P1162" i="4" s="1"/>
  <c r="F511" i="4"/>
  <c r="P511" i="4" s="1" a="1"/>
  <c r="P511" i="4" s="1"/>
  <c r="F798" i="4"/>
  <c r="P798" i="4" s="1" a="1"/>
  <c r="P798" i="4" s="1"/>
  <c r="F799" i="4"/>
  <c r="P799" i="4" s="1" a="1"/>
  <c r="P799" i="4" s="1"/>
  <c r="F800" i="4"/>
  <c r="P800" i="4" s="1" a="1"/>
  <c r="P800" i="4" s="1"/>
  <c r="F548" i="4"/>
  <c r="P548" i="4" s="1" a="1"/>
  <c r="P548" i="4" s="1"/>
  <c r="F802" i="4"/>
  <c r="P802" i="4" s="1" a="1"/>
  <c r="P802" i="4" s="1"/>
  <c r="F803" i="4"/>
  <c r="P803" i="4" s="1" a="1"/>
  <c r="P803" i="4" s="1"/>
  <c r="F221" i="4"/>
  <c r="P221" i="4" s="1" a="1"/>
  <c r="P221" i="4" s="1"/>
  <c r="F811" i="4"/>
  <c r="P811" i="4" s="1" a="1"/>
  <c r="P811" i="4" s="1"/>
  <c r="F812" i="4"/>
  <c r="P812" i="4" s="1" a="1"/>
  <c r="P812" i="4" s="1"/>
  <c r="F641" i="4"/>
  <c r="P641" i="4" s="1" a="1"/>
  <c r="P641" i="4" s="1"/>
  <c r="F15" i="4"/>
  <c r="P15" i="4" s="1" a="1"/>
  <c r="P15" i="4" s="1"/>
  <c r="F1346" i="4"/>
  <c r="P1346" i="4" s="1" a="1"/>
  <c r="P1346" i="4" s="1"/>
  <c r="F229" i="4"/>
  <c r="P229" i="4" s="1" a="1"/>
  <c r="P229" i="4" s="1"/>
  <c r="F1433" i="4"/>
  <c r="P1433" i="4" s="1" a="1"/>
  <c r="P1433" i="4" s="1"/>
  <c r="F741" i="4"/>
  <c r="P741" i="4" s="1" a="1"/>
  <c r="P741" i="4" s="1"/>
  <c r="F674" i="4"/>
  <c r="P674" i="4" s="1" a="1"/>
  <c r="P674" i="4" s="1"/>
  <c r="F1384" i="4"/>
  <c r="P1384" i="4" s="1" a="1"/>
  <c r="P1384" i="4" s="1"/>
  <c r="F815" i="4"/>
  <c r="P815" i="4" s="1" a="1"/>
  <c r="P815" i="4" s="1"/>
  <c r="F1111" i="4"/>
  <c r="P1111" i="4" s="1" a="1"/>
  <c r="P1111" i="4" s="1"/>
  <c r="F251" i="4"/>
  <c r="P251" i="4" s="1" a="1"/>
  <c r="P251" i="4" s="1"/>
  <c r="F837" i="4"/>
  <c r="P837" i="4" s="1" a="1"/>
  <c r="P837" i="4" s="1"/>
  <c r="F1437" i="4"/>
  <c r="P1437" i="4" s="1" a="1"/>
  <c r="P1437" i="4" s="1"/>
  <c r="F528" i="4"/>
  <c r="P528" i="4" s="1" a="1"/>
  <c r="P528" i="4" s="1"/>
  <c r="F775" i="4"/>
  <c r="P775" i="4" s="1" a="1"/>
  <c r="P775" i="4" s="1"/>
  <c r="F1459" i="4"/>
  <c r="P1459" i="4" s="1" a="1"/>
  <c r="P1459" i="4" s="1"/>
  <c r="F1460" i="4"/>
  <c r="P1460" i="4" s="1" a="1"/>
  <c r="P1460" i="4" s="1"/>
  <c r="F554" i="4"/>
  <c r="P554" i="4" s="1" a="1"/>
  <c r="P554" i="4" s="1"/>
  <c r="F888" i="4"/>
  <c r="P888" i="4" s="1" a="1"/>
  <c r="P888" i="4" s="1"/>
  <c r="F535" i="4"/>
  <c r="P535" i="4" s="1" a="1"/>
  <c r="P535" i="4" s="1"/>
  <c r="F199" i="4"/>
  <c r="P199" i="4" s="1" a="1"/>
  <c r="P199" i="4" s="1"/>
  <c r="F1227" i="4"/>
  <c r="P1227" i="4" s="1" a="1"/>
  <c r="P1227" i="4" s="1"/>
  <c r="F976" i="4"/>
  <c r="P976" i="4" s="1" a="1"/>
  <c r="P976" i="4" s="1"/>
  <c r="F830" i="4"/>
  <c r="P830" i="4" s="1" a="1"/>
  <c r="P830" i="4" s="1"/>
  <c r="F831" i="4"/>
  <c r="P831" i="4" s="1" a="1"/>
  <c r="P831" i="4" s="1"/>
  <c r="F899" i="4"/>
  <c r="P899" i="4" s="1" a="1"/>
  <c r="P899" i="4" s="1"/>
  <c r="F833" i="4"/>
  <c r="P833" i="4" s="1" a="1"/>
  <c r="P833" i="4" s="1"/>
  <c r="F1461" i="4"/>
  <c r="P1461" i="4" s="1" a="1"/>
  <c r="P1461" i="4" s="1"/>
  <c r="F122" i="4"/>
  <c r="P122" i="4" s="1" a="1"/>
  <c r="P122" i="4" s="1"/>
  <c r="F728" i="4"/>
  <c r="P728" i="4" s="1" a="1"/>
  <c r="P728" i="4" s="1"/>
  <c r="F189" i="4"/>
  <c r="P189" i="4" s="1" a="1"/>
  <c r="P189" i="4" s="1"/>
  <c r="F838" i="4"/>
  <c r="P838" i="4" s="1" a="1"/>
  <c r="P838" i="4" s="1"/>
  <c r="F1385" i="4"/>
  <c r="P1385" i="4" s="1" a="1"/>
  <c r="P1385" i="4" s="1"/>
  <c r="F840" i="4"/>
  <c r="P840" i="4" s="1" a="1"/>
  <c r="P840" i="4" s="1"/>
  <c r="F1115" i="4"/>
  <c r="P1115" i="4" s="1" a="1"/>
  <c r="P1115" i="4" s="1"/>
  <c r="F1095" i="4"/>
  <c r="P1095" i="4" s="1" a="1"/>
  <c r="P1095" i="4" s="1"/>
  <c r="F463" i="4"/>
  <c r="P463" i="4" s="1" a="1"/>
  <c r="P463" i="4" s="1"/>
  <c r="F844" i="4"/>
  <c r="P844" i="4" s="1" a="1"/>
  <c r="P844" i="4" s="1"/>
  <c r="F357" i="4"/>
  <c r="P357" i="4" s="1" a="1"/>
  <c r="P357" i="4" s="1"/>
  <c r="F1269" i="4"/>
  <c r="P1269" i="4" s="1" a="1"/>
  <c r="P1269" i="4" s="1"/>
  <c r="F1127" i="4"/>
  <c r="P1127" i="4" s="1" a="1"/>
  <c r="P1127" i="4" s="1"/>
  <c r="F813" i="4"/>
  <c r="P813" i="4" s="1" a="1"/>
  <c r="P813" i="4" s="1"/>
  <c r="F1128" i="4"/>
  <c r="P1128" i="4" s="1" a="1"/>
  <c r="P1128" i="4" s="1"/>
  <c r="F1407" i="4"/>
  <c r="P1407" i="4" s="1" a="1"/>
  <c r="P1407" i="4" s="1"/>
  <c r="F851" i="4"/>
  <c r="P851" i="4" s="1" a="1"/>
  <c r="P851" i="4" s="1"/>
  <c r="F17" i="4"/>
  <c r="P17" i="4" s="1" a="1"/>
  <c r="P17" i="4" s="1"/>
  <c r="F1240" i="4"/>
  <c r="P1240" i="4" s="1" a="1"/>
  <c r="P1240" i="4" s="1"/>
  <c r="F594" i="4"/>
  <c r="P594" i="4" s="1" a="1"/>
  <c r="P594" i="4" s="1"/>
  <c r="F536" i="4"/>
  <c r="P536" i="4" s="1" a="1"/>
  <c r="P536" i="4" s="1"/>
  <c r="F700" i="4"/>
  <c r="P700" i="4" s="1" a="1"/>
  <c r="P700" i="4" s="1"/>
  <c r="F1408" i="4"/>
  <c r="P1408" i="4" s="1" a="1"/>
  <c r="P1408" i="4" s="1"/>
  <c r="F512" i="4"/>
  <c r="P512" i="4" s="1" a="1"/>
  <c r="P512" i="4" s="1"/>
  <c r="F859" i="4"/>
  <c r="P859" i="4" s="1" a="1"/>
  <c r="P859" i="4" s="1"/>
  <c r="F1409" i="4"/>
  <c r="P1409" i="4" s="1" a="1"/>
  <c r="P1409" i="4" s="1"/>
  <c r="F889" i="4"/>
  <c r="P889" i="4" s="1" a="1"/>
  <c r="P889" i="4" s="1"/>
  <c r="F862" i="4"/>
  <c r="P862" i="4" s="1" a="1"/>
  <c r="P862" i="4" s="1"/>
  <c r="F776" i="4"/>
  <c r="P776" i="4" s="1" a="1"/>
  <c r="P776" i="4" s="1"/>
  <c r="F729" i="4"/>
  <c r="P729" i="4" s="1" a="1"/>
  <c r="P729" i="4" s="1"/>
  <c r="F622" i="4"/>
  <c r="P622" i="4" s="1" a="1"/>
  <c r="P622" i="4" s="1"/>
  <c r="F866" i="4"/>
  <c r="P866" i="4" s="1" a="1"/>
  <c r="P866" i="4" s="1"/>
  <c r="F375" i="4"/>
  <c r="P375" i="4" s="1" a="1"/>
  <c r="P375" i="4" s="1"/>
  <c r="F730" i="4"/>
  <c r="P730" i="4" s="1" a="1"/>
  <c r="P730" i="4" s="1"/>
  <c r="F1046" i="4"/>
  <c r="P1046" i="4" s="1" a="1"/>
  <c r="P1046" i="4" s="1"/>
  <c r="F1253" i="4"/>
  <c r="P1253" i="4" s="1" a="1"/>
  <c r="P1253" i="4" s="1"/>
  <c r="F1096" i="4"/>
  <c r="P1096" i="4" s="1" a="1"/>
  <c r="P1096" i="4" s="1"/>
  <c r="F1129" i="4"/>
  <c r="P1129" i="4" s="1" a="1"/>
  <c r="P1129" i="4" s="1"/>
  <c r="F873" i="4"/>
  <c r="P873" i="4" s="1" a="1"/>
  <c r="P873" i="4" s="1"/>
  <c r="F1438" i="4"/>
  <c r="P1438" i="4" s="1" a="1"/>
  <c r="P1438" i="4" s="1"/>
  <c r="F900" i="4"/>
  <c r="P900" i="4" s="1" a="1"/>
  <c r="P900" i="4" s="1"/>
  <c r="F847" i="4"/>
  <c r="P847" i="4" s="1" a="1"/>
  <c r="P847" i="4" s="1"/>
  <c r="F399" i="4"/>
  <c r="P399" i="4" s="1" a="1"/>
  <c r="P399" i="4" s="1"/>
  <c r="F400" i="4"/>
  <c r="P400" i="4" s="1" a="1"/>
  <c r="P400" i="4" s="1"/>
  <c r="F208" i="4"/>
  <c r="P208" i="4" s="1" a="1"/>
  <c r="P208" i="4" s="1"/>
  <c r="F628" i="4"/>
  <c r="P628" i="4" s="1" a="1"/>
  <c r="P628" i="4" s="1"/>
  <c r="F327" i="4"/>
  <c r="P327" i="4" s="1" a="1"/>
  <c r="P327" i="4" s="1"/>
  <c r="F74" i="4"/>
  <c r="P74" i="4" s="1" a="1"/>
  <c r="P74" i="4" s="1"/>
  <c r="F56" i="4"/>
  <c r="P56" i="4" s="1" a="1"/>
  <c r="P56" i="4" s="1"/>
  <c r="F1072" i="4"/>
  <c r="P1072" i="4" s="1" a="1"/>
  <c r="P1072" i="4" s="1"/>
  <c r="F537" i="4"/>
  <c r="P537" i="4" s="1" a="1"/>
  <c r="P537" i="4" s="1"/>
  <c r="F148" i="4"/>
  <c r="P148" i="4" s="1" a="1"/>
  <c r="P148" i="4" s="1"/>
  <c r="F963" i="4"/>
  <c r="P963" i="4" s="1" a="1"/>
  <c r="P963" i="4" s="1"/>
  <c r="F313" i="4"/>
  <c r="P313" i="4" s="1" a="1"/>
  <c r="P313" i="4" s="1"/>
  <c r="F1097" i="4"/>
  <c r="P1097" i="4" s="1" a="1"/>
  <c r="P1097" i="4" s="1"/>
  <c r="F1324" i="4"/>
  <c r="P1324" i="4" s="1" a="1"/>
  <c r="P1324" i="4" s="1"/>
  <c r="F1228" i="4"/>
  <c r="P1228" i="4" s="1" a="1"/>
  <c r="P1228" i="4" s="1"/>
  <c r="F1098" i="4"/>
  <c r="P1098" i="4" s="1" a="1"/>
  <c r="P1098" i="4" s="1"/>
  <c r="F1209" i="4"/>
  <c r="P1209" i="4" s="1" a="1"/>
  <c r="P1209" i="4" s="1"/>
  <c r="F894" i="4"/>
  <c r="P894" i="4" s="1" a="1"/>
  <c r="P894" i="4" s="1"/>
  <c r="F499" i="4"/>
  <c r="P499" i="4" s="1" a="1"/>
  <c r="P499" i="4" s="1"/>
  <c r="F240" i="4"/>
  <c r="P240" i="4" s="1" a="1"/>
  <c r="P240" i="4" s="1"/>
  <c r="F701" i="4"/>
  <c r="P701" i="4" s="1" a="1"/>
  <c r="P701" i="4" s="1"/>
  <c r="F989" i="4"/>
  <c r="P989" i="4" s="1" a="1"/>
  <c r="P989" i="4" s="1"/>
  <c r="F901" i="4"/>
  <c r="P901" i="4" s="1" a="1"/>
  <c r="P901" i="4" s="1"/>
  <c r="F1373" i="4"/>
  <c r="P1373" i="4" s="1" a="1"/>
  <c r="P1373" i="4" s="1"/>
  <c r="F358" i="4"/>
  <c r="P358" i="4" s="1" a="1"/>
  <c r="P358" i="4" s="1"/>
  <c r="F538" i="4"/>
  <c r="P538" i="4" s="1" a="1"/>
  <c r="P538" i="4" s="1"/>
  <c r="F1439" i="4"/>
  <c r="P1439" i="4" s="1" a="1"/>
  <c r="P1439" i="4" s="1"/>
  <c r="F110" i="4"/>
  <c r="P110" i="4" s="1" a="1"/>
  <c r="P110" i="4" s="1"/>
  <c r="F513" i="4"/>
  <c r="P513" i="4" s="1" a="1"/>
  <c r="P513" i="4" s="1"/>
  <c r="F927" i="4"/>
  <c r="P927" i="4" s="1" a="1"/>
  <c r="P927" i="4" s="1"/>
  <c r="F1073" i="4"/>
  <c r="P1073" i="4" s="1" a="1"/>
  <c r="P1073" i="4" s="1"/>
  <c r="F426" i="4"/>
  <c r="P426" i="4" s="1" a="1"/>
  <c r="P426" i="4" s="1"/>
  <c r="F75" i="4"/>
  <c r="P75" i="4" s="1" a="1"/>
  <c r="P75" i="4" s="1"/>
  <c r="F149" i="4"/>
  <c r="P149" i="4" s="1" a="1"/>
  <c r="P149" i="4" s="1"/>
  <c r="F1360" i="4"/>
  <c r="P1360" i="4" s="1" a="1"/>
  <c r="P1360" i="4" s="1"/>
  <c r="F1286" i="4"/>
  <c r="P1286" i="4" s="1" a="1"/>
  <c r="P1286" i="4" s="1"/>
  <c r="F913" i="4"/>
  <c r="P913" i="4" s="1" a="1"/>
  <c r="P913" i="4" s="1"/>
  <c r="F657" i="4"/>
  <c r="P657" i="4" s="1" a="1"/>
  <c r="P657" i="4" s="1"/>
  <c r="F915" i="4"/>
  <c r="P915" i="4" s="1" a="1"/>
  <c r="P915" i="4" s="1"/>
  <c r="F1229" i="4"/>
  <c r="P1229" i="4" s="1" a="1"/>
  <c r="P1229" i="4" s="1"/>
  <c r="F917" i="4"/>
  <c r="P917" i="4" s="1" a="1"/>
  <c r="P917" i="4" s="1"/>
  <c r="F909" i="4"/>
  <c r="P909" i="4" s="1" a="1"/>
  <c r="P909" i="4" s="1"/>
  <c r="F565" i="4"/>
  <c r="P565" i="4" s="1" a="1"/>
  <c r="P565" i="4" s="1"/>
  <c r="F1325" i="4"/>
  <c r="P1325" i="4" s="1" a="1"/>
  <c r="P1325" i="4" s="1"/>
  <c r="F642" i="4"/>
  <c r="P642" i="4" s="1" a="1"/>
  <c r="P642" i="4" s="1"/>
  <c r="F1099" i="4"/>
  <c r="P1099" i="4" s="1" a="1"/>
  <c r="P1099" i="4" s="1"/>
  <c r="F1230" i="4"/>
  <c r="P1230" i="4" s="1" a="1"/>
  <c r="P1230" i="4" s="1"/>
  <c r="F500" i="4"/>
  <c r="P500" i="4" s="1" a="1"/>
  <c r="P500" i="4" s="1"/>
  <c r="F1148" i="4"/>
  <c r="P1148" i="4" s="1" a="1"/>
  <c r="P1148" i="4" s="1"/>
  <c r="F529" i="4"/>
  <c r="P529" i="4" s="1" a="1"/>
  <c r="P529" i="4" s="1"/>
  <c r="F566" i="4"/>
  <c r="P566" i="4" s="1" a="1"/>
  <c r="P566" i="4" s="1"/>
  <c r="F123" i="4"/>
  <c r="P123" i="4" s="1" a="1"/>
  <c r="P123" i="4" s="1"/>
  <c r="F464" i="4"/>
  <c r="P464" i="4" s="1" a="1"/>
  <c r="P464" i="4" s="1"/>
  <c r="F930" i="4"/>
  <c r="P930" i="4" s="1" a="1"/>
  <c r="P930" i="4" s="1"/>
  <c r="F1026" i="4"/>
  <c r="P1026" i="4" s="1" a="1"/>
  <c r="P1026" i="4" s="1"/>
  <c r="F1116" i="4"/>
  <c r="P1116" i="4" s="1" a="1"/>
  <c r="P1116" i="4" s="1"/>
  <c r="F450" i="4"/>
  <c r="P450" i="4" s="1" a="1"/>
  <c r="P450" i="4" s="1"/>
  <c r="F934" i="4"/>
  <c r="P934" i="4" s="1" a="1"/>
  <c r="P934" i="4" s="1"/>
  <c r="F514" i="4"/>
  <c r="P514" i="4" s="1" a="1"/>
  <c r="P514" i="4" s="1"/>
  <c r="F401" i="4"/>
  <c r="P401" i="4" s="1" a="1"/>
  <c r="P401" i="4" s="1"/>
  <c r="F539" i="4"/>
  <c r="P539" i="4" s="1" a="1"/>
  <c r="P539" i="4" s="1"/>
  <c r="F1185" i="4"/>
  <c r="P1185" i="4" s="1" a="1"/>
  <c r="P1185" i="4" s="1"/>
  <c r="F990" i="4"/>
  <c r="P990" i="4" s="1" a="1"/>
  <c r="P990" i="4" s="1"/>
  <c r="F242" i="4"/>
  <c r="P242" i="4" s="1" a="1"/>
  <c r="P242" i="4" s="1"/>
  <c r="F941" i="4"/>
  <c r="P941" i="4" s="1" a="1"/>
  <c r="P941" i="4" s="1"/>
  <c r="F942" i="4"/>
  <c r="P942" i="4" s="1" a="1"/>
  <c r="P942" i="4" s="1"/>
  <c r="F259" i="4"/>
  <c r="P259" i="4" s="1" a="1"/>
  <c r="P259" i="4" s="1"/>
  <c r="F1394" i="4"/>
  <c r="P1394" i="4" s="1" a="1"/>
  <c r="P1394" i="4" s="1"/>
  <c r="F181" i="4"/>
  <c r="P181" i="4" s="1" a="1"/>
  <c r="P181" i="4" s="1"/>
  <c r="F385" i="4"/>
  <c r="P385" i="4" s="1" a="1"/>
  <c r="P385" i="4" s="1"/>
  <c r="F182" i="4"/>
  <c r="P182" i="4" s="1" a="1"/>
  <c r="P182" i="4" s="1"/>
  <c r="F948" i="4"/>
  <c r="P948" i="4" s="1" a="1"/>
  <c r="P948" i="4" s="1"/>
  <c r="F949" i="4"/>
  <c r="P949" i="4" s="1" a="1"/>
  <c r="P949" i="4" s="1"/>
  <c r="F1057" i="4"/>
  <c r="P1057" i="4" s="1" a="1"/>
  <c r="P1057" i="4" s="1"/>
  <c r="F1302" i="4"/>
  <c r="P1302" i="4" s="1" a="1"/>
  <c r="P1302" i="4" s="1"/>
  <c r="F1410" i="4"/>
  <c r="P1410" i="4" s="1" a="1"/>
  <c r="P1410" i="4" s="1"/>
  <c r="F402" i="4"/>
  <c r="P402" i="4" s="1" a="1"/>
  <c r="P402" i="4" s="1"/>
  <c r="F954" i="4"/>
  <c r="P954" i="4" s="1" a="1"/>
  <c r="P954" i="4" s="1"/>
  <c r="F955" i="4"/>
  <c r="P955" i="4" s="1" a="1"/>
  <c r="P955" i="4" s="1"/>
  <c r="F403" i="4"/>
  <c r="P403" i="4" s="1" a="1"/>
  <c r="P403" i="4" s="1"/>
  <c r="F466" i="4"/>
  <c r="P466" i="4" s="1" a="1"/>
  <c r="P466" i="4" s="1"/>
  <c r="F919" i="4"/>
  <c r="P919" i="4" s="1" a="1"/>
  <c r="P919" i="4" s="1"/>
  <c r="F1395" i="4"/>
  <c r="P1395" i="4" s="1" a="1"/>
  <c r="P1395" i="4" s="1"/>
  <c r="F1074" i="4"/>
  <c r="P1074" i="4" s="1" a="1"/>
  <c r="P1074" i="4" s="1"/>
  <c r="F9" i="4"/>
  <c r="P9" i="4" s="1" a="1"/>
  <c r="P9" i="4" s="1"/>
  <c r="F1012" i="4"/>
  <c r="P1012" i="4" s="1" a="1"/>
  <c r="P1012" i="4" s="1"/>
  <c r="F1075" i="4"/>
  <c r="P1075" i="4" s="1" a="1"/>
  <c r="P1075" i="4" s="1"/>
  <c r="F878" i="4"/>
  <c r="P878" i="4" s="1" a="1"/>
  <c r="P878" i="4" s="1"/>
  <c r="F278" i="4"/>
  <c r="P278" i="4" s="1" a="1"/>
  <c r="P278" i="4" s="1"/>
  <c r="F1347" i="4"/>
  <c r="P1347" i="4" s="1" a="1"/>
  <c r="P1347" i="4" s="1"/>
  <c r="F1013" i="4"/>
  <c r="P1013" i="4" s="1" a="1"/>
  <c r="P1013" i="4" s="1"/>
  <c r="F968" i="4"/>
  <c r="P968" i="4" s="1" a="1"/>
  <c r="P968" i="4" s="1"/>
  <c r="F427" i="4"/>
  <c r="P427" i="4" s="1" a="1"/>
  <c r="P427" i="4" s="1"/>
  <c r="F428" i="4"/>
  <c r="P428" i="4" s="1" a="1"/>
  <c r="P428" i="4" s="1"/>
  <c r="F467" i="4"/>
  <c r="P467" i="4" s="1" a="1"/>
  <c r="P467" i="4" s="1"/>
  <c r="F1241" i="4"/>
  <c r="P1241" i="4" s="1" a="1"/>
  <c r="P1241" i="4" s="1"/>
  <c r="F928" i="4"/>
  <c r="P928" i="4" s="1" a="1"/>
  <c r="P928" i="4" s="1"/>
  <c r="F1374" i="4"/>
  <c r="P1374" i="4" s="1" a="1"/>
  <c r="P1374" i="4" s="1"/>
  <c r="F796" i="4"/>
  <c r="P796" i="4" s="1" a="1"/>
  <c r="P796" i="4" s="1"/>
  <c r="F1429" i="4"/>
  <c r="P1429" i="4" s="1" a="1"/>
  <c r="P1429" i="4" s="1"/>
  <c r="F977" i="4"/>
  <c r="P977" i="4" s="1" a="1"/>
  <c r="P977" i="4" s="1"/>
  <c r="F890" i="4"/>
  <c r="P890" i="4" s="1" a="1"/>
  <c r="P890" i="4" s="1"/>
  <c r="F230" i="4"/>
  <c r="P230" i="4" s="1" a="1"/>
  <c r="P230" i="4" s="1"/>
  <c r="F200" i="4"/>
  <c r="P200" i="4" s="1" a="1"/>
  <c r="P200" i="4" s="1"/>
  <c r="F703" i="4"/>
  <c r="P703" i="4" s="1" a="1"/>
  <c r="P703" i="4" s="1"/>
  <c r="F982" i="4"/>
  <c r="P982" i="4" s="1" a="1"/>
  <c r="P982" i="4" s="1"/>
  <c r="F983" i="4"/>
  <c r="P983" i="4" s="1" a="1"/>
  <c r="P983" i="4" s="1"/>
  <c r="F1287" i="4"/>
  <c r="P1287" i="4" s="1" a="1"/>
  <c r="P1287" i="4" s="1"/>
  <c r="F101" i="4"/>
  <c r="P101" i="4" s="1" a="1"/>
  <c r="P101" i="4" s="1"/>
  <c r="F260" i="4"/>
  <c r="P260" i="4" s="1" a="1"/>
  <c r="P260" i="4" s="1"/>
  <c r="F987" i="4"/>
  <c r="P987" i="4" s="1" a="1"/>
  <c r="P987" i="4" s="1"/>
  <c r="F404" i="4"/>
  <c r="P404" i="4" s="1" a="1"/>
  <c r="P404" i="4" s="1"/>
  <c r="F1100" i="4"/>
  <c r="P1100" i="4" s="1" a="1"/>
  <c r="P1100" i="4" s="1"/>
  <c r="F1210" i="4"/>
  <c r="P1210" i="4" s="1" a="1"/>
  <c r="P1210" i="4" s="1"/>
  <c r="F1411" i="4"/>
  <c r="P1411" i="4" s="1" a="1"/>
  <c r="P1411" i="4" s="1"/>
  <c r="F1083" i="4"/>
  <c r="P1083" i="4" s="1" a="1"/>
  <c r="P1083" i="4" s="1"/>
  <c r="F1303" i="4"/>
  <c r="P1303" i="4" s="1" a="1"/>
  <c r="P1303" i="4" s="1"/>
  <c r="F1348" i="4"/>
  <c r="P1348" i="4" s="1" a="1"/>
  <c r="P1348" i="4" s="1"/>
  <c r="F1174" i="4"/>
  <c r="P1174" i="4" s="1" a="1"/>
  <c r="P1174" i="4" s="1"/>
  <c r="F125" i="4"/>
  <c r="P125" i="4" s="1" a="1"/>
  <c r="P125" i="4" s="1"/>
  <c r="F891" i="4"/>
  <c r="P891" i="4" s="1" a="1"/>
  <c r="P891" i="4" s="1"/>
  <c r="F137" i="4"/>
  <c r="P137" i="4" s="1" a="1"/>
  <c r="P137" i="4" s="1"/>
  <c r="F999" i="4"/>
  <c r="P999" i="4" s="1" a="1"/>
  <c r="P999" i="4" s="1"/>
  <c r="F343" i="4"/>
  <c r="P343" i="4" s="1" a="1"/>
  <c r="P343" i="4" s="1"/>
  <c r="F405" i="4"/>
  <c r="P405" i="4" s="1" a="1"/>
  <c r="P405" i="4" s="1"/>
  <c r="F1288" i="4"/>
  <c r="P1288" i="4" s="1" a="1"/>
  <c r="P1288" i="4" s="1"/>
  <c r="F555" i="4"/>
  <c r="P555" i="4" s="1" a="1"/>
  <c r="P555" i="4" s="1"/>
  <c r="F595" i="4"/>
  <c r="P595" i="4" s="1" a="1"/>
  <c r="P595" i="4" s="1"/>
  <c r="F929" i="4"/>
  <c r="P929" i="4" s="1" a="1"/>
  <c r="P929" i="4" s="1"/>
  <c r="F501" i="4"/>
  <c r="P501" i="4" s="1" a="1"/>
  <c r="P501" i="4" s="1"/>
  <c r="F1149" i="4"/>
  <c r="P1149" i="4" s="1" a="1"/>
  <c r="P1149" i="4" s="1"/>
  <c r="F1008" i="4"/>
  <c r="P1008" i="4" s="1" a="1"/>
  <c r="P1008" i="4" s="1"/>
  <c r="F1009" i="4"/>
  <c r="P1009" i="4" s="1" a="1"/>
  <c r="P1009" i="4" s="1"/>
  <c r="F540" i="4"/>
  <c r="P540" i="4" s="1" a="1"/>
  <c r="P540" i="4" s="1"/>
  <c r="F150" i="4"/>
  <c r="P150" i="4" s="1" a="1"/>
  <c r="P150" i="4" s="1"/>
  <c r="F299" i="4"/>
  <c r="P299" i="4" s="1" a="1"/>
  <c r="P299" i="4" s="1"/>
  <c r="F502" i="4"/>
  <c r="P502" i="4" s="1" a="1"/>
  <c r="P502" i="4" s="1"/>
  <c r="F1014" i="4"/>
  <c r="P1014" i="4" s="1" a="1"/>
  <c r="P1014" i="4" s="1"/>
  <c r="F376" i="4"/>
  <c r="P376" i="4" s="1" a="1"/>
  <c r="P376" i="4" s="1"/>
  <c r="F1375" i="4"/>
  <c r="P1375" i="4" s="1" a="1"/>
  <c r="P1375" i="4" s="1"/>
  <c r="F1242" i="4"/>
  <c r="P1242" i="4" s="1" a="1"/>
  <c r="P1242" i="4" s="1"/>
  <c r="F1018" i="4"/>
  <c r="P1018" i="4" s="1" a="1"/>
  <c r="P1018" i="4" s="1"/>
  <c r="F821" i="4"/>
  <c r="P821" i="4" s="1" a="1"/>
  <c r="P821" i="4" s="1"/>
  <c r="F608" i="4"/>
  <c r="P608" i="4" s="1" a="1"/>
  <c r="P608" i="4" s="1"/>
  <c r="F1175" i="4"/>
  <c r="P1175" i="4" s="1" a="1"/>
  <c r="P1175" i="4" s="1"/>
  <c r="F1211" i="4"/>
  <c r="P1211" i="4" s="1" a="1"/>
  <c r="P1211" i="4" s="1"/>
  <c r="F1023" i="4"/>
  <c r="P1023" i="4" s="1" a="1"/>
  <c r="P1023" i="4" s="1"/>
  <c r="F768" i="4"/>
  <c r="P768" i="4" s="1" a="1"/>
  <c r="P768" i="4" s="1"/>
  <c r="F360" i="4"/>
  <c r="P360" i="4" s="1" a="1"/>
  <c r="P360" i="4" s="1"/>
  <c r="F300" i="4"/>
  <c r="P300" i="4" s="1" a="1"/>
  <c r="P300" i="4" s="1"/>
  <c r="F1231" i="4"/>
  <c r="P1231" i="4" s="1" a="1"/>
  <c r="P1231" i="4" s="1"/>
  <c r="F920" i="4"/>
  <c r="P920" i="4" s="1" a="1"/>
  <c r="P920" i="4" s="1"/>
  <c r="F629" i="4"/>
  <c r="P629" i="4" s="1" a="1"/>
  <c r="P629" i="4" s="1"/>
  <c r="F1186" i="4"/>
  <c r="P1186" i="4" s="1" a="1"/>
  <c r="P1186" i="4" s="1"/>
  <c r="F1326" i="4"/>
  <c r="P1326" i="4" s="1" a="1"/>
  <c r="P1326" i="4" s="1"/>
  <c r="F852" i="4"/>
  <c r="P852" i="4" s="1" a="1"/>
  <c r="P852" i="4" s="1"/>
  <c r="F1033" i="4"/>
  <c r="P1033" i="4" s="1" a="1"/>
  <c r="P1033" i="4" s="1"/>
  <c r="F1034" i="4"/>
  <c r="P1034" i="4" s="1" a="1"/>
  <c r="P1034" i="4" s="1"/>
  <c r="F1035" i="4"/>
  <c r="P1035" i="4" s="1" a="1"/>
  <c r="P1035" i="4" s="1"/>
  <c r="F1176" i="4"/>
  <c r="P1176" i="4" s="1" a="1"/>
  <c r="P1176" i="4" s="1"/>
  <c r="F864" i="4"/>
  <c r="P864" i="4" s="1" a="1"/>
  <c r="P864" i="4" s="1"/>
  <c r="F1038" i="4"/>
  <c r="P1038" i="4" s="1" a="1"/>
  <c r="P1038" i="4" s="1"/>
  <c r="F1027" i="4"/>
  <c r="P1027" i="4" s="1" a="1"/>
  <c r="P1027" i="4" s="1"/>
  <c r="F556" i="4"/>
  <c r="P556" i="4" s="1" a="1"/>
  <c r="P556" i="4" s="1"/>
  <c r="F1041" i="4"/>
  <c r="P1041" i="4" s="1" a="1"/>
  <c r="P1041" i="4" s="1"/>
  <c r="F1028" i="4"/>
  <c r="P1028" i="4" s="1" a="1"/>
  <c r="P1028" i="4" s="1"/>
  <c r="F517" i="4"/>
  <c r="P517" i="4" s="1" a="1"/>
  <c r="P517" i="4" s="1"/>
  <c r="F1187" i="4"/>
  <c r="P1187" i="4" s="1" a="1"/>
  <c r="P1187" i="4" s="1"/>
  <c r="F1117" i="4"/>
  <c r="P1117" i="4" s="1" a="1"/>
  <c r="P1117" i="4" s="1"/>
  <c r="F103" i="4"/>
  <c r="P103" i="4" s="1" a="1"/>
  <c r="P103" i="4" s="1"/>
  <c r="F1349" i="4"/>
  <c r="P1349" i="4" s="1" a="1"/>
  <c r="P1349" i="4" s="1"/>
  <c r="F172" i="4"/>
  <c r="P172" i="4" s="1" a="1"/>
  <c r="P172" i="4" s="1"/>
  <c r="F1219" i="4"/>
  <c r="P1219" i="4" s="1" a="1"/>
  <c r="P1219" i="4" s="1"/>
  <c r="F1254" i="4"/>
  <c r="P1254" i="4" s="1" a="1"/>
  <c r="P1254" i="4" s="1"/>
  <c r="F991" i="4"/>
  <c r="P991" i="4" s="1" a="1"/>
  <c r="P991" i="4" s="1"/>
  <c r="F1350" i="4"/>
  <c r="P1350" i="4" s="1" a="1"/>
  <c r="P1350" i="4" s="1"/>
  <c r="F1002" i="4"/>
  <c r="P1002" i="4" s="1" a="1"/>
  <c r="P1002" i="4" s="1"/>
  <c r="F580" i="4"/>
  <c r="P580" i="4" s="1" a="1"/>
  <c r="P580" i="4" s="1"/>
  <c r="F686" i="4"/>
  <c r="P686" i="4" s="1" a="1"/>
  <c r="P686" i="4" s="1"/>
  <c r="F1232" i="4"/>
  <c r="P1232" i="4" s="1" a="1"/>
  <c r="P1232" i="4" s="1"/>
  <c r="F1212" i="4"/>
  <c r="P1212" i="4" s="1" a="1"/>
  <c r="P1212" i="4" s="1"/>
  <c r="F1058" i="4"/>
  <c r="P1058" i="4" s="1" a="1"/>
  <c r="P1058" i="4" s="1"/>
  <c r="F1059" i="4"/>
  <c r="P1059" i="4" s="1" a="1"/>
  <c r="P1059" i="4" s="1"/>
  <c r="F1060" i="4"/>
  <c r="P1060" i="4" s="1" a="1"/>
  <c r="P1060" i="4" s="1"/>
  <c r="F1441" i="4"/>
  <c r="P1441" i="4" s="1" a="1"/>
  <c r="P1441" i="4" s="1"/>
  <c r="F1062" i="4"/>
  <c r="P1062" i="4" s="1" a="1"/>
  <c r="P1062" i="4" s="1"/>
  <c r="F1189" i="4"/>
  <c r="P1189" i="4" s="1" a="1"/>
  <c r="P1189" i="4" s="1"/>
  <c r="F567" i="4"/>
  <c r="P567" i="4" s="1" a="1"/>
  <c r="P567" i="4" s="1"/>
  <c r="F151" i="4"/>
  <c r="P151" i="4" s="1" a="1"/>
  <c r="P151" i="4" s="1"/>
  <c r="F1220" i="4"/>
  <c r="P1220" i="4" s="1" a="1"/>
  <c r="P1220" i="4" s="1"/>
  <c r="F1304" i="4"/>
  <c r="P1304" i="4" s="1" a="1"/>
  <c r="P1304" i="4" s="1"/>
  <c r="F630" i="4"/>
  <c r="P630" i="4" s="1" a="1"/>
  <c r="P630" i="4" s="1"/>
  <c r="F152" i="4"/>
  <c r="P152" i="4" s="1" a="1"/>
  <c r="P152" i="4" s="1"/>
  <c r="F1070" i="4"/>
  <c r="P1070" i="4" s="1" a="1"/>
  <c r="P1070" i="4" s="1"/>
  <c r="F1351" i="4"/>
  <c r="P1351" i="4" s="1" a="1"/>
  <c r="P1351" i="4" s="1"/>
  <c r="F964" i="4"/>
  <c r="P964" i="4" s="1" a="1"/>
  <c r="P964" i="4" s="1"/>
  <c r="F1305" i="4"/>
  <c r="P1305" i="4" s="1" a="1"/>
  <c r="P1305" i="4" s="1"/>
  <c r="F1061" i="4"/>
  <c r="P1061" i="4" s="1" a="1"/>
  <c r="P1061" i="4" s="1"/>
  <c r="F623" i="4"/>
  <c r="P623" i="4" s="1" a="1"/>
  <c r="P623" i="4" s="1"/>
  <c r="F946" i="4"/>
  <c r="P946" i="4" s="1" a="1"/>
  <c r="P946" i="4" s="1"/>
  <c r="F581" i="4"/>
  <c r="P581" i="4" s="1" a="1"/>
  <c r="P581" i="4" s="1"/>
  <c r="F111" i="4"/>
  <c r="P111" i="4" s="1" a="1"/>
  <c r="P111" i="4" s="1"/>
  <c r="F1079" i="4"/>
  <c r="P1079" i="4" s="1" a="1"/>
  <c r="P1079" i="4" s="1"/>
  <c r="F1306" i="4"/>
  <c r="P1306" i="4" s="1" a="1"/>
  <c r="P1306" i="4" s="1"/>
  <c r="F279" i="4"/>
  <c r="P279" i="4" s="1" a="1"/>
  <c r="P279" i="4" s="1"/>
  <c r="F1150" i="4"/>
  <c r="P1150" i="4" s="1" a="1"/>
  <c r="P1150" i="4" s="1"/>
  <c r="F557" i="4"/>
  <c r="P557" i="4" s="1" a="1"/>
  <c r="P557" i="4" s="1"/>
  <c r="F1376" i="4"/>
  <c r="P1376" i="4" s="1" a="1"/>
  <c r="P1376" i="4" s="1"/>
  <c r="F1085" i="4"/>
  <c r="P1085" i="4" s="1" a="1"/>
  <c r="P1085" i="4" s="1"/>
  <c r="F164" i="4"/>
  <c r="P164" i="4" s="1" a="1"/>
  <c r="P164" i="4" s="1"/>
  <c r="F1087" i="4"/>
  <c r="P1087" i="4" s="1" a="1"/>
  <c r="P1087" i="4" s="1"/>
  <c r="F631" i="4"/>
  <c r="P631" i="4" s="1" a="1"/>
  <c r="P631" i="4" s="1"/>
  <c r="F848" i="4"/>
  <c r="P848" i="4" s="1" a="1"/>
  <c r="P848" i="4" s="1"/>
  <c r="F1352" i="4"/>
  <c r="P1352" i="4" s="1" a="1"/>
  <c r="P1352" i="4" s="1"/>
  <c r="F386" i="4"/>
  <c r="P386" i="4" s="1" a="1"/>
  <c r="P386" i="4" s="1"/>
  <c r="F94" i="4"/>
  <c r="P94" i="4" s="1" a="1"/>
  <c r="P94" i="4" s="1"/>
  <c r="F406" i="4"/>
  <c r="P406" i="4" s="1" a="1"/>
  <c r="P406" i="4" s="1"/>
  <c r="F1378" i="4"/>
  <c r="P1378" i="4" s="1" a="1"/>
  <c r="P1378" i="4" s="1"/>
  <c r="F910" i="4"/>
  <c r="P910" i="4" s="1" a="1"/>
  <c r="P910" i="4" s="1"/>
  <c r="F174" i="4"/>
  <c r="P174" i="4" s="1" a="1"/>
  <c r="P174" i="4" s="1"/>
  <c r="F153" i="4"/>
  <c r="P153" i="4" s="1" a="1"/>
  <c r="P153" i="4" s="1"/>
  <c r="F280" i="4"/>
  <c r="P280" i="4" s="1" a="1"/>
  <c r="P280" i="4" s="1"/>
  <c r="F965" i="4"/>
  <c r="P965" i="4" s="1" a="1"/>
  <c r="P965" i="4" s="1"/>
  <c r="F314" i="4"/>
  <c r="P314" i="4" s="1" a="1"/>
  <c r="P314" i="4" s="1"/>
  <c r="F165" i="4"/>
  <c r="P165" i="4" s="1" a="1"/>
  <c r="P165" i="4" s="1"/>
  <c r="F62" i="4"/>
  <c r="P62" i="4" s="1" a="1"/>
  <c r="P62" i="4" s="1"/>
  <c r="F253" i="4"/>
  <c r="P253" i="4" s="1" a="1"/>
  <c r="P253" i="4" s="1"/>
  <c r="F731" i="4"/>
  <c r="P731" i="4" s="1" a="1"/>
  <c r="P731" i="4" s="1"/>
  <c r="F1243" i="4"/>
  <c r="P1243" i="4" s="1" a="1"/>
  <c r="P1243" i="4" s="1"/>
  <c r="F10" i="4"/>
  <c r="P10" i="4" s="1" a="1"/>
  <c r="P10" i="4" s="1"/>
  <c r="F1029" i="4"/>
  <c r="P1029" i="4" s="1" a="1"/>
  <c r="P1029" i="4" s="1"/>
  <c r="F1108" i="4"/>
  <c r="P1108" i="4" s="1" a="1"/>
  <c r="P1108" i="4" s="1"/>
  <c r="F377" i="4"/>
  <c r="P377" i="4" s="1" a="1"/>
  <c r="P377" i="4" s="1"/>
  <c r="F777" i="4"/>
  <c r="P777" i="4" s="1" a="1"/>
  <c r="P777" i="4" s="1"/>
  <c r="F1430" i="4"/>
  <c r="P1430" i="4" s="1" a="1"/>
  <c r="P1430" i="4" s="1"/>
  <c r="F1112" i="4"/>
  <c r="P1112" i="4" s="1" a="1"/>
  <c r="P1112" i="4" s="1"/>
  <c r="F1113" i="4"/>
  <c r="P1113" i="4" s="1" a="1"/>
  <c r="P1113" i="4" s="1"/>
  <c r="F1114" i="4"/>
  <c r="P1114" i="4" s="1" a="1"/>
  <c r="P1114" i="4" s="1"/>
  <c r="F732" i="4"/>
  <c r="P732" i="4" s="1" a="1"/>
  <c r="P732" i="4" s="1"/>
  <c r="F83" i="4"/>
  <c r="P83" i="4" s="1" a="1"/>
  <c r="P83" i="4" s="1"/>
  <c r="F1047" i="4"/>
  <c r="P1047" i="4" s="1" a="1"/>
  <c r="P1047" i="4" s="1"/>
  <c r="F659" i="4"/>
  <c r="P659" i="4" s="1" a="1"/>
  <c r="P659" i="4" s="1"/>
  <c r="F978" i="4"/>
  <c r="P978" i="4" s="1" a="1"/>
  <c r="P978" i="4" s="1"/>
  <c r="F76" i="4"/>
  <c r="P76" i="4" s="1" a="1"/>
  <c r="P76" i="4" s="1"/>
  <c r="F704" i="4"/>
  <c r="P704" i="4" s="1" a="1"/>
  <c r="P704" i="4" s="1"/>
  <c r="F569" i="4"/>
  <c r="P569" i="4" s="1" a="1"/>
  <c r="P569" i="4" s="1"/>
  <c r="F32" i="4"/>
  <c r="P32" i="4" s="1" a="1"/>
  <c r="P32" i="4" s="1"/>
  <c r="F201" i="4"/>
  <c r="P201" i="4" s="1" a="1"/>
  <c r="P201" i="4" s="1"/>
  <c r="F43" i="4"/>
  <c r="P43" i="4" s="1" a="1"/>
  <c r="P43" i="4" s="1"/>
  <c r="F490" i="4"/>
  <c r="P490" i="4" s="1" a="1"/>
  <c r="P490" i="4" s="1"/>
  <c r="F1190" i="4"/>
  <c r="P1190" i="4" s="1" a="1"/>
  <c r="P1190" i="4" s="1"/>
  <c r="F262" i="4"/>
  <c r="P262" i="4" s="1" a="1"/>
  <c r="P262" i="4" s="1"/>
  <c r="F57" i="4"/>
  <c r="P57" i="4" s="1" a="1"/>
  <c r="P57" i="4" s="1"/>
  <c r="F632" i="4"/>
  <c r="P632" i="4" s="1" a="1"/>
  <c r="P632" i="4" s="1"/>
  <c r="F1244" i="4"/>
  <c r="P1244" i="4" s="1" a="1"/>
  <c r="P1244" i="4" s="1"/>
  <c r="F1462" i="4"/>
  <c r="P1462" i="4" s="1" a="1"/>
  <c r="P1462" i="4" s="1"/>
  <c r="F1177" i="4"/>
  <c r="P1177" i="4" s="1" a="1"/>
  <c r="P1177" i="4" s="1"/>
  <c r="F361" i="4"/>
  <c r="P361" i="4" s="1" a="1"/>
  <c r="P361" i="4" s="1"/>
  <c r="F18" i="4"/>
  <c r="P18" i="4" s="1" a="1"/>
  <c r="P18" i="4" s="1"/>
  <c r="F643" i="4"/>
  <c r="P643" i="4" s="1" a="1"/>
  <c r="P643" i="4" s="1"/>
  <c r="F902" i="4"/>
  <c r="P902" i="4" s="1" a="1"/>
  <c r="P902" i="4" s="1"/>
  <c r="F1138" i="4"/>
  <c r="P1138" i="4" s="1" a="1"/>
  <c r="P1138" i="4" s="1"/>
  <c r="F1386" i="4"/>
  <c r="P1386" i="4" s="1" a="1"/>
  <c r="P1386" i="4" s="1"/>
  <c r="F281" i="4"/>
  <c r="P281" i="4" s="1" a="1"/>
  <c r="P281" i="4" s="1"/>
  <c r="F814" i="4"/>
  <c r="P814" i="4" s="1" a="1"/>
  <c r="P814" i="4" s="1"/>
  <c r="F282" i="4"/>
  <c r="P282" i="4" s="1" a="1"/>
  <c r="P282" i="4" s="1"/>
  <c r="F328" i="4"/>
  <c r="P328" i="4" s="1" a="1"/>
  <c r="P328" i="4" s="1"/>
  <c r="F468" i="4"/>
  <c r="P468" i="4" s="1" a="1"/>
  <c r="P468" i="4" s="1"/>
  <c r="F903" i="4"/>
  <c r="P903" i="4" s="1" a="1"/>
  <c r="P903" i="4" s="1"/>
  <c r="F1289" i="4"/>
  <c r="P1289" i="4" s="1" a="1"/>
  <c r="P1289" i="4" s="1"/>
  <c r="F705" i="4"/>
  <c r="P705" i="4" s="1" a="1"/>
  <c r="P705" i="4" s="1"/>
  <c r="F1118" i="4"/>
  <c r="P1118" i="4" s="1" a="1"/>
  <c r="P1118" i="4" s="1"/>
  <c r="F77" i="4"/>
  <c r="P77" i="4" s="1" a="1"/>
  <c r="P77" i="4" s="1"/>
  <c r="F154" i="4"/>
  <c r="P154" i="4" s="1" a="1"/>
  <c r="P154" i="4" s="1"/>
  <c r="F582" i="4"/>
  <c r="P582" i="4" s="1" a="1"/>
  <c r="P582" i="4" s="1"/>
  <c r="F388" i="4"/>
  <c r="P388" i="4" s="1" a="1"/>
  <c r="P388" i="4" s="1"/>
  <c r="F1048" i="4"/>
  <c r="P1048" i="4" s="1" a="1"/>
  <c r="P1048" i="4" s="1"/>
  <c r="F624" i="4"/>
  <c r="P624" i="4" s="1" a="1"/>
  <c r="P624" i="4" s="1"/>
  <c r="F1155" i="4"/>
  <c r="P1155" i="4" s="1" a="1"/>
  <c r="P1155" i="4" s="1"/>
  <c r="F558" i="4"/>
  <c r="P558" i="4" s="1" a="1"/>
  <c r="P558" i="4" s="1"/>
  <c r="F518" i="4"/>
  <c r="P518" i="4" s="1" a="1"/>
  <c r="P518" i="4" s="1"/>
  <c r="F1327" i="4"/>
  <c r="P1327" i="4" s="1" a="1"/>
  <c r="P1327" i="4" s="1"/>
  <c r="F1030" i="4"/>
  <c r="P1030" i="4" s="1" a="1"/>
  <c r="P1030" i="4" s="1"/>
  <c r="F769" i="4"/>
  <c r="P769" i="4" s="1" a="1"/>
  <c r="P769" i="4" s="1"/>
  <c r="F1191" i="4"/>
  <c r="P1191" i="4" s="1" a="1"/>
  <c r="P1191" i="4" s="1"/>
  <c r="F541" i="4"/>
  <c r="P541" i="4" s="1" a="1"/>
  <c r="P541" i="4" s="1"/>
  <c r="F742" i="4"/>
  <c r="P742" i="4" s="1" a="1"/>
  <c r="P742" i="4" s="1"/>
  <c r="F1164" i="4"/>
  <c r="P1164" i="4" s="1" a="1"/>
  <c r="P1164" i="4" s="1"/>
  <c r="F451" i="4"/>
  <c r="P451" i="4" s="1" a="1"/>
  <c r="P451" i="4" s="1"/>
  <c r="F429" i="4"/>
  <c r="P429" i="4" s="1" a="1"/>
  <c r="P429" i="4" s="1"/>
  <c r="F1163" i="4"/>
  <c r="P1163" i="4" s="1" a="1"/>
  <c r="P1163" i="4" s="1"/>
  <c r="F1329" i="4"/>
  <c r="P1329" i="4" s="1" a="1"/>
  <c r="P1329" i="4" s="1"/>
  <c r="F1169" i="4"/>
  <c r="P1169" i="4" s="1" a="1"/>
  <c r="P1169" i="4" s="1"/>
  <c r="F1431" i="4"/>
  <c r="P1431" i="4" s="1" a="1"/>
  <c r="P1431" i="4" s="1"/>
  <c r="F931" i="4"/>
  <c r="P931" i="4" s="1" a="1"/>
  <c r="P931" i="4" s="1"/>
  <c r="F430" i="4"/>
  <c r="P430" i="4" s="1" a="1"/>
  <c r="P430" i="4" s="1"/>
  <c r="F1173" i="4"/>
  <c r="P1173" i="4" s="1" a="1"/>
  <c r="P1173" i="4" s="1"/>
  <c r="F491" i="4"/>
  <c r="P491" i="4" s="1" a="1"/>
  <c r="P491" i="4" s="1"/>
  <c r="F979" i="4"/>
  <c r="P979" i="4" s="1" a="1"/>
  <c r="P979" i="4" s="1"/>
  <c r="F362" i="4"/>
  <c r="P362" i="4" s="1" a="1"/>
  <c r="P362" i="4" s="1"/>
  <c r="F33" i="4"/>
  <c r="P33" i="4" s="1" a="1"/>
  <c r="P33" i="4" s="1"/>
  <c r="F34" i="4"/>
  <c r="P34" i="4" s="1" a="1"/>
  <c r="P34" i="4" s="1"/>
  <c r="F743" i="4"/>
  <c r="P743" i="4" s="1" a="1"/>
  <c r="P743" i="4" s="1"/>
  <c r="F492" i="4"/>
  <c r="P492" i="4" s="1" a="1"/>
  <c r="P492" i="4" s="1"/>
  <c r="F254" i="4"/>
  <c r="P254" i="4" s="1" a="1"/>
  <c r="P254" i="4" s="1"/>
  <c r="F829" i="4"/>
  <c r="P829" i="4" s="1" a="1"/>
  <c r="P829" i="4" s="1"/>
  <c r="F95" i="4"/>
  <c r="P95" i="4" s="1" a="1"/>
  <c r="P95" i="4" s="1"/>
  <c r="F493" i="4"/>
  <c r="P493" i="4" s="1" a="1"/>
  <c r="P493" i="4" s="1"/>
  <c r="F519" i="4"/>
  <c r="P519" i="4" s="1" a="1"/>
  <c r="P519" i="4" s="1"/>
  <c r="F350" i="4"/>
  <c r="P350" i="4" s="1" a="1"/>
  <c r="P350" i="4" s="1"/>
  <c r="F892" i="4"/>
  <c r="P892" i="4" s="1" a="1"/>
  <c r="P892" i="4" s="1"/>
  <c r="F1188" i="4"/>
  <c r="P1188" i="4" s="1" a="1"/>
  <c r="P1188" i="4" s="1"/>
  <c r="F571" i="4"/>
  <c r="P571" i="4" s="1" a="1"/>
  <c r="P571" i="4" s="1"/>
  <c r="F96" i="4"/>
  <c r="P96" i="4" s="1" a="1"/>
  <c r="P96" i="4" s="1"/>
  <c r="F232" i="4"/>
  <c r="P232" i="4" s="1" a="1"/>
  <c r="P232" i="4" s="1"/>
  <c r="F1049" i="4"/>
  <c r="P1049" i="4" s="1" a="1"/>
  <c r="P1049" i="4" s="1"/>
  <c r="F118" i="4"/>
  <c r="P118" i="4" s="1" a="1"/>
  <c r="P118" i="4" s="1"/>
  <c r="F1084" i="4"/>
  <c r="P1084" i="4" s="1" a="1"/>
  <c r="P1084" i="4" s="1"/>
  <c r="F283" i="4"/>
  <c r="P283" i="4" s="1" a="1"/>
  <c r="P283" i="4" s="1"/>
  <c r="F209" i="4"/>
  <c r="P209" i="4" s="1" a="1"/>
  <c r="P209" i="4" s="1"/>
  <c r="F1119" i="4"/>
  <c r="P1119" i="4" s="1" a="1"/>
  <c r="P1119" i="4" s="1"/>
  <c r="F431" i="4"/>
  <c r="P431" i="4" s="1" a="1"/>
  <c r="P431" i="4" s="1"/>
  <c r="F1464" i="4"/>
  <c r="P1464" i="4" s="1" a="1"/>
  <c r="P1464" i="4" s="1"/>
  <c r="F853" i="4"/>
  <c r="P853" i="4" s="1" a="1"/>
  <c r="P853" i="4" s="1"/>
  <c r="F301" i="4"/>
  <c r="P301" i="4" s="1" a="1"/>
  <c r="P301" i="4" s="1"/>
  <c r="F611" i="4"/>
  <c r="P611" i="4" s="1" a="1"/>
  <c r="P611" i="4" s="1"/>
  <c r="F1203" i="4"/>
  <c r="P1203" i="4" s="1" a="1"/>
  <c r="P1203" i="4" s="1"/>
  <c r="F112" i="4"/>
  <c r="P112" i="4" s="1" a="1"/>
  <c r="P112" i="4" s="1"/>
  <c r="F966" i="4"/>
  <c r="P966" i="4" s="1" a="1"/>
  <c r="P966" i="4" s="1"/>
  <c r="F1206" i="4"/>
  <c r="P1206" i="4" s="1" a="1"/>
  <c r="P1206" i="4" s="1"/>
  <c r="F1207" i="4"/>
  <c r="P1207" i="4" s="1" a="1"/>
  <c r="P1207" i="4" s="1"/>
  <c r="F706" i="4"/>
  <c r="P706" i="4" s="1" a="1"/>
  <c r="P706" i="4" s="1"/>
  <c r="F992" i="4"/>
  <c r="P992" i="4" s="1" a="1"/>
  <c r="P992" i="4" s="1"/>
  <c r="F744" i="4"/>
  <c r="P744" i="4" s="1" a="1"/>
  <c r="P744" i="4" s="1"/>
  <c r="F1063" i="4"/>
  <c r="P1063" i="4" s="1" a="1"/>
  <c r="P1063" i="4" s="1"/>
  <c r="F707" i="4"/>
  <c r="P707" i="4" s="1" a="1"/>
  <c r="P707" i="4" s="1"/>
  <c r="F1366" i="4"/>
  <c r="P1366" i="4" s="1" a="1"/>
  <c r="P1366" i="4" s="1"/>
  <c r="F1307" i="4"/>
  <c r="P1307" i="4" s="1" a="1"/>
  <c r="P1307" i="4" s="1"/>
  <c r="F1215" i="4"/>
  <c r="P1215" i="4" s="1" a="1"/>
  <c r="P1215" i="4" s="1"/>
  <c r="F190" i="4"/>
  <c r="P190" i="4" s="1" a="1"/>
  <c r="P190" i="4" s="1"/>
  <c r="F1387" i="4"/>
  <c r="P1387" i="4" s="1" a="1"/>
  <c r="P1387" i="4" s="1"/>
  <c r="F119" i="4"/>
  <c r="P119" i="4" s="1" a="1"/>
  <c r="P119" i="4" s="1"/>
  <c r="F1140" i="4"/>
  <c r="P1140" i="4" s="1" a="1"/>
  <c r="P1140" i="4" s="1"/>
  <c r="F1165" i="4"/>
  <c r="P1165" i="4" s="1" a="1"/>
  <c r="P1165" i="4" s="1"/>
  <c r="F97" i="4"/>
  <c r="P97" i="4" s="1" a="1"/>
  <c r="P97" i="4" s="1"/>
  <c r="F127" i="4"/>
  <c r="P127" i="4" s="1" a="1"/>
  <c r="P127" i="4" s="1"/>
  <c r="F839" i="4"/>
  <c r="P839" i="4" s="1" a="1"/>
  <c r="P839" i="4" s="1"/>
  <c r="F1224" i="4"/>
  <c r="P1224" i="4" s="1" a="1"/>
  <c r="P1224" i="4" s="1"/>
  <c r="F1225" i="4"/>
  <c r="P1225" i="4" s="1" a="1"/>
  <c r="P1225" i="4" s="1"/>
  <c r="F315" i="4"/>
  <c r="P315" i="4" s="1" a="1"/>
  <c r="P315" i="4" s="1"/>
  <c r="F596" i="4"/>
  <c r="P596" i="4" s="1" a="1"/>
  <c r="P596" i="4" s="1"/>
  <c r="F745" i="4"/>
  <c r="P745" i="4" s="1" a="1"/>
  <c r="P745" i="4" s="1"/>
  <c r="F583" i="4"/>
  <c r="P583" i="4" s="1" a="1"/>
  <c r="P583" i="4" s="1"/>
  <c r="F747" i="4"/>
  <c r="P747" i="4" s="1" a="1"/>
  <c r="P747" i="4" s="1"/>
  <c r="F687" i="4"/>
  <c r="P687" i="4" s="1" a="1"/>
  <c r="P687" i="4" s="1"/>
  <c r="F191" i="4"/>
  <c r="P191" i="4" s="1" a="1"/>
  <c r="P191" i="4" s="1"/>
  <c r="F494" i="4"/>
  <c r="P494" i="4" s="1" a="1"/>
  <c r="P494" i="4" s="1"/>
  <c r="F263" i="4"/>
  <c r="P263" i="4" s="1" a="1"/>
  <c r="P263" i="4" s="1"/>
  <c r="F1368" i="4"/>
  <c r="P1368" i="4" s="1" a="1"/>
  <c r="P1368" i="4" s="1"/>
  <c r="F155" i="4"/>
  <c r="P155" i="4" s="1" a="1"/>
  <c r="P155" i="4" s="1"/>
  <c r="F780" i="4"/>
  <c r="P780" i="4" s="1" a="1"/>
  <c r="P780" i="4" s="1"/>
  <c r="F1238" i="4"/>
  <c r="P1238" i="4" s="1" a="1"/>
  <c r="P1238" i="4" s="1"/>
  <c r="F1239" i="4"/>
  <c r="P1239" i="4" s="1" a="1"/>
  <c r="P1239" i="4" s="1"/>
  <c r="F967" i="4"/>
  <c r="P967" i="4" s="1" a="1"/>
  <c r="P967" i="4" s="1"/>
  <c r="F98" i="4"/>
  <c r="P98" i="4" s="1" a="1"/>
  <c r="P98" i="4" s="1"/>
  <c r="F302" i="4"/>
  <c r="P302" i="4" s="1" a="1"/>
  <c r="P302" i="4" s="1"/>
  <c r="F572" i="4"/>
  <c r="P572" i="4" s="1" a="1"/>
  <c r="P572" i="4" s="1"/>
  <c r="F1330" i="4"/>
  <c r="P1330" i="4" s="1" a="1"/>
  <c r="P1330" i="4" s="1"/>
  <c r="F264" i="4"/>
  <c r="P264" i="4" s="1" a="1"/>
  <c r="P264" i="4" s="1"/>
  <c r="F879" i="4"/>
  <c r="P879" i="4" s="1" a="1"/>
  <c r="P879" i="4" s="1"/>
  <c r="F469" i="4"/>
  <c r="P469" i="4" s="1" a="1"/>
  <c r="P469" i="4" s="1"/>
  <c r="F1248" i="4"/>
  <c r="P1248" i="4" s="1" a="1"/>
  <c r="P1248" i="4" s="1"/>
  <c r="F1101" i="4"/>
  <c r="P1101" i="4" s="1" a="1"/>
  <c r="P1101" i="4" s="1"/>
  <c r="F893" i="4"/>
  <c r="P893" i="4" s="1" a="1"/>
  <c r="P893" i="4" s="1"/>
  <c r="F1251" i="4"/>
  <c r="P1251" i="4" s="1" a="1"/>
  <c r="P1251" i="4" s="1"/>
  <c r="F1015" i="4"/>
  <c r="P1015" i="4" s="1" a="1"/>
  <c r="P1015" i="4" s="1"/>
  <c r="F192" i="4"/>
  <c r="P192" i="4" s="1" a="1"/>
  <c r="P192" i="4" s="1"/>
  <c r="F139" i="4"/>
  <c r="P139" i="4" s="1" a="1"/>
  <c r="P139" i="4" s="1"/>
  <c r="F1353" i="4"/>
  <c r="P1353" i="4" s="1" a="1"/>
  <c r="P1353" i="4" s="1"/>
  <c r="F932" i="4"/>
  <c r="P932" i="4" s="1" a="1"/>
  <c r="P932" i="4" s="1"/>
  <c r="F1257" i="4"/>
  <c r="P1257" i="4" s="1" a="1"/>
  <c r="P1257" i="4" s="1"/>
  <c r="F1086" i="4"/>
  <c r="P1086" i="4" s="1" a="1"/>
  <c r="P1086" i="4" s="1"/>
  <c r="F1259" i="4"/>
  <c r="P1259" i="4" s="1" a="1"/>
  <c r="P1259" i="4" s="1"/>
  <c r="F291" i="4"/>
  <c r="P291" i="4" s="1" a="1"/>
  <c r="P291" i="4" s="1"/>
  <c r="F470" i="4"/>
  <c r="P470" i="4" s="1" a="1"/>
  <c r="P470" i="4" s="1"/>
  <c r="F378" i="4"/>
  <c r="P378" i="4" s="1" a="1"/>
  <c r="P378" i="4" s="1"/>
  <c r="F1361" i="4"/>
  <c r="P1361" i="4" s="1" a="1"/>
  <c r="P1361" i="4" s="1"/>
  <c r="F1264" i="4"/>
  <c r="P1264" i="4" s="1" a="1"/>
  <c r="P1264" i="4" s="1"/>
  <c r="F472" i="4"/>
  <c r="P472" i="4" s="1" a="1"/>
  <c r="P472" i="4" s="1"/>
  <c r="F660" i="4"/>
  <c r="P660" i="4" s="1" a="1"/>
  <c r="P660" i="4" s="1"/>
  <c r="F1192" i="4"/>
  <c r="P1192" i="4" s="1" a="1"/>
  <c r="P1192" i="4" s="1"/>
  <c r="F1312" i="4"/>
  <c r="P1312" i="4" s="1" a="1"/>
  <c r="P1312" i="4" s="1"/>
  <c r="F303" i="4"/>
  <c r="P303" i="4" s="1" a="1"/>
  <c r="P303" i="4" s="1"/>
  <c r="F904" i="4"/>
  <c r="P904" i="4" s="1" a="1"/>
  <c r="P904" i="4" s="1"/>
  <c r="F63" i="4"/>
  <c r="P63" i="4" s="1" a="1"/>
  <c r="P63" i="4" s="1"/>
  <c r="F854" i="4"/>
  <c r="P854" i="4" s="1" a="1"/>
  <c r="P854" i="4" s="1"/>
  <c r="F1273" i="4"/>
  <c r="P1273" i="4" s="1" a="1"/>
  <c r="P1273" i="4" s="1"/>
  <c r="F1308" i="4"/>
  <c r="P1308" i="4" s="1" a="1"/>
  <c r="P1308" i="4" s="1"/>
  <c r="F1275" i="4"/>
  <c r="P1275" i="4" s="1" a="1"/>
  <c r="P1275" i="4" s="1"/>
  <c r="F1313" i="4"/>
  <c r="P1313" i="4" s="1" a="1"/>
  <c r="P1313" i="4" s="1"/>
  <c r="F1102" i="4"/>
  <c r="P1102" i="4" s="1" a="1"/>
  <c r="P1102" i="4" s="1"/>
  <c r="F330" i="4"/>
  <c r="P330" i="4" s="1" a="1"/>
  <c r="P330" i="4" s="1"/>
  <c r="F45" i="4"/>
  <c r="P45" i="4" s="1" a="1"/>
  <c r="P45" i="4" s="1"/>
  <c r="F1193" i="4"/>
  <c r="P1193" i="4" s="1" a="1"/>
  <c r="P1193" i="4" s="1"/>
  <c r="F1281" i="4"/>
  <c r="P1281" i="4" s="1" a="1"/>
  <c r="P1281" i="4" s="1"/>
  <c r="F114" i="4"/>
  <c r="P114" i="4" s="1" a="1"/>
  <c r="P114" i="4" s="1"/>
  <c r="F1283" i="4"/>
  <c r="P1283" i="4" s="1" a="1"/>
  <c r="P1283" i="4" s="1"/>
  <c r="F880" i="4"/>
  <c r="P880" i="4" s="1" a="1"/>
  <c r="P880" i="4" s="1"/>
  <c r="F832" i="4"/>
  <c r="P832" i="4" s="1" a="1"/>
  <c r="P832" i="4" s="1"/>
  <c r="F1354" i="4"/>
  <c r="P1354" i="4" s="1" a="1"/>
  <c r="P1354" i="4" s="1"/>
  <c r="F865" i="4"/>
  <c r="P865" i="4" s="1" a="1"/>
  <c r="P865" i="4" s="1"/>
  <c r="F503" i="4"/>
  <c r="P503" i="4" s="1" a="1"/>
  <c r="P503" i="4" s="1"/>
  <c r="F1316" i="4"/>
  <c r="P1316" i="4" s="1" a="1"/>
  <c r="P1316" i="4" s="1"/>
  <c r="F709" i="4"/>
  <c r="P709" i="4" s="1" a="1"/>
  <c r="P709" i="4" s="1"/>
  <c r="F193" i="4"/>
  <c r="P193" i="4" s="1" a="1"/>
  <c r="P193" i="4" s="1"/>
  <c r="F1292" i="4"/>
  <c r="P1292" i="4" s="1" a="1"/>
  <c r="P1292" i="4" s="1"/>
  <c r="F1293" i="4"/>
  <c r="P1293" i="4" s="1" a="1"/>
  <c r="P1293" i="4" s="1"/>
  <c r="F1194" i="4"/>
  <c r="P1194" i="4" s="1" a="1"/>
  <c r="P1194" i="4" s="1"/>
  <c r="F1103" i="4"/>
  <c r="P1103" i="4" s="1" a="1"/>
  <c r="P1103" i="4" s="1"/>
  <c r="F243" i="4"/>
  <c r="P243" i="4" s="1" a="1"/>
  <c r="P243" i="4" s="1"/>
  <c r="F1003" i="4"/>
  <c r="P1003" i="4" s="1" a="1"/>
  <c r="P1003" i="4" s="1"/>
  <c r="F1270" i="4"/>
  <c r="P1270" i="4" s="1" a="1"/>
  <c r="P1270" i="4" s="1"/>
  <c r="F1299" i="4"/>
  <c r="P1299" i="4" s="1" a="1"/>
  <c r="P1299" i="4" s="1"/>
  <c r="F1300" i="4"/>
  <c r="P1300" i="4" s="1" a="1"/>
  <c r="P1300" i="4" s="1"/>
  <c r="F849" i="4"/>
  <c r="P849" i="4" s="1" a="1"/>
  <c r="P849" i="4" s="1"/>
  <c r="F11" i="4"/>
  <c r="P11" i="4" s="1" a="1"/>
  <c r="P11" i="4" s="1"/>
  <c r="F969" i="4"/>
  <c r="P969" i="4" s="1" a="1"/>
  <c r="P969" i="4" s="1"/>
  <c r="F105" i="4"/>
  <c r="P105" i="4" s="1" a="1"/>
  <c r="P105" i="4" s="1"/>
  <c r="F1317" i="4"/>
  <c r="P1317" i="4" s="1" a="1"/>
  <c r="P1317" i="4" s="1"/>
  <c r="F1151" i="4"/>
  <c r="P1151" i="4" s="1" a="1"/>
  <c r="P1151" i="4" s="1"/>
  <c r="F316" i="4"/>
  <c r="P316" i="4" s="1" a="1"/>
  <c r="P316" i="4" s="1"/>
  <c r="F841" i="4"/>
  <c r="P841" i="4" s="1" a="1"/>
  <c r="P841" i="4" s="1"/>
  <c r="F735" i="4"/>
  <c r="P735" i="4" s="1" a="1"/>
  <c r="P735" i="4" s="1"/>
  <c r="F1195" i="4"/>
  <c r="P1195" i="4" s="1" a="1"/>
  <c r="P1195" i="4" s="1"/>
  <c r="F797" i="4"/>
  <c r="P797" i="4" s="1" a="1"/>
  <c r="P797" i="4" s="1"/>
  <c r="F1004" i="4"/>
  <c r="P1004" i="4" s="1" a="1"/>
  <c r="P1004" i="4" s="1"/>
  <c r="F612" i="4"/>
  <c r="P612" i="4" s="1" a="1"/>
  <c r="P612" i="4" s="1"/>
  <c r="F1314" i="4"/>
  <c r="P1314" i="4" s="1" a="1"/>
  <c r="P1314" i="4" s="1"/>
  <c r="F1315" i="4"/>
  <c r="P1315" i="4" s="1" a="1"/>
  <c r="P1315" i="4" s="1"/>
  <c r="F644" i="4"/>
  <c r="P644" i="4" s="1" a="1"/>
  <c r="P644" i="4" s="1"/>
  <c r="F1396" i="4"/>
  <c r="P1396" i="4" s="1" a="1"/>
  <c r="P1396" i="4" s="1"/>
  <c r="F559" i="4"/>
  <c r="P559" i="4" s="1" a="1"/>
  <c r="P559" i="4" s="1"/>
  <c r="F473" i="4"/>
  <c r="P473" i="4" s="1" a="1"/>
  <c r="P473" i="4" s="1"/>
  <c r="F1120" i="4"/>
  <c r="P1120" i="4" s="1" a="1"/>
  <c r="P1120" i="4" s="1"/>
  <c r="F432" i="4"/>
  <c r="P432" i="4" s="1" a="1"/>
  <c r="P432" i="4" s="1"/>
  <c r="F58" i="4"/>
  <c r="P58" i="4" s="1" a="1"/>
  <c r="P58" i="4" s="1"/>
  <c r="F584" i="4"/>
  <c r="P584" i="4" s="1" a="1"/>
  <c r="P584" i="4" s="1"/>
  <c r="F19" i="4"/>
  <c r="P19" i="4" s="1" a="1"/>
  <c r="P19" i="4" s="1"/>
  <c r="F911" i="4"/>
  <c r="P911" i="4" s="1" a="1"/>
  <c r="P911" i="4" s="1"/>
  <c r="F1178" i="4"/>
  <c r="P1178" i="4" s="1" a="1"/>
  <c r="P1178" i="4" s="1"/>
  <c r="F433" i="4"/>
  <c r="P433" i="4" s="1" a="1"/>
  <c r="P433" i="4" s="1"/>
  <c r="F1328" i="4"/>
  <c r="P1328" i="4" s="1" a="1"/>
  <c r="P1328" i="4" s="1"/>
  <c r="F980" i="4"/>
  <c r="P980" i="4" s="1" a="1"/>
  <c r="P980" i="4" s="1"/>
  <c r="F1121" i="4"/>
  <c r="P1121" i="4" s="1" a="1"/>
  <c r="P1121" i="4" s="1"/>
  <c r="F1255" i="4"/>
  <c r="P1255" i="4" s="1" a="1"/>
  <c r="P1255" i="4" s="1"/>
  <c r="F633" i="4"/>
  <c r="P633" i="4" s="1" a="1"/>
  <c r="P633" i="4" s="1"/>
  <c r="F757" i="4"/>
  <c r="P757" i="4" s="1" a="1"/>
  <c r="P757" i="4" s="1"/>
  <c r="F1334" i="4"/>
  <c r="P1334" i="4" s="1" a="1"/>
  <c r="P1334" i="4" s="1"/>
  <c r="F1335" i="4"/>
  <c r="P1335" i="4" s="1" a="1"/>
  <c r="P1335" i="4" s="1"/>
  <c r="F1196" i="4"/>
  <c r="P1196" i="4" s="1" a="1"/>
  <c r="P1196" i="4" s="1"/>
  <c r="F1469" i="4"/>
  <c r="P1469" i="4" s="1" a="1"/>
  <c r="P1469" i="4" s="1"/>
  <c r="F64" i="4"/>
  <c r="P64" i="4" s="1" a="1"/>
  <c r="P64" i="4" s="1"/>
  <c r="F1256" i="4"/>
  <c r="P1256" i="4" s="1" a="1"/>
  <c r="P1256" i="4" s="1"/>
  <c r="F1340" i="4"/>
  <c r="P1340" i="4" s="1" a="1"/>
  <c r="P1340" i="4" s="1"/>
  <c r="F1341" i="4"/>
  <c r="P1341" i="4" s="1" a="1"/>
  <c r="P1341" i="4" s="1"/>
  <c r="F1213" i="4"/>
  <c r="P1213" i="4" s="1" a="1"/>
  <c r="P1213" i="4" s="1"/>
  <c r="F78" i="4"/>
  <c r="P78" i="4" s="1" a="1"/>
  <c r="P78" i="4" s="1"/>
  <c r="F947" i="4"/>
  <c r="P947" i="4" s="1" a="1"/>
  <c r="P947" i="4" s="1"/>
  <c r="F389" i="4"/>
  <c r="P389" i="4" s="1" a="1"/>
  <c r="P389" i="4" s="1"/>
  <c r="F1258" i="4"/>
  <c r="P1258" i="4" s="1" a="1"/>
  <c r="P1258" i="4" s="1"/>
  <c r="F1470" i="4"/>
  <c r="P1470" i="4" s="1" a="1"/>
  <c r="P1470" i="4" s="1"/>
  <c r="F1245" i="4"/>
  <c r="P1245" i="4" s="1" a="1"/>
  <c r="P1245" i="4" s="1"/>
  <c r="F504" i="4"/>
  <c r="P504" i="4" s="1" a="1"/>
  <c r="P504" i="4" s="1"/>
  <c r="F867" i="4"/>
  <c r="P867" i="4" s="1" a="1"/>
  <c r="P867" i="4" s="1"/>
  <c r="F434" i="4"/>
  <c r="P434" i="4" s="1" a="1"/>
  <c r="P434" i="4" s="1"/>
  <c r="F1260" i="4"/>
  <c r="P1260" i="4" s="1" a="1"/>
  <c r="P1260" i="4" s="1"/>
  <c r="F970" i="4"/>
  <c r="P970" i="4" s="1" a="1"/>
  <c r="P970" i="4" s="1"/>
  <c r="F710" i="4"/>
  <c r="P710" i="4" s="1" a="1"/>
  <c r="P710" i="4" s="1"/>
  <c r="F1355" i="4"/>
  <c r="P1355" i="4" s="1" a="1"/>
  <c r="P1355" i="4" s="1"/>
  <c r="F1356" i="4"/>
  <c r="P1356" i="4" s="1" a="1"/>
  <c r="P1356" i="4" s="1"/>
  <c r="F344" i="4"/>
  <c r="P344" i="4" s="1" a="1"/>
  <c r="P344" i="4" s="1"/>
  <c r="F1412" i="4"/>
  <c r="P1412" i="4" s="1" a="1"/>
  <c r="P1412" i="4" s="1"/>
  <c r="F1388" i="4"/>
  <c r="P1388" i="4" s="1" a="1"/>
  <c r="P1388" i="4" s="1"/>
  <c r="F1331" i="4"/>
  <c r="P1331" i="4" s="1" a="1"/>
  <c r="P1331" i="4" s="1"/>
  <c r="F317" i="4"/>
  <c r="P317" i="4" s="1" a="1"/>
  <c r="P317" i="4" s="1"/>
  <c r="F645" i="4"/>
  <c r="P645" i="4" s="1" a="1"/>
  <c r="P645" i="4" s="1"/>
  <c r="F736" i="4"/>
  <c r="P736" i="4" s="1" a="1"/>
  <c r="P736" i="4" s="1"/>
  <c r="F345" i="4"/>
  <c r="P345" i="4" s="1" a="1"/>
  <c r="P345" i="4" s="1"/>
  <c r="F981" i="4"/>
  <c r="P981" i="4" s="1" a="1"/>
  <c r="P981" i="4" s="1"/>
  <c r="F1471" i="4"/>
  <c r="P1471" i="4" s="1" a="1"/>
  <c r="P1471" i="4" s="1"/>
  <c r="F1367" i="4"/>
  <c r="P1367" i="4" s="1" a="1"/>
  <c r="P1367" i="4" s="1"/>
  <c r="F816" i="4"/>
  <c r="P816" i="4" s="1" a="1"/>
  <c r="P816" i="4" s="1"/>
  <c r="F675" i="4"/>
  <c r="P675" i="4" s="1" a="1"/>
  <c r="P675" i="4" s="1"/>
  <c r="F304" i="4"/>
  <c r="P304" i="4" s="1" a="1"/>
  <c r="P304" i="4" s="1"/>
  <c r="F1371" i="4"/>
  <c r="P1371" i="4" s="1" a="1"/>
  <c r="P1371" i="4" s="1"/>
  <c r="F1451" i="4"/>
  <c r="P1451" i="4" s="1" a="1"/>
  <c r="P1451" i="4" s="1"/>
  <c r="F156" i="4"/>
  <c r="P156" i="4" s="1" a="1"/>
  <c r="P156" i="4" s="1"/>
  <c r="F305" i="4"/>
  <c r="P305" i="4" s="1" a="1"/>
  <c r="P305" i="4" s="1"/>
  <c r="F46" i="4"/>
  <c r="P46" i="4" s="1" a="1"/>
  <c r="P46" i="4" s="1"/>
  <c r="F1399" i="4"/>
  <c r="P1399" i="4" s="1" a="1"/>
  <c r="P1399" i="4" s="1"/>
  <c r="F1377" i="4"/>
  <c r="P1377" i="4" s="1" a="1"/>
  <c r="P1377" i="4" s="1"/>
  <c r="F37" i="4"/>
  <c r="P37" i="4" s="1" a="1"/>
  <c r="P37" i="4" s="1"/>
  <c r="F817" i="4"/>
  <c r="P817" i="4" s="1" a="1"/>
  <c r="P817" i="4" s="1"/>
  <c r="F20" i="4"/>
  <c r="P20" i="4" s="1" a="1"/>
  <c r="P20" i="4" s="1"/>
  <c r="F1381" i="4"/>
  <c r="P1381" i="4" s="1" a="1"/>
  <c r="P1381" i="4" s="1"/>
  <c r="F84" i="4"/>
  <c r="P84" i="4" s="1" a="1"/>
  <c r="P84" i="4" s="1"/>
  <c r="F1221" i="4"/>
  <c r="P1221" i="4" s="1" a="1"/>
  <c r="P1221" i="4" s="1"/>
  <c r="F598" i="4"/>
  <c r="P598" i="4" s="1" a="1"/>
  <c r="P598" i="4" s="1"/>
  <c r="F85" i="4"/>
  <c r="P85" i="4" s="1" a="1"/>
  <c r="P85" i="4" s="1"/>
  <c r="F912" i="4"/>
  <c r="P912" i="4" s="1" a="1"/>
  <c r="P912" i="4" s="1"/>
  <c r="F550" i="4"/>
  <c r="P550" i="4" s="1" a="1"/>
  <c r="P550" i="4" s="1"/>
  <c r="F1130" i="4"/>
  <c r="P1130" i="4" s="1" a="1"/>
  <c r="P1130" i="4" s="1"/>
  <c r="F115" i="4"/>
  <c r="P115" i="4" s="1" a="1"/>
  <c r="P115" i="4" s="1"/>
  <c r="F855" i="4"/>
  <c r="P855" i="4" s="1" a="1"/>
  <c r="P855" i="4" s="1"/>
  <c r="F87" i="4"/>
  <c r="P87" i="4" s="1" a="1"/>
  <c r="P87" i="4" s="1"/>
  <c r="F1392" i="4"/>
  <c r="P1392" i="4" s="1" a="1"/>
  <c r="P1392" i="4" s="1"/>
  <c r="F88" i="4"/>
  <c r="P88" i="4" s="1" a="1"/>
  <c r="P88" i="4" s="1"/>
  <c r="F971" i="4"/>
  <c r="P971" i="4" s="1" a="1"/>
  <c r="P971" i="4" s="1"/>
  <c r="F984" i="4"/>
  <c r="P984" i="4" s="1" a="1"/>
  <c r="P984" i="4" s="1"/>
  <c r="F89" i="4"/>
  <c r="P89" i="4" s="1" a="1"/>
  <c r="P89" i="4" s="1"/>
  <c r="F1397" i="4"/>
  <c r="P1397" i="4" s="1" a="1"/>
  <c r="P1397" i="4" s="1"/>
  <c r="F1398" i="4"/>
  <c r="P1398" i="4" s="1" a="1"/>
  <c r="P1398" i="4" s="1"/>
  <c r="F166" i="4"/>
  <c r="P166" i="4" s="1" a="1"/>
  <c r="P166" i="4" s="1"/>
  <c r="F676" i="4"/>
  <c r="P676" i="4" s="1" a="1"/>
  <c r="P676" i="4" s="1"/>
  <c r="F183" i="4"/>
  <c r="P183" i="4" s="1" a="1"/>
  <c r="P183" i="4" s="1"/>
  <c r="F21" i="4"/>
  <c r="P21" i="4" s="1" a="1"/>
  <c r="P21" i="4" s="1"/>
  <c r="F379" i="4"/>
  <c r="P379" i="4" s="1" a="1"/>
  <c r="P379" i="4" s="1"/>
  <c r="F474" i="4"/>
  <c r="P474" i="4" s="1" a="1"/>
  <c r="P474" i="4" s="1"/>
  <c r="F22" i="4"/>
  <c r="P22" i="4" s="1" a="1"/>
  <c r="P22" i="4" s="1"/>
  <c r="F551" i="4"/>
  <c r="P551" i="4" s="1" a="1"/>
  <c r="P551" i="4" s="1"/>
  <c r="F408" i="4"/>
  <c r="P408" i="4" s="1" a="1"/>
  <c r="P408" i="4" s="1"/>
  <c r="F1261" i="4"/>
  <c r="P1261" i="4" s="1" a="1"/>
  <c r="P1261" i="4" s="1"/>
  <c r="F985" i="4"/>
  <c r="P985" i="4" s="1" a="1"/>
  <c r="P985" i="4" s="1"/>
  <c r="F306" i="4"/>
  <c r="P306" i="4" s="1" a="1"/>
  <c r="P306" i="4" s="1"/>
  <c r="F531" i="4"/>
  <c r="P531" i="4" s="1" a="1"/>
  <c r="P531" i="4" s="1"/>
  <c r="F625" i="4"/>
  <c r="P625" i="4" s="1" a="1"/>
  <c r="P625" i="4" s="1"/>
  <c r="F116" i="4"/>
  <c r="P116" i="4" s="1" a="1"/>
  <c r="P116" i="4" s="1"/>
  <c r="F157" i="4"/>
  <c r="P157" i="4" s="1" a="1"/>
  <c r="P157" i="4" s="1"/>
  <c r="F599" i="4"/>
  <c r="P599" i="4" s="1" a="1"/>
  <c r="P599" i="4" s="1"/>
  <c r="F881" i="4"/>
  <c r="P881" i="4" s="1" a="1"/>
  <c r="P881" i="4" s="1"/>
  <c r="F1413" i="4"/>
  <c r="P1413" i="4" s="1" a="1"/>
  <c r="P1413" i="4" s="1"/>
  <c r="F307" i="4"/>
  <c r="P307" i="4" s="1" a="1"/>
  <c r="P307" i="4" s="1"/>
  <c r="F475" i="4"/>
  <c r="P475" i="4" s="1" a="1"/>
  <c r="P475" i="4" s="1"/>
  <c r="F585" i="4"/>
  <c r="P585" i="4" s="1" a="1"/>
  <c r="P585" i="4" s="1"/>
  <c r="F409" i="4"/>
  <c r="P409" i="4" s="1" a="1"/>
  <c r="P409" i="4" s="1"/>
  <c r="F933" i="4"/>
  <c r="P933" i="4" s="1" a="1"/>
  <c r="P933" i="4" s="1"/>
  <c r="F993" i="4"/>
  <c r="P993" i="4" s="1" a="1"/>
  <c r="P993" i="4" s="1"/>
  <c r="F986" i="4"/>
  <c r="P986" i="4" s="1" a="1"/>
  <c r="P986" i="4" s="1"/>
  <c r="F842" i="4"/>
  <c r="P842" i="4" s="1" a="1"/>
  <c r="P842" i="4" s="1"/>
  <c r="F1031" i="4"/>
  <c r="P1031" i="4" s="1" a="1"/>
  <c r="P1031" i="4" s="1"/>
  <c r="F688" i="4"/>
  <c r="P688" i="4" s="1" a="1"/>
  <c r="P688" i="4" s="1"/>
  <c r="F1290" i="4"/>
  <c r="P1290" i="4" s="1" a="1"/>
  <c r="P1290" i="4" s="1"/>
  <c r="F363" i="4"/>
  <c r="P363" i="4" s="1" a="1"/>
  <c r="P363" i="4" s="1"/>
  <c r="F1271" i="4"/>
  <c r="P1271" i="4" s="1" a="1"/>
  <c r="P1271" i="4" s="1"/>
  <c r="F601" i="4"/>
  <c r="P601" i="4" s="1" a="1"/>
  <c r="P601" i="4" s="1"/>
  <c r="F505" i="4"/>
  <c r="P505" i="4" s="1" a="1"/>
  <c r="P505" i="4" s="1"/>
  <c r="F210" i="4"/>
  <c r="P210" i="4" s="1" a="1"/>
  <c r="P210" i="4" s="1"/>
  <c r="F752" i="4"/>
  <c r="P752" i="4" s="1" a="1"/>
  <c r="P752" i="4" s="1"/>
  <c r="F1076" i="4"/>
  <c r="P1076" i="4" s="1" a="1"/>
  <c r="P1076" i="4" s="1"/>
  <c r="F59" i="4"/>
  <c r="P59" i="4" s="1" a="1"/>
  <c r="P59" i="4" s="1"/>
  <c r="F284" i="4"/>
  <c r="P284" i="4" s="1" a="1"/>
  <c r="P284" i="4" s="1"/>
  <c r="F1152" i="4"/>
  <c r="P1152" i="4" s="1" a="1"/>
  <c r="P1152" i="4" s="1"/>
  <c r="F79" i="4"/>
  <c r="P79" i="4" s="1" a="1"/>
  <c r="P79" i="4" s="1"/>
  <c r="F1440" i="4"/>
  <c r="P1440" i="4" s="1" a="1"/>
  <c r="P1440" i="4" s="1"/>
  <c r="F414" i="4"/>
  <c r="P414" i="4" s="1" a="1"/>
  <c r="P414" i="4" s="1"/>
  <c r="F140" i="4"/>
  <c r="P140" i="4" s="1" a="1"/>
  <c r="P140" i="4" s="1"/>
  <c r="F476" i="4"/>
  <c r="P476" i="4" s="1" a="1"/>
  <c r="P476" i="4" s="1"/>
  <c r="F1444" i="4"/>
  <c r="P1444" i="4" s="1" a="1"/>
  <c r="P1444" i="4" s="1"/>
  <c r="F1414" i="4"/>
  <c r="P1414" i="4" s="1" a="1"/>
  <c r="P1414" i="4" s="1"/>
  <c r="F1446" i="4"/>
  <c r="P1446" i="4" s="1" a="1"/>
  <c r="P1446" i="4" s="1"/>
  <c r="F1291" i="4"/>
  <c r="P1291" i="4" s="1" a="1"/>
  <c r="P1291" i="4" s="1"/>
  <c r="F758" i="4"/>
  <c r="P758" i="4" s="1" a="1"/>
  <c r="P758" i="4" s="1"/>
  <c r="F634" i="4"/>
  <c r="P634" i="4" s="1" a="1"/>
  <c r="P634" i="4" s="1"/>
  <c r="F1415" i="4"/>
  <c r="P1415" i="4" s="1" a="1"/>
  <c r="P1415" i="4" s="1"/>
  <c r="F1136" i="4"/>
  <c r="P1136" i="4" s="1" a="1"/>
  <c r="P1136" i="4" s="1"/>
  <c r="F1233" i="4"/>
  <c r="P1233" i="4" s="1" a="1"/>
  <c r="P1233" i="4" s="1"/>
  <c r="F689" i="4"/>
  <c r="P689" i="4" s="1" a="1"/>
  <c r="P689" i="4" s="1"/>
  <c r="F1454" i="4"/>
  <c r="P1454" i="4" s="1" a="1"/>
  <c r="P1454" i="4" s="1"/>
  <c r="F921" i="4"/>
  <c r="P921" i="4" s="1" a="1"/>
  <c r="P921" i="4" s="1"/>
  <c r="F477" i="4"/>
  <c r="P477" i="4" s="1" a="1"/>
  <c r="P477" i="4" s="1"/>
  <c r="F331" i="4"/>
  <c r="P331" i="4" s="1" a="1"/>
  <c r="P331" i="4" s="1"/>
  <c r="F520" i="4"/>
  <c r="P520" i="4" s="1" a="1"/>
  <c r="P520" i="4" s="1"/>
  <c r="F626" i="4"/>
  <c r="P626" i="4" s="1" a="1"/>
  <c r="P626" i="4" s="1"/>
  <c r="F1400" i="4"/>
  <c r="P1400" i="4" s="1" a="1"/>
  <c r="P1400" i="4" s="1"/>
  <c r="F332" i="4"/>
  <c r="P332" i="4" s="1" a="1"/>
  <c r="P332" i="4" s="1"/>
  <c r="F1141" i="4"/>
  <c r="P1141" i="4" s="1" a="1"/>
  <c r="P1141" i="4" s="1"/>
  <c r="F1463" i="4"/>
  <c r="P1463" i="4" s="1" a="1"/>
  <c r="P1463" i="4" s="1"/>
  <c r="F130" i="4"/>
  <c r="P130" i="4" s="1" a="1"/>
  <c r="P130" i="4" s="1"/>
  <c r="F318" i="4"/>
  <c r="P318" i="4" s="1" a="1"/>
  <c r="P318" i="4" s="1"/>
  <c r="F185" i="4"/>
  <c r="P185" i="4" s="1" a="1"/>
  <c r="P185" i="4" s="1"/>
  <c r="F1050" i="4"/>
  <c r="P1050" i="4" s="1" a="1"/>
  <c r="P1050" i="4" s="1"/>
  <c r="F818" i="4"/>
  <c r="P818" i="4" s="1" a="1"/>
  <c r="P818" i="4" s="1"/>
  <c r="F935" i="4"/>
  <c r="P935" i="4" s="1" a="1"/>
  <c r="P935" i="4" s="1"/>
  <c r="F950" i="4"/>
  <c r="P950" i="4" s="1" a="1"/>
  <c r="P950" i="4" s="1"/>
  <c r="F1442" i="4"/>
  <c r="P1442" i="4" s="1" a="1"/>
  <c r="P1442" i="4" s="1"/>
  <c r="F2" i="4"/>
  <c r="P2" i="4" s="1" a="1"/>
  <c r="P2" i="4" s="1"/>
  <c r="E882" i="4"/>
  <c r="E4" i="4"/>
  <c r="E1088" i="4"/>
  <c r="E801" i="4"/>
  <c r="E106" i="4"/>
  <c r="E65" i="4"/>
  <c r="E24" i="4"/>
  <c r="E602" i="4"/>
  <c r="E988" i="4"/>
  <c r="E922" i="4"/>
  <c r="E646" i="4"/>
  <c r="E804" i="4"/>
  <c r="E285" i="4"/>
  <c r="E16" i="4"/>
  <c r="E452" i="4"/>
  <c r="E415" i="4"/>
  <c r="E552" i="4"/>
  <c r="E418" i="4"/>
  <c r="E265" i="4"/>
  <c r="E1369" i="4"/>
  <c r="E23" i="4"/>
  <c r="E648" i="4"/>
  <c r="E135" i="4"/>
  <c r="E26" i="4"/>
  <c r="E737" i="4"/>
  <c r="E28" i="4"/>
  <c r="E738" i="4"/>
  <c r="E1104" i="4"/>
  <c r="E994" i="4"/>
  <c r="E868" i="4"/>
  <c r="E1416" i="4"/>
  <c r="E1179" i="4"/>
  <c r="E35" i="4"/>
  <c r="E36" i="4"/>
  <c r="E158" i="4"/>
  <c r="E38" i="4"/>
  <c r="E677" i="4"/>
  <c r="E507" i="4"/>
  <c r="E267" i="4"/>
  <c r="E1077" i="4"/>
  <c r="E268" i="4"/>
  <c r="E44" i="4"/>
  <c r="E805" i="4"/>
  <c r="E1016" i="4"/>
  <c r="E47" i="4"/>
  <c r="E308" i="4"/>
  <c r="E435" i="4"/>
  <c r="E856" i="4"/>
  <c r="E390" i="4"/>
  <c r="E52" i="4"/>
  <c r="E53" i="4"/>
  <c r="E436" i="4"/>
  <c r="E1379" i="4"/>
  <c r="E1142" i="4"/>
  <c r="E495" i="4"/>
  <c r="E1332" i="4"/>
  <c r="E1032" i="4"/>
  <c r="E1017" i="4"/>
  <c r="E120" i="4"/>
  <c r="E972" i="4"/>
  <c r="E39" i="4"/>
  <c r="E603" i="4"/>
  <c r="E1051" i="4"/>
  <c r="E1401" i="4"/>
  <c r="E1036" i="4"/>
  <c r="E613" i="4"/>
  <c r="E649" i="4"/>
  <c r="E292" i="4"/>
  <c r="E71" i="4"/>
  <c r="E843" i="4"/>
  <c r="E923" i="4"/>
  <c r="E692" i="4"/>
  <c r="E1389" i="4"/>
  <c r="E1089" i="4"/>
  <c r="E202" i="4"/>
  <c r="E478" i="4"/>
  <c r="E320" i="4"/>
  <c r="E905" i="4"/>
  <c r="E759" i="4"/>
  <c r="E321" i="4"/>
  <c r="E269" i="4"/>
  <c r="E25" i="4"/>
  <c r="E760" i="4"/>
  <c r="E1166" i="4"/>
  <c r="E1214" i="4"/>
  <c r="E573" i="4"/>
  <c r="E819" i="4"/>
  <c r="E60" i="4"/>
  <c r="E91" i="4"/>
  <c r="E66" i="4"/>
  <c r="E244" i="4"/>
  <c r="E936" i="4"/>
  <c r="E1417" i="4"/>
  <c r="E822" i="4"/>
  <c r="E586" i="4"/>
  <c r="E543" i="4"/>
  <c r="E1362" i="4"/>
  <c r="E1418" i="4"/>
  <c r="E159" i="4"/>
  <c r="E102" i="4"/>
  <c r="E309" i="4"/>
  <c r="E104" i="4"/>
  <c r="E1222" i="4"/>
  <c r="E753" i="4"/>
  <c r="E850" i="4"/>
  <c r="E770" i="4"/>
  <c r="E109" i="4"/>
  <c r="E27" i="4"/>
  <c r="E951" i="4"/>
  <c r="E604" i="4"/>
  <c r="E113" i="4"/>
  <c r="E1363" i="4"/>
  <c r="E783" i="4"/>
  <c r="E1037" i="4"/>
  <c r="E1131" i="4"/>
  <c r="E906" i="4"/>
  <c r="E186" i="4"/>
  <c r="E333" i="4"/>
  <c r="E410" i="4"/>
  <c r="E222" i="4"/>
  <c r="E1122" i="4"/>
  <c r="E124" i="4"/>
  <c r="E1272" i="4"/>
  <c r="E126" i="4"/>
  <c r="E784" i="4"/>
  <c r="E128" i="4"/>
  <c r="E129" i="4"/>
  <c r="E1234" i="4"/>
  <c r="E820" i="4"/>
  <c r="E712" i="4"/>
  <c r="E869" i="4"/>
  <c r="E134" i="4"/>
  <c r="E614" i="4"/>
  <c r="E1005" i="4"/>
  <c r="E693" i="4"/>
  <c r="E138" i="4"/>
  <c r="E588" i="4"/>
  <c r="E907" i="4"/>
  <c r="E167" i="4"/>
  <c r="E142" i="4"/>
  <c r="E351" i="4"/>
  <c r="E479" i="4"/>
  <c r="E1333" i="4"/>
  <c r="E334" i="4"/>
  <c r="E352" i="4"/>
  <c r="E48" i="4"/>
  <c r="E61" i="4"/>
  <c r="E223" i="4"/>
  <c r="E353" i="4"/>
  <c r="E650" i="4"/>
  <c r="E1052" i="4"/>
  <c r="E175" i="4"/>
  <c r="E785" i="4"/>
  <c r="E49" i="4"/>
  <c r="E806" i="4"/>
  <c r="E661" i="4"/>
  <c r="E203" i="4"/>
  <c r="E1078" i="4"/>
  <c r="E1080" i="4"/>
  <c r="E419" i="4"/>
  <c r="E1274" i="4"/>
  <c r="E480" i="4"/>
  <c r="E420" i="4"/>
  <c r="E1064" i="4"/>
  <c r="E739" i="4"/>
  <c r="E952" i="4"/>
  <c r="E1153" i="4"/>
  <c r="E786" i="4"/>
  <c r="E335" i="4"/>
  <c r="E1216" i="4"/>
  <c r="E173" i="4"/>
  <c r="E211" i="4"/>
  <c r="E364" i="4"/>
  <c r="E1419" i="4"/>
  <c r="E439" i="4"/>
  <c r="E694" i="4"/>
  <c r="E179" i="4"/>
  <c r="E1053" i="4"/>
  <c r="E714" i="4"/>
  <c r="E553" i="4"/>
  <c r="E1054" i="4"/>
  <c r="E184" i="4"/>
  <c r="E1246" i="4"/>
  <c r="E1276" i="4"/>
  <c r="E574" i="4"/>
  <c r="E1019" i="4"/>
  <c r="E245" i="4"/>
  <c r="E1223" i="4"/>
  <c r="E678" i="4"/>
  <c r="E204" i="4"/>
  <c r="E1123" i="4"/>
  <c r="E194" i="4"/>
  <c r="E270" i="4"/>
  <c r="E715" i="4"/>
  <c r="E635" i="4"/>
  <c r="E1154" i="4"/>
  <c r="E176" i="4"/>
  <c r="E141" i="4"/>
  <c r="E1452" i="4"/>
  <c r="E168" i="4"/>
  <c r="E1370" i="4"/>
  <c r="E391" i="4"/>
  <c r="E1167" i="4"/>
  <c r="E206" i="4"/>
  <c r="E207" i="4"/>
  <c r="E169" i="4"/>
  <c r="E160" i="4"/>
  <c r="E716" i="4"/>
  <c r="E346" i="4"/>
  <c r="E212" i="4"/>
  <c r="E1180" i="4"/>
  <c r="E107" i="4"/>
  <c r="E924" i="4"/>
  <c r="E216" i="4"/>
  <c r="E937" i="4"/>
  <c r="E218" i="4"/>
  <c r="E219" i="4"/>
  <c r="E1453" i="4"/>
  <c r="E953" i="4"/>
  <c r="E883" i="4"/>
  <c r="E205" i="4"/>
  <c r="E1090" i="4"/>
  <c r="E293" i="4"/>
  <c r="E195" i="4"/>
  <c r="E1197" i="4"/>
  <c r="E1039" i="4"/>
  <c r="E605" i="4"/>
  <c r="E3" i="4"/>
  <c r="E231" i="4"/>
  <c r="E1132" i="4"/>
  <c r="E1277" i="4"/>
  <c r="E787" i="4"/>
  <c r="E771" i="4"/>
  <c r="E236" i="4"/>
  <c r="E12" i="4"/>
  <c r="E238" i="4"/>
  <c r="E421" i="4"/>
  <c r="E788" i="4"/>
  <c r="E241" i="4"/>
  <c r="E224" i="4"/>
  <c r="E1235" i="4"/>
  <c r="E271" i="4"/>
  <c r="E884" i="4"/>
  <c r="E246" i="4"/>
  <c r="E1198" i="4"/>
  <c r="E521" i="4"/>
  <c r="E1318" i="4"/>
  <c r="E143" i="4"/>
  <c r="E1319" i="4"/>
  <c r="E252" i="4"/>
  <c r="E938" i="4"/>
  <c r="E1402" i="4"/>
  <c r="E1065" i="4"/>
  <c r="E90" i="4"/>
  <c r="E1262" i="4"/>
  <c r="E789" i="4"/>
  <c r="E790" i="4"/>
  <c r="E679" i="4"/>
  <c r="E261" i="4"/>
  <c r="E99" i="4"/>
  <c r="E392" i="4"/>
  <c r="E1380" i="4"/>
  <c r="E522" i="4"/>
  <c r="E266" i="4"/>
  <c r="E925" i="4"/>
  <c r="E1137" i="4"/>
  <c r="E761" i="4"/>
  <c r="E196" i="4"/>
  <c r="E1403" i="4"/>
  <c r="E197" i="4"/>
  <c r="E273" i="4"/>
  <c r="E1124" i="4"/>
  <c r="E857" i="4"/>
  <c r="E347" i="4"/>
  <c r="E1133" i="4"/>
  <c r="E576" i="4"/>
  <c r="E1364" i="4"/>
  <c r="E144" i="4"/>
  <c r="E755" i="4"/>
  <c r="E1294" i="4"/>
  <c r="E286" i="4"/>
  <c r="E1295" i="4"/>
  <c r="E393" i="4"/>
  <c r="E1091" i="4"/>
  <c r="E1296" i="4"/>
  <c r="E288" i="4"/>
  <c r="E995" i="4"/>
  <c r="E290" i="4"/>
  <c r="E523" i="4"/>
  <c r="E1465" i="4"/>
  <c r="E544" i="4"/>
  <c r="E870" i="4"/>
  <c r="E295" i="4"/>
  <c r="E1404" i="4"/>
  <c r="E422" i="4"/>
  <c r="E298" i="4"/>
  <c r="E1125" i="4"/>
  <c r="E823" i="4"/>
  <c r="E1181" i="4"/>
  <c r="E824" i="4"/>
  <c r="E1443" i="4"/>
  <c r="E1199" i="4"/>
  <c r="E680" i="4"/>
  <c r="E651" i="4"/>
  <c r="E1278" i="4"/>
  <c r="E1168" i="4"/>
  <c r="E13" i="4"/>
  <c r="E606" i="4"/>
  <c r="E871" i="4"/>
  <c r="E636" i="4"/>
  <c r="E287" i="4"/>
  <c r="E973" i="4"/>
  <c r="E440" i="4"/>
  <c r="E615" i="4"/>
  <c r="E272" i="4"/>
  <c r="E1247" i="4"/>
  <c r="E319" i="4"/>
  <c r="E233" i="4"/>
  <c r="E772" i="4"/>
  <c r="E80" i="4"/>
  <c r="E1006" i="4"/>
  <c r="E1263" i="4"/>
  <c r="E325" i="4"/>
  <c r="E1336" i="4"/>
  <c r="E86" i="4"/>
  <c r="E1217" i="4"/>
  <c r="E329" i="4"/>
  <c r="E255" i="4"/>
  <c r="E1420" i="4"/>
  <c r="E425" i="4"/>
  <c r="E939" i="4"/>
  <c r="E1040" i="4"/>
  <c r="E336" i="4"/>
  <c r="E637" i="4"/>
  <c r="E453" i="4"/>
  <c r="E338" i="4"/>
  <c r="E274" i="4"/>
  <c r="E807" i="4"/>
  <c r="E454" i="4"/>
  <c r="E81" i="4"/>
  <c r="E5" i="4"/>
  <c r="E808" i="4"/>
  <c r="E1421" i="4"/>
  <c r="E1007" i="4"/>
  <c r="E996" i="4"/>
  <c r="E617" i="4"/>
  <c r="E858" i="4"/>
  <c r="E974" i="4"/>
  <c r="E117" i="4"/>
  <c r="E381" i="4"/>
  <c r="E161" i="4"/>
  <c r="E496" i="4"/>
  <c r="E652" i="4"/>
  <c r="E872" i="4"/>
  <c r="E895" i="4"/>
  <c r="E618" i="4"/>
  <c r="E359" i="4"/>
  <c r="E1105" i="4"/>
  <c r="E532" i="4"/>
  <c r="E234" i="4"/>
  <c r="E1279" i="4"/>
  <c r="E337" i="4"/>
  <c r="E365" i="4"/>
  <c r="E225" i="4"/>
  <c r="E1297" i="4"/>
  <c r="E368" i="4"/>
  <c r="E187" i="4"/>
  <c r="E370" i="4"/>
  <c r="E394" i="4"/>
  <c r="E372" i="4"/>
  <c r="E1357" i="4"/>
  <c r="E619" i="4"/>
  <c r="E1066" i="4"/>
  <c r="E411" i="4"/>
  <c r="E1042" i="4"/>
  <c r="E67" i="4"/>
  <c r="E620" i="4"/>
  <c r="E380" i="4"/>
  <c r="E1372" i="4"/>
  <c r="E145" i="4"/>
  <c r="E366" i="4"/>
  <c r="E384" i="4"/>
  <c r="E1466" i="4"/>
  <c r="E1139" i="4"/>
  <c r="E387" i="4"/>
  <c r="E1055" i="4"/>
  <c r="E456" i="4"/>
  <c r="E681" i="4"/>
  <c r="E1280" i="4"/>
  <c r="E653" i="4"/>
  <c r="E825" i="4"/>
  <c r="E1067" i="4"/>
  <c r="E1390" i="4"/>
  <c r="E1467" i="4"/>
  <c r="E367" i="4"/>
  <c r="E369" i="4"/>
  <c r="E914" i="4"/>
  <c r="E247" i="4"/>
  <c r="E1309" i="4"/>
  <c r="E1282" i="4"/>
  <c r="E1382" i="4"/>
  <c r="E1068" i="4"/>
  <c r="E896" i="4"/>
  <c r="E997" i="4"/>
  <c r="E407" i="4"/>
  <c r="E748" i="4"/>
  <c r="E717" i="4"/>
  <c r="E1422" i="4"/>
  <c r="E6" i="4"/>
  <c r="E1043" i="4"/>
  <c r="E1156" i="4"/>
  <c r="E1320" i="4"/>
  <c r="E508" i="4"/>
  <c r="E416" i="4"/>
  <c r="E417" i="4"/>
  <c r="E663" i="4"/>
  <c r="E1249" i="4"/>
  <c r="E68" i="4"/>
  <c r="E1358" i="4"/>
  <c r="E916" i="4"/>
  <c r="E423" i="4"/>
  <c r="E424" i="4"/>
  <c r="E1200" i="4"/>
  <c r="E792" i="4"/>
  <c r="E1134" i="4"/>
  <c r="E40" i="4"/>
  <c r="E762" i="4"/>
  <c r="E773" i="4"/>
  <c r="E654" i="4"/>
  <c r="E457" i="4"/>
  <c r="E395" i="4"/>
  <c r="E524" i="4"/>
  <c r="E226" i="4"/>
  <c r="E666" i="4"/>
  <c r="E437" i="4"/>
  <c r="E438" i="4"/>
  <c r="E1455" i="4"/>
  <c r="E718" i="4"/>
  <c r="E441" i="4"/>
  <c r="E442" i="4"/>
  <c r="E412" i="4"/>
  <c r="E667" i="4"/>
  <c r="E445" i="4"/>
  <c r="E92" i="4"/>
  <c r="E235" i="4"/>
  <c r="E1092" i="4"/>
  <c r="E1069" i="4"/>
  <c r="E719" i="4"/>
  <c r="E322" i="4"/>
  <c r="E696" i="4"/>
  <c r="E1020" i="4"/>
  <c r="E443" i="4"/>
  <c r="E455" i="4"/>
  <c r="E483" i="4"/>
  <c r="E918" i="4"/>
  <c r="E545" i="4"/>
  <c r="E459" i="4"/>
  <c r="E1218" i="4"/>
  <c r="E29" i="4"/>
  <c r="E1106" i="4"/>
  <c r="E509" i="4"/>
  <c r="E1265" i="4"/>
  <c r="E465" i="4"/>
  <c r="E1284" i="4"/>
  <c r="E560" i="4"/>
  <c r="E1170" i="4"/>
  <c r="E1266" i="4"/>
  <c r="E354" i="4"/>
  <c r="E471" i="4"/>
  <c r="E339" i="4"/>
  <c r="E1434" i="4"/>
  <c r="E525" i="4"/>
  <c r="E41" i="4"/>
  <c r="E874" i="4"/>
  <c r="E834" i="4"/>
  <c r="E682" i="4"/>
  <c r="E136" i="4"/>
  <c r="E213" i="4"/>
  <c r="E481" i="4"/>
  <c r="E482" i="4"/>
  <c r="E765" i="4"/>
  <c r="E484" i="4"/>
  <c r="E1143" i="4"/>
  <c r="E310" i="4"/>
  <c r="E1337" i="4"/>
  <c r="E444" i="4"/>
  <c r="E1383" i="4"/>
  <c r="E698" i="4"/>
  <c r="E897" i="4"/>
  <c r="E908" i="4"/>
  <c r="E940" i="4"/>
  <c r="E275" i="4"/>
  <c r="E323" i="4"/>
  <c r="E214" i="4"/>
  <c r="E497" i="4"/>
  <c r="E589" i="4"/>
  <c r="E340" i="4"/>
  <c r="E1338" i="4"/>
  <c r="E670" i="4"/>
  <c r="E498" i="4"/>
  <c r="E30" i="4"/>
  <c r="E341" i="4"/>
  <c r="E1423" i="4"/>
  <c r="E506" i="4"/>
  <c r="E248" i="4"/>
  <c r="E485" i="4"/>
  <c r="E885" i="4"/>
  <c r="E699" i="4"/>
  <c r="E1424" i="4"/>
  <c r="E998" i="4"/>
  <c r="E590" i="4"/>
  <c r="E956" i="4"/>
  <c r="E515" i="4"/>
  <c r="E516" i="4"/>
  <c r="E486" i="4"/>
  <c r="E1144" i="4"/>
  <c r="E1021" i="4"/>
  <c r="E1405" i="4"/>
  <c r="E1000" i="4"/>
  <c r="E1145" i="4"/>
  <c r="E835" i="4"/>
  <c r="E355" i="4"/>
  <c r="E31" i="4"/>
  <c r="E1022" i="4"/>
  <c r="E527" i="4"/>
  <c r="E1250" i="4"/>
  <c r="E458" i="4"/>
  <c r="E530" i="4"/>
  <c r="E1365" i="4"/>
  <c r="E311" i="4"/>
  <c r="E1157" i="4"/>
  <c r="E1158" i="4"/>
  <c r="E1093" i="4"/>
  <c r="E42" i="4"/>
  <c r="E371" i="4"/>
  <c r="E926" i="4"/>
  <c r="E1159" i="4"/>
  <c r="E740" i="4"/>
  <c r="E121" i="4"/>
  <c r="E542" i="4"/>
  <c r="E720" i="4"/>
  <c r="E69" i="4"/>
  <c r="E1406" i="4"/>
  <c r="E460" i="4"/>
  <c r="E1236" i="4"/>
  <c r="E1310" i="4"/>
  <c r="E549" i="4"/>
  <c r="E957" i="4"/>
  <c r="E1126" i="4"/>
  <c r="E1107" i="4"/>
  <c r="E215" i="4"/>
  <c r="E561" i="4"/>
  <c r="E766" i="4"/>
  <c r="E1456" i="4"/>
  <c r="E1321" i="4"/>
  <c r="E1182" i="4"/>
  <c r="E836" i="4"/>
  <c r="E875" i="4"/>
  <c r="E188" i="4"/>
  <c r="E487" i="4"/>
  <c r="E672" i="4"/>
  <c r="E564" i="4"/>
  <c r="E177" i="4"/>
  <c r="E170" i="4"/>
  <c r="E1322" i="4"/>
  <c r="E568" i="4"/>
  <c r="E1146" i="4"/>
  <c r="E570" i="4"/>
  <c r="E294" i="4"/>
  <c r="E1109" i="4"/>
  <c r="E639" i="4"/>
  <c r="E1339" i="4"/>
  <c r="E575" i="4"/>
  <c r="E721" i="4"/>
  <c r="E413" i="4"/>
  <c r="E1183" i="4"/>
  <c r="E237" i="4"/>
  <c r="E446" i="4"/>
  <c r="E70" i="4"/>
  <c r="E447" i="4"/>
  <c r="E1044" i="4"/>
  <c r="E1298" i="4"/>
  <c r="E348" i="4"/>
  <c r="E1081" i="4"/>
  <c r="E587" i="4"/>
  <c r="E1285" i="4"/>
  <c r="E108" i="4"/>
  <c r="E1342" i="4"/>
  <c r="E591" i="4"/>
  <c r="E256" i="4"/>
  <c r="E593" i="4"/>
  <c r="E546" i="4"/>
  <c r="E1301" i="4"/>
  <c r="E826" i="4"/>
  <c r="E597" i="4"/>
  <c r="E1160" i="4"/>
  <c r="E547" i="4"/>
  <c r="E600" i="4"/>
  <c r="E93" i="4"/>
  <c r="E100" i="4"/>
  <c r="E382" i="4"/>
  <c r="E845" i="4"/>
  <c r="E7" i="4"/>
  <c r="E1056" i="4"/>
  <c r="E749" i="4"/>
  <c r="E289" i="4"/>
  <c r="E609" i="4"/>
  <c r="E610" i="4"/>
  <c r="E860" i="4"/>
  <c r="E131" i="4"/>
  <c r="E1094" i="4"/>
  <c r="E876" i="4"/>
  <c r="E1184" i="4"/>
  <c r="E616" i="4"/>
  <c r="E171" i="4"/>
  <c r="E1445" i="4"/>
  <c r="E958" i="4"/>
  <c r="E1201" i="4"/>
  <c r="E1457" i="4"/>
  <c r="E959" i="4"/>
  <c r="E257" i="4"/>
  <c r="E886" i="4"/>
  <c r="E943" i="4"/>
  <c r="E1323" i="4"/>
  <c r="E312" i="4"/>
  <c r="E8" i="4"/>
  <c r="E146" i="4"/>
  <c r="E944" i="4"/>
  <c r="E1202" i="4"/>
  <c r="E396" i="4"/>
  <c r="E723" i="4"/>
  <c r="E178" i="4"/>
  <c r="E827" i="4"/>
  <c r="E861" i="4"/>
  <c r="E1391" i="4"/>
  <c r="E638" i="4"/>
  <c r="E724" i="4"/>
  <c r="E198" i="4"/>
  <c r="E673" i="4"/>
  <c r="E960" i="4"/>
  <c r="E1359" i="4"/>
  <c r="E683" i="4"/>
  <c r="E684" i="4"/>
  <c r="E324" i="4"/>
  <c r="E647" i="4"/>
  <c r="E1343" i="4"/>
  <c r="E562" i="4"/>
  <c r="E1024" i="4"/>
  <c r="E640" i="4"/>
  <c r="E488" i="4"/>
  <c r="E50" i="4"/>
  <c r="E397" i="4"/>
  <c r="E863" i="4"/>
  <c r="E132" i="4"/>
  <c r="E258" i="4"/>
  <c r="E658" i="4"/>
  <c r="E1267" i="4"/>
  <c r="E448" i="4"/>
  <c r="E1432" i="4"/>
  <c r="E662" i="4"/>
  <c r="E1025" i="4"/>
  <c r="E664" i="4"/>
  <c r="E665" i="4"/>
  <c r="E1204" i="4"/>
  <c r="E1205" i="4"/>
  <c r="E668" i="4"/>
  <c r="E669" i="4"/>
  <c r="E1001" i="4"/>
  <c r="E671" i="4"/>
  <c r="E1252" i="4"/>
  <c r="E356" i="4"/>
  <c r="E1447" i="4"/>
  <c r="E1171" i="4"/>
  <c r="E1468" i="4"/>
  <c r="E975" i="4"/>
  <c r="E1458" i="4"/>
  <c r="E961" i="4"/>
  <c r="E383" i="4"/>
  <c r="E51" i="4"/>
  <c r="E577" i="4"/>
  <c r="E1135" i="4"/>
  <c r="E82" i="4"/>
  <c r="E685" i="4"/>
  <c r="E449" i="4"/>
  <c r="E533" i="4"/>
  <c r="E592" i="4"/>
  <c r="E296" i="4"/>
  <c r="E690" i="4"/>
  <c r="E691" i="4"/>
  <c r="E1425" i="4"/>
  <c r="E54" i="4"/>
  <c r="E349" i="4"/>
  <c r="E695" i="4"/>
  <c r="E1045" i="4"/>
  <c r="E697" i="4"/>
  <c r="E898" i="4"/>
  <c r="E1071" i="4"/>
  <c r="E72" i="4"/>
  <c r="E774" i="4"/>
  <c r="E702" i="4"/>
  <c r="E1426" i="4"/>
  <c r="E1344" i="4"/>
  <c r="E1435" i="4"/>
  <c r="E1311" i="4"/>
  <c r="E276" i="4"/>
  <c r="E708" i="4"/>
  <c r="E578" i="4"/>
  <c r="E239" i="4"/>
  <c r="E711" i="4"/>
  <c r="E217" i="4"/>
  <c r="E713" i="4"/>
  <c r="E655" i="4"/>
  <c r="E621" i="4"/>
  <c r="E725" i="4"/>
  <c r="E73" i="4"/>
  <c r="E1082" i="4"/>
  <c r="E180" i="4"/>
  <c r="E607" i="4"/>
  <c r="E767" i="4"/>
  <c r="E722" i="4"/>
  <c r="E227" i="4"/>
  <c r="E1448" i="4"/>
  <c r="E579" i="4"/>
  <c r="E1226" i="4"/>
  <c r="E727" i="4"/>
  <c r="E228" i="4"/>
  <c r="E1010" i="4"/>
  <c r="E846" i="4"/>
  <c r="E326" i="4"/>
  <c r="E1393" i="4"/>
  <c r="E733" i="4"/>
  <c r="E734" i="4"/>
  <c r="E489" i="4"/>
  <c r="E1237" i="4"/>
  <c r="E1172" i="4"/>
  <c r="E297" i="4"/>
  <c r="E809" i="4"/>
  <c r="E249" i="4"/>
  <c r="E461" i="4"/>
  <c r="E220" i="4"/>
  <c r="E14" i="4"/>
  <c r="E1268" i="4"/>
  <c r="E1449" i="4"/>
  <c r="E746" i="4"/>
  <c r="E1345" i="4"/>
  <c r="E1147" i="4"/>
  <c r="E810" i="4"/>
  <c r="E750" i="4"/>
  <c r="E751" i="4"/>
  <c r="E656" i="4"/>
  <c r="E756" i="4"/>
  <c r="E754" i="4"/>
  <c r="E510" i="4"/>
  <c r="E877" i="4"/>
  <c r="E1436" i="4"/>
  <c r="E162" i="4"/>
  <c r="E373" i="4"/>
  <c r="E887" i="4"/>
  <c r="E277" i="4"/>
  <c r="E1161" i="4"/>
  <c r="E763" i="4"/>
  <c r="E764" i="4"/>
  <c r="E563" i="4"/>
  <c r="E1208" i="4"/>
  <c r="E1427" i="4"/>
  <c r="E163" i="4"/>
  <c r="E133" i="4"/>
  <c r="E1450" i="4"/>
  <c r="E726" i="4"/>
  <c r="E1428" i="4"/>
  <c r="E398" i="4"/>
  <c r="E1011" i="4"/>
  <c r="E962" i="4"/>
  <c r="E342" i="4"/>
  <c r="E627" i="4"/>
  <c r="E778" i="4"/>
  <c r="E779" i="4"/>
  <c r="E250" i="4"/>
  <c r="E781" i="4"/>
  <c r="E782" i="4"/>
  <c r="E462" i="4"/>
  <c r="E828" i="4"/>
  <c r="E1110" i="4"/>
  <c r="E526" i="4"/>
  <c r="E374" i="4"/>
  <c r="E147" i="4"/>
  <c r="E945" i="4"/>
  <c r="E795" i="4"/>
  <c r="E791" i="4"/>
  <c r="E55" i="4"/>
  <c r="E793" i="4"/>
  <c r="E794" i="4"/>
  <c r="E534" i="4"/>
  <c r="E1162" i="4"/>
  <c r="E511" i="4"/>
  <c r="E798" i="4"/>
  <c r="E799" i="4"/>
  <c r="E800" i="4"/>
  <c r="E548" i="4"/>
  <c r="E802" i="4"/>
  <c r="E803" i="4"/>
  <c r="E221" i="4"/>
  <c r="E811" i="4"/>
  <c r="E812" i="4"/>
  <c r="E641" i="4"/>
  <c r="E15" i="4"/>
  <c r="E1346" i="4"/>
  <c r="E229" i="4"/>
  <c r="E1433" i="4"/>
  <c r="E741" i="4"/>
  <c r="E674" i="4"/>
  <c r="E1384" i="4"/>
  <c r="E815" i="4"/>
  <c r="E1111" i="4"/>
  <c r="E251" i="4"/>
  <c r="E837" i="4"/>
  <c r="E1437" i="4"/>
  <c r="E528" i="4"/>
  <c r="E775" i="4"/>
  <c r="E1459" i="4"/>
  <c r="E1460" i="4"/>
  <c r="E554" i="4"/>
  <c r="E888" i="4"/>
  <c r="E535" i="4"/>
  <c r="E199" i="4"/>
  <c r="E1227" i="4"/>
  <c r="E976" i="4"/>
  <c r="E830" i="4"/>
  <c r="E831" i="4"/>
  <c r="E899" i="4"/>
  <c r="E833" i="4"/>
  <c r="E1461" i="4"/>
  <c r="E122" i="4"/>
  <c r="E728" i="4"/>
  <c r="E189" i="4"/>
  <c r="E838" i="4"/>
  <c r="E1385" i="4"/>
  <c r="E840" i="4"/>
  <c r="E1115" i="4"/>
  <c r="E1095" i="4"/>
  <c r="E463" i="4"/>
  <c r="E844" i="4"/>
  <c r="E357" i="4"/>
  <c r="E1269" i="4"/>
  <c r="E1127" i="4"/>
  <c r="E813" i="4"/>
  <c r="E1128" i="4"/>
  <c r="E1407" i="4"/>
  <c r="E851" i="4"/>
  <c r="E17" i="4"/>
  <c r="E1240" i="4"/>
  <c r="E594" i="4"/>
  <c r="E536" i="4"/>
  <c r="E700" i="4"/>
  <c r="E1408" i="4"/>
  <c r="E512" i="4"/>
  <c r="E859" i="4"/>
  <c r="E1409" i="4"/>
  <c r="E889" i="4"/>
  <c r="E862" i="4"/>
  <c r="E776" i="4"/>
  <c r="E729" i="4"/>
  <c r="E622" i="4"/>
  <c r="E866" i="4"/>
  <c r="E375" i="4"/>
  <c r="E730" i="4"/>
  <c r="E1046" i="4"/>
  <c r="E1253" i="4"/>
  <c r="E1096" i="4"/>
  <c r="E1129" i="4"/>
  <c r="E873" i="4"/>
  <c r="E1438" i="4"/>
  <c r="E900" i="4"/>
  <c r="E847" i="4"/>
  <c r="E399" i="4"/>
  <c r="E400" i="4"/>
  <c r="E208" i="4"/>
  <c r="E628" i="4"/>
  <c r="E327" i="4"/>
  <c r="E74" i="4"/>
  <c r="E56" i="4"/>
  <c r="E1072" i="4"/>
  <c r="E537" i="4"/>
  <c r="E148" i="4"/>
  <c r="E963" i="4"/>
  <c r="E313" i="4"/>
  <c r="E1097" i="4"/>
  <c r="E1324" i="4"/>
  <c r="E1228" i="4"/>
  <c r="E1098" i="4"/>
  <c r="E1209" i="4"/>
  <c r="E894" i="4"/>
  <c r="E499" i="4"/>
  <c r="E240" i="4"/>
  <c r="E701" i="4"/>
  <c r="E989" i="4"/>
  <c r="E901" i="4"/>
  <c r="E1373" i="4"/>
  <c r="E358" i="4"/>
  <c r="E538" i="4"/>
  <c r="E1439" i="4"/>
  <c r="E110" i="4"/>
  <c r="E513" i="4"/>
  <c r="E927" i="4"/>
  <c r="E1073" i="4"/>
  <c r="E426" i="4"/>
  <c r="E75" i="4"/>
  <c r="E149" i="4"/>
  <c r="E1360" i="4"/>
  <c r="E1286" i="4"/>
  <c r="E913" i="4"/>
  <c r="E657" i="4"/>
  <c r="E915" i="4"/>
  <c r="E1229" i="4"/>
  <c r="E917" i="4"/>
  <c r="E909" i="4"/>
  <c r="E565" i="4"/>
  <c r="E1325" i="4"/>
  <c r="E642" i="4"/>
  <c r="E1099" i="4"/>
  <c r="E1230" i="4"/>
  <c r="E500" i="4"/>
  <c r="E1148" i="4"/>
  <c r="E529" i="4"/>
  <c r="E566" i="4"/>
  <c r="E123" i="4"/>
  <c r="E464" i="4"/>
  <c r="E930" i="4"/>
  <c r="E1026" i="4"/>
  <c r="E1116" i="4"/>
  <c r="E450" i="4"/>
  <c r="E934" i="4"/>
  <c r="E514" i="4"/>
  <c r="E401" i="4"/>
  <c r="E539" i="4"/>
  <c r="E1185" i="4"/>
  <c r="E990" i="4"/>
  <c r="E242" i="4"/>
  <c r="E941" i="4"/>
  <c r="E942" i="4"/>
  <c r="E259" i="4"/>
  <c r="E1394" i="4"/>
  <c r="E181" i="4"/>
  <c r="E385" i="4"/>
  <c r="E182" i="4"/>
  <c r="E948" i="4"/>
  <c r="E949" i="4"/>
  <c r="E1057" i="4"/>
  <c r="E1302" i="4"/>
  <c r="E1410" i="4"/>
  <c r="E402" i="4"/>
  <c r="E954" i="4"/>
  <c r="E955" i="4"/>
  <c r="E403" i="4"/>
  <c r="E466" i="4"/>
  <c r="E919" i="4"/>
  <c r="E1395" i="4"/>
  <c r="E1074" i="4"/>
  <c r="E9" i="4"/>
  <c r="E1012" i="4"/>
  <c r="E1075" i="4"/>
  <c r="E878" i="4"/>
  <c r="E278" i="4"/>
  <c r="E1347" i="4"/>
  <c r="E1013" i="4"/>
  <c r="E968" i="4"/>
  <c r="E427" i="4"/>
  <c r="E428" i="4"/>
  <c r="E467" i="4"/>
  <c r="E1241" i="4"/>
  <c r="E928" i="4"/>
  <c r="E1374" i="4"/>
  <c r="E796" i="4"/>
  <c r="E1429" i="4"/>
  <c r="E977" i="4"/>
  <c r="E890" i="4"/>
  <c r="E230" i="4"/>
  <c r="E200" i="4"/>
  <c r="E703" i="4"/>
  <c r="E982" i="4"/>
  <c r="E983" i="4"/>
  <c r="E1287" i="4"/>
  <c r="E101" i="4"/>
  <c r="E260" i="4"/>
  <c r="E987" i="4"/>
  <c r="E404" i="4"/>
  <c r="E1100" i="4"/>
  <c r="E1210" i="4"/>
  <c r="E1411" i="4"/>
  <c r="E1083" i="4"/>
  <c r="E1303" i="4"/>
  <c r="E1348" i="4"/>
  <c r="E1174" i="4"/>
  <c r="E125" i="4"/>
  <c r="E891" i="4"/>
  <c r="E137" i="4"/>
  <c r="E999" i="4"/>
  <c r="E343" i="4"/>
  <c r="E405" i="4"/>
  <c r="E1288" i="4"/>
  <c r="E555" i="4"/>
  <c r="E595" i="4"/>
  <c r="E929" i="4"/>
  <c r="E501" i="4"/>
  <c r="E1149" i="4"/>
  <c r="E1008" i="4"/>
  <c r="E1009" i="4"/>
  <c r="E540" i="4"/>
  <c r="E150" i="4"/>
  <c r="E299" i="4"/>
  <c r="E502" i="4"/>
  <c r="E1014" i="4"/>
  <c r="E376" i="4"/>
  <c r="E1375" i="4"/>
  <c r="E1242" i="4"/>
  <c r="E1018" i="4"/>
  <c r="E821" i="4"/>
  <c r="E608" i="4"/>
  <c r="E1175" i="4"/>
  <c r="E1211" i="4"/>
  <c r="E1023" i="4"/>
  <c r="E768" i="4"/>
  <c r="E360" i="4"/>
  <c r="E300" i="4"/>
  <c r="E1231" i="4"/>
  <c r="E920" i="4"/>
  <c r="E629" i="4"/>
  <c r="E1186" i="4"/>
  <c r="E1326" i="4"/>
  <c r="E852" i="4"/>
  <c r="E1033" i="4"/>
  <c r="E1034" i="4"/>
  <c r="E1035" i="4"/>
  <c r="E1176" i="4"/>
  <c r="E864" i="4"/>
  <c r="E1038" i="4"/>
  <c r="E1027" i="4"/>
  <c r="E556" i="4"/>
  <c r="E1041" i="4"/>
  <c r="E1028" i="4"/>
  <c r="E517" i="4"/>
  <c r="E1187" i="4"/>
  <c r="E1117" i="4"/>
  <c r="E103" i="4"/>
  <c r="E1349" i="4"/>
  <c r="E172" i="4"/>
  <c r="E1219" i="4"/>
  <c r="E1254" i="4"/>
  <c r="E991" i="4"/>
  <c r="E1350" i="4"/>
  <c r="E1002" i="4"/>
  <c r="E580" i="4"/>
  <c r="E686" i="4"/>
  <c r="E1232" i="4"/>
  <c r="E1212" i="4"/>
  <c r="E1058" i="4"/>
  <c r="E1059" i="4"/>
  <c r="E1060" i="4"/>
  <c r="E1441" i="4"/>
  <c r="E1062" i="4"/>
  <c r="E1189" i="4"/>
  <c r="E567" i="4"/>
  <c r="E151" i="4"/>
  <c r="E1220" i="4"/>
  <c r="E1304" i="4"/>
  <c r="E630" i="4"/>
  <c r="E152" i="4"/>
  <c r="E1070" i="4"/>
  <c r="E1351" i="4"/>
  <c r="E964" i="4"/>
  <c r="E1305" i="4"/>
  <c r="E1061" i="4"/>
  <c r="E623" i="4"/>
  <c r="E946" i="4"/>
  <c r="E581" i="4"/>
  <c r="E111" i="4"/>
  <c r="E1079" i="4"/>
  <c r="E1306" i="4"/>
  <c r="E279" i="4"/>
  <c r="E1150" i="4"/>
  <c r="E557" i="4"/>
  <c r="E1376" i="4"/>
  <c r="E1085" i="4"/>
  <c r="E164" i="4"/>
  <c r="E1087" i="4"/>
  <c r="E631" i="4"/>
  <c r="E848" i="4"/>
  <c r="E1352" i="4"/>
  <c r="E386" i="4"/>
  <c r="E94" i="4"/>
  <c r="E406" i="4"/>
  <c r="E1378" i="4"/>
  <c r="E910" i="4"/>
  <c r="E174" i="4"/>
  <c r="E153" i="4"/>
  <c r="E280" i="4"/>
  <c r="E965" i="4"/>
  <c r="E314" i="4"/>
  <c r="E165" i="4"/>
  <c r="E62" i="4"/>
  <c r="E253" i="4"/>
  <c r="E731" i="4"/>
  <c r="E1243" i="4"/>
  <c r="E10" i="4"/>
  <c r="E1029" i="4"/>
  <c r="E1108" i="4"/>
  <c r="E377" i="4"/>
  <c r="E777" i="4"/>
  <c r="E1430" i="4"/>
  <c r="E1112" i="4"/>
  <c r="E1113" i="4"/>
  <c r="E1114" i="4"/>
  <c r="E732" i="4"/>
  <c r="E83" i="4"/>
  <c r="E1047" i="4"/>
  <c r="E659" i="4"/>
  <c r="E978" i="4"/>
  <c r="E76" i="4"/>
  <c r="E704" i="4"/>
  <c r="E569" i="4"/>
  <c r="E32" i="4"/>
  <c r="E201" i="4"/>
  <c r="E43" i="4"/>
  <c r="E490" i="4"/>
  <c r="E1190" i="4"/>
  <c r="E262" i="4"/>
  <c r="E57" i="4"/>
  <c r="E632" i="4"/>
  <c r="E1244" i="4"/>
  <c r="E1462" i="4"/>
  <c r="E1177" i="4"/>
  <c r="E361" i="4"/>
  <c r="E18" i="4"/>
  <c r="E643" i="4"/>
  <c r="E902" i="4"/>
  <c r="E1138" i="4"/>
  <c r="E1386" i="4"/>
  <c r="E281" i="4"/>
  <c r="E814" i="4"/>
  <c r="E282" i="4"/>
  <c r="E328" i="4"/>
  <c r="E468" i="4"/>
  <c r="E903" i="4"/>
  <c r="E1289" i="4"/>
  <c r="E705" i="4"/>
  <c r="E1118" i="4"/>
  <c r="E77" i="4"/>
  <c r="E154" i="4"/>
  <c r="E582" i="4"/>
  <c r="E388" i="4"/>
  <c r="E1048" i="4"/>
  <c r="E624" i="4"/>
  <c r="E1155" i="4"/>
  <c r="E558" i="4"/>
  <c r="E518" i="4"/>
  <c r="E1327" i="4"/>
  <c r="E1030" i="4"/>
  <c r="E769" i="4"/>
  <c r="E1191" i="4"/>
  <c r="E541" i="4"/>
  <c r="E742" i="4"/>
  <c r="E1164" i="4"/>
  <c r="E451" i="4"/>
  <c r="E429" i="4"/>
  <c r="E1163" i="4"/>
  <c r="E1329" i="4"/>
  <c r="E1169" i="4"/>
  <c r="E1431" i="4"/>
  <c r="E931" i="4"/>
  <c r="E430" i="4"/>
  <c r="E1173" i="4"/>
  <c r="E491" i="4"/>
  <c r="E979" i="4"/>
  <c r="E362" i="4"/>
  <c r="E33" i="4"/>
  <c r="E34" i="4"/>
  <c r="E743" i="4"/>
  <c r="E492" i="4"/>
  <c r="E254" i="4"/>
  <c r="E829" i="4"/>
  <c r="E95" i="4"/>
  <c r="E493" i="4"/>
  <c r="E519" i="4"/>
  <c r="E350" i="4"/>
  <c r="E892" i="4"/>
  <c r="E1188" i="4"/>
  <c r="E571" i="4"/>
  <c r="E96" i="4"/>
  <c r="E232" i="4"/>
  <c r="E1049" i="4"/>
  <c r="E118" i="4"/>
  <c r="E1084" i="4"/>
  <c r="E283" i="4"/>
  <c r="E209" i="4"/>
  <c r="E1119" i="4"/>
  <c r="E431" i="4"/>
  <c r="E1464" i="4"/>
  <c r="E853" i="4"/>
  <c r="E301" i="4"/>
  <c r="E611" i="4"/>
  <c r="E1203" i="4"/>
  <c r="E112" i="4"/>
  <c r="E966" i="4"/>
  <c r="E1206" i="4"/>
  <c r="E1207" i="4"/>
  <c r="E706" i="4"/>
  <c r="E992" i="4"/>
  <c r="E744" i="4"/>
  <c r="E1063" i="4"/>
  <c r="E707" i="4"/>
  <c r="E1366" i="4"/>
  <c r="E1307" i="4"/>
  <c r="E1215" i="4"/>
  <c r="E190" i="4"/>
  <c r="E1387" i="4"/>
  <c r="E119" i="4"/>
  <c r="E1140" i="4"/>
  <c r="E1165" i="4"/>
  <c r="E97" i="4"/>
  <c r="E127" i="4"/>
  <c r="E839" i="4"/>
  <c r="E1224" i="4"/>
  <c r="E1225" i="4"/>
  <c r="E315" i="4"/>
  <c r="E596" i="4"/>
  <c r="E745" i="4"/>
  <c r="E583" i="4"/>
  <c r="E747" i="4"/>
  <c r="E687" i="4"/>
  <c r="E191" i="4"/>
  <c r="E494" i="4"/>
  <c r="E263" i="4"/>
  <c r="E1368" i="4"/>
  <c r="E155" i="4"/>
  <c r="E780" i="4"/>
  <c r="E1238" i="4"/>
  <c r="E1239" i="4"/>
  <c r="E967" i="4"/>
  <c r="E98" i="4"/>
  <c r="E302" i="4"/>
  <c r="E572" i="4"/>
  <c r="E1330" i="4"/>
  <c r="E264" i="4"/>
  <c r="E879" i="4"/>
  <c r="E469" i="4"/>
  <c r="E1248" i="4"/>
  <c r="E1101" i="4"/>
  <c r="E893" i="4"/>
  <c r="E1251" i="4"/>
  <c r="E1015" i="4"/>
  <c r="E192" i="4"/>
  <c r="E139" i="4"/>
  <c r="E1353" i="4"/>
  <c r="E932" i="4"/>
  <c r="E1257" i="4"/>
  <c r="E1086" i="4"/>
  <c r="E1259" i="4"/>
  <c r="E291" i="4"/>
  <c r="E470" i="4"/>
  <c r="E378" i="4"/>
  <c r="E1361" i="4"/>
  <c r="E1264" i="4"/>
  <c r="E472" i="4"/>
  <c r="E660" i="4"/>
  <c r="E1192" i="4"/>
  <c r="E1312" i="4"/>
  <c r="E303" i="4"/>
  <c r="E904" i="4"/>
  <c r="E63" i="4"/>
  <c r="E854" i="4"/>
  <c r="E1273" i="4"/>
  <c r="E1308" i="4"/>
  <c r="E1275" i="4"/>
  <c r="E1313" i="4"/>
  <c r="E1102" i="4"/>
  <c r="E330" i="4"/>
  <c r="E45" i="4"/>
  <c r="E1193" i="4"/>
  <c r="E1281" i="4"/>
  <c r="E114" i="4"/>
  <c r="E1283" i="4"/>
  <c r="E880" i="4"/>
  <c r="E832" i="4"/>
  <c r="E1354" i="4"/>
  <c r="E865" i="4"/>
  <c r="E503" i="4"/>
  <c r="E1316" i="4"/>
  <c r="E709" i="4"/>
  <c r="E193" i="4"/>
  <c r="E1292" i="4"/>
  <c r="E1293" i="4"/>
  <c r="E1194" i="4"/>
  <c r="E1103" i="4"/>
  <c r="E243" i="4"/>
  <c r="E1003" i="4"/>
  <c r="E1270" i="4"/>
  <c r="E1299" i="4"/>
  <c r="E1300" i="4"/>
  <c r="E849" i="4"/>
  <c r="E11" i="4"/>
  <c r="E969" i="4"/>
  <c r="E105" i="4"/>
  <c r="E1317" i="4"/>
  <c r="E1151" i="4"/>
  <c r="E316" i="4"/>
  <c r="E841" i="4"/>
  <c r="E735" i="4"/>
  <c r="E1195" i="4"/>
  <c r="E797" i="4"/>
  <c r="E1004" i="4"/>
  <c r="E612" i="4"/>
  <c r="E1314" i="4"/>
  <c r="E1315" i="4"/>
  <c r="E644" i="4"/>
  <c r="E1396" i="4"/>
  <c r="E559" i="4"/>
  <c r="E473" i="4"/>
  <c r="E1120" i="4"/>
  <c r="E432" i="4"/>
  <c r="E58" i="4"/>
  <c r="E584" i="4"/>
  <c r="E19" i="4"/>
  <c r="E911" i="4"/>
  <c r="E1178" i="4"/>
  <c r="E433" i="4"/>
  <c r="E1328" i="4"/>
  <c r="E980" i="4"/>
  <c r="E1121" i="4"/>
  <c r="E1255" i="4"/>
  <c r="E633" i="4"/>
  <c r="E757" i="4"/>
  <c r="E1334" i="4"/>
  <c r="E1335" i="4"/>
  <c r="E1196" i="4"/>
  <c r="E1469" i="4"/>
  <c r="E64" i="4"/>
  <c r="E1256" i="4"/>
  <c r="E1340" i="4"/>
  <c r="E1341" i="4"/>
  <c r="E1213" i="4"/>
  <c r="E78" i="4"/>
  <c r="E947" i="4"/>
  <c r="E389" i="4"/>
  <c r="E1258" i="4"/>
  <c r="E1470" i="4"/>
  <c r="E1245" i="4"/>
  <c r="E504" i="4"/>
  <c r="E867" i="4"/>
  <c r="E434" i="4"/>
  <c r="E1260" i="4"/>
  <c r="E970" i="4"/>
  <c r="E710" i="4"/>
  <c r="E1355" i="4"/>
  <c r="E1356" i="4"/>
  <c r="E344" i="4"/>
  <c r="E1412" i="4"/>
  <c r="E1388" i="4"/>
  <c r="E1331" i="4"/>
  <c r="E317" i="4"/>
  <c r="E645" i="4"/>
  <c r="E736" i="4"/>
  <c r="E345" i="4"/>
  <c r="E981" i="4"/>
  <c r="E1471" i="4"/>
  <c r="E1367" i="4"/>
  <c r="E816" i="4"/>
  <c r="E675" i="4"/>
  <c r="E304" i="4"/>
  <c r="E1371" i="4"/>
  <c r="E1451" i="4"/>
  <c r="E156" i="4"/>
  <c r="E305" i="4"/>
  <c r="E46" i="4"/>
  <c r="E1399" i="4"/>
  <c r="E1377" i="4"/>
  <c r="E37" i="4"/>
  <c r="E817" i="4"/>
  <c r="E20" i="4"/>
  <c r="E1381" i="4"/>
  <c r="E84" i="4"/>
  <c r="E1221" i="4"/>
  <c r="E598" i="4"/>
  <c r="E85" i="4"/>
  <c r="E912" i="4"/>
  <c r="E550" i="4"/>
  <c r="E1130" i="4"/>
  <c r="E115" i="4"/>
  <c r="E855" i="4"/>
  <c r="E87" i="4"/>
  <c r="E1392" i="4"/>
  <c r="E88" i="4"/>
  <c r="E971" i="4"/>
  <c r="E984" i="4"/>
  <c r="E89" i="4"/>
  <c r="E1397" i="4"/>
  <c r="E1398" i="4"/>
  <c r="E166" i="4"/>
  <c r="E676" i="4"/>
  <c r="E183" i="4"/>
  <c r="E21" i="4"/>
  <c r="E379" i="4"/>
  <c r="E474" i="4"/>
  <c r="E22" i="4"/>
  <c r="E551" i="4"/>
  <c r="E408" i="4"/>
  <c r="E1261" i="4"/>
  <c r="E985" i="4"/>
  <c r="E306" i="4"/>
  <c r="E531" i="4"/>
  <c r="E625" i="4"/>
  <c r="E116" i="4"/>
  <c r="E157" i="4"/>
  <c r="E599" i="4"/>
  <c r="E881" i="4"/>
  <c r="E1413" i="4"/>
  <c r="E307" i="4"/>
  <c r="E475" i="4"/>
  <c r="E585" i="4"/>
  <c r="E409" i="4"/>
  <c r="E933" i="4"/>
  <c r="E993" i="4"/>
  <c r="E986" i="4"/>
  <c r="E842" i="4"/>
  <c r="E1031" i="4"/>
  <c r="E688" i="4"/>
  <c r="E1290" i="4"/>
  <c r="E363" i="4"/>
  <c r="E1271" i="4"/>
  <c r="E601" i="4"/>
  <c r="E505" i="4"/>
  <c r="E210" i="4"/>
  <c r="E752" i="4"/>
  <c r="E1076" i="4"/>
  <c r="E59" i="4"/>
  <c r="E284" i="4"/>
  <c r="E1152" i="4"/>
  <c r="E79" i="4"/>
  <c r="E1440" i="4"/>
  <c r="E414" i="4"/>
  <c r="E140" i="4"/>
  <c r="E476" i="4"/>
  <c r="E1444" i="4"/>
  <c r="E1414" i="4"/>
  <c r="E1446" i="4"/>
  <c r="E1291" i="4"/>
  <c r="E758" i="4"/>
  <c r="E634" i="4"/>
  <c r="E1415" i="4"/>
  <c r="E1136" i="4"/>
  <c r="E1233" i="4"/>
  <c r="E689" i="4"/>
  <c r="E1454" i="4"/>
  <c r="E921" i="4"/>
  <c r="E477" i="4"/>
  <c r="E331" i="4"/>
  <c r="E520" i="4"/>
  <c r="E626" i="4"/>
  <c r="E1400" i="4"/>
  <c r="E332" i="4"/>
  <c r="E1141" i="4"/>
  <c r="E1463" i="4"/>
  <c r="E130" i="4"/>
  <c r="E318" i="4"/>
  <c r="E185" i="4"/>
  <c r="E1050" i="4"/>
  <c r="E818" i="4"/>
  <c r="E935" i="4"/>
  <c r="E950" i="4"/>
  <c r="E1442" i="4"/>
  <c r="E2" i="4"/>
  <c r="D882" i="4"/>
  <c r="D4" i="4"/>
  <c r="D1088" i="4"/>
  <c r="D801" i="4"/>
  <c r="D106" i="4"/>
  <c r="D65" i="4"/>
  <c r="D24" i="4"/>
  <c r="D602" i="4"/>
  <c r="D988" i="4"/>
  <c r="D922" i="4"/>
  <c r="D646" i="4"/>
  <c r="D804" i="4"/>
  <c r="D285" i="4"/>
  <c r="D16" i="4"/>
  <c r="D452" i="4"/>
  <c r="D415" i="4"/>
  <c r="D552" i="4"/>
  <c r="D418" i="4"/>
  <c r="D265" i="4"/>
  <c r="D1369" i="4"/>
  <c r="D23" i="4"/>
  <c r="D648" i="4"/>
  <c r="D135" i="4"/>
  <c r="D26" i="4"/>
  <c r="D737" i="4"/>
  <c r="D28" i="4"/>
  <c r="D738" i="4"/>
  <c r="D1104" i="4"/>
  <c r="D994" i="4"/>
  <c r="D868" i="4"/>
  <c r="D1416" i="4"/>
  <c r="D1179" i="4"/>
  <c r="D35" i="4"/>
  <c r="D36" i="4"/>
  <c r="D158" i="4"/>
  <c r="D38" i="4"/>
  <c r="D677" i="4"/>
  <c r="D507" i="4"/>
  <c r="D267" i="4"/>
  <c r="D1077" i="4"/>
  <c r="D268" i="4"/>
  <c r="D44" i="4"/>
  <c r="D805" i="4"/>
  <c r="D1016" i="4"/>
  <c r="D47" i="4"/>
  <c r="D308" i="4"/>
  <c r="D435" i="4"/>
  <c r="D856" i="4"/>
  <c r="D390" i="4"/>
  <c r="D52" i="4"/>
  <c r="D53" i="4"/>
  <c r="D436" i="4"/>
  <c r="D1379" i="4"/>
  <c r="D1142" i="4"/>
  <c r="D495" i="4"/>
  <c r="D1332" i="4"/>
  <c r="D1032" i="4"/>
  <c r="D1017" i="4"/>
  <c r="D120" i="4"/>
  <c r="D972" i="4"/>
  <c r="D39" i="4"/>
  <c r="D603" i="4"/>
  <c r="D1051" i="4"/>
  <c r="D1401" i="4"/>
  <c r="D1036" i="4"/>
  <c r="D613" i="4"/>
  <c r="D649" i="4"/>
  <c r="D292" i="4"/>
  <c r="D71" i="4"/>
  <c r="D843" i="4"/>
  <c r="D923" i="4"/>
  <c r="D692" i="4"/>
  <c r="D1389" i="4"/>
  <c r="D1089" i="4"/>
  <c r="D202" i="4"/>
  <c r="D478" i="4"/>
  <c r="D320" i="4"/>
  <c r="D905" i="4"/>
  <c r="D759" i="4"/>
  <c r="D321" i="4"/>
  <c r="D269" i="4"/>
  <c r="D25" i="4"/>
  <c r="D760" i="4"/>
  <c r="D1166" i="4"/>
  <c r="D1214" i="4"/>
  <c r="D573" i="4"/>
  <c r="D819" i="4"/>
  <c r="D60" i="4"/>
  <c r="D91" i="4"/>
  <c r="D66" i="4"/>
  <c r="D244" i="4"/>
  <c r="D936" i="4"/>
  <c r="D1417" i="4"/>
  <c r="D822" i="4"/>
  <c r="D586" i="4"/>
  <c r="D543" i="4"/>
  <c r="D1362" i="4"/>
  <c r="D1418" i="4"/>
  <c r="D159" i="4"/>
  <c r="D102" i="4"/>
  <c r="D309" i="4"/>
  <c r="D104" i="4"/>
  <c r="D1222" i="4"/>
  <c r="D753" i="4"/>
  <c r="D850" i="4"/>
  <c r="D770" i="4"/>
  <c r="D109" i="4"/>
  <c r="D27" i="4"/>
  <c r="D951" i="4"/>
  <c r="D604" i="4"/>
  <c r="D113" i="4"/>
  <c r="D1363" i="4"/>
  <c r="D783" i="4"/>
  <c r="D1037" i="4"/>
  <c r="D1131" i="4"/>
  <c r="D906" i="4"/>
  <c r="D186" i="4"/>
  <c r="D333" i="4"/>
  <c r="D410" i="4"/>
  <c r="D222" i="4"/>
  <c r="D1122" i="4"/>
  <c r="D124" i="4"/>
  <c r="D1272" i="4"/>
  <c r="D126" i="4"/>
  <c r="D784" i="4"/>
  <c r="D128" i="4"/>
  <c r="D129" i="4"/>
  <c r="D1234" i="4"/>
  <c r="D820" i="4"/>
  <c r="D712" i="4"/>
  <c r="D869" i="4"/>
  <c r="D134" i="4"/>
  <c r="D614" i="4"/>
  <c r="D1005" i="4"/>
  <c r="D693" i="4"/>
  <c r="D138" i="4"/>
  <c r="D588" i="4"/>
  <c r="D907" i="4"/>
  <c r="D167" i="4"/>
  <c r="D142" i="4"/>
  <c r="D351" i="4"/>
  <c r="D479" i="4"/>
  <c r="D1333" i="4"/>
  <c r="D334" i="4"/>
  <c r="D352" i="4"/>
  <c r="D48" i="4"/>
  <c r="D61" i="4"/>
  <c r="D223" i="4"/>
  <c r="D353" i="4"/>
  <c r="D650" i="4"/>
  <c r="D1052" i="4"/>
  <c r="D175" i="4"/>
  <c r="D785" i="4"/>
  <c r="D49" i="4"/>
  <c r="D806" i="4"/>
  <c r="D661" i="4"/>
  <c r="D203" i="4"/>
  <c r="D1078" i="4"/>
  <c r="D1080" i="4"/>
  <c r="D419" i="4"/>
  <c r="D1274" i="4"/>
  <c r="D480" i="4"/>
  <c r="D420" i="4"/>
  <c r="D1064" i="4"/>
  <c r="D739" i="4"/>
  <c r="D952" i="4"/>
  <c r="D1153" i="4"/>
  <c r="D786" i="4"/>
  <c r="D335" i="4"/>
  <c r="D1216" i="4"/>
  <c r="D173" i="4"/>
  <c r="D211" i="4"/>
  <c r="D364" i="4"/>
  <c r="D1419" i="4"/>
  <c r="D439" i="4"/>
  <c r="D694" i="4"/>
  <c r="D179" i="4"/>
  <c r="D1053" i="4"/>
  <c r="D714" i="4"/>
  <c r="D553" i="4"/>
  <c r="D1054" i="4"/>
  <c r="D184" i="4"/>
  <c r="D1246" i="4"/>
  <c r="D1276" i="4"/>
  <c r="D574" i="4"/>
  <c r="D1019" i="4"/>
  <c r="D245" i="4"/>
  <c r="D1223" i="4"/>
  <c r="D678" i="4"/>
  <c r="D204" i="4"/>
  <c r="D1123" i="4"/>
  <c r="D194" i="4"/>
  <c r="D270" i="4"/>
  <c r="D715" i="4"/>
  <c r="D635" i="4"/>
  <c r="D1154" i="4"/>
  <c r="D176" i="4"/>
  <c r="D141" i="4"/>
  <c r="D1452" i="4"/>
  <c r="D168" i="4"/>
  <c r="D1370" i="4"/>
  <c r="D391" i="4"/>
  <c r="D1167" i="4"/>
  <c r="D206" i="4"/>
  <c r="D207" i="4"/>
  <c r="D169" i="4"/>
  <c r="D160" i="4"/>
  <c r="D716" i="4"/>
  <c r="D346" i="4"/>
  <c r="D212" i="4"/>
  <c r="D1180" i="4"/>
  <c r="D107" i="4"/>
  <c r="D924" i="4"/>
  <c r="D216" i="4"/>
  <c r="D937" i="4"/>
  <c r="D218" i="4"/>
  <c r="D219" i="4"/>
  <c r="D1453" i="4"/>
  <c r="D953" i="4"/>
  <c r="D883" i="4"/>
  <c r="D205" i="4"/>
  <c r="D1090" i="4"/>
  <c r="D293" i="4"/>
  <c r="D195" i="4"/>
  <c r="D1197" i="4"/>
  <c r="D1039" i="4"/>
  <c r="D605" i="4"/>
  <c r="D3" i="4"/>
  <c r="D231" i="4"/>
  <c r="D1132" i="4"/>
  <c r="D1277" i="4"/>
  <c r="D787" i="4"/>
  <c r="D771" i="4"/>
  <c r="D236" i="4"/>
  <c r="D12" i="4"/>
  <c r="D238" i="4"/>
  <c r="D421" i="4"/>
  <c r="D788" i="4"/>
  <c r="D241" i="4"/>
  <c r="D224" i="4"/>
  <c r="D1235" i="4"/>
  <c r="D271" i="4"/>
  <c r="D884" i="4"/>
  <c r="D246" i="4"/>
  <c r="D1198" i="4"/>
  <c r="D521" i="4"/>
  <c r="D1318" i="4"/>
  <c r="D143" i="4"/>
  <c r="D1319" i="4"/>
  <c r="D252" i="4"/>
  <c r="D938" i="4"/>
  <c r="D1402" i="4"/>
  <c r="D1065" i="4"/>
  <c r="D90" i="4"/>
  <c r="D1262" i="4"/>
  <c r="D789" i="4"/>
  <c r="D790" i="4"/>
  <c r="D679" i="4"/>
  <c r="D261" i="4"/>
  <c r="D99" i="4"/>
  <c r="D392" i="4"/>
  <c r="D1380" i="4"/>
  <c r="D522" i="4"/>
  <c r="D266" i="4"/>
  <c r="D925" i="4"/>
  <c r="D1137" i="4"/>
  <c r="D761" i="4"/>
  <c r="D196" i="4"/>
  <c r="D1403" i="4"/>
  <c r="D197" i="4"/>
  <c r="D273" i="4"/>
  <c r="D1124" i="4"/>
  <c r="D857" i="4"/>
  <c r="D347" i="4"/>
  <c r="D1133" i="4"/>
  <c r="D576" i="4"/>
  <c r="D1364" i="4"/>
  <c r="D144" i="4"/>
  <c r="D755" i="4"/>
  <c r="D1294" i="4"/>
  <c r="D286" i="4"/>
  <c r="D1295" i="4"/>
  <c r="D393" i="4"/>
  <c r="D1091" i="4"/>
  <c r="D1296" i="4"/>
  <c r="D288" i="4"/>
  <c r="D995" i="4"/>
  <c r="D290" i="4"/>
  <c r="D523" i="4"/>
  <c r="D1465" i="4"/>
  <c r="D544" i="4"/>
  <c r="D870" i="4"/>
  <c r="D295" i="4"/>
  <c r="D1404" i="4"/>
  <c r="D422" i="4"/>
  <c r="D298" i="4"/>
  <c r="D1125" i="4"/>
  <c r="D823" i="4"/>
  <c r="D1181" i="4"/>
  <c r="D824" i="4"/>
  <c r="D1443" i="4"/>
  <c r="D1199" i="4"/>
  <c r="D680" i="4"/>
  <c r="D651" i="4"/>
  <c r="D1278" i="4"/>
  <c r="D1168" i="4"/>
  <c r="D13" i="4"/>
  <c r="D606" i="4"/>
  <c r="D871" i="4"/>
  <c r="D636" i="4"/>
  <c r="D287" i="4"/>
  <c r="D973" i="4"/>
  <c r="D440" i="4"/>
  <c r="D615" i="4"/>
  <c r="D272" i="4"/>
  <c r="D1247" i="4"/>
  <c r="D319" i="4"/>
  <c r="D233" i="4"/>
  <c r="D772" i="4"/>
  <c r="D80" i="4"/>
  <c r="D1006" i="4"/>
  <c r="D1263" i="4"/>
  <c r="D325" i="4"/>
  <c r="D1336" i="4"/>
  <c r="D86" i="4"/>
  <c r="D1217" i="4"/>
  <c r="D329" i="4"/>
  <c r="D255" i="4"/>
  <c r="D1420" i="4"/>
  <c r="D425" i="4"/>
  <c r="D939" i="4"/>
  <c r="D1040" i="4"/>
  <c r="D336" i="4"/>
  <c r="D637" i="4"/>
  <c r="D453" i="4"/>
  <c r="D338" i="4"/>
  <c r="D274" i="4"/>
  <c r="D807" i="4"/>
  <c r="D454" i="4"/>
  <c r="D81" i="4"/>
  <c r="D5" i="4"/>
  <c r="D808" i="4"/>
  <c r="D1421" i="4"/>
  <c r="D1007" i="4"/>
  <c r="D996" i="4"/>
  <c r="D617" i="4"/>
  <c r="D858" i="4"/>
  <c r="D974" i="4"/>
  <c r="D117" i="4"/>
  <c r="D381" i="4"/>
  <c r="D161" i="4"/>
  <c r="D496" i="4"/>
  <c r="D652" i="4"/>
  <c r="D872" i="4"/>
  <c r="D895" i="4"/>
  <c r="D618" i="4"/>
  <c r="D359" i="4"/>
  <c r="D1105" i="4"/>
  <c r="D532" i="4"/>
  <c r="D234" i="4"/>
  <c r="D1279" i="4"/>
  <c r="D337" i="4"/>
  <c r="D365" i="4"/>
  <c r="D225" i="4"/>
  <c r="D1297" i="4"/>
  <c r="D368" i="4"/>
  <c r="D187" i="4"/>
  <c r="D370" i="4"/>
  <c r="D394" i="4"/>
  <c r="D372" i="4"/>
  <c r="D1357" i="4"/>
  <c r="D619" i="4"/>
  <c r="D1066" i="4"/>
  <c r="D411" i="4"/>
  <c r="D1042" i="4"/>
  <c r="D67" i="4"/>
  <c r="D620" i="4"/>
  <c r="D380" i="4"/>
  <c r="D1372" i="4"/>
  <c r="D145" i="4"/>
  <c r="D366" i="4"/>
  <c r="D384" i="4"/>
  <c r="D1466" i="4"/>
  <c r="D1139" i="4"/>
  <c r="D387" i="4"/>
  <c r="D1055" i="4"/>
  <c r="D456" i="4"/>
  <c r="D681" i="4"/>
  <c r="D1280" i="4"/>
  <c r="D653" i="4"/>
  <c r="D825" i="4"/>
  <c r="D1067" i="4"/>
  <c r="D1390" i="4"/>
  <c r="D1467" i="4"/>
  <c r="D367" i="4"/>
  <c r="D369" i="4"/>
  <c r="D914" i="4"/>
  <c r="D247" i="4"/>
  <c r="D1309" i="4"/>
  <c r="D1282" i="4"/>
  <c r="D1382" i="4"/>
  <c r="D1068" i="4"/>
  <c r="D896" i="4"/>
  <c r="D997" i="4"/>
  <c r="D407" i="4"/>
  <c r="D748" i="4"/>
  <c r="D717" i="4"/>
  <c r="D1422" i="4"/>
  <c r="D6" i="4"/>
  <c r="D1043" i="4"/>
  <c r="D1156" i="4"/>
  <c r="D1320" i="4"/>
  <c r="D508" i="4"/>
  <c r="D416" i="4"/>
  <c r="D417" i="4"/>
  <c r="D663" i="4"/>
  <c r="D1249" i="4"/>
  <c r="D68" i="4"/>
  <c r="D1358" i="4"/>
  <c r="D916" i="4"/>
  <c r="D423" i="4"/>
  <c r="D424" i="4"/>
  <c r="D1200" i="4"/>
  <c r="D792" i="4"/>
  <c r="D1134" i="4"/>
  <c r="D40" i="4"/>
  <c r="D762" i="4"/>
  <c r="D773" i="4"/>
  <c r="D654" i="4"/>
  <c r="D457" i="4"/>
  <c r="D395" i="4"/>
  <c r="D524" i="4"/>
  <c r="D226" i="4"/>
  <c r="D666" i="4"/>
  <c r="D437" i="4"/>
  <c r="D438" i="4"/>
  <c r="D1455" i="4"/>
  <c r="D718" i="4"/>
  <c r="D441" i="4"/>
  <c r="D442" i="4"/>
  <c r="D412" i="4"/>
  <c r="D667" i="4"/>
  <c r="D445" i="4"/>
  <c r="D92" i="4"/>
  <c r="D235" i="4"/>
  <c r="D1092" i="4"/>
  <c r="D1069" i="4"/>
  <c r="D719" i="4"/>
  <c r="D322" i="4"/>
  <c r="D696" i="4"/>
  <c r="D1020" i="4"/>
  <c r="D443" i="4"/>
  <c r="D455" i="4"/>
  <c r="D483" i="4"/>
  <c r="D918" i="4"/>
  <c r="D545" i="4"/>
  <c r="D459" i="4"/>
  <c r="D1218" i="4"/>
  <c r="D29" i="4"/>
  <c r="D1106" i="4"/>
  <c r="D509" i="4"/>
  <c r="D1265" i="4"/>
  <c r="D465" i="4"/>
  <c r="D1284" i="4"/>
  <c r="D560" i="4"/>
  <c r="D1170" i="4"/>
  <c r="D1266" i="4"/>
  <c r="D354" i="4"/>
  <c r="D471" i="4"/>
  <c r="D339" i="4"/>
  <c r="D1434" i="4"/>
  <c r="D525" i="4"/>
  <c r="D41" i="4"/>
  <c r="D874" i="4"/>
  <c r="D834" i="4"/>
  <c r="D682" i="4"/>
  <c r="D136" i="4"/>
  <c r="D213" i="4"/>
  <c r="D481" i="4"/>
  <c r="D482" i="4"/>
  <c r="D765" i="4"/>
  <c r="D484" i="4"/>
  <c r="D1143" i="4"/>
  <c r="D310" i="4"/>
  <c r="D1337" i="4"/>
  <c r="D444" i="4"/>
  <c r="D1383" i="4"/>
  <c r="D698" i="4"/>
  <c r="D897" i="4"/>
  <c r="D908" i="4"/>
  <c r="D940" i="4"/>
  <c r="D275" i="4"/>
  <c r="D323" i="4"/>
  <c r="D214" i="4"/>
  <c r="D497" i="4"/>
  <c r="D589" i="4"/>
  <c r="D340" i="4"/>
  <c r="D1338" i="4"/>
  <c r="D670" i="4"/>
  <c r="D498" i="4"/>
  <c r="D30" i="4"/>
  <c r="D341" i="4"/>
  <c r="D1423" i="4"/>
  <c r="D506" i="4"/>
  <c r="D248" i="4"/>
  <c r="D485" i="4"/>
  <c r="D885" i="4"/>
  <c r="D699" i="4"/>
  <c r="D1424" i="4"/>
  <c r="D998" i="4"/>
  <c r="D590" i="4"/>
  <c r="D956" i="4"/>
  <c r="D515" i="4"/>
  <c r="D516" i="4"/>
  <c r="D486" i="4"/>
  <c r="D1144" i="4"/>
  <c r="D1021" i="4"/>
  <c r="D1405" i="4"/>
  <c r="D1000" i="4"/>
  <c r="D1145" i="4"/>
  <c r="D835" i="4"/>
  <c r="D355" i="4"/>
  <c r="D31" i="4"/>
  <c r="D1022" i="4"/>
  <c r="D527" i="4"/>
  <c r="D1250" i="4"/>
  <c r="D458" i="4"/>
  <c r="D530" i="4"/>
  <c r="D1365" i="4"/>
  <c r="D311" i="4"/>
  <c r="D1157" i="4"/>
  <c r="D1158" i="4"/>
  <c r="D1093" i="4"/>
  <c r="D42" i="4"/>
  <c r="D371" i="4"/>
  <c r="D926" i="4"/>
  <c r="D1159" i="4"/>
  <c r="D740" i="4"/>
  <c r="D121" i="4"/>
  <c r="D542" i="4"/>
  <c r="D720" i="4"/>
  <c r="D69" i="4"/>
  <c r="D1406" i="4"/>
  <c r="D460" i="4"/>
  <c r="D1236" i="4"/>
  <c r="D1310" i="4"/>
  <c r="D549" i="4"/>
  <c r="D957" i="4"/>
  <c r="D1126" i="4"/>
  <c r="D1107" i="4"/>
  <c r="D215" i="4"/>
  <c r="D561" i="4"/>
  <c r="D766" i="4"/>
  <c r="D1456" i="4"/>
  <c r="D1321" i="4"/>
  <c r="D1182" i="4"/>
  <c r="D836" i="4"/>
  <c r="D875" i="4"/>
  <c r="D188" i="4"/>
  <c r="D487" i="4"/>
  <c r="D672" i="4"/>
  <c r="D564" i="4"/>
  <c r="D177" i="4"/>
  <c r="D170" i="4"/>
  <c r="D1322" i="4"/>
  <c r="D568" i="4"/>
  <c r="D1146" i="4"/>
  <c r="D570" i="4"/>
  <c r="D294" i="4"/>
  <c r="D1109" i="4"/>
  <c r="D639" i="4"/>
  <c r="D1339" i="4"/>
  <c r="D575" i="4"/>
  <c r="D721" i="4"/>
  <c r="D413" i="4"/>
  <c r="D1183" i="4"/>
  <c r="D237" i="4"/>
  <c r="D446" i="4"/>
  <c r="D70" i="4"/>
  <c r="D447" i="4"/>
  <c r="D1044" i="4"/>
  <c r="D1298" i="4"/>
  <c r="D348" i="4"/>
  <c r="D1081" i="4"/>
  <c r="D587" i="4"/>
  <c r="D1285" i="4"/>
  <c r="D108" i="4"/>
  <c r="D1342" i="4"/>
  <c r="D591" i="4"/>
  <c r="D256" i="4"/>
  <c r="D593" i="4"/>
  <c r="D546" i="4"/>
  <c r="D1301" i="4"/>
  <c r="D826" i="4"/>
  <c r="D597" i="4"/>
  <c r="D1160" i="4"/>
  <c r="D547" i="4"/>
  <c r="D600" i="4"/>
  <c r="D93" i="4"/>
  <c r="D100" i="4"/>
  <c r="D382" i="4"/>
  <c r="D845" i="4"/>
  <c r="D7" i="4"/>
  <c r="D1056" i="4"/>
  <c r="D749" i="4"/>
  <c r="D289" i="4"/>
  <c r="D609" i="4"/>
  <c r="D610" i="4"/>
  <c r="D860" i="4"/>
  <c r="D131" i="4"/>
  <c r="D1094" i="4"/>
  <c r="D876" i="4"/>
  <c r="D1184" i="4"/>
  <c r="D616" i="4"/>
  <c r="D171" i="4"/>
  <c r="D1445" i="4"/>
  <c r="D958" i="4"/>
  <c r="D1201" i="4"/>
  <c r="D1457" i="4"/>
  <c r="D959" i="4"/>
  <c r="D257" i="4"/>
  <c r="D886" i="4"/>
  <c r="D943" i="4"/>
  <c r="D1323" i="4"/>
  <c r="D312" i="4"/>
  <c r="D8" i="4"/>
  <c r="D146" i="4"/>
  <c r="D944" i="4"/>
  <c r="D1202" i="4"/>
  <c r="D396" i="4"/>
  <c r="D723" i="4"/>
  <c r="D178" i="4"/>
  <c r="D827" i="4"/>
  <c r="D861" i="4"/>
  <c r="D1391" i="4"/>
  <c r="D638" i="4"/>
  <c r="D724" i="4"/>
  <c r="D198" i="4"/>
  <c r="D673" i="4"/>
  <c r="D960" i="4"/>
  <c r="D1359" i="4"/>
  <c r="D683" i="4"/>
  <c r="D684" i="4"/>
  <c r="D324" i="4"/>
  <c r="D647" i="4"/>
  <c r="D1343" i="4"/>
  <c r="D562" i="4"/>
  <c r="D1024" i="4"/>
  <c r="D640" i="4"/>
  <c r="D488" i="4"/>
  <c r="D50" i="4"/>
  <c r="D397" i="4"/>
  <c r="D863" i="4"/>
  <c r="D132" i="4"/>
  <c r="D258" i="4"/>
  <c r="D658" i="4"/>
  <c r="D1267" i="4"/>
  <c r="D448" i="4"/>
  <c r="D1432" i="4"/>
  <c r="D662" i="4"/>
  <c r="D1025" i="4"/>
  <c r="D664" i="4"/>
  <c r="D665" i="4"/>
  <c r="D1204" i="4"/>
  <c r="D1205" i="4"/>
  <c r="D668" i="4"/>
  <c r="D669" i="4"/>
  <c r="D1001" i="4"/>
  <c r="D671" i="4"/>
  <c r="D1252" i="4"/>
  <c r="D356" i="4"/>
  <c r="D1447" i="4"/>
  <c r="D1171" i="4"/>
  <c r="D1468" i="4"/>
  <c r="D975" i="4"/>
  <c r="D1458" i="4"/>
  <c r="D961" i="4"/>
  <c r="D383" i="4"/>
  <c r="D51" i="4"/>
  <c r="D577" i="4"/>
  <c r="D1135" i="4"/>
  <c r="D82" i="4"/>
  <c r="D685" i="4"/>
  <c r="D449" i="4"/>
  <c r="D533" i="4"/>
  <c r="D592" i="4"/>
  <c r="D296" i="4"/>
  <c r="D690" i="4"/>
  <c r="D691" i="4"/>
  <c r="D1425" i="4"/>
  <c r="D54" i="4"/>
  <c r="D349" i="4"/>
  <c r="D695" i="4"/>
  <c r="D1045" i="4"/>
  <c r="D697" i="4"/>
  <c r="D898" i="4"/>
  <c r="D1071" i="4"/>
  <c r="D72" i="4"/>
  <c r="D774" i="4"/>
  <c r="D702" i="4"/>
  <c r="D1426" i="4"/>
  <c r="D1344" i="4"/>
  <c r="D1435" i="4"/>
  <c r="D1311" i="4"/>
  <c r="D276" i="4"/>
  <c r="D708" i="4"/>
  <c r="D578" i="4"/>
  <c r="D239" i="4"/>
  <c r="D711" i="4"/>
  <c r="D217" i="4"/>
  <c r="D713" i="4"/>
  <c r="D655" i="4"/>
  <c r="D621" i="4"/>
  <c r="D725" i="4"/>
  <c r="D73" i="4"/>
  <c r="D1082" i="4"/>
  <c r="D180" i="4"/>
  <c r="D607" i="4"/>
  <c r="D767" i="4"/>
  <c r="D722" i="4"/>
  <c r="D227" i="4"/>
  <c r="D1448" i="4"/>
  <c r="D579" i="4"/>
  <c r="D1226" i="4"/>
  <c r="D727" i="4"/>
  <c r="D228" i="4"/>
  <c r="D1010" i="4"/>
  <c r="D846" i="4"/>
  <c r="D326" i="4"/>
  <c r="D1393" i="4"/>
  <c r="D733" i="4"/>
  <c r="D734" i="4"/>
  <c r="D489" i="4"/>
  <c r="D1237" i="4"/>
  <c r="D1172" i="4"/>
  <c r="D297" i="4"/>
  <c r="D809" i="4"/>
  <c r="D249" i="4"/>
  <c r="D461" i="4"/>
  <c r="D220" i="4"/>
  <c r="D14" i="4"/>
  <c r="D1268" i="4"/>
  <c r="D1449" i="4"/>
  <c r="D746" i="4"/>
  <c r="D1345" i="4"/>
  <c r="D1147" i="4"/>
  <c r="D810" i="4"/>
  <c r="D750" i="4"/>
  <c r="D751" i="4"/>
  <c r="D656" i="4"/>
  <c r="D756" i="4"/>
  <c r="D754" i="4"/>
  <c r="D510" i="4"/>
  <c r="D877" i="4"/>
  <c r="D1436" i="4"/>
  <c r="D162" i="4"/>
  <c r="D373" i="4"/>
  <c r="D887" i="4"/>
  <c r="D277" i="4"/>
  <c r="D1161" i="4"/>
  <c r="D763" i="4"/>
  <c r="D764" i="4"/>
  <c r="D563" i="4"/>
  <c r="D1208" i="4"/>
  <c r="D1427" i="4"/>
  <c r="D163" i="4"/>
  <c r="D133" i="4"/>
  <c r="D1450" i="4"/>
  <c r="D726" i="4"/>
  <c r="D1428" i="4"/>
  <c r="D398" i="4"/>
  <c r="D1011" i="4"/>
  <c r="D962" i="4"/>
  <c r="D342" i="4"/>
  <c r="D627" i="4"/>
  <c r="D778" i="4"/>
  <c r="D779" i="4"/>
  <c r="D250" i="4"/>
  <c r="D781" i="4"/>
  <c r="D782" i="4"/>
  <c r="D462" i="4"/>
  <c r="D828" i="4"/>
  <c r="D1110" i="4"/>
  <c r="D526" i="4"/>
  <c r="D374" i="4"/>
  <c r="D147" i="4"/>
  <c r="D945" i="4"/>
  <c r="D795" i="4"/>
  <c r="D791" i="4"/>
  <c r="D55" i="4"/>
  <c r="D793" i="4"/>
  <c r="D794" i="4"/>
  <c r="D534" i="4"/>
  <c r="D1162" i="4"/>
  <c r="D511" i="4"/>
  <c r="D798" i="4"/>
  <c r="D799" i="4"/>
  <c r="D800" i="4"/>
  <c r="D548" i="4"/>
  <c r="D802" i="4"/>
  <c r="D803" i="4"/>
  <c r="D221" i="4"/>
  <c r="D811" i="4"/>
  <c r="D812" i="4"/>
  <c r="D641" i="4"/>
  <c r="D15" i="4"/>
  <c r="D1346" i="4"/>
  <c r="D229" i="4"/>
  <c r="D1433" i="4"/>
  <c r="D741" i="4"/>
  <c r="D674" i="4"/>
  <c r="D1384" i="4"/>
  <c r="D815" i="4"/>
  <c r="D1111" i="4"/>
  <c r="D251" i="4"/>
  <c r="D837" i="4"/>
  <c r="D1437" i="4"/>
  <c r="D528" i="4"/>
  <c r="D775" i="4"/>
  <c r="D1459" i="4"/>
  <c r="D1460" i="4"/>
  <c r="D554" i="4"/>
  <c r="D888" i="4"/>
  <c r="D535" i="4"/>
  <c r="D199" i="4"/>
  <c r="D1227" i="4"/>
  <c r="D976" i="4"/>
  <c r="D830" i="4"/>
  <c r="D831" i="4"/>
  <c r="D899" i="4"/>
  <c r="D833" i="4"/>
  <c r="D1461" i="4"/>
  <c r="D122" i="4"/>
  <c r="D728" i="4"/>
  <c r="D189" i="4"/>
  <c r="D838" i="4"/>
  <c r="D1385" i="4"/>
  <c r="D840" i="4"/>
  <c r="D1115" i="4"/>
  <c r="D1095" i="4"/>
  <c r="D463" i="4"/>
  <c r="D844" i="4"/>
  <c r="D357" i="4"/>
  <c r="D1269" i="4"/>
  <c r="D1127" i="4"/>
  <c r="D813" i="4"/>
  <c r="D1128" i="4"/>
  <c r="D1407" i="4"/>
  <c r="D851" i="4"/>
  <c r="D17" i="4"/>
  <c r="D1240" i="4"/>
  <c r="D594" i="4"/>
  <c r="D536" i="4"/>
  <c r="D700" i="4"/>
  <c r="D1408" i="4"/>
  <c r="D512" i="4"/>
  <c r="D859" i="4"/>
  <c r="D1409" i="4"/>
  <c r="D889" i="4"/>
  <c r="D862" i="4"/>
  <c r="D776" i="4"/>
  <c r="D729" i="4"/>
  <c r="D622" i="4"/>
  <c r="D866" i="4"/>
  <c r="D375" i="4"/>
  <c r="D730" i="4"/>
  <c r="D1046" i="4"/>
  <c r="D1253" i="4"/>
  <c r="D1096" i="4"/>
  <c r="D1129" i="4"/>
  <c r="D873" i="4"/>
  <c r="D1438" i="4"/>
  <c r="D900" i="4"/>
  <c r="D847" i="4"/>
  <c r="D399" i="4"/>
  <c r="D400" i="4"/>
  <c r="D208" i="4"/>
  <c r="D628" i="4"/>
  <c r="D327" i="4"/>
  <c r="D74" i="4"/>
  <c r="D56" i="4"/>
  <c r="D1072" i="4"/>
  <c r="D537" i="4"/>
  <c r="D148" i="4"/>
  <c r="D963" i="4"/>
  <c r="D313" i="4"/>
  <c r="D1097" i="4"/>
  <c r="D1324" i="4"/>
  <c r="D1228" i="4"/>
  <c r="D1098" i="4"/>
  <c r="D1209" i="4"/>
  <c r="D894" i="4"/>
  <c r="D499" i="4"/>
  <c r="D240" i="4"/>
  <c r="D701" i="4"/>
  <c r="D989" i="4"/>
  <c r="D901" i="4"/>
  <c r="D1373" i="4"/>
  <c r="D358" i="4"/>
  <c r="D538" i="4"/>
  <c r="D1439" i="4"/>
  <c r="D110" i="4"/>
  <c r="D513" i="4"/>
  <c r="D927" i="4"/>
  <c r="D1073" i="4"/>
  <c r="D426" i="4"/>
  <c r="D75" i="4"/>
  <c r="D149" i="4"/>
  <c r="D1360" i="4"/>
  <c r="D1286" i="4"/>
  <c r="D913" i="4"/>
  <c r="D657" i="4"/>
  <c r="D915" i="4"/>
  <c r="D1229" i="4"/>
  <c r="D917" i="4"/>
  <c r="D909" i="4"/>
  <c r="D565" i="4"/>
  <c r="D1325" i="4"/>
  <c r="D642" i="4"/>
  <c r="D1099" i="4"/>
  <c r="D1230" i="4"/>
  <c r="D500" i="4"/>
  <c r="D1148" i="4"/>
  <c r="D529" i="4"/>
  <c r="D566" i="4"/>
  <c r="D123" i="4"/>
  <c r="D464" i="4"/>
  <c r="D930" i="4"/>
  <c r="D1026" i="4"/>
  <c r="D1116" i="4"/>
  <c r="D450" i="4"/>
  <c r="D934" i="4"/>
  <c r="D514" i="4"/>
  <c r="D401" i="4"/>
  <c r="D539" i="4"/>
  <c r="D1185" i="4"/>
  <c r="D990" i="4"/>
  <c r="D242" i="4"/>
  <c r="D941" i="4"/>
  <c r="D942" i="4"/>
  <c r="D259" i="4"/>
  <c r="D1394" i="4"/>
  <c r="D181" i="4"/>
  <c r="D385" i="4"/>
  <c r="D182" i="4"/>
  <c r="D948" i="4"/>
  <c r="D949" i="4"/>
  <c r="D1057" i="4"/>
  <c r="D1302" i="4"/>
  <c r="D1410" i="4"/>
  <c r="D402" i="4"/>
  <c r="D954" i="4"/>
  <c r="D955" i="4"/>
  <c r="D403" i="4"/>
  <c r="D466" i="4"/>
  <c r="D919" i="4"/>
  <c r="D1395" i="4"/>
  <c r="D1074" i="4"/>
  <c r="D9" i="4"/>
  <c r="D1012" i="4"/>
  <c r="D1075" i="4"/>
  <c r="D878" i="4"/>
  <c r="D278" i="4"/>
  <c r="D1347" i="4"/>
  <c r="D1013" i="4"/>
  <c r="D968" i="4"/>
  <c r="D427" i="4"/>
  <c r="D428" i="4"/>
  <c r="D467" i="4"/>
  <c r="D1241" i="4"/>
  <c r="D928" i="4"/>
  <c r="D1374" i="4"/>
  <c r="D796" i="4"/>
  <c r="D1429" i="4"/>
  <c r="D977" i="4"/>
  <c r="D890" i="4"/>
  <c r="D230" i="4"/>
  <c r="D200" i="4"/>
  <c r="D703" i="4"/>
  <c r="D982" i="4"/>
  <c r="D983" i="4"/>
  <c r="D1287" i="4"/>
  <c r="D101" i="4"/>
  <c r="D260" i="4"/>
  <c r="D987" i="4"/>
  <c r="D404" i="4"/>
  <c r="D1100" i="4"/>
  <c r="D1210" i="4"/>
  <c r="D1411" i="4"/>
  <c r="D1083" i="4"/>
  <c r="D1303" i="4"/>
  <c r="D1348" i="4"/>
  <c r="D1174" i="4"/>
  <c r="D125" i="4"/>
  <c r="D891" i="4"/>
  <c r="D137" i="4"/>
  <c r="D999" i="4"/>
  <c r="D343" i="4"/>
  <c r="D405" i="4"/>
  <c r="D1288" i="4"/>
  <c r="D555" i="4"/>
  <c r="D595" i="4"/>
  <c r="D929" i="4"/>
  <c r="D501" i="4"/>
  <c r="D1149" i="4"/>
  <c r="D1008" i="4"/>
  <c r="D1009" i="4"/>
  <c r="D540" i="4"/>
  <c r="D150" i="4"/>
  <c r="D299" i="4"/>
  <c r="D502" i="4"/>
  <c r="D1014" i="4"/>
  <c r="D376" i="4"/>
  <c r="D1375" i="4"/>
  <c r="D1242" i="4"/>
  <c r="D1018" i="4"/>
  <c r="D821" i="4"/>
  <c r="D608" i="4"/>
  <c r="D1175" i="4"/>
  <c r="D1211" i="4"/>
  <c r="D1023" i="4"/>
  <c r="D768" i="4"/>
  <c r="D360" i="4"/>
  <c r="D300" i="4"/>
  <c r="D1231" i="4"/>
  <c r="D920" i="4"/>
  <c r="D629" i="4"/>
  <c r="D1186" i="4"/>
  <c r="D1326" i="4"/>
  <c r="D852" i="4"/>
  <c r="D1033" i="4"/>
  <c r="D1034" i="4"/>
  <c r="D1035" i="4"/>
  <c r="D1176" i="4"/>
  <c r="D864" i="4"/>
  <c r="D1038" i="4"/>
  <c r="D1027" i="4"/>
  <c r="D556" i="4"/>
  <c r="D1041" i="4"/>
  <c r="D1028" i="4"/>
  <c r="D517" i="4"/>
  <c r="D1187" i="4"/>
  <c r="D1117" i="4"/>
  <c r="D103" i="4"/>
  <c r="D1349" i="4"/>
  <c r="D172" i="4"/>
  <c r="D1219" i="4"/>
  <c r="D1254" i="4"/>
  <c r="D991" i="4"/>
  <c r="D1350" i="4"/>
  <c r="D1002" i="4"/>
  <c r="D580" i="4"/>
  <c r="D686" i="4"/>
  <c r="D1232" i="4"/>
  <c r="D1212" i="4"/>
  <c r="D1058" i="4"/>
  <c r="D1059" i="4"/>
  <c r="D1060" i="4"/>
  <c r="D1441" i="4"/>
  <c r="D1062" i="4"/>
  <c r="D1189" i="4"/>
  <c r="D567" i="4"/>
  <c r="D151" i="4"/>
  <c r="D1220" i="4"/>
  <c r="D1304" i="4"/>
  <c r="D630" i="4"/>
  <c r="D152" i="4"/>
  <c r="D1070" i="4"/>
  <c r="D1351" i="4"/>
  <c r="D964" i="4"/>
  <c r="D1305" i="4"/>
  <c r="D1061" i="4"/>
  <c r="D623" i="4"/>
  <c r="D946" i="4"/>
  <c r="D581" i="4"/>
  <c r="D111" i="4"/>
  <c r="D1079" i="4"/>
  <c r="D1306" i="4"/>
  <c r="D279" i="4"/>
  <c r="D1150" i="4"/>
  <c r="D557" i="4"/>
  <c r="D1376" i="4"/>
  <c r="D1085" i="4"/>
  <c r="D164" i="4"/>
  <c r="D1087" i="4"/>
  <c r="D631" i="4"/>
  <c r="D848" i="4"/>
  <c r="D1352" i="4"/>
  <c r="D386" i="4"/>
  <c r="D94" i="4"/>
  <c r="D406" i="4"/>
  <c r="D1378" i="4"/>
  <c r="D910" i="4"/>
  <c r="D174" i="4"/>
  <c r="D153" i="4"/>
  <c r="D280" i="4"/>
  <c r="D965" i="4"/>
  <c r="D314" i="4"/>
  <c r="D165" i="4"/>
  <c r="D62" i="4"/>
  <c r="D253" i="4"/>
  <c r="D731" i="4"/>
  <c r="D1243" i="4"/>
  <c r="D10" i="4"/>
  <c r="D1029" i="4"/>
  <c r="D1108" i="4"/>
  <c r="D377" i="4"/>
  <c r="D777" i="4"/>
  <c r="D1430" i="4"/>
  <c r="D1112" i="4"/>
  <c r="D1113" i="4"/>
  <c r="D1114" i="4"/>
  <c r="D732" i="4"/>
  <c r="D83" i="4"/>
  <c r="D1047" i="4"/>
  <c r="D659" i="4"/>
  <c r="D978" i="4"/>
  <c r="D76" i="4"/>
  <c r="D704" i="4"/>
  <c r="D569" i="4"/>
  <c r="D32" i="4"/>
  <c r="D201" i="4"/>
  <c r="D43" i="4"/>
  <c r="D490" i="4"/>
  <c r="D1190" i="4"/>
  <c r="D262" i="4"/>
  <c r="D57" i="4"/>
  <c r="D632" i="4"/>
  <c r="D1244" i="4"/>
  <c r="D1462" i="4"/>
  <c r="D1177" i="4"/>
  <c r="D361" i="4"/>
  <c r="D18" i="4"/>
  <c r="D643" i="4"/>
  <c r="D902" i="4"/>
  <c r="D1138" i="4"/>
  <c r="D1386" i="4"/>
  <c r="D281" i="4"/>
  <c r="D814" i="4"/>
  <c r="D282" i="4"/>
  <c r="D328" i="4"/>
  <c r="D468" i="4"/>
  <c r="D903" i="4"/>
  <c r="D1289" i="4"/>
  <c r="D705" i="4"/>
  <c r="D1118" i="4"/>
  <c r="D77" i="4"/>
  <c r="D154" i="4"/>
  <c r="D582" i="4"/>
  <c r="D388" i="4"/>
  <c r="D1048" i="4"/>
  <c r="D624" i="4"/>
  <c r="D1155" i="4"/>
  <c r="D558" i="4"/>
  <c r="D518" i="4"/>
  <c r="D1327" i="4"/>
  <c r="D1030" i="4"/>
  <c r="D769" i="4"/>
  <c r="D1191" i="4"/>
  <c r="D541" i="4"/>
  <c r="D742" i="4"/>
  <c r="D1164" i="4"/>
  <c r="D451" i="4"/>
  <c r="D429" i="4"/>
  <c r="D1163" i="4"/>
  <c r="D1329" i="4"/>
  <c r="D1169" i="4"/>
  <c r="D1431" i="4"/>
  <c r="D931" i="4"/>
  <c r="D430" i="4"/>
  <c r="D1173" i="4"/>
  <c r="D491" i="4"/>
  <c r="D979" i="4"/>
  <c r="D362" i="4"/>
  <c r="D33" i="4"/>
  <c r="D34" i="4"/>
  <c r="D743" i="4"/>
  <c r="D492" i="4"/>
  <c r="D254" i="4"/>
  <c r="D829" i="4"/>
  <c r="D95" i="4"/>
  <c r="D493" i="4"/>
  <c r="D519" i="4"/>
  <c r="D350" i="4"/>
  <c r="D892" i="4"/>
  <c r="D1188" i="4"/>
  <c r="D571" i="4"/>
  <c r="D96" i="4"/>
  <c r="D232" i="4"/>
  <c r="D1049" i="4"/>
  <c r="D118" i="4"/>
  <c r="D1084" i="4"/>
  <c r="D283" i="4"/>
  <c r="D209" i="4"/>
  <c r="D1119" i="4"/>
  <c r="D431" i="4"/>
  <c r="D1464" i="4"/>
  <c r="D853" i="4"/>
  <c r="D301" i="4"/>
  <c r="D611" i="4"/>
  <c r="D1203" i="4"/>
  <c r="D112" i="4"/>
  <c r="D966" i="4"/>
  <c r="D1206" i="4"/>
  <c r="D1207" i="4"/>
  <c r="D706" i="4"/>
  <c r="D992" i="4"/>
  <c r="D744" i="4"/>
  <c r="D1063" i="4"/>
  <c r="D707" i="4"/>
  <c r="D1366" i="4"/>
  <c r="D1307" i="4"/>
  <c r="D1215" i="4"/>
  <c r="D190" i="4"/>
  <c r="D1387" i="4"/>
  <c r="D119" i="4"/>
  <c r="D1140" i="4"/>
  <c r="D1165" i="4"/>
  <c r="D97" i="4"/>
  <c r="D127" i="4"/>
  <c r="D839" i="4"/>
  <c r="D1224" i="4"/>
  <c r="D1225" i="4"/>
  <c r="D315" i="4"/>
  <c r="D596" i="4"/>
  <c r="D745" i="4"/>
  <c r="D583" i="4"/>
  <c r="D747" i="4"/>
  <c r="D687" i="4"/>
  <c r="D191" i="4"/>
  <c r="D494" i="4"/>
  <c r="D263" i="4"/>
  <c r="D1368" i="4"/>
  <c r="D155" i="4"/>
  <c r="D780" i="4"/>
  <c r="D1238" i="4"/>
  <c r="D1239" i="4"/>
  <c r="D967" i="4"/>
  <c r="D98" i="4"/>
  <c r="D302" i="4"/>
  <c r="D572" i="4"/>
  <c r="D1330" i="4"/>
  <c r="D264" i="4"/>
  <c r="D879" i="4"/>
  <c r="D469" i="4"/>
  <c r="D1248" i="4"/>
  <c r="D1101" i="4"/>
  <c r="D893" i="4"/>
  <c r="D1251" i="4"/>
  <c r="D1015" i="4"/>
  <c r="D192" i="4"/>
  <c r="D139" i="4"/>
  <c r="D1353" i="4"/>
  <c r="D932" i="4"/>
  <c r="D1257" i="4"/>
  <c r="D1086" i="4"/>
  <c r="D1259" i="4"/>
  <c r="D291" i="4"/>
  <c r="D470" i="4"/>
  <c r="D378" i="4"/>
  <c r="D1361" i="4"/>
  <c r="D1264" i="4"/>
  <c r="D472" i="4"/>
  <c r="D660" i="4"/>
  <c r="D1192" i="4"/>
  <c r="D1312" i="4"/>
  <c r="D303" i="4"/>
  <c r="D904" i="4"/>
  <c r="D63" i="4"/>
  <c r="D854" i="4"/>
  <c r="D1273" i="4"/>
  <c r="D1308" i="4"/>
  <c r="D1275" i="4"/>
  <c r="D1313" i="4"/>
  <c r="D1102" i="4"/>
  <c r="D330" i="4"/>
  <c r="D45" i="4"/>
  <c r="D1193" i="4"/>
  <c r="D1281" i="4"/>
  <c r="D114" i="4"/>
  <c r="D1283" i="4"/>
  <c r="D880" i="4"/>
  <c r="D832" i="4"/>
  <c r="D1354" i="4"/>
  <c r="D865" i="4"/>
  <c r="D503" i="4"/>
  <c r="D1316" i="4"/>
  <c r="D709" i="4"/>
  <c r="D193" i="4"/>
  <c r="D1292" i="4"/>
  <c r="D1293" i="4"/>
  <c r="D1194" i="4"/>
  <c r="D1103" i="4"/>
  <c r="D243" i="4"/>
  <c r="D1003" i="4"/>
  <c r="D1270" i="4"/>
  <c r="D1299" i="4"/>
  <c r="D1300" i="4"/>
  <c r="D849" i="4"/>
  <c r="D11" i="4"/>
  <c r="D969" i="4"/>
  <c r="D105" i="4"/>
  <c r="D1317" i="4"/>
  <c r="D1151" i="4"/>
  <c r="D316" i="4"/>
  <c r="D841" i="4"/>
  <c r="D735" i="4"/>
  <c r="D1195" i="4"/>
  <c r="D797" i="4"/>
  <c r="D1004" i="4"/>
  <c r="D612" i="4"/>
  <c r="D1314" i="4"/>
  <c r="D1315" i="4"/>
  <c r="D644" i="4"/>
  <c r="D1396" i="4"/>
  <c r="D559" i="4"/>
  <c r="D473" i="4"/>
  <c r="D1120" i="4"/>
  <c r="D432" i="4"/>
  <c r="D58" i="4"/>
  <c r="D584" i="4"/>
  <c r="D19" i="4"/>
  <c r="D911" i="4"/>
  <c r="D1178" i="4"/>
  <c r="D433" i="4"/>
  <c r="D1328" i="4"/>
  <c r="D980" i="4"/>
  <c r="D1121" i="4"/>
  <c r="D1255" i="4"/>
  <c r="D633" i="4"/>
  <c r="D757" i="4"/>
  <c r="D1334" i="4"/>
  <c r="D1335" i="4"/>
  <c r="D1196" i="4"/>
  <c r="D1469" i="4"/>
  <c r="D64" i="4"/>
  <c r="D1256" i="4"/>
  <c r="D1340" i="4"/>
  <c r="D1341" i="4"/>
  <c r="D1213" i="4"/>
  <c r="D78" i="4"/>
  <c r="D947" i="4"/>
  <c r="D389" i="4"/>
  <c r="D1258" i="4"/>
  <c r="D1470" i="4"/>
  <c r="D1245" i="4"/>
  <c r="D504" i="4"/>
  <c r="D867" i="4"/>
  <c r="D434" i="4"/>
  <c r="D1260" i="4"/>
  <c r="D970" i="4"/>
  <c r="D710" i="4"/>
  <c r="D1355" i="4"/>
  <c r="D1356" i="4"/>
  <c r="D344" i="4"/>
  <c r="D1412" i="4"/>
  <c r="D1388" i="4"/>
  <c r="D1331" i="4"/>
  <c r="D317" i="4"/>
  <c r="D645" i="4"/>
  <c r="D736" i="4"/>
  <c r="D345" i="4"/>
  <c r="D981" i="4"/>
  <c r="D1471" i="4"/>
  <c r="D1367" i="4"/>
  <c r="D816" i="4"/>
  <c r="D675" i="4"/>
  <c r="D304" i="4"/>
  <c r="D1371" i="4"/>
  <c r="D1451" i="4"/>
  <c r="D156" i="4"/>
  <c r="D305" i="4"/>
  <c r="D46" i="4"/>
  <c r="D1399" i="4"/>
  <c r="D1377" i="4"/>
  <c r="D37" i="4"/>
  <c r="D817" i="4"/>
  <c r="D20" i="4"/>
  <c r="D1381" i="4"/>
  <c r="D84" i="4"/>
  <c r="D1221" i="4"/>
  <c r="D598" i="4"/>
  <c r="D85" i="4"/>
  <c r="D912" i="4"/>
  <c r="D550" i="4"/>
  <c r="D1130" i="4"/>
  <c r="D115" i="4"/>
  <c r="D855" i="4"/>
  <c r="D87" i="4"/>
  <c r="D1392" i="4"/>
  <c r="D88" i="4"/>
  <c r="D971" i="4"/>
  <c r="D984" i="4"/>
  <c r="D89" i="4"/>
  <c r="D1397" i="4"/>
  <c r="D1398" i="4"/>
  <c r="D166" i="4"/>
  <c r="D676" i="4"/>
  <c r="D183" i="4"/>
  <c r="D21" i="4"/>
  <c r="D379" i="4"/>
  <c r="D474" i="4"/>
  <c r="D22" i="4"/>
  <c r="D551" i="4"/>
  <c r="D408" i="4"/>
  <c r="D1261" i="4"/>
  <c r="D985" i="4"/>
  <c r="D306" i="4"/>
  <c r="D531" i="4"/>
  <c r="D625" i="4"/>
  <c r="D116" i="4"/>
  <c r="D157" i="4"/>
  <c r="D599" i="4"/>
  <c r="D881" i="4"/>
  <c r="D1413" i="4"/>
  <c r="D307" i="4"/>
  <c r="D475" i="4"/>
  <c r="D585" i="4"/>
  <c r="D409" i="4"/>
  <c r="D933" i="4"/>
  <c r="D993" i="4"/>
  <c r="D986" i="4"/>
  <c r="D842" i="4"/>
  <c r="D1031" i="4"/>
  <c r="D688" i="4"/>
  <c r="D1290" i="4"/>
  <c r="D363" i="4"/>
  <c r="D1271" i="4"/>
  <c r="D601" i="4"/>
  <c r="D505" i="4"/>
  <c r="D210" i="4"/>
  <c r="D752" i="4"/>
  <c r="D1076" i="4"/>
  <c r="D59" i="4"/>
  <c r="D284" i="4"/>
  <c r="D1152" i="4"/>
  <c r="D79" i="4"/>
  <c r="D1440" i="4"/>
  <c r="D414" i="4"/>
  <c r="D140" i="4"/>
  <c r="D476" i="4"/>
  <c r="D1444" i="4"/>
  <c r="D1414" i="4"/>
  <c r="D1446" i="4"/>
  <c r="D1291" i="4"/>
  <c r="D758" i="4"/>
  <c r="D634" i="4"/>
  <c r="D1415" i="4"/>
  <c r="D1136" i="4"/>
  <c r="D1233" i="4"/>
  <c r="D689" i="4"/>
  <c r="D1454" i="4"/>
  <c r="D921" i="4"/>
  <c r="D477" i="4"/>
  <c r="D331" i="4"/>
  <c r="D520" i="4"/>
  <c r="D626" i="4"/>
  <c r="D1400" i="4"/>
  <c r="D332" i="4"/>
  <c r="D1141" i="4"/>
  <c r="D1463" i="4"/>
  <c r="D130" i="4"/>
  <c r="D318" i="4"/>
  <c r="D185" i="4"/>
  <c r="D1050" i="4"/>
  <c r="D818" i="4"/>
  <c r="D935" i="4"/>
  <c r="D950" i="4"/>
  <c r="D1442" i="4"/>
  <c r="D2" i="4"/>
  <c r="C882" i="4"/>
  <c r="C4" i="4"/>
  <c r="C1088" i="4"/>
  <c r="B1088" i="4" s="1"/>
  <c r="C801" i="4"/>
  <c r="B801" i="4" s="1"/>
  <c r="C106" i="4"/>
  <c r="B106" i="4" s="1"/>
  <c r="C65" i="4"/>
  <c r="B65" i="4" s="1"/>
  <c r="C24" i="4"/>
  <c r="B24" i="4" s="1"/>
  <c r="C602" i="4"/>
  <c r="C988" i="4"/>
  <c r="C922" i="4"/>
  <c r="C646" i="4"/>
  <c r="B646" i="4" s="1"/>
  <c r="C804" i="4"/>
  <c r="B804" i="4" s="1"/>
  <c r="C285" i="4"/>
  <c r="B285" i="4" s="1"/>
  <c r="C16" i="4"/>
  <c r="Q16" i="4" s="1"/>
  <c r="R16" i="4" s="1" a="1"/>
  <c r="R16" i="4" s="1"/>
  <c r="C452" i="4"/>
  <c r="B452" i="4" s="1"/>
  <c r="C415" i="4"/>
  <c r="C552" i="4"/>
  <c r="B552" i="4" s="1"/>
  <c r="C418" i="4"/>
  <c r="C265" i="4"/>
  <c r="B265" i="4" s="1"/>
  <c r="C1369" i="4"/>
  <c r="B1369" i="4" s="1"/>
  <c r="C23" i="4"/>
  <c r="C648" i="4"/>
  <c r="B648" i="4" s="1"/>
  <c r="C135" i="4"/>
  <c r="B135" i="4" s="1"/>
  <c r="C26" i="4"/>
  <c r="C737" i="4"/>
  <c r="C28" i="4"/>
  <c r="C738" i="4"/>
  <c r="B738" i="4" s="1"/>
  <c r="C1104" i="4"/>
  <c r="B1104" i="4" s="1"/>
  <c r="C994" i="4"/>
  <c r="B994" i="4" s="1"/>
  <c r="C868" i="4"/>
  <c r="B868" i="4" s="1"/>
  <c r="C1416" i="4"/>
  <c r="B1416" i="4" s="1"/>
  <c r="C1179" i="4"/>
  <c r="C35" i="4"/>
  <c r="C36" i="4"/>
  <c r="C158" i="4"/>
  <c r="B158" i="4" s="1"/>
  <c r="C38" i="4"/>
  <c r="C677" i="4"/>
  <c r="B677" i="4" s="1"/>
  <c r="C507" i="4"/>
  <c r="B507" i="4" s="1"/>
  <c r="C267" i="4"/>
  <c r="B267" i="4" s="1"/>
  <c r="C1077" i="4"/>
  <c r="C268" i="4"/>
  <c r="C44" i="4"/>
  <c r="C805" i="4"/>
  <c r="B805" i="4" s="1"/>
  <c r="C1016" i="4"/>
  <c r="B1016" i="4" s="1"/>
  <c r="C47" i="4"/>
  <c r="C308" i="4"/>
  <c r="B308" i="4" s="1"/>
  <c r="C435" i="4"/>
  <c r="B435" i="4" s="1"/>
  <c r="C856" i="4"/>
  <c r="C390" i="4"/>
  <c r="C52" i="4"/>
  <c r="C53" i="4"/>
  <c r="C436" i="4"/>
  <c r="B436" i="4" s="1"/>
  <c r="C1379" i="4"/>
  <c r="B1379" i="4" s="1"/>
  <c r="C1142" i="4"/>
  <c r="B1142" i="4" s="1"/>
  <c r="C495" i="4"/>
  <c r="B495" i="4" s="1"/>
  <c r="C1332" i="4"/>
  <c r="C1032" i="4"/>
  <c r="B1032" i="4" s="1"/>
  <c r="C1017" i="4"/>
  <c r="C120" i="4"/>
  <c r="B120" i="4" s="1"/>
  <c r="C972" i="4"/>
  <c r="B972" i="4" s="1"/>
  <c r="C39" i="4"/>
  <c r="B39" i="4" s="1"/>
  <c r="C603" i="4"/>
  <c r="B603" i="4" s="1"/>
  <c r="C1051" i="4"/>
  <c r="B1051" i="4" s="1"/>
  <c r="C1401" i="4"/>
  <c r="C1036" i="4"/>
  <c r="C613" i="4"/>
  <c r="C649" i="4"/>
  <c r="B649" i="4" s="1"/>
  <c r="C292" i="4"/>
  <c r="B292" i="4" s="1"/>
  <c r="C71" i="4"/>
  <c r="C843" i="4"/>
  <c r="B843" i="4" s="1"/>
  <c r="C923" i="4"/>
  <c r="B923" i="4" s="1"/>
  <c r="C692" i="4"/>
  <c r="C1389" i="4"/>
  <c r="C1089" i="4"/>
  <c r="C202" i="4"/>
  <c r="B202" i="4" s="1"/>
  <c r="C478" i="4"/>
  <c r="B478" i="4" s="1"/>
  <c r="C320" i="4"/>
  <c r="B320" i="4" s="1"/>
  <c r="C905" i="4"/>
  <c r="B905" i="4" s="1"/>
  <c r="C759" i="4"/>
  <c r="B759" i="4" s="1"/>
  <c r="C321" i="4"/>
  <c r="C269" i="4"/>
  <c r="C25" i="4"/>
  <c r="C760" i="4"/>
  <c r="B760" i="4" s="1"/>
  <c r="C1166" i="4"/>
  <c r="B1166" i="4" s="1"/>
  <c r="C1214" i="4"/>
  <c r="B1214" i="4" s="1"/>
  <c r="C573" i="4"/>
  <c r="B573" i="4" s="1"/>
  <c r="C819" i="4"/>
  <c r="B819" i="4" s="1"/>
  <c r="C60" i="4"/>
  <c r="C91" i="4"/>
  <c r="C66" i="4"/>
  <c r="C244" i="4"/>
  <c r="B244" i="4" s="1"/>
  <c r="C936" i="4"/>
  <c r="B936" i="4" s="1"/>
  <c r="C1417" i="4"/>
  <c r="B1417" i="4" s="1"/>
  <c r="C822" i="4"/>
  <c r="B822" i="4" s="1"/>
  <c r="C586" i="4"/>
  <c r="B586" i="4" s="1"/>
  <c r="C543" i="4"/>
  <c r="C1362" i="4"/>
  <c r="C1418" i="4"/>
  <c r="C159" i="4"/>
  <c r="B159" i="4" s="1"/>
  <c r="C102" i="4"/>
  <c r="C309" i="4"/>
  <c r="B309" i="4" s="1"/>
  <c r="C104" i="4"/>
  <c r="Q104" i="4" s="1"/>
  <c r="R104" i="4" s="1" a="1"/>
  <c r="R104" i="4" s="1"/>
  <c r="C1222" i="4"/>
  <c r="B1222" i="4" s="1"/>
  <c r="C753" i="4"/>
  <c r="C850" i="4"/>
  <c r="C770" i="4"/>
  <c r="C109" i="4"/>
  <c r="C27" i="4"/>
  <c r="B27" i="4" s="1"/>
  <c r="C951" i="4"/>
  <c r="B951" i="4" s="1"/>
  <c r="C604" i="4"/>
  <c r="B604" i="4" s="1"/>
  <c r="C113" i="4"/>
  <c r="C1363" i="4"/>
  <c r="C783" i="4"/>
  <c r="B783" i="4" s="1"/>
  <c r="C1037" i="4"/>
  <c r="C1131" i="4"/>
  <c r="B1131" i="4" s="1"/>
  <c r="C906" i="4"/>
  <c r="B906" i="4" s="1"/>
  <c r="C186" i="4"/>
  <c r="B186" i="4" s="1"/>
  <c r="C333" i="4"/>
  <c r="B333" i="4" s="1"/>
  <c r="C410" i="4"/>
  <c r="B410" i="4" s="1"/>
  <c r="C222" i="4"/>
  <c r="C1122" i="4"/>
  <c r="B1122" i="4" s="1"/>
  <c r="C124" i="4"/>
  <c r="C1272" i="4"/>
  <c r="B1272" i="4" s="1"/>
  <c r="C126" i="4"/>
  <c r="C784" i="4"/>
  <c r="B784" i="4" s="1"/>
  <c r="C128" i="4"/>
  <c r="C129" i="4"/>
  <c r="C1234" i="4"/>
  <c r="C820" i="4"/>
  <c r="C712" i="4"/>
  <c r="C869" i="4"/>
  <c r="B869" i="4" s="1"/>
  <c r="C134" i="4"/>
  <c r="C614" i="4"/>
  <c r="B614" i="4" s="1"/>
  <c r="C1005" i="4"/>
  <c r="B1005" i="4" s="1"/>
  <c r="C693" i="4"/>
  <c r="B693" i="4" s="1"/>
  <c r="C138" i="4"/>
  <c r="C588" i="4"/>
  <c r="C907" i="4"/>
  <c r="C167" i="4"/>
  <c r="B167" i="4" s="1"/>
  <c r="C142" i="4"/>
  <c r="C351" i="4"/>
  <c r="B351" i="4" s="1"/>
  <c r="C479" i="4"/>
  <c r="B479" i="4" s="1"/>
  <c r="C1333" i="4"/>
  <c r="B1333" i="4" s="1"/>
  <c r="C334" i="4"/>
  <c r="C352" i="4"/>
  <c r="B352" i="4" s="1"/>
  <c r="C48" i="4"/>
  <c r="C61" i="4"/>
  <c r="B61" i="4" s="1"/>
  <c r="C223" i="4"/>
  <c r="B223" i="4" s="1"/>
  <c r="C353" i="4"/>
  <c r="B353" i="4" s="1"/>
  <c r="C650" i="4"/>
  <c r="B650" i="4" s="1"/>
  <c r="C1052" i="4"/>
  <c r="B1052" i="4" s="1"/>
  <c r="C175" i="4"/>
  <c r="C785" i="4"/>
  <c r="C49" i="4"/>
  <c r="C806" i="4"/>
  <c r="B806" i="4" s="1"/>
  <c r="C661" i="4"/>
  <c r="B661" i="4" s="1"/>
  <c r="C203" i="4"/>
  <c r="B203" i="4" s="1"/>
  <c r="C1078" i="4"/>
  <c r="B1078" i="4" s="1"/>
  <c r="C1080" i="4"/>
  <c r="B1080" i="4" s="1"/>
  <c r="C419" i="4"/>
  <c r="C1274" i="4"/>
  <c r="C480" i="4"/>
  <c r="C420" i="4"/>
  <c r="B420" i="4" s="1"/>
  <c r="C1064" i="4"/>
  <c r="B1064" i="4" s="1"/>
  <c r="C739" i="4"/>
  <c r="B739" i="4" s="1"/>
  <c r="C952" i="4"/>
  <c r="B952" i="4" s="1"/>
  <c r="C1153" i="4"/>
  <c r="B1153" i="4" s="1"/>
  <c r="C786" i="4"/>
  <c r="C335" i="4"/>
  <c r="C1216" i="4"/>
  <c r="C173" i="4"/>
  <c r="C211" i="4"/>
  <c r="B211" i="4" s="1"/>
  <c r="C364" i="4"/>
  <c r="B364" i="4" s="1"/>
  <c r="C1419" i="4"/>
  <c r="B1419" i="4" s="1"/>
  <c r="C439" i="4"/>
  <c r="B439" i="4" s="1"/>
  <c r="C694" i="4"/>
  <c r="C179" i="4"/>
  <c r="C1053" i="4"/>
  <c r="C714" i="4"/>
  <c r="B714" i="4" s="1"/>
  <c r="C553" i="4"/>
  <c r="B553" i="4" s="1"/>
  <c r="C1054" i="4"/>
  <c r="B1054" i="4" s="1"/>
  <c r="C184" i="4"/>
  <c r="C1246" i="4"/>
  <c r="B1246" i="4" s="1"/>
  <c r="C1276" i="4"/>
  <c r="C574" i="4"/>
  <c r="C1019" i="4"/>
  <c r="C245" i="4"/>
  <c r="B245" i="4" s="1"/>
  <c r="C1223" i="4"/>
  <c r="B1223" i="4" s="1"/>
  <c r="C678" i="4"/>
  <c r="B678" i="4" s="1"/>
  <c r="C204" i="4"/>
  <c r="B204" i="4" s="1"/>
  <c r="C1123" i="4"/>
  <c r="B1123" i="4" s="1"/>
  <c r="C194" i="4"/>
  <c r="C270" i="4"/>
  <c r="C715" i="4"/>
  <c r="C635" i="4"/>
  <c r="B635" i="4" s="1"/>
  <c r="C1154" i="4"/>
  <c r="B1154" i="4" s="1"/>
  <c r="C176" i="4"/>
  <c r="B176" i="4" s="1"/>
  <c r="C141" i="4"/>
  <c r="B141" i="4" s="1"/>
  <c r="C1452" i="4"/>
  <c r="B1452" i="4" s="1"/>
  <c r="C168" i="4"/>
  <c r="C1370" i="4"/>
  <c r="C391" i="4"/>
  <c r="C1167" i="4"/>
  <c r="B1167" i="4" s="1"/>
  <c r="C206" i="4"/>
  <c r="C207" i="4"/>
  <c r="C169" i="4"/>
  <c r="B169" i="4" s="1"/>
  <c r="C160" i="4"/>
  <c r="B160" i="4" s="1"/>
  <c r="C716" i="4"/>
  <c r="C346" i="4"/>
  <c r="C212" i="4"/>
  <c r="C1180" i="4"/>
  <c r="B1180" i="4" s="1"/>
  <c r="C107" i="4"/>
  <c r="B107" i="4" s="1"/>
  <c r="C924" i="4"/>
  <c r="B924" i="4" s="1"/>
  <c r="C216" i="4"/>
  <c r="C937" i="4"/>
  <c r="B937" i="4" s="1"/>
  <c r="C218" i="4"/>
  <c r="C219" i="4"/>
  <c r="C1453" i="4"/>
  <c r="C953" i="4"/>
  <c r="B953" i="4" s="1"/>
  <c r="C883" i="4"/>
  <c r="B883" i="4" s="1"/>
  <c r="C205" i="4"/>
  <c r="B205" i="4" s="1"/>
  <c r="C1090" i="4"/>
  <c r="B1090" i="4" s="1"/>
  <c r="C293" i="4"/>
  <c r="B293" i="4" s="1"/>
  <c r="C195" i="4"/>
  <c r="C1197" i="4"/>
  <c r="C1039" i="4"/>
  <c r="C605" i="4"/>
  <c r="B605" i="4" s="1"/>
  <c r="C3" i="4"/>
  <c r="B3" i="4" s="1"/>
  <c r="C231" i="4"/>
  <c r="C1132" i="4"/>
  <c r="B1132" i="4" s="1"/>
  <c r="C1277" i="4"/>
  <c r="B1277" i="4" s="1"/>
  <c r="C787" i="4"/>
  <c r="C771" i="4"/>
  <c r="C236" i="4"/>
  <c r="C12" i="4"/>
  <c r="B12" i="4" s="1"/>
  <c r="C238" i="4"/>
  <c r="C421" i="4"/>
  <c r="B421" i="4" s="1"/>
  <c r="C788" i="4"/>
  <c r="B788" i="4" s="1"/>
  <c r="C241" i="4"/>
  <c r="C224" i="4"/>
  <c r="C1235" i="4"/>
  <c r="B1235" i="4" s="1"/>
  <c r="C271" i="4"/>
  <c r="C884" i="4"/>
  <c r="C246" i="4"/>
  <c r="B246" i="4" s="1"/>
  <c r="C1198" i="4"/>
  <c r="B1198" i="4" s="1"/>
  <c r="C521" i="4"/>
  <c r="B521" i="4" s="1"/>
  <c r="C1318" i="4"/>
  <c r="B1318" i="4" s="1"/>
  <c r="C143" i="4"/>
  <c r="C1319" i="4"/>
  <c r="C252" i="4"/>
  <c r="C938" i="4"/>
  <c r="B938" i="4" s="1"/>
  <c r="C1402" i="4"/>
  <c r="B1402" i="4" s="1"/>
  <c r="C1065" i="4"/>
  <c r="B1065" i="4" s="1"/>
  <c r="C90" i="4"/>
  <c r="B90" i="4" s="1"/>
  <c r="C1262" i="4"/>
  <c r="B1262" i="4" s="1"/>
  <c r="C789" i="4"/>
  <c r="C790" i="4"/>
  <c r="C679" i="4"/>
  <c r="C261" i="4"/>
  <c r="C99" i="4"/>
  <c r="B99" i="4" s="1"/>
  <c r="C392" i="4"/>
  <c r="B392" i="4" s="1"/>
  <c r="C1380" i="4"/>
  <c r="B1380" i="4" s="1"/>
  <c r="C522" i="4"/>
  <c r="B522" i="4" s="1"/>
  <c r="C266" i="4"/>
  <c r="C925" i="4"/>
  <c r="C1137" i="4"/>
  <c r="C761" i="4"/>
  <c r="B761" i="4" s="1"/>
  <c r="C196" i="4"/>
  <c r="B196" i="4" s="1"/>
  <c r="C1403" i="4"/>
  <c r="B1403" i="4" s="1"/>
  <c r="C197" i="4"/>
  <c r="B197" i="4" s="1"/>
  <c r="C273" i="4"/>
  <c r="C1124" i="4"/>
  <c r="C857" i="4"/>
  <c r="B857" i="4" s="1"/>
  <c r="C347" i="4"/>
  <c r="C1133" i="4"/>
  <c r="B1133" i="4" s="1"/>
  <c r="C576" i="4"/>
  <c r="B576" i="4" s="1"/>
  <c r="C1364" i="4"/>
  <c r="B1364" i="4" s="1"/>
  <c r="C144" i="4"/>
  <c r="B144" i="4" s="1"/>
  <c r="C755" i="4"/>
  <c r="B755" i="4" s="1"/>
  <c r="C1294" i="4"/>
  <c r="C286" i="4"/>
  <c r="C1295" i="4"/>
  <c r="C393" i="4"/>
  <c r="B393" i="4" s="1"/>
  <c r="C1091" i="4"/>
  <c r="B1091" i="4" s="1"/>
  <c r="C1296" i="4"/>
  <c r="B1296" i="4" s="1"/>
  <c r="C288" i="4"/>
  <c r="C995" i="4"/>
  <c r="B995" i="4" s="1"/>
  <c r="C290" i="4"/>
  <c r="C523" i="4"/>
  <c r="C1465" i="4"/>
  <c r="C544" i="4"/>
  <c r="B544" i="4" s="1"/>
  <c r="C870" i="4"/>
  <c r="B870" i="4" s="1"/>
  <c r="C295" i="4"/>
  <c r="C1404" i="4"/>
  <c r="B1404" i="4" s="1"/>
  <c r="C422" i="4"/>
  <c r="B422" i="4" s="1"/>
  <c r="C298" i="4"/>
  <c r="C1125" i="4"/>
  <c r="C823" i="4"/>
  <c r="C1181" i="4"/>
  <c r="B1181" i="4" s="1"/>
  <c r="C824" i="4"/>
  <c r="B824" i="4" s="1"/>
  <c r="C1443" i="4"/>
  <c r="B1443" i="4" s="1"/>
  <c r="C1199" i="4"/>
  <c r="B1199" i="4" s="1"/>
  <c r="C680" i="4"/>
  <c r="B680" i="4" s="1"/>
  <c r="C651" i="4"/>
  <c r="C1278" i="4"/>
  <c r="C1168" i="4"/>
  <c r="C13" i="4"/>
  <c r="B13" i="4" s="1"/>
  <c r="C606" i="4"/>
  <c r="B606" i="4" s="1"/>
  <c r="C871" i="4"/>
  <c r="B871" i="4" s="1"/>
  <c r="C636" i="4"/>
  <c r="B636" i="4" s="1"/>
  <c r="C287" i="4"/>
  <c r="B287" i="4" s="1"/>
  <c r="C973" i="4"/>
  <c r="C440" i="4"/>
  <c r="C615" i="4"/>
  <c r="C272" i="4"/>
  <c r="B272" i="4" s="1"/>
  <c r="C1247" i="4"/>
  <c r="B1247" i="4" s="1"/>
  <c r="C319" i="4"/>
  <c r="C233" i="4"/>
  <c r="B233" i="4" s="1"/>
  <c r="C772" i="4"/>
  <c r="B772" i="4" s="1"/>
  <c r="C80" i="4"/>
  <c r="C1006" i="4"/>
  <c r="C1263" i="4"/>
  <c r="C325" i="4"/>
  <c r="C1336" i="4"/>
  <c r="B1336" i="4" s="1"/>
  <c r="C86" i="4"/>
  <c r="C1217" i="4"/>
  <c r="B1217" i="4" s="1"/>
  <c r="C329" i="4"/>
  <c r="C255" i="4"/>
  <c r="C1420" i="4"/>
  <c r="C425" i="4"/>
  <c r="C939" i="4"/>
  <c r="B939" i="4" s="1"/>
  <c r="C1040" i="4"/>
  <c r="B1040" i="4" s="1"/>
  <c r="C336" i="4"/>
  <c r="C637" i="4"/>
  <c r="B637" i="4" s="1"/>
  <c r="C453" i="4"/>
  <c r="B453" i="4" s="1"/>
  <c r="C338" i="4"/>
  <c r="C274" i="4"/>
  <c r="C807" i="4"/>
  <c r="C454" i="4"/>
  <c r="B454" i="4" s="1"/>
  <c r="C81" i="4"/>
  <c r="B81" i="4" s="1"/>
  <c r="C5" i="4"/>
  <c r="C808" i="4"/>
  <c r="B808" i="4" s="1"/>
  <c r="C1421" i="4"/>
  <c r="B1421" i="4" s="1"/>
  <c r="C1007" i="4"/>
  <c r="C996" i="4"/>
  <c r="C617" i="4"/>
  <c r="C858" i="4"/>
  <c r="B858" i="4" s="1"/>
  <c r="C974" i="4"/>
  <c r="B974" i="4" s="1"/>
  <c r="C117" i="4"/>
  <c r="C381" i="4"/>
  <c r="B381" i="4" s="1"/>
  <c r="C161" i="4"/>
  <c r="B161" i="4" s="1"/>
  <c r="C496" i="4"/>
  <c r="C652" i="4"/>
  <c r="C872" i="4"/>
  <c r="C895" i="4"/>
  <c r="B895" i="4" s="1"/>
  <c r="C618" i="4"/>
  <c r="B618" i="4" s="1"/>
  <c r="C359" i="4"/>
  <c r="C1105" i="4"/>
  <c r="B1105" i="4" s="1"/>
  <c r="C532" i="4"/>
  <c r="B532" i="4" s="1"/>
  <c r="C234" i="4"/>
  <c r="C1279" i="4"/>
  <c r="C337" i="4"/>
  <c r="C365" i="4"/>
  <c r="C225" i="4"/>
  <c r="B225" i="4" s="1"/>
  <c r="C1297" i="4"/>
  <c r="C368" i="4"/>
  <c r="C187" i="4"/>
  <c r="B187" i="4" s="1"/>
  <c r="C370" i="4"/>
  <c r="C394" i="4"/>
  <c r="C372" i="4"/>
  <c r="C1357" i="4"/>
  <c r="B1357" i="4" s="1"/>
  <c r="C619" i="4"/>
  <c r="B619" i="4" s="1"/>
  <c r="C1066" i="4"/>
  <c r="C411" i="4"/>
  <c r="B411" i="4" s="1"/>
  <c r="C1042" i="4"/>
  <c r="B1042" i="4" s="1"/>
  <c r="C67" i="4"/>
  <c r="C620" i="4"/>
  <c r="C380" i="4"/>
  <c r="C1372" i="4"/>
  <c r="C145" i="4"/>
  <c r="B145" i="4" s="1"/>
  <c r="C366" i="4"/>
  <c r="C384" i="4"/>
  <c r="C1466" i="4"/>
  <c r="B1466" i="4" s="1"/>
  <c r="C1139" i="4"/>
  <c r="C387" i="4"/>
  <c r="C1055" i="4"/>
  <c r="C456" i="4"/>
  <c r="B456" i="4" s="1"/>
  <c r="C681" i="4"/>
  <c r="B681" i="4" s="1"/>
  <c r="C1280" i="4"/>
  <c r="C653" i="4"/>
  <c r="B653" i="4" s="1"/>
  <c r="C825" i="4"/>
  <c r="B825" i="4" s="1"/>
  <c r="C1067" i="4"/>
  <c r="C1390" i="4"/>
  <c r="C1467" i="4"/>
  <c r="C367" i="4"/>
  <c r="B367" i="4" s="1"/>
  <c r="C369" i="4"/>
  <c r="B369" i="4" s="1"/>
  <c r="C914" i="4"/>
  <c r="C247" i="4"/>
  <c r="B247" i="4" s="1"/>
  <c r="C1309" i="4"/>
  <c r="B1309" i="4" s="1"/>
  <c r="C1282" i="4"/>
  <c r="C1382" i="4"/>
  <c r="C1068" i="4"/>
  <c r="C896" i="4"/>
  <c r="B896" i="4" s="1"/>
  <c r="C997" i="4"/>
  <c r="B997" i="4" s="1"/>
  <c r="C407" i="4"/>
  <c r="C748" i="4"/>
  <c r="B748" i="4" s="1"/>
  <c r="C717" i="4"/>
  <c r="B717" i="4" s="1"/>
  <c r="C1422" i="4"/>
  <c r="C6" i="4"/>
  <c r="C1043" i="4"/>
  <c r="Q1043" i="4" s="1"/>
  <c r="R1043" i="4" s="1" a="1"/>
  <c r="R1043" i="4" s="1"/>
  <c r="C1156" i="4"/>
  <c r="B1156" i="4" s="1"/>
  <c r="C1320" i="4"/>
  <c r="B1320" i="4" s="1"/>
  <c r="C508" i="4"/>
  <c r="C416" i="4"/>
  <c r="C417" i="4"/>
  <c r="C663" i="4"/>
  <c r="C1249" i="4"/>
  <c r="C68" i="4"/>
  <c r="C1358" i="4"/>
  <c r="B1358" i="4" s="1"/>
  <c r="C916" i="4"/>
  <c r="B916" i="4" s="1"/>
  <c r="C423" i="4"/>
  <c r="C424" i="4"/>
  <c r="C1200" i="4"/>
  <c r="B1200" i="4" s="1"/>
  <c r="C792" i="4"/>
  <c r="C1134" i="4"/>
  <c r="C40" i="4"/>
  <c r="C762" i="4"/>
  <c r="B762" i="4" s="1"/>
  <c r="C773" i="4"/>
  <c r="B773" i="4" s="1"/>
  <c r="C654" i="4"/>
  <c r="C457" i="4"/>
  <c r="B457" i="4" s="1"/>
  <c r="C395" i="4"/>
  <c r="B395" i="4" s="1"/>
  <c r="C524" i="4"/>
  <c r="C226" i="4"/>
  <c r="C666" i="4"/>
  <c r="Q666" i="4" s="1"/>
  <c r="R666" i="4" s="1" a="1"/>
  <c r="R666" i="4" s="1"/>
  <c r="C437" i="4"/>
  <c r="C438" i="4"/>
  <c r="C1455" i="4"/>
  <c r="C718" i="4"/>
  <c r="B718" i="4" s="1"/>
  <c r="C441" i="4"/>
  <c r="C442" i="4"/>
  <c r="C412" i="4"/>
  <c r="C667" i="4"/>
  <c r="C445" i="4"/>
  <c r="Q445" i="4" s="1"/>
  <c r="R445" i="4" s="1" a="1"/>
  <c r="R445" i="4" s="1"/>
  <c r="C92" i="4"/>
  <c r="B92" i="4" s="1"/>
  <c r="C235" i="4"/>
  <c r="C1092" i="4"/>
  <c r="B1092" i="4" s="1"/>
  <c r="C1069" i="4"/>
  <c r="B1069" i="4" s="1"/>
  <c r="C719" i="4"/>
  <c r="C322" i="4"/>
  <c r="C696" i="4"/>
  <c r="C1020" i="4"/>
  <c r="B1020" i="4" s="1"/>
  <c r="C443" i="4"/>
  <c r="B443" i="4" s="1"/>
  <c r="C455" i="4"/>
  <c r="C483" i="4"/>
  <c r="B483" i="4" s="1"/>
  <c r="C918" i="4"/>
  <c r="B918" i="4" s="1"/>
  <c r="C545" i="4"/>
  <c r="C459" i="4"/>
  <c r="C1218" i="4"/>
  <c r="C29" i="4"/>
  <c r="B29" i="4" s="1"/>
  <c r="C1106" i="4"/>
  <c r="B1106" i="4" s="1"/>
  <c r="C509" i="4"/>
  <c r="C1265" i="4"/>
  <c r="B1265" i="4" s="1"/>
  <c r="C465" i="4"/>
  <c r="C1284" i="4"/>
  <c r="C560" i="4"/>
  <c r="C1170" i="4"/>
  <c r="C1266" i="4"/>
  <c r="B1266" i="4" s="1"/>
  <c r="C354" i="4"/>
  <c r="B354" i="4" s="1"/>
  <c r="C471" i="4"/>
  <c r="C339" i="4"/>
  <c r="B339" i="4" s="1"/>
  <c r="C1434" i="4"/>
  <c r="B1434" i="4" s="1"/>
  <c r="C525" i="4"/>
  <c r="C41" i="4"/>
  <c r="C874" i="4"/>
  <c r="C834" i="4"/>
  <c r="B834" i="4" s="1"/>
  <c r="C682" i="4"/>
  <c r="B682" i="4" s="1"/>
  <c r="C136" i="4"/>
  <c r="C213" i="4"/>
  <c r="B213" i="4" s="1"/>
  <c r="C481" i="4"/>
  <c r="C482" i="4"/>
  <c r="C765" i="4"/>
  <c r="C484" i="4"/>
  <c r="C1143" i="4"/>
  <c r="B1143" i="4" s="1"/>
  <c r="C310" i="4"/>
  <c r="B310" i="4" s="1"/>
  <c r="C1337" i="4"/>
  <c r="C444" i="4"/>
  <c r="B444" i="4" s="1"/>
  <c r="C1383" i="4"/>
  <c r="B1383" i="4" s="1"/>
  <c r="C698" i="4"/>
  <c r="C897" i="4"/>
  <c r="C908" i="4"/>
  <c r="C940" i="4"/>
  <c r="B940" i="4" s="1"/>
  <c r="C275" i="4"/>
  <c r="B275" i="4" s="1"/>
  <c r="C323" i="4"/>
  <c r="C214" i="4"/>
  <c r="B214" i="4" s="1"/>
  <c r="C497" i="4"/>
  <c r="C589" i="4"/>
  <c r="C340" i="4"/>
  <c r="C1338" i="4"/>
  <c r="Q1338" i="4" s="1"/>
  <c r="R1338" i="4" s="1" a="1"/>
  <c r="R1338" i="4" s="1"/>
  <c r="C670" i="4"/>
  <c r="B670" i="4" s="1"/>
  <c r="C498" i="4"/>
  <c r="B498" i="4" s="1"/>
  <c r="C30" i="4"/>
  <c r="C341" i="4"/>
  <c r="B341" i="4" s="1"/>
  <c r="C1423" i="4"/>
  <c r="B1423" i="4" s="1"/>
  <c r="C506" i="4"/>
  <c r="C248" i="4"/>
  <c r="C485" i="4"/>
  <c r="C885" i="4"/>
  <c r="B885" i="4" s="1"/>
  <c r="C699" i="4"/>
  <c r="B699" i="4" s="1"/>
  <c r="C1424" i="4"/>
  <c r="C998" i="4"/>
  <c r="B998" i="4" s="1"/>
  <c r="C590" i="4"/>
  <c r="B590" i="4" s="1"/>
  <c r="C956" i="4"/>
  <c r="C515" i="4"/>
  <c r="C516" i="4"/>
  <c r="C486" i="4"/>
  <c r="B486" i="4" s="1"/>
  <c r="C1144" i="4"/>
  <c r="B1144" i="4" s="1"/>
  <c r="C1021" i="4"/>
  <c r="C1405" i="4"/>
  <c r="B1405" i="4" s="1"/>
  <c r="C1000" i="4"/>
  <c r="B1000" i="4" s="1"/>
  <c r="C1145" i="4"/>
  <c r="C835" i="4"/>
  <c r="C355" i="4"/>
  <c r="C31" i="4"/>
  <c r="B31" i="4" s="1"/>
  <c r="C1022" i="4"/>
  <c r="B1022" i="4" s="1"/>
  <c r="C527" i="4"/>
  <c r="C1250" i="4"/>
  <c r="B1250" i="4" s="1"/>
  <c r="C458" i="4"/>
  <c r="B458" i="4" s="1"/>
  <c r="C530" i="4"/>
  <c r="C1365" i="4"/>
  <c r="C311" i="4"/>
  <c r="C1157" i="4"/>
  <c r="B1157" i="4" s="1"/>
  <c r="C1158" i="4"/>
  <c r="B1158" i="4" s="1"/>
  <c r="C1093" i="4"/>
  <c r="C42" i="4"/>
  <c r="B42" i="4" s="1"/>
  <c r="C371" i="4"/>
  <c r="B371" i="4" s="1"/>
  <c r="C926" i="4"/>
  <c r="C1159" i="4"/>
  <c r="C740" i="4"/>
  <c r="Q740" i="4" s="1"/>
  <c r="R740" i="4" s="1" a="1"/>
  <c r="R740" i="4" s="1"/>
  <c r="C121" i="4"/>
  <c r="B121" i="4" s="1"/>
  <c r="C542" i="4"/>
  <c r="C720" i="4"/>
  <c r="C69" i="4"/>
  <c r="B69" i="4" s="1"/>
  <c r="C1406" i="4"/>
  <c r="B1406" i="4" s="1"/>
  <c r="C460" i="4"/>
  <c r="C1236" i="4"/>
  <c r="C1310" i="4"/>
  <c r="C549" i="4"/>
  <c r="Q549" i="4" s="1"/>
  <c r="R549" i="4" s="1" a="1"/>
  <c r="R549" i="4" s="1"/>
  <c r="C957" i="4"/>
  <c r="B957" i="4" s="1"/>
  <c r="C1126" i="4"/>
  <c r="C1107" i="4"/>
  <c r="B1107" i="4" s="1"/>
  <c r="C215" i="4"/>
  <c r="B215" i="4" s="1"/>
  <c r="C561" i="4"/>
  <c r="C766" i="4"/>
  <c r="C1456" i="4"/>
  <c r="C1321" i="4"/>
  <c r="B1321" i="4" s="1"/>
  <c r="C1182" i="4"/>
  <c r="B1182" i="4" s="1"/>
  <c r="C836" i="4"/>
  <c r="C875" i="4"/>
  <c r="B875" i="4" s="1"/>
  <c r="C188" i="4"/>
  <c r="B188" i="4" s="1"/>
  <c r="C487" i="4"/>
  <c r="C672" i="4"/>
  <c r="C564" i="4"/>
  <c r="C177" i="4"/>
  <c r="B177" i="4" s="1"/>
  <c r="C170" i="4"/>
  <c r="B170" i="4" s="1"/>
  <c r="C1322" i="4"/>
  <c r="C568" i="4"/>
  <c r="C1146" i="4"/>
  <c r="B1146" i="4" s="1"/>
  <c r="C570" i="4"/>
  <c r="C294" i="4"/>
  <c r="C1109" i="4"/>
  <c r="C639" i="4"/>
  <c r="B639" i="4" s="1"/>
  <c r="C1339" i="4"/>
  <c r="B1339" i="4" s="1"/>
  <c r="C575" i="4"/>
  <c r="C721" i="4"/>
  <c r="B721" i="4" s="1"/>
  <c r="C413" i="4"/>
  <c r="B413" i="4" s="1"/>
  <c r="C1183" i="4"/>
  <c r="C237" i="4"/>
  <c r="C446" i="4"/>
  <c r="C70" i="4"/>
  <c r="B70" i="4" s="1"/>
  <c r="C447" i="4"/>
  <c r="B447" i="4" s="1"/>
  <c r="C1044" i="4"/>
  <c r="C1298" i="4"/>
  <c r="B1298" i="4" s="1"/>
  <c r="C348" i="4"/>
  <c r="B348" i="4" s="1"/>
  <c r="C1081" i="4"/>
  <c r="C587" i="4"/>
  <c r="C1285" i="4"/>
  <c r="C108" i="4"/>
  <c r="B108" i="4" s="1"/>
  <c r="C1342" i="4"/>
  <c r="B1342" i="4" s="1"/>
  <c r="C591" i="4"/>
  <c r="C256" i="4"/>
  <c r="B256" i="4" s="1"/>
  <c r="C593" i="4"/>
  <c r="C546" i="4"/>
  <c r="C1301" i="4"/>
  <c r="C826" i="4"/>
  <c r="C597" i="4"/>
  <c r="C1160" i="4"/>
  <c r="B1160" i="4" s="1"/>
  <c r="C547" i="4"/>
  <c r="C600" i="4"/>
  <c r="C93" i="4"/>
  <c r="B93" i="4" s="1"/>
  <c r="C100" i="4"/>
  <c r="C382" i="4"/>
  <c r="C845" i="4"/>
  <c r="C7" i="4"/>
  <c r="B7" i="4" s="1"/>
  <c r="C1056" i="4"/>
  <c r="B1056" i="4" s="1"/>
  <c r="C749" i="4"/>
  <c r="C289" i="4"/>
  <c r="B289" i="4" s="1"/>
  <c r="C609" i="4"/>
  <c r="C610" i="4"/>
  <c r="C860" i="4"/>
  <c r="C131" i="4"/>
  <c r="C1094" i="4"/>
  <c r="B1094" i="4" s="1"/>
  <c r="C876" i="4"/>
  <c r="B876" i="4" s="1"/>
  <c r="C1184" i="4"/>
  <c r="C616" i="4"/>
  <c r="C171" i="4"/>
  <c r="B171" i="4" s="1"/>
  <c r="C1445" i="4"/>
  <c r="C958" i="4"/>
  <c r="C1201" i="4"/>
  <c r="C1457" i="4"/>
  <c r="B1457" i="4" s="1"/>
  <c r="C959" i="4"/>
  <c r="B959" i="4" s="1"/>
  <c r="C257" i="4"/>
  <c r="C886" i="4"/>
  <c r="B886" i="4" s="1"/>
  <c r="C943" i="4"/>
  <c r="B943" i="4" s="1"/>
  <c r="C1323" i="4"/>
  <c r="C312" i="4"/>
  <c r="C8" i="4"/>
  <c r="C146" i="4"/>
  <c r="B146" i="4" s="1"/>
  <c r="C944" i="4"/>
  <c r="B944" i="4" s="1"/>
  <c r="C1202" i="4"/>
  <c r="C396" i="4"/>
  <c r="B396" i="4" s="1"/>
  <c r="C723" i="4"/>
  <c r="B723" i="4" s="1"/>
  <c r="C178" i="4"/>
  <c r="C827" i="4"/>
  <c r="C861" i="4"/>
  <c r="C1391" i="4"/>
  <c r="B1391" i="4" s="1"/>
  <c r="C638" i="4"/>
  <c r="C724" i="4"/>
  <c r="C198" i="4"/>
  <c r="B198" i="4" s="1"/>
  <c r="C673" i="4"/>
  <c r="B673" i="4" s="1"/>
  <c r="C960" i="4"/>
  <c r="C1359" i="4"/>
  <c r="C683" i="4"/>
  <c r="C684" i="4"/>
  <c r="B684" i="4" s="1"/>
  <c r="C324" i="4"/>
  <c r="B324" i="4" s="1"/>
  <c r="C647" i="4"/>
  <c r="C1343" i="4"/>
  <c r="B1343" i="4" s="1"/>
  <c r="C562" i="4"/>
  <c r="B562" i="4" s="1"/>
  <c r="C1024" i="4"/>
  <c r="C640" i="4"/>
  <c r="C488" i="4"/>
  <c r="C50" i="4"/>
  <c r="B50" i="4" s="1"/>
  <c r="C397" i="4"/>
  <c r="B397" i="4" s="1"/>
  <c r="C863" i="4"/>
  <c r="C132" i="4"/>
  <c r="B132" i="4" s="1"/>
  <c r="C258" i="4"/>
  <c r="B258" i="4" s="1"/>
  <c r="C658" i="4"/>
  <c r="Q658" i="4" s="1"/>
  <c r="R658" i="4" s="1" a="1"/>
  <c r="R658" i="4" s="1"/>
  <c r="C1267" i="4"/>
  <c r="C448" i="4"/>
  <c r="C1432" i="4"/>
  <c r="C662" i="4"/>
  <c r="C1025" i="4"/>
  <c r="C664" i="4"/>
  <c r="Q664" i="4" s="1"/>
  <c r="R664" i="4" s="1" a="1"/>
  <c r="R664" i="4" s="1"/>
  <c r="C665" i="4"/>
  <c r="C1204" i="4"/>
  <c r="C1205" i="4"/>
  <c r="C668" i="4"/>
  <c r="Q668" i="4" s="1"/>
  <c r="R668" i="4" s="1" a="1"/>
  <c r="R668" i="4" s="1"/>
  <c r="C669" i="4"/>
  <c r="C1001" i="4"/>
  <c r="B1001" i="4" s="1"/>
  <c r="C671" i="4"/>
  <c r="C1252" i="4"/>
  <c r="B1252" i="4" s="1"/>
  <c r="C356" i="4"/>
  <c r="B356" i="4" s="1"/>
  <c r="C1447" i="4"/>
  <c r="C1171" i="4"/>
  <c r="C1468" i="4"/>
  <c r="C975" i="4"/>
  <c r="C1458" i="4"/>
  <c r="B1458" i="4" s="1"/>
  <c r="C961" i="4"/>
  <c r="C383" i="4"/>
  <c r="B383" i="4" s="1"/>
  <c r="C51" i="4"/>
  <c r="B51" i="4" s="1"/>
  <c r="C577" i="4"/>
  <c r="C1135" i="4"/>
  <c r="C82" i="4"/>
  <c r="C685" i="4"/>
  <c r="C449" i="4"/>
  <c r="B449" i="4" s="1"/>
  <c r="C533" i="4"/>
  <c r="C592" i="4"/>
  <c r="B592" i="4" s="1"/>
  <c r="C296" i="4"/>
  <c r="B296" i="4" s="1"/>
  <c r="C690" i="4"/>
  <c r="C691" i="4"/>
  <c r="Q691" i="4" s="1"/>
  <c r="R691" i="4" s="1" a="1"/>
  <c r="R691" i="4" s="1"/>
  <c r="C1425" i="4"/>
  <c r="C54" i="4"/>
  <c r="C349" i="4"/>
  <c r="B349" i="4" s="1"/>
  <c r="C695" i="4"/>
  <c r="C1045" i="4"/>
  <c r="B1045" i="4" s="1"/>
  <c r="C697" i="4"/>
  <c r="C898" i="4"/>
  <c r="C1071" i="4"/>
  <c r="C72" i="4"/>
  <c r="Q72" i="4" s="1"/>
  <c r="R72" i="4" s="1" a="1"/>
  <c r="R72" i="4" s="1"/>
  <c r="C774" i="4"/>
  <c r="C702" i="4"/>
  <c r="C1426" i="4"/>
  <c r="C1344" i="4"/>
  <c r="B1344" i="4" s="1"/>
  <c r="C1435" i="4"/>
  <c r="B1435" i="4" s="1"/>
  <c r="C1311" i="4"/>
  <c r="C276" i="4"/>
  <c r="C708" i="4"/>
  <c r="C578" i="4"/>
  <c r="C239" i="4"/>
  <c r="B239" i="4" s="1"/>
  <c r="C711" i="4"/>
  <c r="C217" i="4"/>
  <c r="B217" i="4" s="1"/>
  <c r="C713" i="4"/>
  <c r="C655" i="4"/>
  <c r="C621" i="4"/>
  <c r="C725" i="4"/>
  <c r="Q725" i="4" s="1"/>
  <c r="R725" i="4" s="1" a="1"/>
  <c r="R725" i="4" s="1"/>
  <c r="C73" i="4"/>
  <c r="C1082" i="4"/>
  <c r="B1082" i="4" s="1"/>
  <c r="C180" i="4"/>
  <c r="C607" i="4"/>
  <c r="B607" i="4" s="1"/>
  <c r="C767" i="4"/>
  <c r="B767" i="4" s="1"/>
  <c r="C722" i="4"/>
  <c r="C227" i="4"/>
  <c r="C1448" i="4"/>
  <c r="C579" i="4"/>
  <c r="Q579" i="4" s="1"/>
  <c r="R579" i="4" s="1" a="1"/>
  <c r="R579" i="4" s="1"/>
  <c r="C1226" i="4"/>
  <c r="B1226" i="4" s="1"/>
  <c r="C727" i="4"/>
  <c r="C228" i="4"/>
  <c r="B228" i="4" s="1"/>
  <c r="C1010" i="4"/>
  <c r="B1010" i="4" s="1"/>
  <c r="C846" i="4"/>
  <c r="C326" i="4"/>
  <c r="C1393" i="4"/>
  <c r="C733" i="4"/>
  <c r="C734" i="4"/>
  <c r="C489" i="4"/>
  <c r="C1237" i="4"/>
  <c r="B1237" i="4" s="1"/>
  <c r="C1172" i="4"/>
  <c r="B1172" i="4" s="1"/>
  <c r="C297" i="4"/>
  <c r="C809" i="4"/>
  <c r="C249" i="4"/>
  <c r="C461" i="4"/>
  <c r="Q461" i="4" s="1"/>
  <c r="R461" i="4" s="1" a="1"/>
  <c r="R461" i="4" s="1"/>
  <c r="C220" i="4"/>
  <c r="B220" i="4" s="1"/>
  <c r="C14" i="4"/>
  <c r="C1268" i="4"/>
  <c r="B1268" i="4" s="1"/>
  <c r="C1449" i="4"/>
  <c r="B1449" i="4" s="1"/>
  <c r="C746" i="4"/>
  <c r="C1345" i="4"/>
  <c r="C1147" i="4"/>
  <c r="Q1147" i="4" s="1"/>
  <c r="R1147" i="4" s="1" a="1"/>
  <c r="R1147" i="4" s="1"/>
  <c r="C810" i="4"/>
  <c r="C750" i="4"/>
  <c r="Q750" i="4" s="1"/>
  <c r="R750" i="4" s="1" a="1"/>
  <c r="R750" i="4" s="1"/>
  <c r="C751" i="4"/>
  <c r="C656" i="4"/>
  <c r="B656" i="4" s="1"/>
  <c r="C756" i="4"/>
  <c r="B756" i="4" s="1"/>
  <c r="C754" i="4"/>
  <c r="C510" i="4"/>
  <c r="C877" i="4"/>
  <c r="C1436" i="4"/>
  <c r="C162" i="4"/>
  <c r="B162" i="4" s="1"/>
  <c r="C373" i="4"/>
  <c r="C887" i="4"/>
  <c r="B887" i="4" s="1"/>
  <c r="C277" i="4"/>
  <c r="B277" i="4" s="1"/>
  <c r="C1161" i="4"/>
  <c r="C763" i="4"/>
  <c r="C764" i="4"/>
  <c r="Q764" i="4" s="1"/>
  <c r="R764" i="4" s="1" a="1"/>
  <c r="R764" i="4" s="1"/>
  <c r="C563" i="4"/>
  <c r="C1208" i="4"/>
  <c r="B1208" i="4" s="1"/>
  <c r="C1427" i="4"/>
  <c r="C163" i="4"/>
  <c r="B163" i="4" s="1"/>
  <c r="C133" i="4"/>
  <c r="B133" i="4" s="1"/>
  <c r="C1450" i="4"/>
  <c r="C726" i="4"/>
  <c r="C1428" i="4"/>
  <c r="C398" i="4"/>
  <c r="Q398" i="4" s="1"/>
  <c r="R398" i="4" s="1" a="1"/>
  <c r="R398" i="4" s="1"/>
  <c r="C1011" i="4"/>
  <c r="B1011" i="4" s="1"/>
  <c r="C962" i="4"/>
  <c r="C342" i="4"/>
  <c r="B342" i="4" s="1"/>
  <c r="C627" i="4"/>
  <c r="B627" i="4" s="1"/>
  <c r="C778" i="4"/>
  <c r="Q778" i="4" s="1"/>
  <c r="R778" i="4" s="1" a="1"/>
  <c r="R778" i="4" s="1"/>
  <c r="C779" i="4"/>
  <c r="C250" i="4"/>
  <c r="C781" i="4"/>
  <c r="C782" i="4"/>
  <c r="C462" i="4"/>
  <c r="C828" i="4"/>
  <c r="B828" i="4" s="1"/>
  <c r="C1110" i="4"/>
  <c r="B1110" i="4" s="1"/>
  <c r="C526" i="4"/>
  <c r="C374" i="4"/>
  <c r="C147" i="4"/>
  <c r="C945" i="4"/>
  <c r="Q945" i="4" s="1"/>
  <c r="R945" i="4" s="1" a="1"/>
  <c r="R945" i="4" s="1"/>
  <c r="C795" i="4"/>
  <c r="B795" i="4" s="1"/>
  <c r="C791" i="4"/>
  <c r="C55" i="4"/>
  <c r="B55" i="4" s="1"/>
  <c r="C793" i="4"/>
  <c r="C794" i="4"/>
  <c r="Q794" i="4" s="1"/>
  <c r="R794" i="4" s="1" a="1"/>
  <c r="R794" i="4" s="1"/>
  <c r="C534" i="4"/>
  <c r="C1162" i="4"/>
  <c r="C511" i="4"/>
  <c r="C798" i="4"/>
  <c r="Q798" i="4" s="1"/>
  <c r="R798" i="4" s="1" a="1"/>
  <c r="R798" i="4" s="1"/>
  <c r="C799" i="4"/>
  <c r="C800" i="4"/>
  <c r="C548" i="4"/>
  <c r="B548" i="4" s="1"/>
  <c r="C802" i="4"/>
  <c r="C803" i="4"/>
  <c r="Q803" i="4" s="1"/>
  <c r="R803" i="4" s="1" a="1"/>
  <c r="R803" i="4" s="1"/>
  <c r="C221" i="4"/>
  <c r="C811" i="4"/>
  <c r="C812" i="4"/>
  <c r="B812" i="4" s="1"/>
  <c r="C641" i="4"/>
  <c r="C15" i="4"/>
  <c r="B15" i="4" s="1"/>
  <c r="C1346" i="4"/>
  <c r="B1346" i="4" s="1"/>
  <c r="C229" i="4"/>
  <c r="C1433" i="4"/>
  <c r="C741" i="4"/>
  <c r="C674" i="4"/>
  <c r="C1384" i="4"/>
  <c r="B1384" i="4" s="1"/>
  <c r="C815" i="4"/>
  <c r="C1111" i="4"/>
  <c r="B1111" i="4" s="1"/>
  <c r="C251" i="4"/>
  <c r="B251" i="4" s="1"/>
  <c r="C837" i="4"/>
  <c r="C1437" i="4"/>
  <c r="C528" i="4"/>
  <c r="C775" i="4"/>
  <c r="C1459" i="4"/>
  <c r="B1459" i="4" s="1"/>
  <c r="C1460" i="4"/>
  <c r="C554" i="4"/>
  <c r="B554" i="4" s="1"/>
  <c r="C888" i="4"/>
  <c r="B888" i="4" s="1"/>
  <c r="C535" i="4"/>
  <c r="C199" i="4"/>
  <c r="C1227" i="4"/>
  <c r="Q1227" i="4" s="1"/>
  <c r="R1227" i="4" s="1" a="1"/>
  <c r="R1227" i="4" s="1"/>
  <c r="C976" i="4"/>
  <c r="C830" i="4"/>
  <c r="C831" i="4"/>
  <c r="C899" i="4"/>
  <c r="B899" i="4" s="1"/>
  <c r="C833" i="4"/>
  <c r="C1461" i="4"/>
  <c r="C122" i="4"/>
  <c r="C728" i="4"/>
  <c r="C189" i="4"/>
  <c r="C838" i="4"/>
  <c r="C1385" i="4"/>
  <c r="C840" i="4"/>
  <c r="Q840" i="4" s="1"/>
  <c r="R840" i="4" s="1" a="1"/>
  <c r="R840" i="4" s="1"/>
  <c r="C1115" i="4"/>
  <c r="B1115" i="4" s="1"/>
  <c r="C1095" i="4"/>
  <c r="C463" i="4"/>
  <c r="C844" i="4"/>
  <c r="C357" i="4"/>
  <c r="C1269" i="4"/>
  <c r="B1269" i="4" s="1"/>
  <c r="C1127" i="4"/>
  <c r="C813" i="4"/>
  <c r="B813" i="4" s="1"/>
  <c r="C1128" i="4"/>
  <c r="B1128" i="4" s="1"/>
  <c r="C1407" i="4"/>
  <c r="C851" i="4"/>
  <c r="C17" i="4"/>
  <c r="C1240" i="4"/>
  <c r="C594" i="4"/>
  <c r="B594" i="4" s="1"/>
  <c r="C536" i="4"/>
  <c r="C700" i="4"/>
  <c r="B700" i="4" s="1"/>
  <c r="C1408" i="4"/>
  <c r="B1408" i="4" s="1"/>
  <c r="C512" i="4"/>
  <c r="C859" i="4"/>
  <c r="C1409" i="4"/>
  <c r="C889" i="4"/>
  <c r="C862" i="4"/>
  <c r="Q862" i="4" s="1"/>
  <c r="R862" i="4" s="1" a="1"/>
  <c r="R862" i="4" s="1"/>
  <c r="C776" i="4"/>
  <c r="C729" i="4"/>
  <c r="B729" i="4" s="1"/>
  <c r="C622" i="4"/>
  <c r="B622" i="4" s="1"/>
  <c r="C866" i="4"/>
  <c r="C375" i="4"/>
  <c r="C730" i="4"/>
  <c r="C1046" i="4"/>
  <c r="C1253" i="4"/>
  <c r="B1253" i="4" s="1"/>
  <c r="C1096" i="4"/>
  <c r="C1129" i="4"/>
  <c r="B1129" i="4" s="1"/>
  <c r="C873" i="4"/>
  <c r="C1438" i="4"/>
  <c r="C900" i="4"/>
  <c r="C847" i="4"/>
  <c r="C399" i="4"/>
  <c r="C400" i="4"/>
  <c r="B400" i="4" s="1"/>
  <c r="C208" i="4"/>
  <c r="C628" i="4"/>
  <c r="B628" i="4" s="1"/>
  <c r="C327" i="4"/>
  <c r="B327" i="4" s="1"/>
  <c r="C74" i="4"/>
  <c r="C56" i="4"/>
  <c r="C1072" i="4"/>
  <c r="C537" i="4"/>
  <c r="C148" i="4"/>
  <c r="B148" i="4" s="1"/>
  <c r="C963" i="4"/>
  <c r="C313" i="4"/>
  <c r="B313" i="4" s="1"/>
  <c r="C1097" i="4"/>
  <c r="B1097" i="4" s="1"/>
  <c r="C1324" i="4"/>
  <c r="C1228" i="4"/>
  <c r="C1098" i="4"/>
  <c r="C1209" i="4"/>
  <c r="C894" i="4"/>
  <c r="Q894" i="4" s="1"/>
  <c r="R894" i="4" s="1" a="1"/>
  <c r="R894" i="4" s="1"/>
  <c r="C499" i="4"/>
  <c r="C240" i="4"/>
  <c r="B240" i="4" s="1"/>
  <c r="C701" i="4"/>
  <c r="B701" i="4" s="1"/>
  <c r="C989" i="4"/>
  <c r="C901" i="4"/>
  <c r="C1373" i="4"/>
  <c r="C358" i="4"/>
  <c r="C538" i="4"/>
  <c r="B538" i="4" s="1"/>
  <c r="C1439" i="4"/>
  <c r="C110" i="4"/>
  <c r="B110" i="4" s="1"/>
  <c r="C513" i="4"/>
  <c r="B513" i="4" s="1"/>
  <c r="C927" i="4"/>
  <c r="C1073" i="4"/>
  <c r="C426" i="4"/>
  <c r="C75" i="4"/>
  <c r="C149" i="4"/>
  <c r="B149" i="4" s="1"/>
  <c r="C1360" i="4"/>
  <c r="C1286" i="4"/>
  <c r="B1286" i="4" s="1"/>
  <c r="C913" i="4"/>
  <c r="C657" i="4"/>
  <c r="C915" i="4"/>
  <c r="C1229" i="4"/>
  <c r="C917" i="4"/>
  <c r="C909" i="4"/>
  <c r="B909" i="4" s="1"/>
  <c r="C565" i="4"/>
  <c r="C1325" i="4"/>
  <c r="B1325" i="4" s="1"/>
  <c r="C642" i="4"/>
  <c r="B642" i="4" s="1"/>
  <c r="C1099" i="4"/>
  <c r="C1230" i="4"/>
  <c r="C500" i="4"/>
  <c r="C1148" i="4"/>
  <c r="C529" i="4"/>
  <c r="B529" i="4" s="1"/>
  <c r="C566" i="4"/>
  <c r="C123" i="4"/>
  <c r="B123" i="4" s="1"/>
  <c r="C464" i="4"/>
  <c r="C930" i="4"/>
  <c r="C1026" i="4"/>
  <c r="C1116" i="4"/>
  <c r="C450" i="4"/>
  <c r="C934" i="4"/>
  <c r="C514" i="4"/>
  <c r="C401" i="4"/>
  <c r="B401" i="4" s="1"/>
  <c r="C539" i="4"/>
  <c r="B539" i="4" s="1"/>
  <c r="C1185" i="4"/>
  <c r="C990" i="4"/>
  <c r="C242" i="4"/>
  <c r="C941" i="4"/>
  <c r="C942" i="4"/>
  <c r="Q942" i="4" s="1"/>
  <c r="R942" i="4" s="1" a="1"/>
  <c r="R942" i="4" s="1"/>
  <c r="C259" i="4"/>
  <c r="C1394" i="4"/>
  <c r="B1394" i="4" s="1"/>
  <c r="C181" i="4"/>
  <c r="B181" i="4" s="1"/>
  <c r="C385" i="4"/>
  <c r="C182" i="4"/>
  <c r="C948" i="4"/>
  <c r="C949" i="4"/>
  <c r="C1057" i="4"/>
  <c r="B1057" i="4" s="1"/>
  <c r="C1302" i="4"/>
  <c r="C1410" i="4"/>
  <c r="B1410" i="4" s="1"/>
  <c r="C402" i="4"/>
  <c r="B402" i="4" s="1"/>
  <c r="C954" i="4"/>
  <c r="Q954" i="4" s="1"/>
  <c r="R954" i="4" s="1" a="1"/>
  <c r="R954" i="4" s="1"/>
  <c r="C955" i="4"/>
  <c r="C403" i="4"/>
  <c r="C466" i="4"/>
  <c r="C919" i="4"/>
  <c r="B919" i="4" s="1"/>
  <c r="C1395" i="4"/>
  <c r="C1074" i="4"/>
  <c r="B1074" i="4" s="1"/>
  <c r="C9" i="4"/>
  <c r="B9" i="4" s="1"/>
  <c r="C1012" i="4"/>
  <c r="C1075" i="4"/>
  <c r="C878" i="4"/>
  <c r="C278" i="4"/>
  <c r="C1347" i="4"/>
  <c r="B1347" i="4" s="1"/>
  <c r="C1013" i="4"/>
  <c r="C968" i="4"/>
  <c r="Q968" i="4" s="1"/>
  <c r="R968" i="4" s="1" a="1"/>
  <c r="R968" i="4" s="1"/>
  <c r="C427" i="4"/>
  <c r="B427" i="4" s="1"/>
  <c r="C428" i="4"/>
  <c r="C467" i="4"/>
  <c r="C1241" i="4"/>
  <c r="C928" i="4"/>
  <c r="C1374" i="4"/>
  <c r="B1374" i="4" s="1"/>
  <c r="C796" i="4"/>
  <c r="C1429" i="4"/>
  <c r="B1429" i="4" s="1"/>
  <c r="C977" i="4"/>
  <c r="C890" i="4"/>
  <c r="C230" i="4"/>
  <c r="C200" i="4"/>
  <c r="C703" i="4"/>
  <c r="C982" i="4"/>
  <c r="C983" i="4"/>
  <c r="C1287" i="4"/>
  <c r="B1287" i="4" s="1"/>
  <c r="C101" i="4"/>
  <c r="B101" i="4" s="1"/>
  <c r="C260" i="4"/>
  <c r="C987" i="4"/>
  <c r="C404" i="4"/>
  <c r="C1100" i="4"/>
  <c r="C1210" i="4"/>
  <c r="B1210" i="4" s="1"/>
  <c r="C1411" i="4"/>
  <c r="C1083" i="4"/>
  <c r="B1083" i="4" s="1"/>
  <c r="C1303" i="4"/>
  <c r="B1303" i="4" s="1"/>
  <c r="C1348" i="4"/>
  <c r="C1174" i="4"/>
  <c r="C125" i="4"/>
  <c r="C891" i="4"/>
  <c r="C137" i="4"/>
  <c r="B137" i="4" s="1"/>
  <c r="C999" i="4"/>
  <c r="C343" i="4"/>
  <c r="B343" i="4" s="1"/>
  <c r="C405" i="4"/>
  <c r="B405" i="4" s="1"/>
  <c r="C1288" i="4"/>
  <c r="C555" i="4"/>
  <c r="C595" i="4"/>
  <c r="C929" i="4"/>
  <c r="C501" i="4"/>
  <c r="B501" i="4" s="1"/>
  <c r="C1149" i="4"/>
  <c r="C1008" i="4"/>
  <c r="Q1008" i="4" s="1"/>
  <c r="R1008" i="4" s="1" a="1"/>
  <c r="R1008" i="4" s="1"/>
  <c r="C1009" i="4"/>
  <c r="C540" i="4"/>
  <c r="C150" i="4"/>
  <c r="C299" i="4"/>
  <c r="C502" i="4"/>
  <c r="C1014" i="4"/>
  <c r="C376" i="4"/>
  <c r="C1375" i="4"/>
  <c r="B1375" i="4" s="1"/>
  <c r="C1242" i="4"/>
  <c r="B1242" i="4" s="1"/>
  <c r="C1018" i="4"/>
  <c r="Q1018" i="4" s="1"/>
  <c r="R1018" i="4" s="1" a="1"/>
  <c r="R1018" i="4" s="1"/>
  <c r="C821" i="4"/>
  <c r="C608" i="4"/>
  <c r="C1175" i="4"/>
  <c r="C1211" i="4"/>
  <c r="B1211" i="4" s="1"/>
  <c r="C1023" i="4"/>
  <c r="C768" i="4"/>
  <c r="B768" i="4" s="1"/>
  <c r="C360" i="4"/>
  <c r="B360" i="4" s="1"/>
  <c r="C300" i="4"/>
  <c r="C1231" i="4"/>
  <c r="C920" i="4"/>
  <c r="C629" i="4"/>
  <c r="C1186" i="4"/>
  <c r="B1186" i="4" s="1"/>
  <c r="C1326" i="4"/>
  <c r="C852" i="4"/>
  <c r="B852" i="4" s="1"/>
  <c r="C1033" i="4"/>
  <c r="C1034" i="4"/>
  <c r="Q1034" i="4" s="1"/>
  <c r="R1034" i="4" s="1" a="1"/>
  <c r="R1034" i="4" s="1"/>
  <c r="C1035" i="4"/>
  <c r="C1176" i="4"/>
  <c r="C864" i="4"/>
  <c r="C1038" i="4"/>
  <c r="Q1038" i="4" s="1"/>
  <c r="R1038" i="4" s="1" a="1"/>
  <c r="R1038" i="4" s="1"/>
  <c r="C1027" i="4"/>
  <c r="C556" i="4"/>
  <c r="B556" i="4" s="1"/>
  <c r="C1041" i="4"/>
  <c r="C1028" i="4"/>
  <c r="C517" i="4"/>
  <c r="C1187" i="4"/>
  <c r="C1117" i="4"/>
  <c r="C103" i="4"/>
  <c r="B103" i="4" s="1"/>
  <c r="C1349" i="4"/>
  <c r="C172" i="4"/>
  <c r="B172" i="4" s="1"/>
  <c r="C1219" i="4"/>
  <c r="B1219" i="4" s="1"/>
  <c r="C1254" i="4"/>
  <c r="C991" i="4"/>
  <c r="C1350" i="4"/>
  <c r="C1002" i="4"/>
  <c r="C580" i="4"/>
  <c r="B580" i="4" s="1"/>
  <c r="C686" i="4"/>
  <c r="C1232" i="4"/>
  <c r="B1232" i="4" s="1"/>
  <c r="C1212" i="4"/>
  <c r="B1212" i="4" s="1"/>
  <c r="C1058" i="4"/>
  <c r="C1059" i="4"/>
  <c r="C1060" i="4"/>
  <c r="C1441" i="4"/>
  <c r="C1062" i="4"/>
  <c r="C1189" i="4"/>
  <c r="C567" i="4"/>
  <c r="B567" i="4" s="1"/>
  <c r="C151" i="4"/>
  <c r="B151" i="4" s="1"/>
  <c r="C1220" i="4"/>
  <c r="C1304" i="4"/>
  <c r="C630" i="4"/>
  <c r="C152" i="4"/>
  <c r="C1070" i="4"/>
  <c r="Q1070" i="4" s="1"/>
  <c r="R1070" i="4" s="1" a="1"/>
  <c r="R1070" i="4" s="1"/>
  <c r="C1351" i="4"/>
  <c r="C964" i="4"/>
  <c r="B964" i="4" s="1"/>
  <c r="C1305" i="4"/>
  <c r="B1305" i="4" s="1"/>
  <c r="C1061" i="4"/>
  <c r="C623" i="4"/>
  <c r="C946" i="4"/>
  <c r="C581" i="4"/>
  <c r="C111" i="4"/>
  <c r="B111" i="4" s="1"/>
  <c r="C1079" i="4"/>
  <c r="Q1079" i="4" s="1"/>
  <c r="R1079" i="4" s="1" a="1"/>
  <c r="R1079" i="4" s="1"/>
  <c r="C1306" i="4"/>
  <c r="B1306" i="4" s="1"/>
  <c r="C279" i="4"/>
  <c r="B279" i="4" s="1"/>
  <c r="C1150" i="4"/>
  <c r="C557" i="4"/>
  <c r="C1376" i="4"/>
  <c r="C1085" i="4"/>
  <c r="C164" i="4"/>
  <c r="B164" i="4" s="1"/>
  <c r="C1087" i="4"/>
  <c r="C631" i="4"/>
  <c r="B631" i="4" s="1"/>
  <c r="C848" i="4"/>
  <c r="B848" i="4" s="1"/>
  <c r="C1352" i="4"/>
  <c r="C386" i="4"/>
  <c r="C94" i="4"/>
  <c r="C406" i="4"/>
  <c r="C1378" i="4"/>
  <c r="B1378" i="4" s="1"/>
  <c r="C910" i="4"/>
  <c r="C174" i="4"/>
  <c r="B174" i="4" s="1"/>
  <c r="C153" i="4"/>
  <c r="B153" i="4" s="1"/>
  <c r="C280" i="4"/>
  <c r="C965" i="4"/>
  <c r="C314" i="4"/>
  <c r="C165" i="4"/>
  <c r="C62" i="4"/>
  <c r="B62" i="4" s="1"/>
  <c r="C253" i="4"/>
  <c r="C731" i="4"/>
  <c r="B731" i="4" s="1"/>
  <c r="C1243" i="4"/>
  <c r="B1243" i="4" s="1"/>
  <c r="C10" i="4"/>
  <c r="C1029" i="4"/>
  <c r="C1108" i="4"/>
  <c r="C377" i="4"/>
  <c r="C777" i="4"/>
  <c r="B777" i="4" s="1"/>
  <c r="C1430" i="4"/>
  <c r="C1112" i="4"/>
  <c r="C1113" i="4"/>
  <c r="C1114" i="4"/>
  <c r="C732" i="4"/>
  <c r="C83" i="4"/>
  <c r="C1047" i="4"/>
  <c r="C659" i="4"/>
  <c r="B659" i="4" s="1"/>
  <c r="C978" i="4"/>
  <c r="C76" i="4"/>
  <c r="B76" i="4" s="1"/>
  <c r="C704" i="4"/>
  <c r="B704" i="4" s="1"/>
  <c r="C569" i="4"/>
  <c r="C32" i="4"/>
  <c r="C201" i="4"/>
  <c r="C43" i="4"/>
  <c r="C490" i="4"/>
  <c r="B490" i="4" s="1"/>
  <c r="C1190" i="4"/>
  <c r="C262" i="4"/>
  <c r="B262" i="4" s="1"/>
  <c r="C57" i="4"/>
  <c r="B57" i="4" s="1"/>
  <c r="C632" i="4"/>
  <c r="C1244" i="4"/>
  <c r="C1462" i="4"/>
  <c r="C1177" i="4"/>
  <c r="C361" i="4"/>
  <c r="B361" i="4" s="1"/>
  <c r="C18" i="4"/>
  <c r="C643" i="4"/>
  <c r="B643" i="4" s="1"/>
  <c r="C902" i="4"/>
  <c r="B902" i="4" s="1"/>
  <c r="C1138" i="4"/>
  <c r="C1386" i="4"/>
  <c r="C281" i="4"/>
  <c r="C814" i="4"/>
  <c r="C282" i="4"/>
  <c r="B282" i="4" s="1"/>
  <c r="C328" i="4"/>
  <c r="C468" i="4"/>
  <c r="B468" i="4" s="1"/>
  <c r="C903" i="4"/>
  <c r="B903" i="4" s="1"/>
  <c r="C1289" i="4"/>
  <c r="C705" i="4"/>
  <c r="C1118" i="4"/>
  <c r="C77" i="4"/>
  <c r="C154" i="4"/>
  <c r="B154" i="4" s="1"/>
  <c r="C582" i="4"/>
  <c r="C388" i="4"/>
  <c r="B388" i="4" s="1"/>
  <c r="C1048" i="4"/>
  <c r="B1048" i="4" s="1"/>
  <c r="C624" i="4"/>
  <c r="C1155" i="4"/>
  <c r="C558" i="4"/>
  <c r="C518" i="4"/>
  <c r="C1327" i="4"/>
  <c r="B1327" i="4" s="1"/>
  <c r="C1030" i="4"/>
  <c r="C769" i="4"/>
  <c r="B769" i="4" s="1"/>
  <c r="C1191" i="4"/>
  <c r="B1191" i="4" s="1"/>
  <c r="C541" i="4"/>
  <c r="C742" i="4"/>
  <c r="C1164" i="4"/>
  <c r="C451" i="4"/>
  <c r="C429" i="4"/>
  <c r="B429" i="4" s="1"/>
  <c r="C1163" i="4"/>
  <c r="C1329" i="4"/>
  <c r="B1329" i="4" s="1"/>
  <c r="C1169" i="4"/>
  <c r="C1431" i="4"/>
  <c r="C931" i="4"/>
  <c r="C430" i="4"/>
  <c r="C1173" i="4"/>
  <c r="C491" i="4"/>
  <c r="B491" i="4" s="1"/>
  <c r="C979" i="4"/>
  <c r="C362" i="4"/>
  <c r="B362" i="4" s="1"/>
  <c r="C33" i="4"/>
  <c r="B33" i="4" s="1"/>
  <c r="C34" i="4"/>
  <c r="C743" i="4"/>
  <c r="C492" i="4"/>
  <c r="C254" i="4"/>
  <c r="C829" i="4"/>
  <c r="B829" i="4" s="1"/>
  <c r="C95" i="4"/>
  <c r="C493" i="4"/>
  <c r="B493" i="4" s="1"/>
  <c r="C519" i="4"/>
  <c r="C350" i="4"/>
  <c r="C892" i="4"/>
  <c r="C1188" i="4"/>
  <c r="C571" i="4"/>
  <c r="C96" i="4"/>
  <c r="B96" i="4" s="1"/>
  <c r="C232" i="4"/>
  <c r="C1049" i="4"/>
  <c r="B1049" i="4" s="1"/>
  <c r="C118" i="4"/>
  <c r="B118" i="4" s="1"/>
  <c r="C1084" i="4"/>
  <c r="C283" i="4"/>
  <c r="C209" i="4"/>
  <c r="C1119" i="4"/>
  <c r="C431" i="4"/>
  <c r="B431" i="4" s="1"/>
  <c r="C1464" i="4"/>
  <c r="C853" i="4"/>
  <c r="B853" i="4" s="1"/>
  <c r="C301" i="4"/>
  <c r="B301" i="4" s="1"/>
  <c r="C611" i="4"/>
  <c r="C1203" i="4"/>
  <c r="C112" i="4"/>
  <c r="C966" i="4"/>
  <c r="C1206" i="4"/>
  <c r="Q1206" i="4" s="1"/>
  <c r="R1206" i="4" s="1" a="1"/>
  <c r="R1206" i="4" s="1"/>
  <c r="C1207" i="4"/>
  <c r="Q1207" i="4" s="1"/>
  <c r="R1207" i="4" s="1" a="1"/>
  <c r="R1207" i="4" s="1"/>
  <c r="C706" i="4"/>
  <c r="B706" i="4" s="1"/>
  <c r="C992" i="4"/>
  <c r="B992" i="4" s="1"/>
  <c r="C744" i="4"/>
  <c r="C1063" i="4"/>
  <c r="C707" i="4"/>
  <c r="C1366" i="4"/>
  <c r="C1307" i="4"/>
  <c r="B1307" i="4" s="1"/>
  <c r="C1215" i="4"/>
  <c r="Q1215" i="4" s="1"/>
  <c r="R1215" i="4" s="1" a="1"/>
  <c r="R1215" i="4" s="1"/>
  <c r="C190" i="4"/>
  <c r="B190" i="4" s="1"/>
  <c r="C1387" i="4"/>
  <c r="B1387" i="4" s="1"/>
  <c r="C119" i="4"/>
  <c r="C1140" i="4"/>
  <c r="C1165" i="4"/>
  <c r="C97" i="4"/>
  <c r="C127" i="4"/>
  <c r="B127" i="4" s="1"/>
  <c r="C839" i="4"/>
  <c r="C1224" i="4"/>
  <c r="Q1224" i="4" s="1"/>
  <c r="R1224" i="4" s="1" a="1"/>
  <c r="R1224" i="4" s="1"/>
  <c r="C1225" i="4"/>
  <c r="C315" i="4"/>
  <c r="C596" i="4"/>
  <c r="C745" i="4"/>
  <c r="C583" i="4"/>
  <c r="C747" i="4"/>
  <c r="B747" i="4" s="1"/>
  <c r="C687" i="4"/>
  <c r="C191" i="4"/>
  <c r="B191" i="4" s="1"/>
  <c r="C494" i="4"/>
  <c r="B494" i="4" s="1"/>
  <c r="C263" i="4"/>
  <c r="C1368" i="4"/>
  <c r="C155" i="4"/>
  <c r="C780" i="4"/>
  <c r="C1238" i="4"/>
  <c r="Q1238" i="4" s="1"/>
  <c r="R1238" i="4" s="1" a="1"/>
  <c r="R1238" i="4" s="1"/>
  <c r="C1239" i="4"/>
  <c r="Q1239" i="4" s="1"/>
  <c r="R1239" i="4" s="1" a="1"/>
  <c r="R1239" i="4" s="1"/>
  <c r="C967" i="4"/>
  <c r="B967" i="4" s="1"/>
  <c r="C98" i="4"/>
  <c r="B98" i="4" s="1"/>
  <c r="C302" i="4"/>
  <c r="C572" i="4"/>
  <c r="C1330" i="4"/>
  <c r="C264" i="4"/>
  <c r="C879" i="4"/>
  <c r="B879" i="4" s="1"/>
  <c r="C469" i="4"/>
  <c r="C1248" i="4"/>
  <c r="Q1248" i="4" s="1"/>
  <c r="R1248" i="4" s="1" a="1"/>
  <c r="R1248" i="4" s="1"/>
  <c r="C1101" i="4"/>
  <c r="B1101" i="4" s="1"/>
  <c r="C893" i="4"/>
  <c r="C1251" i="4"/>
  <c r="C1015" i="4"/>
  <c r="C192" i="4"/>
  <c r="C139" i="4"/>
  <c r="B139" i="4" s="1"/>
  <c r="C1353" i="4"/>
  <c r="C932" i="4"/>
  <c r="B932" i="4" s="1"/>
  <c r="C1257" i="4"/>
  <c r="C1086" i="4"/>
  <c r="C1259" i="4"/>
  <c r="C291" i="4"/>
  <c r="C470" i="4"/>
  <c r="C378" i="4"/>
  <c r="B378" i="4" s="1"/>
  <c r="C1361" i="4"/>
  <c r="C1264" i="4"/>
  <c r="Q1264" i="4" s="1"/>
  <c r="R1264" i="4" s="1" a="1"/>
  <c r="R1264" i="4" s="1"/>
  <c r="C472" i="4"/>
  <c r="B472" i="4" s="1"/>
  <c r="C660" i="4"/>
  <c r="C1192" i="4"/>
  <c r="C1312" i="4"/>
  <c r="C303" i="4"/>
  <c r="C904" i="4"/>
  <c r="B904" i="4" s="1"/>
  <c r="C63" i="4"/>
  <c r="C854" i="4"/>
  <c r="B854" i="4" s="1"/>
  <c r="C1273" i="4"/>
  <c r="C1308" i="4"/>
  <c r="C1275" i="4"/>
  <c r="C1313" i="4"/>
  <c r="C1102" i="4"/>
  <c r="C330" i="4"/>
  <c r="B330" i="4" s="1"/>
  <c r="C45" i="4"/>
  <c r="C1193" i="4"/>
  <c r="B1193" i="4" s="1"/>
  <c r="C1281" i="4"/>
  <c r="C114" i="4"/>
  <c r="C1283" i="4"/>
  <c r="C880" i="4"/>
  <c r="C832" i="4"/>
  <c r="C1354" i="4"/>
  <c r="B1354" i="4" s="1"/>
  <c r="C865" i="4"/>
  <c r="C503" i="4"/>
  <c r="B503" i="4" s="1"/>
  <c r="C1316" i="4"/>
  <c r="B1316" i="4" s="1"/>
  <c r="C709" i="4"/>
  <c r="C193" i="4"/>
  <c r="C1292" i="4"/>
  <c r="C1293" i="4"/>
  <c r="C1194" i="4"/>
  <c r="B1194" i="4" s="1"/>
  <c r="C1103" i="4"/>
  <c r="C243" i="4"/>
  <c r="B243" i="4" s="1"/>
  <c r="C1003" i="4"/>
  <c r="B1003" i="4" s="1"/>
  <c r="C1270" i="4"/>
  <c r="C1299" i="4"/>
  <c r="C1300" i="4"/>
  <c r="C849" i="4"/>
  <c r="C11" i="4"/>
  <c r="B11" i="4" s="1"/>
  <c r="C969" i="4"/>
  <c r="C105" i="4"/>
  <c r="B105" i="4" s="1"/>
  <c r="C1317" i="4"/>
  <c r="B1317" i="4" s="1"/>
  <c r="C1151" i="4"/>
  <c r="C316" i="4"/>
  <c r="C841" i="4"/>
  <c r="C735" i="4"/>
  <c r="C1195" i="4"/>
  <c r="B1195" i="4" s="1"/>
  <c r="C797" i="4"/>
  <c r="C1004" i="4"/>
  <c r="B1004" i="4" s="1"/>
  <c r="C612" i="4"/>
  <c r="B612" i="4" s="1"/>
  <c r="C1314" i="4"/>
  <c r="Q1314" i="4" s="1"/>
  <c r="R1314" i="4" s="1" a="1"/>
  <c r="R1314" i="4" s="1"/>
  <c r="C1315" i="4"/>
  <c r="C644" i="4"/>
  <c r="C1396" i="4"/>
  <c r="C559" i="4"/>
  <c r="B559" i="4" s="1"/>
  <c r="C473" i="4"/>
  <c r="C1120" i="4"/>
  <c r="B1120" i="4" s="1"/>
  <c r="C432" i="4"/>
  <c r="B432" i="4" s="1"/>
  <c r="C58" i="4"/>
  <c r="C584" i="4"/>
  <c r="C19" i="4"/>
  <c r="C911" i="4"/>
  <c r="C1178" i="4"/>
  <c r="B1178" i="4" s="1"/>
  <c r="C433" i="4"/>
  <c r="C1328" i="4"/>
  <c r="Q1328" i="4" s="1"/>
  <c r="R1328" i="4" s="1" a="1"/>
  <c r="R1328" i="4" s="1"/>
  <c r="C980" i="4"/>
  <c r="B980" i="4" s="1"/>
  <c r="C1121" i="4"/>
  <c r="C1255" i="4"/>
  <c r="C633" i="4"/>
  <c r="C757" i="4"/>
  <c r="C1334" i="4"/>
  <c r="Q1334" i="4" s="1"/>
  <c r="R1334" i="4" s="1" a="1"/>
  <c r="R1334" i="4" s="1"/>
  <c r="C1335" i="4"/>
  <c r="Q1335" i="4" s="1"/>
  <c r="R1335" i="4" s="1" a="1"/>
  <c r="R1335" i="4" s="1"/>
  <c r="C1196" i="4"/>
  <c r="B1196" i="4" s="1"/>
  <c r="C1469" i="4"/>
  <c r="B1469" i="4" s="1"/>
  <c r="C64" i="4"/>
  <c r="C1256" i="4"/>
  <c r="C1340" i="4"/>
  <c r="C1341" i="4"/>
  <c r="C1213" i="4"/>
  <c r="B1213" i="4" s="1"/>
  <c r="C78" i="4"/>
  <c r="C947" i="4"/>
  <c r="B947" i="4" s="1"/>
  <c r="C389" i="4"/>
  <c r="B389" i="4" s="1"/>
  <c r="C1258" i="4"/>
  <c r="C1470" i="4"/>
  <c r="C1245" i="4"/>
  <c r="C504" i="4"/>
  <c r="C867" i="4"/>
  <c r="B867" i="4" s="1"/>
  <c r="C434" i="4"/>
  <c r="C1260" i="4"/>
  <c r="B1260" i="4" s="1"/>
  <c r="C970" i="4"/>
  <c r="B970" i="4" s="1"/>
  <c r="C710" i="4"/>
  <c r="C1355" i="4"/>
  <c r="C1356" i="4"/>
  <c r="C344" i="4"/>
  <c r="C1412" i="4"/>
  <c r="B1412" i="4" s="1"/>
  <c r="C1388" i="4"/>
  <c r="C1331" i="4"/>
  <c r="B1331" i="4" s="1"/>
  <c r="C317" i="4"/>
  <c r="B317" i="4" s="1"/>
  <c r="C645" i="4"/>
  <c r="C736" i="4"/>
  <c r="C345" i="4"/>
  <c r="C981" i="4"/>
  <c r="C1471" i="4"/>
  <c r="B1471" i="4" s="1"/>
  <c r="C1367" i="4"/>
  <c r="Q1367" i="4" s="1"/>
  <c r="R1367" i="4" s="1" a="1"/>
  <c r="R1367" i="4" s="1"/>
  <c r="C816" i="4"/>
  <c r="B816" i="4" s="1"/>
  <c r="C675" i="4"/>
  <c r="B675" i="4" s="1"/>
  <c r="C304" i="4"/>
  <c r="C1371" i="4"/>
  <c r="C1451" i="4"/>
  <c r="C156" i="4"/>
  <c r="C305" i="4"/>
  <c r="B305" i="4" s="1"/>
  <c r="C46" i="4"/>
  <c r="C1399" i="4"/>
  <c r="B1399" i="4" s="1"/>
  <c r="C1377" i="4"/>
  <c r="C37" i="4"/>
  <c r="C817" i="4"/>
  <c r="C20" i="4"/>
  <c r="C1381" i="4"/>
  <c r="C84" i="4"/>
  <c r="B84" i="4" s="1"/>
  <c r="C1221" i="4"/>
  <c r="C598" i="4"/>
  <c r="B598" i="4" s="1"/>
  <c r="C85" i="4"/>
  <c r="B85" i="4" s="1"/>
  <c r="C912" i="4"/>
  <c r="C550" i="4"/>
  <c r="C1130" i="4"/>
  <c r="C115" i="4"/>
  <c r="C855" i="4"/>
  <c r="B855" i="4" s="1"/>
  <c r="C87" i="4"/>
  <c r="C1392" i="4"/>
  <c r="Q1392" i="4" s="1"/>
  <c r="R1392" i="4" s="1" a="1"/>
  <c r="R1392" i="4" s="1"/>
  <c r="C88" i="4"/>
  <c r="B88" i="4" s="1"/>
  <c r="C971" i="4"/>
  <c r="C984" i="4"/>
  <c r="C89" i="4"/>
  <c r="C1397" i="4"/>
  <c r="C1398" i="4"/>
  <c r="Q1398" i="4" s="1"/>
  <c r="R1398" i="4" s="1" a="1"/>
  <c r="R1398" i="4" s="1"/>
  <c r="C166" i="4"/>
  <c r="C676" i="4"/>
  <c r="B676" i="4" s="1"/>
  <c r="C183" i="4"/>
  <c r="B183" i="4" s="1"/>
  <c r="C21" i="4"/>
  <c r="C379" i="4"/>
  <c r="C474" i="4"/>
  <c r="C22" i="4"/>
  <c r="C551" i="4"/>
  <c r="B551" i="4" s="1"/>
  <c r="C408" i="4"/>
  <c r="C1261" i="4"/>
  <c r="B1261" i="4" s="1"/>
  <c r="C985" i="4"/>
  <c r="B985" i="4" s="1"/>
  <c r="C306" i="4"/>
  <c r="C531" i="4"/>
  <c r="C625" i="4"/>
  <c r="C116" i="4"/>
  <c r="C157" i="4"/>
  <c r="B157" i="4" s="1"/>
  <c r="C599" i="4"/>
  <c r="C881" i="4"/>
  <c r="B881" i="4" s="1"/>
  <c r="C1413" i="4"/>
  <c r="B1413" i="4" s="1"/>
  <c r="C307" i="4"/>
  <c r="C475" i="4"/>
  <c r="C585" i="4"/>
  <c r="C409" i="4"/>
  <c r="C933" i="4"/>
  <c r="B933" i="4" s="1"/>
  <c r="C993" i="4"/>
  <c r="C986" i="4"/>
  <c r="B986" i="4" s="1"/>
  <c r="C842" i="4"/>
  <c r="B842" i="4" s="1"/>
  <c r="C1031" i="4"/>
  <c r="C688" i="4"/>
  <c r="C1290" i="4"/>
  <c r="C363" i="4"/>
  <c r="C1271" i="4"/>
  <c r="B1271" i="4" s="1"/>
  <c r="C601" i="4"/>
  <c r="C505" i="4"/>
  <c r="B505" i="4" s="1"/>
  <c r="C210" i="4"/>
  <c r="B210" i="4" s="1"/>
  <c r="C752" i="4"/>
  <c r="C1076" i="4"/>
  <c r="C59" i="4"/>
  <c r="C284" i="4"/>
  <c r="C1152" i="4"/>
  <c r="B1152" i="4" s="1"/>
  <c r="C79" i="4"/>
  <c r="C1440" i="4"/>
  <c r="Q1440" i="4" s="1"/>
  <c r="R1440" i="4" s="1" a="1"/>
  <c r="R1440" i="4" s="1"/>
  <c r="C414" i="4"/>
  <c r="B414" i="4" s="1"/>
  <c r="C140" i="4"/>
  <c r="C476" i="4"/>
  <c r="C1444" i="4"/>
  <c r="C1414" i="4"/>
  <c r="C1446" i="4"/>
  <c r="Q1446" i="4" s="1"/>
  <c r="R1446" i="4" s="1" a="1"/>
  <c r="R1446" i="4" s="1"/>
  <c r="C1291" i="4"/>
  <c r="C758" i="4"/>
  <c r="B758" i="4" s="1"/>
  <c r="C634" i="4"/>
  <c r="B634" i="4" s="1"/>
  <c r="C1415" i="4"/>
  <c r="C1136" i="4"/>
  <c r="C1233" i="4"/>
  <c r="C689" i="4"/>
  <c r="C1454" i="4"/>
  <c r="Q1454" i="4" s="1"/>
  <c r="R1454" i="4" s="1" a="1"/>
  <c r="R1454" i="4" s="1"/>
  <c r="C921" i="4"/>
  <c r="C477" i="4"/>
  <c r="B477" i="4" s="1"/>
  <c r="C331" i="4"/>
  <c r="B331" i="4" s="1"/>
  <c r="C520" i="4"/>
  <c r="C626" i="4"/>
  <c r="C1400" i="4"/>
  <c r="C332" i="4"/>
  <c r="C1141" i="4"/>
  <c r="B1141" i="4" s="1"/>
  <c r="C1463" i="4"/>
  <c r="Q1463" i="4" s="1"/>
  <c r="R1463" i="4" s="1" a="1"/>
  <c r="R1463" i="4" s="1"/>
  <c r="C130" i="4"/>
  <c r="B130" i="4" s="1"/>
  <c r="C318" i="4"/>
  <c r="B318" i="4" s="1"/>
  <c r="C185" i="4"/>
  <c r="C1050" i="4"/>
  <c r="C818" i="4"/>
  <c r="C935" i="4"/>
  <c r="C950" i="4"/>
  <c r="B950" i="4" s="1"/>
  <c r="C1442" i="4"/>
  <c r="C2" i="4"/>
  <c r="A457" i="4"/>
  <c r="O457" i="4" s="1" a="1"/>
  <c r="O457" i="4" s="1"/>
  <c r="A395" i="4"/>
  <c r="O395" i="4" s="1" a="1"/>
  <c r="O395" i="4" s="1"/>
  <c r="A524" i="4"/>
  <c r="O524" i="4" s="1" a="1"/>
  <c r="O524" i="4" s="1"/>
  <c r="A226" i="4"/>
  <c r="O226" i="4" s="1" a="1"/>
  <c r="O226" i="4" s="1"/>
  <c r="A666" i="4"/>
  <c r="O666" i="4" s="1" a="1"/>
  <c r="O666" i="4" s="1"/>
  <c r="A437" i="4"/>
  <c r="O437" i="4" s="1" a="1"/>
  <c r="O437" i="4" s="1"/>
  <c r="A438" i="4"/>
  <c r="O438" i="4" s="1" a="1"/>
  <c r="O438" i="4" s="1"/>
  <c r="A1455" i="4"/>
  <c r="O1455" i="4" s="1" a="1"/>
  <c r="O1455" i="4" s="1"/>
  <c r="A718" i="4"/>
  <c r="O718" i="4" s="1" a="1"/>
  <c r="O718" i="4" s="1"/>
  <c r="A441" i="4"/>
  <c r="O441" i="4" s="1" a="1"/>
  <c r="O441" i="4" s="1"/>
  <c r="A442" i="4"/>
  <c r="O442" i="4" s="1" a="1"/>
  <c r="O442" i="4" s="1"/>
  <c r="A412" i="4"/>
  <c r="O412" i="4" s="1" a="1"/>
  <c r="O412" i="4" s="1"/>
  <c r="A667" i="4"/>
  <c r="O667" i="4" s="1" a="1"/>
  <c r="O667" i="4" s="1"/>
  <c r="A445" i="4"/>
  <c r="O445" i="4" s="1" a="1"/>
  <c r="O445" i="4" s="1"/>
  <c r="A92" i="4"/>
  <c r="O92" i="4" s="1" a="1"/>
  <c r="O92" i="4" s="1"/>
  <c r="A235" i="4"/>
  <c r="O235" i="4" s="1" a="1"/>
  <c r="O235" i="4" s="1"/>
  <c r="A1092" i="4"/>
  <c r="O1092" i="4" s="1" a="1"/>
  <c r="O1092" i="4" s="1"/>
  <c r="A1069" i="4"/>
  <c r="O1069" i="4" s="1" a="1"/>
  <c r="O1069" i="4" s="1"/>
  <c r="A719" i="4"/>
  <c r="O719" i="4" s="1" a="1"/>
  <c r="O719" i="4" s="1"/>
  <c r="A322" i="4"/>
  <c r="O322" i="4" s="1" a="1"/>
  <c r="O322" i="4" s="1"/>
  <c r="A696" i="4"/>
  <c r="O696" i="4" s="1" a="1"/>
  <c r="O696" i="4" s="1"/>
  <c r="A1020" i="4"/>
  <c r="O1020" i="4" s="1" a="1"/>
  <c r="O1020" i="4" s="1"/>
  <c r="A443" i="4"/>
  <c r="O443" i="4" s="1" a="1"/>
  <c r="O443" i="4" s="1"/>
  <c r="A455" i="4"/>
  <c r="O455" i="4" s="1" a="1"/>
  <c r="O455" i="4" s="1"/>
  <c r="A483" i="4"/>
  <c r="O483" i="4" s="1" a="1"/>
  <c r="O483" i="4" s="1"/>
  <c r="A918" i="4"/>
  <c r="O918" i="4" s="1" a="1"/>
  <c r="O918" i="4" s="1"/>
  <c r="A545" i="4"/>
  <c r="O545" i="4" s="1" a="1"/>
  <c r="O545" i="4" s="1"/>
  <c r="A459" i="4"/>
  <c r="O459" i="4" s="1" a="1"/>
  <c r="O459" i="4" s="1"/>
  <c r="A1218" i="4"/>
  <c r="O1218" i="4" s="1" a="1"/>
  <c r="O1218" i="4" s="1"/>
  <c r="A29" i="4"/>
  <c r="O29" i="4" s="1" a="1"/>
  <c r="O29" i="4" s="1"/>
  <c r="A1106" i="4"/>
  <c r="O1106" i="4" s="1" a="1"/>
  <c r="O1106" i="4" s="1"/>
  <c r="A509" i="4"/>
  <c r="O509" i="4" s="1" a="1"/>
  <c r="O509" i="4" s="1"/>
  <c r="A1265" i="4"/>
  <c r="O1265" i="4" s="1" a="1"/>
  <c r="O1265" i="4" s="1"/>
  <c r="A465" i="4"/>
  <c r="O465" i="4" s="1" a="1"/>
  <c r="O465" i="4" s="1"/>
  <c r="A1284" i="4"/>
  <c r="O1284" i="4" s="1" a="1"/>
  <c r="O1284" i="4" s="1"/>
  <c r="A560" i="4"/>
  <c r="O560" i="4" s="1" a="1"/>
  <c r="O560" i="4" s="1"/>
  <c r="A1170" i="4"/>
  <c r="O1170" i="4" s="1" a="1"/>
  <c r="O1170" i="4" s="1"/>
  <c r="A1266" i="4"/>
  <c r="O1266" i="4" s="1" a="1"/>
  <c r="O1266" i="4" s="1"/>
  <c r="A354" i="4"/>
  <c r="O354" i="4" s="1" a="1"/>
  <c r="O354" i="4" s="1"/>
  <c r="A471" i="4"/>
  <c r="O471" i="4" s="1" a="1"/>
  <c r="O471" i="4" s="1"/>
  <c r="A339" i="4"/>
  <c r="O339" i="4" s="1" a="1"/>
  <c r="O339" i="4" s="1"/>
  <c r="A1434" i="4"/>
  <c r="O1434" i="4" s="1" a="1"/>
  <c r="O1434" i="4" s="1"/>
  <c r="A525" i="4"/>
  <c r="O525" i="4" s="1" a="1"/>
  <c r="O525" i="4" s="1"/>
  <c r="A41" i="4"/>
  <c r="O41" i="4" s="1" a="1"/>
  <c r="O41" i="4" s="1"/>
  <c r="A874" i="4"/>
  <c r="O874" i="4" s="1" a="1"/>
  <c r="O874" i="4" s="1"/>
  <c r="A834" i="4"/>
  <c r="O834" i="4" s="1" a="1"/>
  <c r="O834" i="4" s="1"/>
  <c r="A682" i="4"/>
  <c r="O682" i="4" s="1" a="1"/>
  <c r="O682" i="4" s="1"/>
  <c r="A136" i="4"/>
  <c r="O136" i="4" s="1" a="1"/>
  <c r="O136" i="4" s="1"/>
  <c r="A213" i="4"/>
  <c r="O213" i="4" s="1" a="1"/>
  <c r="O213" i="4" s="1"/>
  <c r="A481" i="4"/>
  <c r="O481" i="4" s="1" a="1"/>
  <c r="O481" i="4" s="1"/>
  <c r="A482" i="4"/>
  <c r="O482" i="4" s="1" a="1"/>
  <c r="O482" i="4" s="1"/>
  <c r="A765" i="4"/>
  <c r="O765" i="4" s="1" a="1"/>
  <c r="O765" i="4" s="1"/>
  <c r="A484" i="4"/>
  <c r="O484" i="4" s="1" a="1"/>
  <c r="O484" i="4" s="1"/>
  <c r="A1143" i="4"/>
  <c r="O1143" i="4" s="1" a="1"/>
  <c r="O1143" i="4" s="1"/>
  <c r="A310" i="4"/>
  <c r="O310" i="4" s="1" a="1"/>
  <c r="O310" i="4" s="1"/>
  <c r="A1337" i="4"/>
  <c r="O1337" i="4" s="1" a="1"/>
  <c r="O1337" i="4" s="1"/>
  <c r="A444" i="4"/>
  <c r="O444" i="4" s="1" a="1"/>
  <c r="O444" i="4" s="1"/>
  <c r="A1383" i="4"/>
  <c r="O1383" i="4" s="1" a="1"/>
  <c r="O1383" i="4" s="1"/>
  <c r="A698" i="4"/>
  <c r="O698" i="4" s="1" a="1"/>
  <c r="O698" i="4" s="1"/>
  <c r="A897" i="4"/>
  <c r="O897" i="4" s="1" a="1"/>
  <c r="O897" i="4" s="1"/>
  <c r="A908" i="4"/>
  <c r="O908" i="4" s="1" a="1"/>
  <c r="O908" i="4" s="1"/>
  <c r="A940" i="4"/>
  <c r="O940" i="4" s="1" a="1"/>
  <c r="O940" i="4" s="1"/>
  <c r="A275" i="4"/>
  <c r="O275" i="4" s="1" a="1"/>
  <c r="O275" i="4" s="1"/>
  <c r="A323" i="4"/>
  <c r="O323" i="4" s="1" a="1"/>
  <c r="O323" i="4" s="1"/>
  <c r="A214" i="4"/>
  <c r="O214" i="4" s="1" a="1"/>
  <c r="O214" i="4" s="1"/>
  <c r="A497" i="4"/>
  <c r="O497" i="4" s="1" a="1"/>
  <c r="O497" i="4" s="1"/>
  <c r="A589" i="4"/>
  <c r="O589" i="4" s="1" a="1"/>
  <c r="O589" i="4" s="1"/>
  <c r="A340" i="4"/>
  <c r="O340" i="4" s="1" a="1"/>
  <c r="O340" i="4" s="1"/>
  <c r="A1338" i="4"/>
  <c r="O1338" i="4" s="1" a="1"/>
  <c r="O1338" i="4" s="1"/>
  <c r="A670" i="4"/>
  <c r="O670" i="4" s="1" a="1"/>
  <c r="O670" i="4" s="1"/>
  <c r="A498" i="4"/>
  <c r="O498" i="4" s="1" a="1"/>
  <c r="O498" i="4" s="1"/>
  <c r="A30" i="4"/>
  <c r="O30" i="4" s="1" a="1"/>
  <c r="O30" i="4" s="1"/>
  <c r="A341" i="4"/>
  <c r="O341" i="4" s="1" a="1"/>
  <c r="O341" i="4" s="1"/>
  <c r="A1423" i="4"/>
  <c r="O1423" i="4" s="1" a="1"/>
  <c r="O1423" i="4" s="1"/>
  <c r="A506" i="4"/>
  <c r="O506" i="4" s="1" a="1"/>
  <c r="O506" i="4" s="1"/>
  <c r="A248" i="4"/>
  <c r="O248" i="4" s="1" a="1"/>
  <c r="O248" i="4" s="1"/>
  <c r="A485" i="4"/>
  <c r="O485" i="4" s="1" a="1"/>
  <c r="O485" i="4" s="1"/>
  <c r="A885" i="4"/>
  <c r="O885" i="4" s="1" a="1"/>
  <c r="O885" i="4" s="1"/>
  <c r="A699" i="4"/>
  <c r="O699" i="4" s="1" a="1"/>
  <c r="O699" i="4" s="1"/>
  <c r="A1424" i="4"/>
  <c r="O1424" i="4" s="1" a="1"/>
  <c r="O1424" i="4" s="1"/>
  <c r="A998" i="4"/>
  <c r="O998" i="4" s="1" a="1"/>
  <c r="O998" i="4" s="1"/>
  <c r="A590" i="4"/>
  <c r="O590" i="4" s="1" a="1"/>
  <c r="O590" i="4" s="1"/>
  <c r="A956" i="4"/>
  <c r="O956" i="4" s="1" a="1"/>
  <c r="O956" i="4" s="1"/>
  <c r="A515" i="4"/>
  <c r="O515" i="4" s="1" a="1"/>
  <c r="O515" i="4" s="1"/>
  <c r="A516" i="4"/>
  <c r="O516" i="4" s="1" a="1"/>
  <c r="O516" i="4" s="1"/>
  <c r="A486" i="4"/>
  <c r="O486" i="4" s="1" a="1"/>
  <c r="O486" i="4" s="1"/>
  <c r="A1144" i="4"/>
  <c r="O1144" i="4" s="1" a="1"/>
  <c r="O1144" i="4" s="1"/>
  <c r="A1021" i="4"/>
  <c r="O1021" i="4" s="1" a="1"/>
  <c r="O1021" i="4" s="1"/>
  <c r="A1405" i="4"/>
  <c r="O1405" i="4" s="1" a="1"/>
  <c r="O1405" i="4" s="1"/>
  <c r="A1000" i="4"/>
  <c r="O1000" i="4" s="1" a="1"/>
  <c r="O1000" i="4" s="1"/>
  <c r="A1145" i="4"/>
  <c r="O1145" i="4" s="1" a="1"/>
  <c r="O1145" i="4" s="1"/>
  <c r="A835" i="4"/>
  <c r="O835" i="4" s="1" a="1"/>
  <c r="O835" i="4" s="1"/>
  <c r="A355" i="4"/>
  <c r="O355" i="4" s="1" a="1"/>
  <c r="O355" i="4" s="1"/>
  <c r="A31" i="4"/>
  <c r="O31" i="4" s="1" a="1"/>
  <c r="O31" i="4" s="1"/>
  <c r="A1022" i="4"/>
  <c r="O1022" i="4" s="1" a="1"/>
  <c r="O1022" i="4" s="1"/>
  <c r="A527" i="4"/>
  <c r="O527" i="4" s="1" a="1"/>
  <c r="O527" i="4" s="1"/>
  <c r="A1250" i="4"/>
  <c r="O1250" i="4" s="1" a="1"/>
  <c r="O1250" i="4" s="1"/>
  <c r="A458" i="4"/>
  <c r="O458" i="4" s="1" a="1"/>
  <c r="O458" i="4" s="1"/>
  <c r="A530" i="4"/>
  <c r="O530" i="4" s="1" a="1"/>
  <c r="O530" i="4" s="1"/>
  <c r="A1365" i="4"/>
  <c r="O1365" i="4" s="1" a="1"/>
  <c r="O1365" i="4" s="1"/>
  <c r="A311" i="4"/>
  <c r="O311" i="4" s="1" a="1"/>
  <c r="O311" i="4" s="1"/>
  <c r="A1157" i="4"/>
  <c r="O1157" i="4" s="1" a="1"/>
  <c r="O1157" i="4" s="1"/>
  <c r="A1158" i="4"/>
  <c r="O1158" i="4" s="1" a="1"/>
  <c r="O1158" i="4" s="1"/>
  <c r="A1093" i="4"/>
  <c r="O1093" i="4" s="1" a="1"/>
  <c r="O1093" i="4" s="1"/>
  <c r="A42" i="4"/>
  <c r="O42" i="4" s="1" a="1"/>
  <c r="O42" i="4" s="1"/>
  <c r="A371" i="4"/>
  <c r="O371" i="4" s="1" a="1"/>
  <c r="O371" i="4" s="1"/>
  <c r="A926" i="4"/>
  <c r="O926" i="4" s="1" a="1"/>
  <c r="O926" i="4" s="1"/>
  <c r="A1159" i="4"/>
  <c r="O1159" i="4" s="1" a="1"/>
  <c r="O1159" i="4" s="1"/>
  <c r="A740" i="4"/>
  <c r="O740" i="4" s="1" a="1"/>
  <c r="O740" i="4" s="1"/>
  <c r="A121" i="4"/>
  <c r="O121" i="4" s="1" a="1"/>
  <c r="O121" i="4" s="1"/>
  <c r="A542" i="4"/>
  <c r="O542" i="4" s="1" a="1"/>
  <c r="O542" i="4" s="1"/>
  <c r="A720" i="4"/>
  <c r="O720" i="4" s="1" a="1"/>
  <c r="O720" i="4" s="1"/>
  <c r="A69" i="4"/>
  <c r="O69" i="4" s="1" a="1"/>
  <c r="O69" i="4" s="1"/>
  <c r="A1406" i="4"/>
  <c r="O1406" i="4" s="1" a="1"/>
  <c r="O1406" i="4" s="1"/>
  <c r="A460" i="4"/>
  <c r="O460" i="4" s="1" a="1"/>
  <c r="O460" i="4" s="1"/>
  <c r="A1236" i="4"/>
  <c r="O1236" i="4" s="1" a="1"/>
  <c r="O1236" i="4" s="1"/>
  <c r="A1310" i="4"/>
  <c r="O1310" i="4" s="1" a="1"/>
  <c r="O1310" i="4" s="1"/>
  <c r="A549" i="4"/>
  <c r="O549" i="4" s="1" a="1"/>
  <c r="O549" i="4" s="1"/>
  <c r="A957" i="4"/>
  <c r="O957" i="4" s="1" a="1"/>
  <c r="O957" i="4" s="1"/>
  <c r="A1126" i="4"/>
  <c r="O1126" i="4" s="1" a="1"/>
  <c r="O1126" i="4" s="1"/>
  <c r="A1107" i="4"/>
  <c r="O1107" i="4" s="1" a="1"/>
  <c r="O1107" i="4" s="1"/>
  <c r="A215" i="4"/>
  <c r="O215" i="4" s="1" a="1"/>
  <c r="O215" i="4" s="1"/>
  <c r="A561" i="4"/>
  <c r="O561" i="4" s="1" a="1"/>
  <c r="O561" i="4" s="1"/>
  <c r="A766" i="4"/>
  <c r="O766" i="4" s="1" a="1"/>
  <c r="O766" i="4" s="1"/>
  <c r="A1456" i="4"/>
  <c r="O1456" i="4" s="1" a="1"/>
  <c r="O1456" i="4" s="1"/>
  <c r="A1321" i="4"/>
  <c r="O1321" i="4" s="1" a="1"/>
  <c r="O1321" i="4" s="1"/>
  <c r="A1182" i="4"/>
  <c r="O1182" i="4" s="1" a="1"/>
  <c r="O1182" i="4" s="1"/>
  <c r="A836" i="4"/>
  <c r="O836" i="4" s="1" a="1"/>
  <c r="O836" i="4" s="1"/>
  <c r="A875" i="4"/>
  <c r="O875" i="4" s="1" a="1"/>
  <c r="O875" i="4" s="1"/>
  <c r="A188" i="4"/>
  <c r="O188" i="4" s="1" a="1"/>
  <c r="O188" i="4" s="1"/>
  <c r="A487" i="4"/>
  <c r="O487" i="4" s="1" a="1"/>
  <c r="O487" i="4" s="1"/>
  <c r="A672" i="4"/>
  <c r="O672" i="4" s="1" a="1"/>
  <c r="O672" i="4" s="1"/>
  <c r="A564" i="4"/>
  <c r="O564" i="4" s="1" a="1"/>
  <c r="O564" i="4" s="1"/>
  <c r="A177" i="4"/>
  <c r="O177" i="4" s="1" a="1"/>
  <c r="O177" i="4" s="1"/>
  <c r="A170" i="4"/>
  <c r="O170" i="4" s="1" a="1"/>
  <c r="O170" i="4" s="1"/>
  <c r="A1322" i="4"/>
  <c r="O1322" i="4" s="1" a="1"/>
  <c r="O1322" i="4" s="1"/>
  <c r="A568" i="4"/>
  <c r="O568" i="4" s="1" a="1"/>
  <c r="O568" i="4" s="1"/>
  <c r="A1146" i="4"/>
  <c r="O1146" i="4" s="1" a="1"/>
  <c r="O1146" i="4" s="1"/>
  <c r="A570" i="4"/>
  <c r="O570" i="4" s="1" a="1"/>
  <c r="O570" i="4" s="1"/>
  <c r="A294" i="4"/>
  <c r="O294" i="4" s="1" a="1"/>
  <c r="O294" i="4" s="1"/>
  <c r="A1109" i="4"/>
  <c r="O1109" i="4" s="1" a="1"/>
  <c r="O1109" i="4" s="1"/>
  <c r="A639" i="4"/>
  <c r="O639" i="4" s="1" a="1"/>
  <c r="O639" i="4" s="1"/>
  <c r="A1339" i="4"/>
  <c r="O1339" i="4" s="1" a="1"/>
  <c r="O1339" i="4" s="1"/>
  <c r="A575" i="4"/>
  <c r="O575" i="4" s="1" a="1"/>
  <c r="O575" i="4" s="1"/>
  <c r="A721" i="4"/>
  <c r="O721" i="4" s="1" a="1"/>
  <c r="O721" i="4" s="1"/>
  <c r="A413" i="4"/>
  <c r="O413" i="4" s="1" a="1"/>
  <c r="O413" i="4" s="1"/>
  <c r="A1183" i="4"/>
  <c r="O1183" i="4" s="1" a="1"/>
  <c r="O1183" i="4" s="1"/>
  <c r="A237" i="4"/>
  <c r="O237" i="4" s="1" a="1"/>
  <c r="O237" i="4" s="1"/>
  <c r="A446" i="4"/>
  <c r="O446" i="4" s="1" a="1"/>
  <c r="O446" i="4" s="1"/>
  <c r="A70" i="4"/>
  <c r="O70" i="4" s="1" a="1"/>
  <c r="O70" i="4" s="1"/>
  <c r="A447" i="4"/>
  <c r="O447" i="4" s="1" a="1"/>
  <c r="O447" i="4" s="1"/>
  <c r="A1044" i="4"/>
  <c r="O1044" i="4" s="1" a="1"/>
  <c r="O1044" i="4" s="1"/>
  <c r="A1298" i="4"/>
  <c r="O1298" i="4" s="1" a="1"/>
  <c r="O1298" i="4" s="1"/>
  <c r="A348" i="4"/>
  <c r="O348" i="4" s="1" a="1"/>
  <c r="O348" i="4" s="1"/>
  <c r="A1081" i="4"/>
  <c r="O1081" i="4" s="1" a="1"/>
  <c r="O1081" i="4" s="1"/>
  <c r="A587" i="4"/>
  <c r="O587" i="4" s="1" a="1"/>
  <c r="O587" i="4" s="1"/>
  <c r="A1285" i="4"/>
  <c r="O1285" i="4" s="1" a="1"/>
  <c r="O1285" i="4" s="1"/>
  <c r="A108" i="4"/>
  <c r="O108" i="4" s="1" a="1"/>
  <c r="O108" i="4" s="1"/>
  <c r="A1342" i="4"/>
  <c r="O1342" i="4" s="1" a="1"/>
  <c r="O1342" i="4" s="1"/>
  <c r="A591" i="4"/>
  <c r="O591" i="4" s="1" a="1"/>
  <c r="O591" i="4" s="1"/>
  <c r="A256" i="4"/>
  <c r="O256" i="4" s="1" a="1"/>
  <c r="O256" i="4" s="1"/>
  <c r="A593" i="4"/>
  <c r="O593" i="4" s="1" a="1"/>
  <c r="O593" i="4" s="1"/>
  <c r="A546" i="4"/>
  <c r="O546" i="4" s="1" a="1"/>
  <c r="O546" i="4" s="1"/>
  <c r="A1301" i="4"/>
  <c r="O1301" i="4" s="1" a="1"/>
  <c r="O1301" i="4" s="1"/>
  <c r="A826" i="4"/>
  <c r="O826" i="4" s="1" a="1"/>
  <c r="O826" i="4" s="1"/>
  <c r="A597" i="4"/>
  <c r="O597" i="4" s="1" a="1"/>
  <c r="O597" i="4" s="1"/>
  <c r="A1160" i="4"/>
  <c r="O1160" i="4" s="1" a="1"/>
  <c r="O1160" i="4" s="1"/>
  <c r="A547" i="4"/>
  <c r="O547" i="4" s="1" a="1"/>
  <c r="O547" i="4" s="1"/>
  <c r="A600" i="4"/>
  <c r="O600" i="4" s="1" a="1"/>
  <c r="O600" i="4" s="1"/>
  <c r="A93" i="4"/>
  <c r="O93" i="4" s="1" a="1"/>
  <c r="O93" i="4" s="1"/>
  <c r="A100" i="4"/>
  <c r="O100" i="4" s="1" a="1"/>
  <c r="O100" i="4" s="1"/>
  <c r="A382" i="4"/>
  <c r="O382" i="4" s="1" a="1"/>
  <c r="O382" i="4" s="1"/>
  <c r="A845" i="4"/>
  <c r="O845" i="4" s="1" a="1"/>
  <c r="O845" i="4" s="1"/>
  <c r="A7" i="4"/>
  <c r="O7" i="4" s="1" a="1"/>
  <c r="O7" i="4" s="1"/>
  <c r="A1056" i="4"/>
  <c r="O1056" i="4" s="1" a="1"/>
  <c r="O1056" i="4" s="1"/>
  <c r="A749" i="4"/>
  <c r="O749" i="4" s="1" a="1"/>
  <c r="O749" i="4" s="1"/>
  <c r="A289" i="4"/>
  <c r="O289" i="4" s="1" a="1"/>
  <c r="O289" i="4" s="1"/>
  <c r="A609" i="4"/>
  <c r="O609" i="4" s="1" a="1"/>
  <c r="O609" i="4" s="1"/>
  <c r="A610" i="4"/>
  <c r="O610" i="4" s="1" a="1"/>
  <c r="O610" i="4" s="1"/>
  <c r="A860" i="4"/>
  <c r="O860" i="4" s="1" a="1"/>
  <c r="O860" i="4" s="1"/>
  <c r="A131" i="4"/>
  <c r="O131" i="4" s="1" a="1"/>
  <c r="O131" i="4" s="1"/>
  <c r="A1094" i="4"/>
  <c r="O1094" i="4" s="1" a="1"/>
  <c r="O1094" i="4" s="1"/>
  <c r="A876" i="4"/>
  <c r="O876" i="4" s="1" a="1"/>
  <c r="O876" i="4" s="1"/>
  <c r="A1184" i="4"/>
  <c r="O1184" i="4" s="1" a="1"/>
  <c r="O1184" i="4" s="1"/>
  <c r="A616" i="4"/>
  <c r="O616" i="4" s="1" a="1"/>
  <c r="O616" i="4" s="1"/>
  <c r="A171" i="4"/>
  <c r="O171" i="4" s="1" a="1"/>
  <c r="O171" i="4" s="1"/>
  <c r="A1445" i="4"/>
  <c r="O1445" i="4" s="1" a="1"/>
  <c r="O1445" i="4" s="1"/>
  <c r="A958" i="4"/>
  <c r="O958" i="4" s="1" a="1"/>
  <c r="O958" i="4" s="1"/>
  <c r="A1201" i="4"/>
  <c r="O1201" i="4" s="1" a="1"/>
  <c r="O1201" i="4" s="1"/>
  <c r="A1457" i="4"/>
  <c r="O1457" i="4" s="1" a="1"/>
  <c r="O1457" i="4" s="1"/>
  <c r="A959" i="4"/>
  <c r="O959" i="4" s="1" a="1"/>
  <c r="O959" i="4" s="1"/>
  <c r="A257" i="4"/>
  <c r="O257" i="4" s="1" a="1"/>
  <c r="O257" i="4" s="1"/>
  <c r="A886" i="4"/>
  <c r="O886" i="4" s="1" a="1"/>
  <c r="O886" i="4" s="1"/>
  <c r="A943" i="4"/>
  <c r="O943" i="4" s="1" a="1"/>
  <c r="O943" i="4" s="1"/>
  <c r="A1323" i="4"/>
  <c r="O1323" i="4" s="1" a="1"/>
  <c r="O1323" i="4" s="1"/>
  <c r="A312" i="4"/>
  <c r="O312" i="4" s="1" a="1"/>
  <c r="O312" i="4" s="1"/>
  <c r="A8" i="4"/>
  <c r="O8" i="4" s="1" a="1"/>
  <c r="O8" i="4" s="1"/>
  <c r="A146" i="4"/>
  <c r="O146" i="4" s="1" a="1"/>
  <c r="O146" i="4" s="1"/>
  <c r="A944" i="4"/>
  <c r="O944" i="4" s="1" a="1"/>
  <c r="O944" i="4" s="1"/>
  <c r="A1202" i="4"/>
  <c r="O1202" i="4" s="1" a="1"/>
  <c r="O1202" i="4" s="1"/>
  <c r="A396" i="4"/>
  <c r="O396" i="4" s="1" a="1"/>
  <c r="O396" i="4" s="1"/>
  <c r="A723" i="4"/>
  <c r="O723" i="4" s="1" a="1"/>
  <c r="O723" i="4" s="1"/>
  <c r="A178" i="4"/>
  <c r="O178" i="4" s="1" a="1"/>
  <c r="O178" i="4" s="1"/>
  <c r="A827" i="4"/>
  <c r="O827" i="4" s="1" a="1"/>
  <c r="O827" i="4" s="1"/>
  <c r="A861" i="4"/>
  <c r="O861" i="4" s="1" a="1"/>
  <c r="O861" i="4" s="1"/>
  <c r="A1391" i="4"/>
  <c r="O1391" i="4" s="1" a="1"/>
  <c r="O1391" i="4" s="1"/>
  <c r="A638" i="4"/>
  <c r="O638" i="4" s="1" a="1"/>
  <c r="O638" i="4" s="1"/>
  <c r="A724" i="4"/>
  <c r="O724" i="4" s="1" a="1"/>
  <c r="O724" i="4" s="1"/>
  <c r="A198" i="4"/>
  <c r="O198" i="4" s="1" a="1"/>
  <c r="O198" i="4" s="1"/>
  <c r="A673" i="4"/>
  <c r="O673" i="4" s="1" a="1"/>
  <c r="O673" i="4" s="1"/>
  <c r="A960" i="4"/>
  <c r="O960" i="4" s="1" a="1"/>
  <c r="O960" i="4" s="1"/>
  <c r="A1359" i="4"/>
  <c r="O1359" i="4" s="1" a="1"/>
  <c r="O1359" i="4" s="1"/>
  <c r="A683" i="4"/>
  <c r="O683" i="4" s="1" a="1"/>
  <c r="O683" i="4" s="1"/>
  <c r="A684" i="4"/>
  <c r="O684" i="4" s="1" a="1"/>
  <c r="O684" i="4" s="1"/>
  <c r="A324" i="4"/>
  <c r="O324" i="4" s="1" a="1"/>
  <c r="O324" i="4" s="1"/>
  <c r="A647" i="4"/>
  <c r="O647" i="4" s="1" a="1"/>
  <c r="O647" i="4" s="1"/>
  <c r="A1343" i="4"/>
  <c r="O1343" i="4" s="1" a="1"/>
  <c r="O1343" i="4" s="1"/>
  <c r="A562" i="4"/>
  <c r="O562" i="4" s="1" a="1"/>
  <c r="O562" i="4" s="1"/>
  <c r="A1024" i="4"/>
  <c r="O1024" i="4" s="1" a="1"/>
  <c r="O1024" i="4" s="1"/>
  <c r="A640" i="4"/>
  <c r="O640" i="4" s="1" a="1"/>
  <c r="O640" i="4" s="1"/>
  <c r="A488" i="4"/>
  <c r="O488" i="4" s="1" a="1"/>
  <c r="O488" i="4" s="1"/>
  <c r="A50" i="4"/>
  <c r="O50" i="4" s="1" a="1"/>
  <c r="O50" i="4" s="1"/>
  <c r="A397" i="4"/>
  <c r="O397" i="4" s="1" a="1"/>
  <c r="O397" i="4" s="1"/>
  <c r="A863" i="4"/>
  <c r="O863" i="4" s="1" a="1"/>
  <c r="O863" i="4" s="1"/>
  <c r="A132" i="4"/>
  <c r="O132" i="4" s="1" a="1"/>
  <c r="O132" i="4" s="1"/>
  <c r="A258" i="4"/>
  <c r="O258" i="4" s="1" a="1"/>
  <c r="O258" i="4" s="1"/>
  <c r="A658" i="4"/>
  <c r="O658" i="4" s="1" a="1"/>
  <c r="O658" i="4" s="1"/>
  <c r="A1267" i="4"/>
  <c r="O1267" i="4" s="1" a="1"/>
  <c r="O1267" i="4" s="1"/>
  <c r="A448" i="4"/>
  <c r="O448" i="4" s="1" a="1"/>
  <c r="O448" i="4" s="1"/>
  <c r="A1432" i="4"/>
  <c r="O1432" i="4" s="1" a="1"/>
  <c r="O1432" i="4" s="1"/>
  <c r="A662" i="4"/>
  <c r="O662" i="4" s="1" a="1"/>
  <c r="O662" i="4" s="1"/>
  <c r="A1025" i="4"/>
  <c r="O1025" i="4" s="1" a="1"/>
  <c r="O1025" i="4" s="1"/>
  <c r="A664" i="4"/>
  <c r="O664" i="4" s="1" a="1"/>
  <c r="O664" i="4" s="1"/>
  <c r="A665" i="4"/>
  <c r="O665" i="4" s="1" a="1"/>
  <c r="O665" i="4" s="1"/>
  <c r="A1204" i="4"/>
  <c r="O1204" i="4" s="1" a="1"/>
  <c r="O1204" i="4" s="1"/>
  <c r="A1205" i="4"/>
  <c r="O1205" i="4" s="1" a="1"/>
  <c r="O1205" i="4" s="1"/>
  <c r="A668" i="4"/>
  <c r="O668" i="4" s="1" a="1"/>
  <c r="O668" i="4" s="1"/>
  <c r="A669" i="4"/>
  <c r="O669" i="4" s="1" a="1"/>
  <c r="O669" i="4" s="1"/>
  <c r="A1001" i="4"/>
  <c r="O1001" i="4" s="1" a="1"/>
  <c r="O1001" i="4" s="1"/>
  <c r="A671" i="4"/>
  <c r="O671" i="4" s="1" a="1"/>
  <c r="O671" i="4" s="1"/>
  <c r="A1252" i="4"/>
  <c r="O1252" i="4" s="1" a="1"/>
  <c r="O1252" i="4" s="1"/>
  <c r="A356" i="4"/>
  <c r="O356" i="4" s="1" a="1"/>
  <c r="O356" i="4" s="1"/>
  <c r="A1447" i="4"/>
  <c r="O1447" i="4" s="1" a="1"/>
  <c r="O1447" i="4" s="1"/>
  <c r="A1171" i="4"/>
  <c r="O1171" i="4" s="1" a="1"/>
  <c r="O1171" i="4" s="1"/>
  <c r="A1468" i="4"/>
  <c r="O1468" i="4" s="1" a="1"/>
  <c r="O1468" i="4" s="1"/>
  <c r="A975" i="4"/>
  <c r="O975" i="4" s="1" a="1"/>
  <c r="O975" i="4" s="1"/>
  <c r="A1458" i="4"/>
  <c r="O1458" i="4" s="1" a="1"/>
  <c r="O1458" i="4" s="1"/>
  <c r="A961" i="4"/>
  <c r="O961" i="4" s="1" a="1"/>
  <c r="O961" i="4" s="1"/>
  <c r="A383" i="4"/>
  <c r="O383" i="4" s="1" a="1"/>
  <c r="O383" i="4" s="1"/>
  <c r="A51" i="4"/>
  <c r="O51" i="4" s="1" a="1"/>
  <c r="O51" i="4" s="1"/>
  <c r="A577" i="4"/>
  <c r="O577" i="4" s="1" a="1"/>
  <c r="O577" i="4" s="1"/>
  <c r="A1135" i="4"/>
  <c r="O1135" i="4" s="1" a="1"/>
  <c r="O1135" i="4" s="1"/>
  <c r="A82" i="4"/>
  <c r="O82" i="4" s="1" a="1"/>
  <c r="O82" i="4" s="1"/>
  <c r="A685" i="4"/>
  <c r="O685" i="4" s="1" a="1"/>
  <c r="O685" i="4" s="1"/>
  <c r="A449" i="4"/>
  <c r="O449" i="4" s="1" a="1"/>
  <c r="O449" i="4" s="1"/>
  <c r="A533" i="4"/>
  <c r="O533" i="4" s="1" a="1"/>
  <c r="O533" i="4" s="1"/>
  <c r="A592" i="4"/>
  <c r="O592" i="4" s="1" a="1"/>
  <c r="O592" i="4" s="1"/>
  <c r="A296" i="4"/>
  <c r="O296" i="4" s="1" a="1"/>
  <c r="O296" i="4" s="1"/>
  <c r="A690" i="4"/>
  <c r="O690" i="4" s="1" a="1"/>
  <c r="O690" i="4" s="1"/>
  <c r="A691" i="4"/>
  <c r="O691" i="4" s="1" a="1"/>
  <c r="O691" i="4" s="1"/>
  <c r="A1425" i="4"/>
  <c r="O1425" i="4" s="1" a="1"/>
  <c r="O1425" i="4" s="1"/>
  <c r="A54" i="4"/>
  <c r="O54" i="4" s="1" a="1"/>
  <c r="O54" i="4" s="1"/>
  <c r="A349" i="4"/>
  <c r="O349" i="4" s="1" a="1"/>
  <c r="O349" i="4" s="1"/>
  <c r="A695" i="4"/>
  <c r="O695" i="4" s="1" a="1"/>
  <c r="O695" i="4" s="1"/>
  <c r="A1045" i="4"/>
  <c r="O1045" i="4" s="1" a="1"/>
  <c r="O1045" i="4" s="1"/>
  <c r="A697" i="4"/>
  <c r="O697" i="4" s="1" a="1"/>
  <c r="O697" i="4" s="1"/>
  <c r="A898" i="4"/>
  <c r="O898" i="4" s="1" a="1"/>
  <c r="O898" i="4" s="1"/>
  <c r="A1071" i="4"/>
  <c r="O1071" i="4" s="1" a="1"/>
  <c r="O1071" i="4" s="1"/>
  <c r="A72" i="4"/>
  <c r="O72" i="4" s="1" a="1"/>
  <c r="O72" i="4" s="1"/>
  <c r="A774" i="4"/>
  <c r="O774" i="4" s="1" a="1"/>
  <c r="O774" i="4" s="1"/>
  <c r="A702" i="4"/>
  <c r="O702" i="4" s="1" a="1"/>
  <c r="O702" i="4" s="1"/>
  <c r="A1426" i="4"/>
  <c r="O1426" i="4" s="1" a="1"/>
  <c r="O1426" i="4" s="1"/>
  <c r="A1344" i="4"/>
  <c r="O1344" i="4" s="1" a="1"/>
  <c r="O1344" i="4" s="1"/>
  <c r="A1435" i="4"/>
  <c r="O1435" i="4" s="1" a="1"/>
  <c r="O1435" i="4" s="1"/>
  <c r="A1311" i="4"/>
  <c r="O1311" i="4" s="1" a="1"/>
  <c r="O1311" i="4" s="1"/>
  <c r="A276" i="4"/>
  <c r="O276" i="4" s="1" a="1"/>
  <c r="O276" i="4" s="1"/>
  <c r="A708" i="4"/>
  <c r="O708" i="4" s="1" a="1"/>
  <c r="O708" i="4" s="1"/>
  <c r="A578" i="4"/>
  <c r="O578" i="4" s="1" a="1"/>
  <c r="O578" i="4" s="1"/>
  <c r="A239" i="4"/>
  <c r="O239" i="4" s="1" a="1"/>
  <c r="O239" i="4" s="1"/>
  <c r="A711" i="4"/>
  <c r="O711" i="4" s="1" a="1"/>
  <c r="O711" i="4" s="1"/>
  <c r="A217" i="4"/>
  <c r="O217" i="4" s="1" a="1"/>
  <c r="O217" i="4" s="1"/>
  <c r="A713" i="4"/>
  <c r="O713" i="4" s="1" a="1"/>
  <c r="O713" i="4" s="1"/>
  <c r="A655" i="4"/>
  <c r="O655" i="4" s="1" a="1"/>
  <c r="O655" i="4" s="1"/>
  <c r="A621" i="4"/>
  <c r="O621" i="4" s="1" a="1"/>
  <c r="O621" i="4" s="1"/>
  <c r="A725" i="4"/>
  <c r="O725" i="4" s="1" a="1"/>
  <c r="O725" i="4" s="1"/>
  <c r="A73" i="4"/>
  <c r="O73" i="4" s="1" a="1"/>
  <c r="O73" i="4" s="1"/>
  <c r="A1082" i="4"/>
  <c r="O1082" i="4" s="1" a="1"/>
  <c r="O1082" i="4" s="1"/>
  <c r="A180" i="4"/>
  <c r="O180" i="4" s="1" a="1"/>
  <c r="O180" i="4" s="1"/>
  <c r="A607" i="4"/>
  <c r="O607" i="4" s="1" a="1"/>
  <c r="O607" i="4" s="1"/>
  <c r="A767" i="4"/>
  <c r="O767" i="4" s="1" a="1"/>
  <c r="O767" i="4" s="1"/>
  <c r="A722" i="4"/>
  <c r="O722" i="4" s="1" a="1"/>
  <c r="O722" i="4" s="1"/>
  <c r="A227" i="4"/>
  <c r="O227" i="4" s="1" a="1"/>
  <c r="O227" i="4" s="1"/>
  <c r="A1448" i="4"/>
  <c r="O1448" i="4" s="1" a="1"/>
  <c r="O1448" i="4" s="1"/>
  <c r="A579" i="4"/>
  <c r="O579" i="4" s="1" a="1"/>
  <c r="O579" i="4" s="1"/>
  <c r="A1226" i="4"/>
  <c r="O1226" i="4" s="1" a="1"/>
  <c r="O1226" i="4" s="1"/>
  <c r="A727" i="4"/>
  <c r="O727" i="4" s="1" a="1"/>
  <c r="O727" i="4" s="1"/>
  <c r="A228" i="4"/>
  <c r="O228" i="4" s="1" a="1"/>
  <c r="O228" i="4" s="1"/>
  <c r="A1010" i="4"/>
  <c r="O1010" i="4" s="1" a="1"/>
  <c r="O1010" i="4" s="1"/>
  <c r="A846" i="4"/>
  <c r="O846" i="4" s="1" a="1"/>
  <c r="O846" i="4" s="1"/>
  <c r="A326" i="4"/>
  <c r="O326" i="4" s="1" a="1"/>
  <c r="O326" i="4" s="1"/>
  <c r="A1393" i="4"/>
  <c r="O1393" i="4" s="1" a="1"/>
  <c r="O1393" i="4" s="1"/>
  <c r="A733" i="4"/>
  <c r="O733" i="4" s="1" a="1"/>
  <c r="O733" i="4" s="1"/>
  <c r="A734" i="4"/>
  <c r="O734" i="4" s="1" a="1"/>
  <c r="O734" i="4" s="1"/>
  <c r="A489" i="4"/>
  <c r="O489" i="4" s="1" a="1"/>
  <c r="O489" i="4" s="1"/>
  <c r="A1237" i="4"/>
  <c r="O1237" i="4" s="1" a="1"/>
  <c r="O1237" i="4" s="1"/>
  <c r="A1172" i="4"/>
  <c r="O1172" i="4" s="1" a="1"/>
  <c r="O1172" i="4" s="1"/>
  <c r="A297" i="4"/>
  <c r="O297" i="4" s="1" a="1"/>
  <c r="O297" i="4" s="1"/>
  <c r="A809" i="4"/>
  <c r="O809" i="4" s="1" a="1"/>
  <c r="O809" i="4" s="1"/>
  <c r="A249" i="4"/>
  <c r="O249" i="4" s="1" a="1"/>
  <c r="O249" i="4" s="1"/>
  <c r="A461" i="4"/>
  <c r="O461" i="4" s="1" a="1"/>
  <c r="O461" i="4" s="1"/>
  <c r="A220" i="4"/>
  <c r="O220" i="4" s="1" a="1"/>
  <c r="O220" i="4" s="1"/>
  <c r="A14" i="4"/>
  <c r="O14" i="4" s="1" a="1"/>
  <c r="O14" i="4" s="1"/>
  <c r="A1268" i="4"/>
  <c r="O1268" i="4" s="1" a="1"/>
  <c r="O1268" i="4" s="1"/>
  <c r="A1449" i="4"/>
  <c r="O1449" i="4" s="1" a="1"/>
  <c r="O1449" i="4" s="1"/>
  <c r="A746" i="4"/>
  <c r="O746" i="4" s="1" a="1"/>
  <c r="O746" i="4" s="1"/>
  <c r="A1345" i="4"/>
  <c r="O1345" i="4" s="1" a="1"/>
  <c r="O1345" i="4" s="1"/>
  <c r="A1147" i="4"/>
  <c r="O1147" i="4" s="1" a="1"/>
  <c r="O1147" i="4" s="1"/>
  <c r="A810" i="4"/>
  <c r="O810" i="4" s="1" a="1"/>
  <c r="O810" i="4" s="1"/>
  <c r="A750" i="4"/>
  <c r="O750" i="4" s="1" a="1"/>
  <c r="O750" i="4" s="1"/>
  <c r="A751" i="4"/>
  <c r="O751" i="4" s="1" a="1"/>
  <c r="O751" i="4" s="1"/>
  <c r="A656" i="4"/>
  <c r="O656" i="4" s="1" a="1"/>
  <c r="O656" i="4" s="1"/>
  <c r="A756" i="4"/>
  <c r="O756" i="4" s="1" a="1"/>
  <c r="O756" i="4" s="1"/>
  <c r="A754" i="4"/>
  <c r="O754" i="4" s="1" a="1"/>
  <c r="O754" i="4" s="1"/>
  <c r="A510" i="4"/>
  <c r="O510" i="4" s="1" a="1"/>
  <c r="O510" i="4" s="1"/>
  <c r="A877" i="4"/>
  <c r="O877" i="4" s="1" a="1"/>
  <c r="O877" i="4" s="1"/>
  <c r="A1436" i="4"/>
  <c r="O1436" i="4" s="1" a="1"/>
  <c r="O1436" i="4" s="1"/>
  <c r="A162" i="4"/>
  <c r="O162" i="4" s="1" a="1"/>
  <c r="O162" i="4" s="1"/>
  <c r="A373" i="4"/>
  <c r="O373" i="4" s="1" a="1"/>
  <c r="O373" i="4" s="1"/>
  <c r="A887" i="4"/>
  <c r="O887" i="4" s="1" a="1"/>
  <c r="O887" i="4" s="1"/>
  <c r="A277" i="4"/>
  <c r="O277" i="4" s="1" a="1"/>
  <c r="O277" i="4" s="1"/>
  <c r="A1161" i="4"/>
  <c r="O1161" i="4" s="1" a="1"/>
  <c r="O1161" i="4" s="1"/>
  <c r="A763" i="4"/>
  <c r="O763" i="4" s="1" a="1"/>
  <c r="O763" i="4" s="1"/>
  <c r="A764" i="4"/>
  <c r="O764" i="4" s="1" a="1"/>
  <c r="O764" i="4" s="1"/>
  <c r="A563" i="4"/>
  <c r="O563" i="4" s="1" a="1"/>
  <c r="O563" i="4" s="1"/>
  <c r="A1208" i="4"/>
  <c r="O1208" i="4" s="1" a="1"/>
  <c r="O1208" i="4" s="1"/>
  <c r="A1427" i="4"/>
  <c r="O1427" i="4" s="1" a="1"/>
  <c r="O1427" i="4" s="1"/>
  <c r="A163" i="4"/>
  <c r="O163" i="4" s="1" a="1"/>
  <c r="O163" i="4" s="1"/>
  <c r="A133" i="4"/>
  <c r="O133" i="4" s="1" a="1"/>
  <c r="O133" i="4" s="1"/>
  <c r="A1450" i="4"/>
  <c r="O1450" i="4" s="1" a="1"/>
  <c r="O1450" i="4" s="1"/>
  <c r="A726" i="4"/>
  <c r="O726" i="4" s="1" a="1"/>
  <c r="O726" i="4" s="1"/>
  <c r="A1428" i="4"/>
  <c r="O1428" i="4" s="1" a="1"/>
  <c r="O1428" i="4" s="1"/>
  <c r="A398" i="4"/>
  <c r="O398" i="4" s="1" a="1"/>
  <c r="O398" i="4" s="1"/>
  <c r="A1011" i="4"/>
  <c r="O1011" i="4" s="1" a="1"/>
  <c r="O1011" i="4" s="1"/>
  <c r="A962" i="4"/>
  <c r="O962" i="4" s="1" a="1"/>
  <c r="O962" i="4" s="1"/>
  <c r="A342" i="4"/>
  <c r="O342" i="4" s="1" a="1"/>
  <c r="O342" i="4" s="1"/>
  <c r="A627" i="4"/>
  <c r="O627" i="4" s="1" a="1"/>
  <c r="O627" i="4" s="1"/>
  <c r="A778" i="4"/>
  <c r="O778" i="4" s="1" a="1"/>
  <c r="O778" i="4" s="1"/>
  <c r="A779" i="4"/>
  <c r="O779" i="4" s="1" a="1"/>
  <c r="O779" i="4" s="1"/>
  <c r="A250" i="4"/>
  <c r="O250" i="4" s="1" a="1"/>
  <c r="O250" i="4" s="1"/>
  <c r="A781" i="4"/>
  <c r="O781" i="4" s="1" a="1"/>
  <c r="O781" i="4" s="1"/>
  <c r="A782" i="4"/>
  <c r="O782" i="4" s="1" a="1"/>
  <c r="O782" i="4" s="1"/>
  <c r="A462" i="4"/>
  <c r="O462" i="4" s="1" a="1"/>
  <c r="O462" i="4" s="1"/>
  <c r="A828" i="4"/>
  <c r="O828" i="4" s="1" a="1"/>
  <c r="O828" i="4" s="1"/>
  <c r="A1110" i="4"/>
  <c r="O1110" i="4" s="1" a="1"/>
  <c r="O1110" i="4" s="1"/>
  <c r="A526" i="4"/>
  <c r="O526" i="4" s="1" a="1"/>
  <c r="O526" i="4" s="1"/>
  <c r="A374" i="4"/>
  <c r="O374" i="4" s="1" a="1"/>
  <c r="O374" i="4" s="1"/>
  <c r="A147" i="4"/>
  <c r="O147" i="4" s="1" a="1"/>
  <c r="O147" i="4" s="1"/>
  <c r="A945" i="4"/>
  <c r="O945" i="4" s="1" a="1"/>
  <c r="O945" i="4" s="1"/>
  <c r="A795" i="4"/>
  <c r="O795" i="4" s="1" a="1"/>
  <c r="O795" i="4" s="1"/>
  <c r="A791" i="4"/>
  <c r="O791" i="4" s="1" a="1"/>
  <c r="O791" i="4" s="1"/>
  <c r="A55" i="4"/>
  <c r="O55" i="4" s="1" a="1"/>
  <c r="O55" i="4" s="1"/>
  <c r="A793" i="4"/>
  <c r="O793" i="4" s="1" a="1"/>
  <c r="O793" i="4" s="1"/>
  <c r="A794" i="4"/>
  <c r="O794" i="4" s="1" a="1"/>
  <c r="O794" i="4" s="1"/>
  <c r="A534" i="4"/>
  <c r="O534" i="4" s="1" a="1"/>
  <c r="O534" i="4" s="1"/>
  <c r="A1162" i="4"/>
  <c r="O1162" i="4" s="1" a="1"/>
  <c r="O1162" i="4" s="1"/>
  <c r="A511" i="4"/>
  <c r="O511" i="4" s="1" a="1"/>
  <c r="O511" i="4" s="1"/>
  <c r="A798" i="4"/>
  <c r="O798" i="4" s="1" a="1"/>
  <c r="O798" i="4" s="1"/>
  <c r="A799" i="4"/>
  <c r="O799" i="4" s="1" a="1"/>
  <c r="O799" i="4" s="1"/>
  <c r="A800" i="4"/>
  <c r="O800" i="4" s="1" a="1"/>
  <c r="O800" i="4" s="1"/>
  <c r="A548" i="4"/>
  <c r="O548" i="4" s="1" a="1"/>
  <c r="O548" i="4" s="1"/>
  <c r="A802" i="4"/>
  <c r="O802" i="4" s="1" a="1"/>
  <c r="O802" i="4" s="1"/>
  <c r="A803" i="4"/>
  <c r="O803" i="4" s="1" a="1"/>
  <c r="O803" i="4" s="1"/>
  <c r="A221" i="4"/>
  <c r="O221" i="4" s="1" a="1"/>
  <c r="O221" i="4" s="1"/>
  <c r="A811" i="4"/>
  <c r="O811" i="4" s="1" a="1"/>
  <c r="O811" i="4" s="1"/>
  <c r="A812" i="4"/>
  <c r="O812" i="4" s="1" a="1"/>
  <c r="O812" i="4" s="1"/>
  <c r="A641" i="4"/>
  <c r="O641" i="4" s="1" a="1"/>
  <c r="O641" i="4" s="1"/>
  <c r="A15" i="4"/>
  <c r="O15" i="4" s="1" a="1"/>
  <c r="O15" i="4" s="1"/>
  <c r="A1346" i="4"/>
  <c r="O1346" i="4" s="1" a="1"/>
  <c r="O1346" i="4" s="1"/>
  <c r="A229" i="4"/>
  <c r="O229" i="4" s="1" a="1"/>
  <c r="O229" i="4" s="1"/>
  <c r="A1433" i="4"/>
  <c r="O1433" i="4" s="1" a="1"/>
  <c r="O1433" i="4" s="1"/>
  <c r="A741" i="4"/>
  <c r="O741" i="4" s="1" a="1"/>
  <c r="O741" i="4" s="1"/>
  <c r="A674" i="4"/>
  <c r="O674" i="4" s="1" a="1"/>
  <c r="O674" i="4" s="1"/>
  <c r="A1384" i="4"/>
  <c r="O1384" i="4" s="1" a="1"/>
  <c r="O1384" i="4" s="1"/>
  <c r="A815" i="4"/>
  <c r="O815" i="4" s="1" a="1"/>
  <c r="O815" i="4" s="1"/>
  <c r="A1111" i="4"/>
  <c r="O1111" i="4" s="1" a="1"/>
  <c r="O1111" i="4" s="1"/>
  <c r="A251" i="4"/>
  <c r="O251" i="4" s="1" a="1"/>
  <c r="O251" i="4" s="1"/>
  <c r="A837" i="4"/>
  <c r="O837" i="4" s="1" a="1"/>
  <c r="O837" i="4" s="1"/>
  <c r="A1437" i="4"/>
  <c r="O1437" i="4" s="1" a="1"/>
  <c r="O1437" i="4" s="1"/>
  <c r="A528" i="4"/>
  <c r="O528" i="4" s="1" a="1"/>
  <c r="O528" i="4" s="1"/>
  <c r="A775" i="4"/>
  <c r="O775" i="4" s="1" a="1"/>
  <c r="O775" i="4" s="1"/>
  <c r="A1459" i="4"/>
  <c r="O1459" i="4" s="1" a="1"/>
  <c r="O1459" i="4" s="1"/>
  <c r="A1460" i="4"/>
  <c r="O1460" i="4" s="1" a="1"/>
  <c r="O1460" i="4" s="1"/>
  <c r="A554" i="4"/>
  <c r="O554" i="4" s="1" a="1"/>
  <c r="O554" i="4" s="1"/>
  <c r="A888" i="4"/>
  <c r="O888" i="4" s="1" a="1"/>
  <c r="O888" i="4" s="1"/>
  <c r="A535" i="4"/>
  <c r="O535" i="4" s="1" a="1"/>
  <c r="O535" i="4" s="1"/>
  <c r="A199" i="4"/>
  <c r="O199" i="4" s="1" a="1"/>
  <c r="O199" i="4" s="1"/>
  <c r="A1227" i="4"/>
  <c r="O1227" i="4" s="1" a="1"/>
  <c r="O1227" i="4" s="1"/>
  <c r="A976" i="4"/>
  <c r="O976" i="4" s="1" a="1"/>
  <c r="O976" i="4" s="1"/>
  <c r="A830" i="4"/>
  <c r="O830" i="4" s="1" a="1"/>
  <c r="O830" i="4" s="1"/>
  <c r="A831" i="4"/>
  <c r="O831" i="4" s="1" a="1"/>
  <c r="O831" i="4" s="1"/>
  <c r="A899" i="4"/>
  <c r="O899" i="4" s="1" a="1"/>
  <c r="O899" i="4" s="1"/>
  <c r="A833" i="4"/>
  <c r="O833" i="4" s="1" a="1"/>
  <c r="O833" i="4" s="1"/>
  <c r="A1461" i="4"/>
  <c r="O1461" i="4" s="1" a="1"/>
  <c r="O1461" i="4" s="1"/>
  <c r="A122" i="4"/>
  <c r="O122" i="4" s="1" a="1"/>
  <c r="O122" i="4" s="1"/>
  <c r="A728" i="4"/>
  <c r="O728" i="4" s="1" a="1"/>
  <c r="O728" i="4" s="1"/>
  <c r="A189" i="4"/>
  <c r="O189" i="4" s="1" a="1"/>
  <c r="O189" i="4" s="1"/>
  <c r="A838" i="4"/>
  <c r="O838" i="4" s="1" a="1"/>
  <c r="O838" i="4" s="1"/>
  <c r="A1385" i="4"/>
  <c r="O1385" i="4" s="1" a="1"/>
  <c r="O1385" i="4" s="1"/>
  <c r="A840" i="4"/>
  <c r="O840" i="4" s="1" a="1"/>
  <c r="O840" i="4" s="1"/>
  <c r="A1115" i="4"/>
  <c r="O1115" i="4" s="1" a="1"/>
  <c r="O1115" i="4" s="1"/>
  <c r="A1095" i="4"/>
  <c r="O1095" i="4" s="1" a="1"/>
  <c r="O1095" i="4" s="1"/>
  <c r="A463" i="4"/>
  <c r="O463" i="4" s="1" a="1"/>
  <c r="O463" i="4" s="1"/>
  <c r="A844" i="4"/>
  <c r="O844" i="4" s="1" a="1"/>
  <c r="O844" i="4" s="1"/>
  <c r="A357" i="4"/>
  <c r="O357" i="4" s="1" a="1"/>
  <c r="O357" i="4" s="1"/>
  <c r="A1269" i="4"/>
  <c r="O1269" i="4" s="1" a="1"/>
  <c r="O1269" i="4" s="1"/>
  <c r="A1127" i="4"/>
  <c r="O1127" i="4" s="1" a="1"/>
  <c r="O1127" i="4" s="1"/>
  <c r="A813" i="4"/>
  <c r="O813" i="4" s="1" a="1"/>
  <c r="O813" i="4" s="1"/>
  <c r="A1128" i="4"/>
  <c r="O1128" i="4" s="1" a="1"/>
  <c r="O1128" i="4" s="1"/>
  <c r="A1407" i="4"/>
  <c r="O1407" i="4" s="1" a="1"/>
  <c r="O1407" i="4" s="1"/>
  <c r="A851" i="4"/>
  <c r="O851" i="4" s="1" a="1"/>
  <c r="O851" i="4" s="1"/>
  <c r="A17" i="4"/>
  <c r="O17" i="4" s="1" a="1"/>
  <c r="O17" i="4" s="1"/>
  <c r="A1240" i="4"/>
  <c r="O1240" i="4" s="1" a="1"/>
  <c r="O1240" i="4" s="1"/>
  <c r="A594" i="4"/>
  <c r="O594" i="4" s="1" a="1"/>
  <c r="O594" i="4" s="1"/>
  <c r="A536" i="4"/>
  <c r="O536" i="4" s="1" a="1"/>
  <c r="O536" i="4" s="1"/>
  <c r="A700" i="4"/>
  <c r="O700" i="4" s="1" a="1"/>
  <c r="O700" i="4" s="1"/>
  <c r="A1408" i="4"/>
  <c r="O1408" i="4" s="1" a="1"/>
  <c r="O1408" i="4" s="1"/>
  <c r="A512" i="4"/>
  <c r="O512" i="4" s="1" a="1"/>
  <c r="O512" i="4" s="1"/>
  <c r="A859" i="4"/>
  <c r="O859" i="4" s="1" a="1"/>
  <c r="O859" i="4" s="1"/>
  <c r="A1409" i="4"/>
  <c r="O1409" i="4" s="1" a="1"/>
  <c r="O1409" i="4" s="1"/>
  <c r="A889" i="4"/>
  <c r="O889" i="4" s="1" a="1"/>
  <c r="O889" i="4" s="1"/>
  <c r="A862" i="4"/>
  <c r="O862" i="4" s="1" a="1"/>
  <c r="O862" i="4" s="1"/>
  <c r="A776" i="4"/>
  <c r="O776" i="4" s="1" a="1"/>
  <c r="O776" i="4" s="1"/>
  <c r="A729" i="4"/>
  <c r="O729" i="4" s="1" a="1"/>
  <c r="O729" i="4" s="1"/>
  <c r="A622" i="4"/>
  <c r="O622" i="4" s="1" a="1"/>
  <c r="O622" i="4" s="1"/>
  <c r="A866" i="4"/>
  <c r="O866" i="4" s="1" a="1"/>
  <c r="O866" i="4" s="1"/>
  <c r="A375" i="4"/>
  <c r="O375" i="4" s="1" a="1"/>
  <c r="O375" i="4" s="1"/>
  <c r="A730" i="4"/>
  <c r="O730" i="4" s="1" a="1"/>
  <c r="O730" i="4" s="1"/>
  <c r="A1046" i="4"/>
  <c r="O1046" i="4" s="1" a="1"/>
  <c r="O1046" i="4" s="1"/>
  <c r="A1253" i="4"/>
  <c r="O1253" i="4" s="1" a="1"/>
  <c r="O1253" i="4" s="1"/>
  <c r="A1096" i="4"/>
  <c r="O1096" i="4" s="1" a="1"/>
  <c r="O1096" i="4" s="1"/>
  <c r="A1129" i="4"/>
  <c r="O1129" i="4" s="1" a="1"/>
  <c r="O1129" i="4" s="1"/>
  <c r="A873" i="4"/>
  <c r="O873" i="4" s="1" a="1"/>
  <c r="O873" i="4" s="1"/>
  <c r="A1438" i="4"/>
  <c r="O1438" i="4" s="1" a="1"/>
  <c r="O1438" i="4" s="1"/>
  <c r="A900" i="4"/>
  <c r="O900" i="4" s="1" a="1"/>
  <c r="O900" i="4" s="1"/>
  <c r="A847" i="4"/>
  <c r="O847" i="4" s="1" a="1"/>
  <c r="O847" i="4" s="1"/>
  <c r="A399" i="4"/>
  <c r="O399" i="4" s="1" a="1"/>
  <c r="O399" i="4" s="1"/>
  <c r="A400" i="4"/>
  <c r="O400" i="4" s="1" a="1"/>
  <c r="O400" i="4" s="1"/>
  <c r="A208" i="4"/>
  <c r="O208" i="4" s="1" a="1"/>
  <c r="O208" i="4" s="1"/>
  <c r="A628" i="4"/>
  <c r="O628" i="4" s="1" a="1"/>
  <c r="O628" i="4" s="1"/>
  <c r="A327" i="4"/>
  <c r="O327" i="4" s="1" a="1"/>
  <c r="O327" i="4" s="1"/>
  <c r="A74" i="4"/>
  <c r="O74" i="4" s="1" a="1"/>
  <c r="O74" i="4" s="1"/>
  <c r="A56" i="4"/>
  <c r="O56" i="4" s="1" a="1"/>
  <c r="O56" i="4" s="1"/>
  <c r="A1072" i="4"/>
  <c r="O1072" i="4" s="1" a="1"/>
  <c r="O1072" i="4" s="1"/>
  <c r="A537" i="4"/>
  <c r="O537" i="4" s="1" a="1"/>
  <c r="O537" i="4" s="1"/>
  <c r="A148" i="4"/>
  <c r="O148" i="4" s="1" a="1"/>
  <c r="O148" i="4" s="1"/>
  <c r="A963" i="4"/>
  <c r="O963" i="4" s="1" a="1"/>
  <c r="O963" i="4" s="1"/>
  <c r="A313" i="4"/>
  <c r="O313" i="4" s="1" a="1"/>
  <c r="O313" i="4" s="1"/>
  <c r="A1097" i="4"/>
  <c r="O1097" i="4" s="1" a="1"/>
  <c r="O1097" i="4" s="1"/>
  <c r="A1324" i="4"/>
  <c r="O1324" i="4" s="1" a="1"/>
  <c r="O1324" i="4" s="1"/>
  <c r="A1228" i="4"/>
  <c r="O1228" i="4" s="1" a="1"/>
  <c r="O1228" i="4" s="1"/>
  <c r="A1098" i="4"/>
  <c r="O1098" i="4" s="1" a="1"/>
  <c r="O1098" i="4" s="1"/>
  <c r="A1209" i="4"/>
  <c r="O1209" i="4" s="1" a="1"/>
  <c r="O1209" i="4" s="1"/>
  <c r="A894" i="4"/>
  <c r="O894" i="4" s="1" a="1"/>
  <c r="O894" i="4" s="1"/>
  <c r="A499" i="4"/>
  <c r="O499" i="4" s="1" a="1"/>
  <c r="O499" i="4" s="1"/>
  <c r="A240" i="4"/>
  <c r="O240" i="4" s="1" a="1"/>
  <c r="O240" i="4" s="1"/>
  <c r="A701" i="4"/>
  <c r="O701" i="4" s="1" a="1"/>
  <c r="O701" i="4" s="1"/>
  <c r="A989" i="4"/>
  <c r="O989" i="4" s="1" a="1"/>
  <c r="O989" i="4" s="1"/>
  <c r="A901" i="4"/>
  <c r="O901" i="4" s="1" a="1"/>
  <c r="O901" i="4" s="1"/>
  <c r="A1373" i="4"/>
  <c r="O1373" i="4" s="1" a="1"/>
  <c r="O1373" i="4" s="1"/>
  <c r="A358" i="4"/>
  <c r="O358" i="4" s="1" a="1"/>
  <c r="O358" i="4" s="1"/>
  <c r="A538" i="4"/>
  <c r="O538" i="4" s="1" a="1"/>
  <c r="O538" i="4" s="1"/>
  <c r="A1439" i="4"/>
  <c r="O1439" i="4" s="1" a="1"/>
  <c r="O1439" i="4" s="1"/>
  <c r="A110" i="4"/>
  <c r="O110" i="4" s="1" a="1"/>
  <c r="O110" i="4" s="1"/>
  <c r="A513" i="4"/>
  <c r="O513" i="4" s="1" a="1"/>
  <c r="O513" i="4" s="1"/>
  <c r="A927" i="4"/>
  <c r="O927" i="4" s="1" a="1"/>
  <c r="O927" i="4" s="1"/>
  <c r="A1073" i="4"/>
  <c r="O1073" i="4" s="1" a="1"/>
  <c r="O1073" i="4" s="1"/>
  <c r="A426" i="4"/>
  <c r="O426" i="4" s="1" a="1"/>
  <c r="O426" i="4" s="1"/>
  <c r="A75" i="4"/>
  <c r="O75" i="4" s="1" a="1"/>
  <c r="O75" i="4" s="1"/>
  <c r="A149" i="4"/>
  <c r="O149" i="4" s="1" a="1"/>
  <c r="O149" i="4" s="1"/>
  <c r="A1360" i="4"/>
  <c r="O1360" i="4" s="1" a="1"/>
  <c r="O1360" i="4" s="1"/>
  <c r="A1286" i="4"/>
  <c r="O1286" i="4" s="1" a="1"/>
  <c r="O1286" i="4" s="1"/>
  <c r="A913" i="4"/>
  <c r="O913" i="4" s="1" a="1"/>
  <c r="O913" i="4" s="1"/>
  <c r="A657" i="4"/>
  <c r="O657" i="4" s="1" a="1"/>
  <c r="O657" i="4" s="1"/>
  <c r="A915" i="4"/>
  <c r="O915" i="4" s="1" a="1"/>
  <c r="O915" i="4" s="1"/>
  <c r="A1229" i="4"/>
  <c r="O1229" i="4" s="1" a="1"/>
  <c r="O1229" i="4" s="1"/>
  <c r="A917" i="4"/>
  <c r="O917" i="4" s="1" a="1"/>
  <c r="O917" i="4" s="1"/>
  <c r="A909" i="4"/>
  <c r="O909" i="4" s="1" a="1"/>
  <c r="O909" i="4" s="1"/>
  <c r="A565" i="4"/>
  <c r="O565" i="4" s="1" a="1"/>
  <c r="O565" i="4" s="1"/>
  <c r="A1325" i="4"/>
  <c r="O1325" i="4" s="1" a="1"/>
  <c r="O1325" i="4" s="1"/>
  <c r="A642" i="4"/>
  <c r="O642" i="4" s="1" a="1"/>
  <c r="O642" i="4" s="1"/>
  <c r="A1099" i="4"/>
  <c r="O1099" i="4" s="1" a="1"/>
  <c r="O1099" i="4" s="1"/>
  <c r="A1230" i="4"/>
  <c r="O1230" i="4" s="1" a="1"/>
  <c r="O1230" i="4" s="1"/>
  <c r="A500" i="4"/>
  <c r="O500" i="4" s="1" a="1"/>
  <c r="O500" i="4" s="1"/>
  <c r="A1148" i="4"/>
  <c r="O1148" i="4" s="1" a="1"/>
  <c r="O1148" i="4" s="1"/>
  <c r="A529" i="4"/>
  <c r="O529" i="4" s="1" a="1"/>
  <c r="O529" i="4" s="1"/>
  <c r="A566" i="4"/>
  <c r="O566" i="4" s="1" a="1"/>
  <c r="O566" i="4" s="1"/>
  <c r="A123" i="4"/>
  <c r="O123" i="4" s="1" a="1"/>
  <c r="O123" i="4" s="1"/>
  <c r="A464" i="4"/>
  <c r="O464" i="4" s="1" a="1"/>
  <c r="O464" i="4" s="1"/>
  <c r="A930" i="4"/>
  <c r="O930" i="4" s="1" a="1"/>
  <c r="O930" i="4" s="1"/>
  <c r="A1026" i="4"/>
  <c r="O1026" i="4" s="1" a="1"/>
  <c r="O1026" i="4" s="1"/>
  <c r="A1116" i="4"/>
  <c r="O1116" i="4" s="1" a="1"/>
  <c r="O1116" i="4" s="1"/>
  <c r="A450" i="4"/>
  <c r="O450" i="4" s="1" a="1"/>
  <c r="O450" i="4" s="1"/>
  <c r="A934" i="4"/>
  <c r="O934" i="4" s="1" a="1"/>
  <c r="O934" i="4" s="1"/>
  <c r="A514" i="4"/>
  <c r="O514" i="4" s="1" a="1"/>
  <c r="O514" i="4" s="1"/>
  <c r="A401" i="4"/>
  <c r="O401" i="4" s="1" a="1"/>
  <c r="O401" i="4" s="1"/>
  <c r="A539" i="4"/>
  <c r="O539" i="4" s="1" a="1"/>
  <c r="O539" i="4" s="1"/>
  <c r="A1185" i="4"/>
  <c r="O1185" i="4" s="1" a="1"/>
  <c r="O1185" i="4" s="1"/>
  <c r="A990" i="4"/>
  <c r="O990" i="4" s="1" a="1"/>
  <c r="O990" i="4" s="1"/>
  <c r="A242" i="4"/>
  <c r="O242" i="4" s="1" a="1"/>
  <c r="O242" i="4" s="1"/>
  <c r="A941" i="4"/>
  <c r="O941" i="4" s="1" a="1"/>
  <c r="O941" i="4" s="1"/>
  <c r="A942" i="4"/>
  <c r="O942" i="4" s="1" a="1"/>
  <c r="O942" i="4" s="1"/>
  <c r="A259" i="4"/>
  <c r="O259" i="4" s="1" a="1"/>
  <c r="O259" i="4" s="1"/>
  <c r="A1394" i="4"/>
  <c r="O1394" i="4" s="1" a="1"/>
  <c r="O1394" i="4" s="1"/>
  <c r="A181" i="4"/>
  <c r="O181" i="4" s="1" a="1"/>
  <c r="O181" i="4" s="1"/>
  <c r="A385" i="4"/>
  <c r="O385" i="4" s="1" a="1"/>
  <c r="O385" i="4" s="1"/>
  <c r="A182" i="4"/>
  <c r="O182" i="4" s="1" a="1"/>
  <c r="O182" i="4" s="1"/>
  <c r="A948" i="4"/>
  <c r="O948" i="4" s="1" a="1"/>
  <c r="O948" i="4" s="1"/>
  <c r="A949" i="4"/>
  <c r="O949" i="4" s="1" a="1"/>
  <c r="O949" i="4" s="1"/>
  <c r="A1057" i="4"/>
  <c r="O1057" i="4" s="1" a="1"/>
  <c r="O1057" i="4" s="1"/>
  <c r="A1302" i="4"/>
  <c r="O1302" i="4" s="1" a="1"/>
  <c r="O1302" i="4" s="1"/>
  <c r="A1410" i="4"/>
  <c r="O1410" i="4" s="1" a="1"/>
  <c r="O1410" i="4" s="1"/>
  <c r="A402" i="4"/>
  <c r="O402" i="4" s="1" a="1"/>
  <c r="O402" i="4" s="1"/>
  <c r="A954" i="4"/>
  <c r="O954" i="4" s="1" a="1"/>
  <c r="O954" i="4" s="1"/>
  <c r="A955" i="4"/>
  <c r="O955" i="4" s="1" a="1"/>
  <c r="O955" i="4" s="1"/>
  <c r="A403" i="4"/>
  <c r="O403" i="4" s="1" a="1"/>
  <c r="O403" i="4" s="1"/>
  <c r="A466" i="4"/>
  <c r="O466" i="4" s="1" a="1"/>
  <c r="O466" i="4" s="1"/>
  <c r="A919" i="4"/>
  <c r="O919" i="4" s="1" a="1"/>
  <c r="O919" i="4" s="1"/>
  <c r="A1395" i="4"/>
  <c r="O1395" i="4" s="1" a="1"/>
  <c r="O1395" i="4" s="1"/>
  <c r="A1074" i="4"/>
  <c r="O1074" i="4" s="1" a="1"/>
  <c r="O1074" i="4" s="1"/>
  <c r="A9" i="4"/>
  <c r="O9" i="4" s="1" a="1"/>
  <c r="O9" i="4" s="1"/>
  <c r="A1012" i="4"/>
  <c r="O1012" i="4" s="1" a="1"/>
  <c r="O1012" i="4" s="1"/>
  <c r="A1075" i="4"/>
  <c r="O1075" i="4" s="1" a="1"/>
  <c r="O1075" i="4" s="1"/>
  <c r="A878" i="4"/>
  <c r="O878" i="4" s="1" a="1"/>
  <c r="O878" i="4" s="1"/>
  <c r="A278" i="4"/>
  <c r="O278" i="4" s="1" a="1"/>
  <c r="O278" i="4" s="1"/>
  <c r="A1347" i="4"/>
  <c r="O1347" i="4" s="1" a="1"/>
  <c r="O1347" i="4" s="1"/>
  <c r="A1013" i="4"/>
  <c r="O1013" i="4" s="1" a="1"/>
  <c r="O1013" i="4" s="1"/>
  <c r="A968" i="4"/>
  <c r="O968" i="4" s="1" a="1"/>
  <c r="O968" i="4" s="1"/>
  <c r="A427" i="4"/>
  <c r="O427" i="4" s="1" a="1"/>
  <c r="O427" i="4" s="1"/>
  <c r="A428" i="4"/>
  <c r="O428" i="4" s="1" a="1"/>
  <c r="O428" i="4" s="1"/>
  <c r="A467" i="4"/>
  <c r="O467" i="4" s="1" a="1"/>
  <c r="O467" i="4" s="1"/>
  <c r="A1241" i="4"/>
  <c r="O1241" i="4" s="1" a="1"/>
  <c r="O1241" i="4" s="1"/>
  <c r="A928" i="4"/>
  <c r="O928" i="4" s="1" a="1"/>
  <c r="O928" i="4" s="1"/>
  <c r="A1374" i="4"/>
  <c r="O1374" i="4" s="1" a="1"/>
  <c r="O1374" i="4" s="1"/>
  <c r="A796" i="4"/>
  <c r="O796" i="4" s="1" a="1"/>
  <c r="O796" i="4" s="1"/>
  <c r="A1429" i="4"/>
  <c r="O1429" i="4" s="1" a="1"/>
  <c r="O1429" i="4" s="1"/>
  <c r="A977" i="4"/>
  <c r="O977" i="4" s="1" a="1"/>
  <c r="O977" i="4" s="1"/>
  <c r="A890" i="4"/>
  <c r="O890" i="4" s="1" a="1"/>
  <c r="O890" i="4" s="1"/>
  <c r="A230" i="4"/>
  <c r="O230" i="4" s="1" a="1"/>
  <c r="O230" i="4" s="1"/>
  <c r="A200" i="4"/>
  <c r="O200" i="4" s="1" a="1"/>
  <c r="O200" i="4" s="1"/>
  <c r="A703" i="4"/>
  <c r="O703" i="4" s="1" a="1"/>
  <c r="O703" i="4" s="1"/>
  <c r="A982" i="4"/>
  <c r="O982" i="4" s="1" a="1"/>
  <c r="O982" i="4" s="1"/>
  <c r="A983" i="4"/>
  <c r="O983" i="4" s="1" a="1"/>
  <c r="O983" i="4" s="1"/>
  <c r="A1287" i="4"/>
  <c r="O1287" i="4" s="1" a="1"/>
  <c r="O1287" i="4" s="1"/>
  <c r="A101" i="4"/>
  <c r="O101" i="4" s="1" a="1"/>
  <c r="O101" i="4" s="1"/>
  <c r="A260" i="4"/>
  <c r="O260" i="4" s="1" a="1"/>
  <c r="O260" i="4" s="1"/>
  <c r="A987" i="4"/>
  <c r="O987" i="4" s="1" a="1"/>
  <c r="O987" i="4" s="1"/>
  <c r="A404" i="4"/>
  <c r="O404" i="4" s="1" a="1"/>
  <c r="O404" i="4" s="1"/>
  <c r="A1100" i="4"/>
  <c r="O1100" i="4" s="1" a="1"/>
  <c r="O1100" i="4" s="1"/>
  <c r="A1210" i="4"/>
  <c r="O1210" i="4" s="1" a="1"/>
  <c r="O1210" i="4" s="1"/>
  <c r="A1411" i="4"/>
  <c r="O1411" i="4" s="1" a="1"/>
  <c r="O1411" i="4" s="1"/>
  <c r="A1083" i="4"/>
  <c r="O1083" i="4" s="1" a="1"/>
  <c r="O1083" i="4" s="1"/>
  <c r="A1303" i="4"/>
  <c r="O1303" i="4" s="1" a="1"/>
  <c r="O1303" i="4" s="1"/>
  <c r="A1348" i="4"/>
  <c r="O1348" i="4" s="1" a="1"/>
  <c r="O1348" i="4" s="1"/>
  <c r="A1174" i="4"/>
  <c r="O1174" i="4" s="1" a="1"/>
  <c r="O1174" i="4" s="1"/>
  <c r="A125" i="4"/>
  <c r="O125" i="4" s="1" a="1"/>
  <c r="O125" i="4" s="1"/>
  <c r="A891" i="4"/>
  <c r="O891" i="4" s="1" a="1"/>
  <c r="O891" i="4" s="1"/>
  <c r="A137" i="4"/>
  <c r="O137" i="4" s="1" a="1"/>
  <c r="O137" i="4" s="1"/>
  <c r="A999" i="4"/>
  <c r="O999" i="4" s="1" a="1"/>
  <c r="O999" i="4" s="1"/>
  <c r="A343" i="4"/>
  <c r="O343" i="4" s="1" a="1"/>
  <c r="O343" i="4" s="1"/>
  <c r="A405" i="4"/>
  <c r="O405" i="4" s="1" a="1"/>
  <c r="O405" i="4" s="1"/>
  <c r="A1288" i="4"/>
  <c r="O1288" i="4" s="1" a="1"/>
  <c r="O1288" i="4" s="1"/>
  <c r="A555" i="4"/>
  <c r="O555" i="4" s="1" a="1"/>
  <c r="O555" i="4" s="1"/>
  <c r="A595" i="4"/>
  <c r="O595" i="4" s="1" a="1"/>
  <c r="O595" i="4" s="1"/>
  <c r="A929" i="4"/>
  <c r="O929" i="4" s="1" a="1"/>
  <c r="O929" i="4" s="1"/>
  <c r="A501" i="4"/>
  <c r="O501" i="4" s="1" a="1"/>
  <c r="O501" i="4" s="1"/>
  <c r="A1149" i="4"/>
  <c r="O1149" i="4" s="1" a="1"/>
  <c r="O1149" i="4" s="1"/>
  <c r="A1008" i="4"/>
  <c r="O1008" i="4" s="1" a="1"/>
  <c r="O1008" i="4" s="1"/>
  <c r="A1009" i="4"/>
  <c r="O1009" i="4" s="1" a="1"/>
  <c r="O1009" i="4" s="1"/>
  <c r="A540" i="4"/>
  <c r="O540" i="4" s="1" a="1"/>
  <c r="O540" i="4" s="1"/>
  <c r="A150" i="4"/>
  <c r="O150" i="4" s="1" a="1"/>
  <c r="O150" i="4" s="1"/>
  <c r="A299" i="4"/>
  <c r="O299" i="4" s="1" a="1"/>
  <c r="O299" i="4" s="1"/>
  <c r="A502" i="4"/>
  <c r="O502" i="4" s="1" a="1"/>
  <c r="O502" i="4" s="1"/>
  <c r="A1014" i="4"/>
  <c r="O1014" i="4" s="1" a="1"/>
  <c r="O1014" i="4" s="1"/>
  <c r="A376" i="4"/>
  <c r="O376" i="4" s="1" a="1"/>
  <c r="O376" i="4" s="1"/>
  <c r="A1375" i="4"/>
  <c r="O1375" i="4" s="1" a="1"/>
  <c r="O1375" i="4" s="1"/>
  <c r="A1242" i="4"/>
  <c r="O1242" i="4" s="1" a="1"/>
  <c r="O1242" i="4" s="1"/>
  <c r="A1018" i="4"/>
  <c r="O1018" i="4" s="1" a="1"/>
  <c r="O1018" i="4" s="1"/>
  <c r="A821" i="4"/>
  <c r="O821" i="4" s="1" a="1"/>
  <c r="O821" i="4" s="1"/>
  <c r="A608" i="4"/>
  <c r="O608" i="4" s="1" a="1"/>
  <c r="O608" i="4" s="1"/>
  <c r="A1175" i="4"/>
  <c r="O1175" i="4" s="1" a="1"/>
  <c r="O1175" i="4" s="1"/>
  <c r="A1211" i="4"/>
  <c r="O1211" i="4" s="1" a="1"/>
  <c r="O1211" i="4" s="1"/>
  <c r="A1023" i="4"/>
  <c r="O1023" i="4" s="1" a="1"/>
  <c r="O1023" i="4" s="1"/>
  <c r="A768" i="4"/>
  <c r="O768" i="4" s="1" a="1"/>
  <c r="O768" i="4" s="1"/>
  <c r="A360" i="4"/>
  <c r="O360" i="4" s="1" a="1"/>
  <c r="O360" i="4" s="1"/>
  <c r="A300" i="4"/>
  <c r="O300" i="4" s="1" a="1"/>
  <c r="O300" i="4" s="1"/>
  <c r="A1231" i="4"/>
  <c r="O1231" i="4" s="1" a="1"/>
  <c r="O1231" i="4" s="1"/>
  <c r="A920" i="4"/>
  <c r="O920" i="4" s="1" a="1"/>
  <c r="O920" i="4" s="1"/>
  <c r="A629" i="4"/>
  <c r="O629" i="4" s="1" a="1"/>
  <c r="O629" i="4" s="1"/>
  <c r="A1186" i="4"/>
  <c r="O1186" i="4" s="1" a="1"/>
  <c r="O1186" i="4" s="1"/>
  <c r="A1326" i="4"/>
  <c r="O1326" i="4" s="1" a="1"/>
  <c r="O1326" i="4" s="1"/>
  <c r="A852" i="4"/>
  <c r="O852" i="4" s="1" a="1"/>
  <c r="O852" i="4" s="1"/>
  <c r="A1033" i="4"/>
  <c r="O1033" i="4" s="1" a="1"/>
  <c r="O1033" i="4" s="1"/>
  <c r="A1034" i="4"/>
  <c r="O1034" i="4" s="1" a="1"/>
  <c r="O1034" i="4" s="1"/>
  <c r="A1035" i="4"/>
  <c r="O1035" i="4" s="1" a="1"/>
  <c r="O1035" i="4" s="1"/>
  <c r="A1176" i="4"/>
  <c r="O1176" i="4" s="1" a="1"/>
  <c r="O1176" i="4" s="1"/>
  <c r="A864" i="4"/>
  <c r="O864" i="4" s="1" a="1"/>
  <c r="O864" i="4" s="1"/>
  <c r="A1038" i="4"/>
  <c r="O1038" i="4" s="1" a="1"/>
  <c r="O1038" i="4" s="1"/>
  <c r="A1027" i="4"/>
  <c r="O1027" i="4" s="1" a="1"/>
  <c r="O1027" i="4" s="1"/>
  <c r="A556" i="4"/>
  <c r="O556" i="4" s="1" a="1"/>
  <c r="O556" i="4" s="1"/>
  <c r="A1041" i="4"/>
  <c r="O1041" i="4" s="1" a="1"/>
  <c r="O1041" i="4" s="1"/>
  <c r="A1028" i="4"/>
  <c r="O1028" i="4" s="1" a="1"/>
  <c r="O1028" i="4" s="1"/>
  <c r="A517" i="4"/>
  <c r="O517" i="4" s="1" a="1"/>
  <c r="O517" i="4" s="1"/>
  <c r="A1187" i="4"/>
  <c r="O1187" i="4" s="1" a="1"/>
  <c r="O1187" i="4" s="1"/>
  <c r="A1117" i="4"/>
  <c r="O1117" i="4" s="1" a="1"/>
  <c r="O1117" i="4" s="1"/>
  <c r="A103" i="4"/>
  <c r="O103" i="4" s="1" a="1"/>
  <c r="O103" i="4" s="1"/>
  <c r="A1349" i="4"/>
  <c r="O1349" i="4" s="1" a="1"/>
  <c r="O1349" i="4" s="1"/>
  <c r="A172" i="4"/>
  <c r="O172" i="4" s="1" a="1"/>
  <c r="O172" i="4" s="1"/>
  <c r="A1219" i="4"/>
  <c r="O1219" i="4" s="1" a="1"/>
  <c r="O1219" i="4" s="1"/>
  <c r="A1254" i="4"/>
  <c r="O1254" i="4" s="1" a="1"/>
  <c r="O1254" i="4" s="1"/>
  <c r="A991" i="4"/>
  <c r="O991" i="4" s="1" a="1"/>
  <c r="O991" i="4" s="1"/>
  <c r="A1350" i="4"/>
  <c r="O1350" i="4" s="1" a="1"/>
  <c r="O1350" i="4" s="1"/>
  <c r="A1002" i="4"/>
  <c r="O1002" i="4" s="1" a="1"/>
  <c r="O1002" i="4" s="1"/>
  <c r="A580" i="4"/>
  <c r="O580" i="4" s="1" a="1"/>
  <c r="O580" i="4" s="1"/>
  <c r="A686" i="4"/>
  <c r="O686" i="4" s="1" a="1"/>
  <c r="O686" i="4" s="1"/>
  <c r="A1232" i="4"/>
  <c r="O1232" i="4" s="1" a="1"/>
  <c r="O1232" i="4" s="1"/>
  <c r="A1212" i="4"/>
  <c r="O1212" i="4" s="1" a="1"/>
  <c r="O1212" i="4" s="1"/>
  <c r="A1058" i="4"/>
  <c r="O1058" i="4" s="1" a="1"/>
  <c r="O1058" i="4" s="1"/>
  <c r="A1059" i="4"/>
  <c r="O1059" i="4" s="1" a="1"/>
  <c r="O1059" i="4" s="1"/>
  <c r="A1060" i="4"/>
  <c r="O1060" i="4" s="1" a="1"/>
  <c r="O1060" i="4" s="1"/>
  <c r="A1441" i="4"/>
  <c r="O1441" i="4" s="1" a="1"/>
  <c r="O1441" i="4" s="1"/>
  <c r="A1062" i="4"/>
  <c r="O1062" i="4" s="1" a="1"/>
  <c r="O1062" i="4" s="1"/>
  <c r="A1189" i="4"/>
  <c r="O1189" i="4" s="1" a="1"/>
  <c r="O1189" i="4" s="1"/>
  <c r="A567" i="4"/>
  <c r="O567" i="4" s="1" a="1"/>
  <c r="O567" i="4" s="1"/>
  <c r="A151" i="4"/>
  <c r="O151" i="4" s="1" a="1"/>
  <c r="O151" i="4" s="1"/>
  <c r="A1220" i="4"/>
  <c r="O1220" i="4" s="1" a="1"/>
  <c r="O1220" i="4" s="1"/>
  <c r="A1304" i="4"/>
  <c r="O1304" i="4" s="1" a="1"/>
  <c r="O1304" i="4" s="1"/>
  <c r="A630" i="4"/>
  <c r="O630" i="4" s="1" a="1"/>
  <c r="O630" i="4" s="1"/>
  <c r="A152" i="4"/>
  <c r="O152" i="4" s="1" a="1"/>
  <c r="O152" i="4" s="1"/>
  <c r="A1070" i="4"/>
  <c r="O1070" i="4" s="1" a="1"/>
  <c r="O1070" i="4" s="1"/>
  <c r="A1351" i="4"/>
  <c r="O1351" i="4" s="1" a="1"/>
  <c r="O1351" i="4" s="1"/>
  <c r="A964" i="4"/>
  <c r="O964" i="4" s="1" a="1"/>
  <c r="O964" i="4" s="1"/>
  <c r="A1305" i="4"/>
  <c r="O1305" i="4" s="1" a="1"/>
  <c r="O1305" i="4" s="1"/>
  <c r="A1061" i="4"/>
  <c r="O1061" i="4" s="1" a="1"/>
  <c r="O1061" i="4" s="1"/>
  <c r="A623" i="4"/>
  <c r="O623" i="4" s="1" a="1"/>
  <c r="O623" i="4" s="1"/>
  <c r="A946" i="4"/>
  <c r="O946" i="4" s="1" a="1"/>
  <c r="O946" i="4" s="1"/>
  <c r="A581" i="4"/>
  <c r="O581" i="4" s="1" a="1"/>
  <c r="O581" i="4" s="1"/>
  <c r="A111" i="4"/>
  <c r="O111" i="4" s="1" a="1"/>
  <c r="O111" i="4" s="1"/>
  <c r="A1079" i="4"/>
  <c r="O1079" i="4" s="1" a="1"/>
  <c r="O1079" i="4" s="1"/>
  <c r="A1306" i="4"/>
  <c r="O1306" i="4" s="1" a="1"/>
  <c r="O1306" i="4" s="1"/>
  <c r="A279" i="4"/>
  <c r="O279" i="4" s="1" a="1"/>
  <c r="O279" i="4" s="1"/>
  <c r="A1150" i="4"/>
  <c r="O1150" i="4" s="1" a="1"/>
  <c r="O1150" i="4" s="1"/>
  <c r="A557" i="4"/>
  <c r="O557" i="4" s="1" a="1"/>
  <c r="O557" i="4" s="1"/>
  <c r="A1376" i="4"/>
  <c r="O1376" i="4" s="1" a="1"/>
  <c r="O1376" i="4" s="1"/>
  <c r="A1085" i="4"/>
  <c r="O1085" i="4" s="1" a="1"/>
  <c r="O1085" i="4" s="1"/>
  <c r="A164" i="4"/>
  <c r="O164" i="4" s="1" a="1"/>
  <c r="O164" i="4" s="1"/>
  <c r="A1087" i="4"/>
  <c r="O1087" i="4" s="1" a="1"/>
  <c r="O1087" i="4" s="1"/>
  <c r="A631" i="4"/>
  <c r="O631" i="4" s="1" a="1"/>
  <c r="O631" i="4" s="1"/>
  <c r="A848" i="4"/>
  <c r="O848" i="4" s="1" a="1"/>
  <c r="O848" i="4" s="1"/>
  <c r="A1352" i="4"/>
  <c r="O1352" i="4" s="1" a="1"/>
  <c r="O1352" i="4" s="1"/>
  <c r="A386" i="4"/>
  <c r="O386" i="4" s="1" a="1"/>
  <c r="O386" i="4" s="1"/>
  <c r="A94" i="4"/>
  <c r="O94" i="4" s="1" a="1"/>
  <c r="O94" i="4" s="1"/>
  <c r="A406" i="4"/>
  <c r="O406" i="4" s="1" a="1"/>
  <c r="O406" i="4" s="1"/>
  <c r="A1378" i="4"/>
  <c r="O1378" i="4" s="1" a="1"/>
  <c r="O1378" i="4" s="1"/>
  <c r="A910" i="4"/>
  <c r="O910" i="4" s="1" a="1"/>
  <c r="O910" i="4" s="1"/>
  <c r="A174" i="4"/>
  <c r="O174" i="4" s="1" a="1"/>
  <c r="O174" i="4" s="1"/>
  <c r="A153" i="4"/>
  <c r="O153" i="4" s="1" a="1"/>
  <c r="O153" i="4" s="1"/>
  <c r="A280" i="4"/>
  <c r="O280" i="4" s="1" a="1"/>
  <c r="O280" i="4" s="1"/>
  <c r="A965" i="4"/>
  <c r="O965" i="4" s="1" a="1"/>
  <c r="O965" i="4" s="1"/>
  <c r="A314" i="4"/>
  <c r="O314" i="4" s="1" a="1"/>
  <c r="O314" i="4" s="1"/>
  <c r="A165" i="4"/>
  <c r="O165" i="4" s="1" a="1"/>
  <c r="O165" i="4" s="1"/>
  <c r="A62" i="4"/>
  <c r="O62" i="4" s="1" a="1"/>
  <c r="O62" i="4" s="1"/>
  <c r="A253" i="4"/>
  <c r="O253" i="4" s="1" a="1"/>
  <c r="O253" i="4" s="1"/>
  <c r="A731" i="4"/>
  <c r="O731" i="4" s="1" a="1"/>
  <c r="O731" i="4" s="1"/>
  <c r="A1243" i="4"/>
  <c r="O1243" i="4" s="1" a="1"/>
  <c r="O1243" i="4" s="1"/>
  <c r="A10" i="4"/>
  <c r="O10" i="4" s="1" a="1"/>
  <c r="O10" i="4" s="1"/>
  <c r="A1029" i="4"/>
  <c r="O1029" i="4" s="1" a="1"/>
  <c r="O1029" i="4" s="1"/>
  <c r="A1108" i="4"/>
  <c r="O1108" i="4" s="1" a="1"/>
  <c r="O1108" i="4" s="1"/>
  <c r="A377" i="4"/>
  <c r="O377" i="4" s="1" a="1"/>
  <c r="O377" i="4" s="1"/>
  <c r="A777" i="4"/>
  <c r="O777" i="4" s="1" a="1"/>
  <c r="O777" i="4" s="1"/>
  <c r="A1430" i="4"/>
  <c r="O1430" i="4" s="1" a="1"/>
  <c r="O1430" i="4" s="1"/>
  <c r="A1112" i="4"/>
  <c r="O1112" i="4" s="1" a="1"/>
  <c r="O1112" i="4" s="1"/>
  <c r="A1113" i="4"/>
  <c r="O1113" i="4" s="1" a="1"/>
  <c r="O1113" i="4" s="1"/>
  <c r="A1114" i="4"/>
  <c r="O1114" i="4" s="1" a="1"/>
  <c r="O1114" i="4" s="1"/>
  <c r="A732" i="4"/>
  <c r="O732" i="4" s="1" a="1"/>
  <c r="O732" i="4" s="1"/>
  <c r="A83" i="4"/>
  <c r="O83" i="4" s="1" a="1"/>
  <c r="O83" i="4" s="1"/>
  <c r="A1047" i="4"/>
  <c r="O1047" i="4" s="1" a="1"/>
  <c r="O1047" i="4" s="1"/>
  <c r="A659" i="4"/>
  <c r="O659" i="4" s="1" a="1"/>
  <c r="O659" i="4" s="1"/>
  <c r="A978" i="4"/>
  <c r="O978" i="4" s="1" a="1"/>
  <c r="O978" i="4" s="1"/>
  <c r="A76" i="4"/>
  <c r="O76" i="4" s="1" a="1"/>
  <c r="O76" i="4" s="1"/>
  <c r="A704" i="4"/>
  <c r="O704" i="4" s="1" a="1"/>
  <c r="O704" i="4" s="1"/>
  <c r="A569" i="4"/>
  <c r="O569" i="4" s="1" a="1"/>
  <c r="O569" i="4" s="1"/>
  <c r="A32" i="4"/>
  <c r="O32" i="4" s="1" a="1"/>
  <c r="O32" i="4" s="1"/>
  <c r="A201" i="4"/>
  <c r="O201" i="4" s="1" a="1"/>
  <c r="O201" i="4" s="1"/>
  <c r="A43" i="4"/>
  <c r="O43" i="4" s="1" a="1"/>
  <c r="O43" i="4" s="1"/>
  <c r="A490" i="4"/>
  <c r="O490" i="4" s="1" a="1"/>
  <c r="O490" i="4" s="1"/>
  <c r="A1190" i="4"/>
  <c r="O1190" i="4" s="1" a="1"/>
  <c r="O1190" i="4" s="1"/>
  <c r="A262" i="4"/>
  <c r="O262" i="4" s="1" a="1"/>
  <c r="O262" i="4" s="1"/>
  <c r="A57" i="4"/>
  <c r="O57" i="4" s="1" a="1"/>
  <c r="O57" i="4" s="1"/>
  <c r="A632" i="4"/>
  <c r="O632" i="4" s="1" a="1"/>
  <c r="O632" i="4" s="1"/>
  <c r="A1244" i="4"/>
  <c r="O1244" i="4" s="1" a="1"/>
  <c r="O1244" i="4" s="1"/>
  <c r="A1462" i="4"/>
  <c r="O1462" i="4" s="1" a="1"/>
  <c r="O1462" i="4" s="1"/>
  <c r="A1177" i="4"/>
  <c r="O1177" i="4" s="1" a="1"/>
  <c r="O1177" i="4" s="1"/>
  <c r="A361" i="4"/>
  <c r="O361" i="4" s="1" a="1"/>
  <c r="O361" i="4" s="1"/>
  <c r="A18" i="4"/>
  <c r="O18" i="4" s="1" a="1"/>
  <c r="O18" i="4" s="1"/>
  <c r="A643" i="4"/>
  <c r="O643" i="4" s="1" a="1"/>
  <c r="O643" i="4" s="1"/>
  <c r="A902" i="4"/>
  <c r="O902" i="4" s="1" a="1"/>
  <c r="O902" i="4" s="1"/>
  <c r="A1138" i="4"/>
  <c r="O1138" i="4" s="1" a="1"/>
  <c r="O1138" i="4" s="1"/>
  <c r="A1386" i="4"/>
  <c r="O1386" i="4" s="1" a="1"/>
  <c r="O1386" i="4" s="1"/>
  <c r="A281" i="4"/>
  <c r="O281" i="4" s="1" a="1"/>
  <c r="O281" i="4" s="1"/>
  <c r="A814" i="4"/>
  <c r="O814" i="4" s="1" a="1"/>
  <c r="O814" i="4" s="1"/>
  <c r="A282" i="4"/>
  <c r="O282" i="4" s="1" a="1"/>
  <c r="O282" i="4" s="1"/>
  <c r="A328" i="4"/>
  <c r="O328" i="4" s="1" a="1"/>
  <c r="O328" i="4" s="1"/>
  <c r="A468" i="4"/>
  <c r="O468" i="4" s="1" a="1"/>
  <c r="O468" i="4" s="1"/>
  <c r="A903" i="4"/>
  <c r="O903" i="4" s="1" a="1"/>
  <c r="O903" i="4" s="1"/>
  <c r="A1289" i="4"/>
  <c r="O1289" i="4" s="1" a="1"/>
  <c r="O1289" i="4" s="1"/>
  <c r="A705" i="4"/>
  <c r="O705" i="4" s="1" a="1"/>
  <c r="O705" i="4" s="1"/>
  <c r="A1118" i="4"/>
  <c r="O1118" i="4" s="1" a="1"/>
  <c r="O1118" i="4" s="1"/>
  <c r="A77" i="4"/>
  <c r="O77" i="4" s="1" a="1"/>
  <c r="O77" i="4" s="1"/>
  <c r="A154" i="4"/>
  <c r="O154" i="4" s="1" a="1"/>
  <c r="O154" i="4" s="1"/>
  <c r="A582" i="4"/>
  <c r="O582" i="4" s="1" a="1"/>
  <c r="O582" i="4" s="1"/>
  <c r="A388" i="4"/>
  <c r="O388" i="4" s="1" a="1"/>
  <c r="O388" i="4" s="1"/>
  <c r="A1048" i="4"/>
  <c r="O1048" i="4" s="1" a="1"/>
  <c r="O1048" i="4" s="1"/>
  <c r="A624" i="4"/>
  <c r="O624" i="4" s="1" a="1"/>
  <c r="O624" i="4" s="1"/>
  <c r="A1155" i="4"/>
  <c r="O1155" i="4" s="1" a="1"/>
  <c r="O1155" i="4" s="1"/>
  <c r="A558" i="4"/>
  <c r="O558" i="4" s="1" a="1"/>
  <c r="O558" i="4" s="1"/>
  <c r="A518" i="4"/>
  <c r="O518" i="4" s="1" a="1"/>
  <c r="O518" i="4" s="1"/>
  <c r="A1327" i="4"/>
  <c r="O1327" i="4" s="1" a="1"/>
  <c r="O1327" i="4" s="1"/>
  <c r="A1030" i="4"/>
  <c r="O1030" i="4" s="1" a="1"/>
  <c r="O1030" i="4" s="1"/>
  <c r="A769" i="4"/>
  <c r="O769" i="4" s="1" a="1"/>
  <c r="O769" i="4" s="1"/>
  <c r="A1191" i="4"/>
  <c r="O1191" i="4" s="1" a="1"/>
  <c r="O1191" i="4" s="1"/>
  <c r="A541" i="4"/>
  <c r="O541" i="4" s="1" a="1"/>
  <c r="O541" i="4" s="1"/>
  <c r="A742" i="4"/>
  <c r="O742" i="4" s="1" a="1"/>
  <c r="O742" i="4" s="1"/>
  <c r="A1164" i="4"/>
  <c r="O1164" i="4" s="1" a="1"/>
  <c r="O1164" i="4" s="1"/>
  <c r="A451" i="4"/>
  <c r="O451" i="4" s="1" a="1"/>
  <c r="O451" i="4" s="1"/>
  <c r="A429" i="4"/>
  <c r="O429" i="4" s="1" a="1"/>
  <c r="O429" i="4" s="1"/>
  <c r="A1163" i="4"/>
  <c r="O1163" i="4" s="1" a="1"/>
  <c r="O1163" i="4" s="1"/>
  <c r="A1329" i="4"/>
  <c r="O1329" i="4" s="1" a="1"/>
  <c r="O1329" i="4" s="1"/>
  <c r="A1169" i="4"/>
  <c r="O1169" i="4" s="1" a="1"/>
  <c r="O1169" i="4" s="1"/>
  <c r="A1431" i="4"/>
  <c r="O1431" i="4" s="1" a="1"/>
  <c r="O1431" i="4" s="1"/>
  <c r="A931" i="4"/>
  <c r="O931" i="4" s="1" a="1"/>
  <c r="O931" i="4" s="1"/>
  <c r="A430" i="4"/>
  <c r="O430" i="4" s="1" a="1"/>
  <c r="O430" i="4" s="1"/>
  <c r="A1173" i="4"/>
  <c r="O1173" i="4" s="1" a="1"/>
  <c r="O1173" i="4" s="1"/>
  <c r="A491" i="4"/>
  <c r="O491" i="4" s="1" a="1"/>
  <c r="O491" i="4" s="1"/>
  <c r="A979" i="4"/>
  <c r="O979" i="4" s="1" a="1"/>
  <c r="O979" i="4" s="1"/>
  <c r="A362" i="4"/>
  <c r="O362" i="4" s="1" a="1"/>
  <c r="O362" i="4" s="1"/>
  <c r="A33" i="4"/>
  <c r="O33" i="4" s="1" a="1"/>
  <c r="O33" i="4" s="1"/>
  <c r="A34" i="4"/>
  <c r="O34" i="4" s="1" a="1"/>
  <c r="O34" i="4" s="1"/>
  <c r="A743" i="4"/>
  <c r="O743" i="4" s="1" a="1"/>
  <c r="O743" i="4" s="1"/>
  <c r="A492" i="4"/>
  <c r="O492" i="4" s="1" a="1"/>
  <c r="O492" i="4" s="1"/>
  <c r="A254" i="4"/>
  <c r="O254" i="4" s="1" a="1"/>
  <c r="O254" i="4" s="1"/>
  <c r="A829" i="4"/>
  <c r="O829" i="4" s="1" a="1"/>
  <c r="O829" i="4" s="1"/>
  <c r="A95" i="4"/>
  <c r="O95" i="4" s="1" a="1"/>
  <c r="O95" i="4" s="1"/>
  <c r="A493" i="4"/>
  <c r="O493" i="4" s="1" a="1"/>
  <c r="O493" i="4" s="1"/>
  <c r="A519" i="4"/>
  <c r="O519" i="4" s="1" a="1"/>
  <c r="O519" i="4" s="1"/>
  <c r="A350" i="4"/>
  <c r="O350" i="4" s="1" a="1"/>
  <c r="O350" i="4" s="1"/>
  <c r="A892" i="4"/>
  <c r="O892" i="4" s="1" a="1"/>
  <c r="O892" i="4" s="1"/>
  <c r="A1188" i="4"/>
  <c r="O1188" i="4" s="1" a="1"/>
  <c r="O1188" i="4" s="1"/>
  <c r="A571" i="4"/>
  <c r="O571" i="4" s="1" a="1"/>
  <c r="O571" i="4" s="1"/>
  <c r="A96" i="4"/>
  <c r="O96" i="4" s="1" a="1"/>
  <c r="O96" i="4" s="1"/>
  <c r="A232" i="4"/>
  <c r="O232" i="4" s="1" a="1"/>
  <c r="O232" i="4" s="1"/>
  <c r="A1049" i="4"/>
  <c r="O1049" i="4" s="1" a="1"/>
  <c r="O1049" i="4" s="1"/>
  <c r="A118" i="4"/>
  <c r="O118" i="4" s="1" a="1"/>
  <c r="O118" i="4" s="1"/>
  <c r="A1084" i="4"/>
  <c r="O1084" i="4" s="1" a="1"/>
  <c r="O1084" i="4" s="1"/>
  <c r="A283" i="4"/>
  <c r="O283" i="4" s="1" a="1"/>
  <c r="O283" i="4" s="1"/>
  <c r="A209" i="4"/>
  <c r="O209" i="4" s="1" a="1"/>
  <c r="O209" i="4" s="1"/>
  <c r="A1119" i="4"/>
  <c r="O1119" i="4" s="1" a="1"/>
  <c r="O1119" i="4" s="1"/>
  <c r="A431" i="4"/>
  <c r="O431" i="4" s="1" a="1"/>
  <c r="O431" i="4" s="1"/>
  <c r="A1464" i="4"/>
  <c r="O1464" i="4" s="1" a="1"/>
  <c r="O1464" i="4" s="1"/>
  <c r="A853" i="4"/>
  <c r="O853" i="4" s="1" a="1"/>
  <c r="O853" i="4" s="1"/>
  <c r="A301" i="4"/>
  <c r="O301" i="4" s="1" a="1"/>
  <c r="O301" i="4" s="1"/>
  <c r="A611" i="4"/>
  <c r="O611" i="4" s="1" a="1"/>
  <c r="O611" i="4" s="1"/>
  <c r="A1203" i="4"/>
  <c r="O1203" i="4" s="1" a="1"/>
  <c r="O1203" i="4" s="1"/>
  <c r="A112" i="4"/>
  <c r="O112" i="4" s="1" a="1"/>
  <c r="O112" i="4" s="1"/>
  <c r="A966" i="4"/>
  <c r="O966" i="4" s="1" a="1"/>
  <c r="O966" i="4" s="1"/>
  <c r="A1206" i="4"/>
  <c r="O1206" i="4" s="1" a="1"/>
  <c r="O1206" i="4" s="1"/>
  <c r="A1207" i="4"/>
  <c r="O1207" i="4" s="1" a="1"/>
  <c r="O1207" i="4" s="1"/>
  <c r="A706" i="4"/>
  <c r="O706" i="4" s="1" a="1"/>
  <c r="O706" i="4" s="1"/>
  <c r="A992" i="4"/>
  <c r="O992" i="4" s="1" a="1"/>
  <c r="O992" i="4" s="1"/>
  <c r="A744" i="4"/>
  <c r="O744" i="4" s="1" a="1"/>
  <c r="O744" i="4" s="1"/>
  <c r="A1063" i="4"/>
  <c r="O1063" i="4" s="1" a="1"/>
  <c r="O1063" i="4" s="1"/>
  <c r="A707" i="4"/>
  <c r="O707" i="4" s="1" a="1"/>
  <c r="O707" i="4" s="1"/>
  <c r="A1366" i="4"/>
  <c r="O1366" i="4" s="1" a="1"/>
  <c r="O1366" i="4" s="1"/>
  <c r="A1307" i="4"/>
  <c r="O1307" i="4" s="1" a="1"/>
  <c r="O1307" i="4" s="1"/>
  <c r="A1215" i="4"/>
  <c r="O1215" i="4" s="1" a="1"/>
  <c r="O1215" i="4" s="1"/>
  <c r="A190" i="4"/>
  <c r="O190" i="4" s="1" a="1"/>
  <c r="O190" i="4" s="1"/>
  <c r="A1387" i="4"/>
  <c r="O1387" i="4" s="1" a="1"/>
  <c r="O1387" i="4" s="1"/>
  <c r="A119" i="4"/>
  <c r="O119" i="4" s="1" a="1"/>
  <c r="O119" i="4" s="1"/>
  <c r="A1140" i="4"/>
  <c r="O1140" i="4" s="1" a="1"/>
  <c r="O1140" i="4" s="1"/>
  <c r="A1165" i="4"/>
  <c r="O1165" i="4" s="1" a="1"/>
  <c r="O1165" i="4" s="1"/>
  <c r="A97" i="4"/>
  <c r="O97" i="4" s="1" a="1"/>
  <c r="O97" i="4" s="1"/>
  <c r="A127" i="4"/>
  <c r="O127" i="4" s="1" a="1"/>
  <c r="O127" i="4" s="1"/>
  <c r="A839" i="4"/>
  <c r="O839" i="4" s="1" a="1"/>
  <c r="O839" i="4" s="1"/>
  <c r="A1224" i="4"/>
  <c r="O1224" i="4" s="1" a="1"/>
  <c r="O1224" i="4" s="1"/>
  <c r="A1225" i="4"/>
  <c r="O1225" i="4" s="1" a="1"/>
  <c r="O1225" i="4" s="1"/>
  <c r="A315" i="4"/>
  <c r="O315" i="4" s="1" a="1"/>
  <c r="O315" i="4" s="1"/>
  <c r="A596" i="4"/>
  <c r="O596" i="4" s="1" a="1"/>
  <c r="O596" i="4" s="1"/>
  <c r="A745" i="4"/>
  <c r="O745" i="4" s="1" a="1"/>
  <c r="O745" i="4" s="1"/>
  <c r="A583" i="4"/>
  <c r="O583" i="4" s="1" a="1"/>
  <c r="O583" i="4" s="1"/>
  <c r="A747" i="4"/>
  <c r="O747" i="4" s="1" a="1"/>
  <c r="O747" i="4" s="1"/>
  <c r="A687" i="4"/>
  <c r="O687" i="4" s="1" a="1"/>
  <c r="O687" i="4" s="1"/>
  <c r="A191" i="4"/>
  <c r="O191" i="4" s="1" a="1"/>
  <c r="O191" i="4" s="1"/>
  <c r="A494" i="4"/>
  <c r="O494" i="4" s="1" a="1"/>
  <c r="O494" i="4" s="1"/>
  <c r="A263" i="4"/>
  <c r="O263" i="4" s="1" a="1"/>
  <c r="O263" i="4" s="1"/>
  <c r="A1368" i="4"/>
  <c r="O1368" i="4" s="1" a="1"/>
  <c r="O1368" i="4" s="1"/>
  <c r="A155" i="4"/>
  <c r="O155" i="4" s="1" a="1"/>
  <c r="O155" i="4" s="1"/>
  <c r="A780" i="4"/>
  <c r="O780" i="4" s="1" a="1"/>
  <c r="O780" i="4" s="1"/>
  <c r="A1238" i="4"/>
  <c r="O1238" i="4" s="1" a="1"/>
  <c r="O1238" i="4" s="1"/>
  <c r="A1239" i="4"/>
  <c r="O1239" i="4" s="1" a="1"/>
  <c r="O1239" i="4" s="1"/>
  <c r="A967" i="4"/>
  <c r="O967" i="4" s="1" a="1"/>
  <c r="O967" i="4" s="1"/>
  <c r="A98" i="4"/>
  <c r="O98" i="4" s="1" a="1"/>
  <c r="O98" i="4" s="1"/>
  <c r="A302" i="4"/>
  <c r="O302" i="4" s="1" a="1"/>
  <c r="O302" i="4" s="1"/>
  <c r="A572" i="4"/>
  <c r="O572" i="4" s="1" a="1"/>
  <c r="O572" i="4" s="1"/>
  <c r="A1330" i="4"/>
  <c r="O1330" i="4" s="1" a="1"/>
  <c r="O1330" i="4" s="1"/>
  <c r="A264" i="4"/>
  <c r="O264" i="4" s="1" a="1"/>
  <c r="O264" i="4" s="1"/>
  <c r="A879" i="4"/>
  <c r="O879" i="4" s="1" a="1"/>
  <c r="O879" i="4" s="1"/>
  <c r="A469" i="4"/>
  <c r="O469" i="4" s="1" a="1"/>
  <c r="O469" i="4" s="1"/>
  <c r="A1248" i="4"/>
  <c r="O1248" i="4" s="1" a="1"/>
  <c r="O1248" i="4" s="1"/>
  <c r="A1101" i="4"/>
  <c r="O1101" i="4" s="1" a="1"/>
  <c r="O1101" i="4" s="1"/>
  <c r="A893" i="4"/>
  <c r="O893" i="4" s="1" a="1"/>
  <c r="O893" i="4" s="1"/>
  <c r="A1251" i="4"/>
  <c r="O1251" i="4" s="1" a="1"/>
  <c r="O1251" i="4" s="1"/>
  <c r="A1015" i="4"/>
  <c r="O1015" i="4" s="1" a="1"/>
  <c r="O1015" i="4" s="1"/>
  <c r="A192" i="4"/>
  <c r="O192" i="4" s="1" a="1"/>
  <c r="O192" i="4" s="1"/>
  <c r="A139" i="4"/>
  <c r="O139" i="4" s="1" a="1"/>
  <c r="O139" i="4" s="1"/>
  <c r="A1353" i="4"/>
  <c r="O1353" i="4" s="1" a="1"/>
  <c r="O1353" i="4" s="1"/>
  <c r="A932" i="4"/>
  <c r="O932" i="4" s="1" a="1"/>
  <c r="O932" i="4" s="1"/>
  <c r="A1257" i="4"/>
  <c r="O1257" i="4" s="1" a="1"/>
  <c r="O1257" i="4" s="1"/>
  <c r="A1086" i="4"/>
  <c r="O1086" i="4" s="1" a="1"/>
  <c r="O1086" i="4" s="1"/>
  <c r="A1259" i="4"/>
  <c r="O1259" i="4" s="1" a="1"/>
  <c r="O1259" i="4" s="1"/>
  <c r="A291" i="4"/>
  <c r="O291" i="4" s="1" a="1"/>
  <c r="O291" i="4" s="1"/>
  <c r="A470" i="4"/>
  <c r="O470" i="4" s="1" a="1"/>
  <c r="O470" i="4" s="1"/>
  <c r="A378" i="4"/>
  <c r="O378" i="4" s="1" a="1"/>
  <c r="O378" i="4" s="1"/>
  <c r="A1361" i="4"/>
  <c r="O1361" i="4" s="1" a="1"/>
  <c r="O1361" i="4" s="1"/>
  <c r="A1264" i="4"/>
  <c r="O1264" i="4" s="1" a="1"/>
  <c r="O1264" i="4" s="1"/>
  <c r="A472" i="4"/>
  <c r="O472" i="4" s="1" a="1"/>
  <c r="O472" i="4" s="1"/>
  <c r="A660" i="4"/>
  <c r="O660" i="4" s="1" a="1"/>
  <c r="O660" i="4" s="1"/>
  <c r="A1192" i="4"/>
  <c r="O1192" i="4" s="1" a="1"/>
  <c r="O1192" i="4" s="1"/>
  <c r="A1312" i="4"/>
  <c r="O1312" i="4" s="1" a="1"/>
  <c r="O1312" i="4" s="1"/>
  <c r="A303" i="4"/>
  <c r="O303" i="4" s="1" a="1"/>
  <c r="O303" i="4" s="1"/>
  <c r="A904" i="4"/>
  <c r="O904" i="4" s="1" a="1"/>
  <c r="O904" i="4" s="1"/>
  <c r="A63" i="4"/>
  <c r="O63" i="4" s="1" a="1"/>
  <c r="O63" i="4" s="1"/>
  <c r="A854" i="4"/>
  <c r="O854" i="4" s="1" a="1"/>
  <c r="O854" i="4" s="1"/>
  <c r="A1273" i="4"/>
  <c r="O1273" i="4" s="1" a="1"/>
  <c r="O1273" i="4" s="1"/>
  <c r="A1308" i="4"/>
  <c r="O1308" i="4" s="1" a="1"/>
  <c r="O1308" i="4" s="1"/>
  <c r="A1275" i="4"/>
  <c r="O1275" i="4" s="1" a="1"/>
  <c r="O1275" i="4" s="1"/>
  <c r="A1313" i="4"/>
  <c r="O1313" i="4" s="1" a="1"/>
  <c r="O1313" i="4" s="1"/>
  <c r="A1102" i="4"/>
  <c r="O1102" i="4" s="1" a="1"/>
  <c r="O1102" i="4" s="1"/>
  <c r="A330" i="4"/>
  <c r="O330" i="4" s="1" a="1"/>
  <c r="O330" i="4" s="1"/>
  <c r="A45" i="4"/>
  <c r="O45" i="4" s="1" a="1"/>
  <c r="O45" i="4" s="1"/>
  <c r="A1193" i="4"/>
  <c r="O1193" i="4" s="1" a="1"/>
  <c r="O1193" i="4" s="1"/>
  <c r="A1281" i="4"/>
  <c r="O1281" i="4" s="1" a="1"/>
  <c r="O1281" i="4" s="1"/>
  <c r="A114" i="4"/>
  <c r="O114" i="4" s="1" a="1"/>
  <c r="O114" i="4" s="1"/>
  <c r="A1283" i="4"/>
  <c r="O1283" i="4" s="1" a="1"/>
  <c r="O1283" i="4" s="1"/>
  <c r="A880" i="4"/>
  <c r="O880" i="4" s="1" a="1"/>
  <c r="O880" i="4" s="1"/>
  <c r="A832" i="4"/>
  <c r="O832" i="4" s="1" a="1"/>
  <c r="O832" i="4" s="1"/>
  <c r="A1354" i="4"/>
  <c r="O1354" i="4" s="1" a="1"/>
  <c r="O1354" i="4" s="1"/>
  <c r="A865" i="4"/>
  <c r="O865" i="4" s="1" a="1"/>
  <c r="O865" i="4" s="1"/>
  <c r="A503" i="4"/>
  <c r="O503" i="4" s="1" a="1"/>
  <c r="O503" i="4" s="1"/>
  <c r="A1316" i="4"/>
  <c r="O1316" i="4" s="1" a="1"/>
  <c r="O1316" i="4" s="1"/>
  <c r="A709" i="4"/>
  <c r="O709" i="4" s="1" a="1"/>
  <c r="O709" i="4" s="1"/>
  <c r="A193" i="4"/>
  <c r="O193" i="4" s="1" a="1"/>
  <c r="O193" i="4" s="1"/>
  <c r="A1292" i="4"/>
  <c r="O1292" i="4" s="1" a="1"/>
  <c r="O1292" i="4" s="1"/>
  <c r="A1293" i="4"/>
  <c r="O1293" i="4" s="1" a="1"/>
  <c r="O1293" i="4" s="1"/>
  <c r="A1194" i="4"/>
  <c r="O1194" i="4" s="1" a="1"/>
  <c r="O1194" i="4" s="1"/>
  <c r="A1103" i="4"/>
  <c r="O1103" i="4" s="1" a="1"/>
  <c r="O1103" i="4" s="1"/>
  <c r="A243" i="4"/>
  <c r="O243" i="4" s="1" a="1"/>
  <c r="O243" i="4" s="1"/>
  <c r="A1003" i="4"/>
  <c r="O1003" i="4" s="1" a="1"/>
  <c r="O1003" i="4" s="1"/>
  <c r="A1270" i="4"/>
  <c r="O1270" i="4" s="1" a="1"/>
  <c r="O1270" i="4" s="1"/>
  <c r="A1299" i="4"/>
  <c r="O1299" i="4" s="1" a="1"/>
  <c r="O1299" i="4" s="1"/>
  <c r="A1300" i="4"/>
  <c r="O1300" i="4" s="1" a="1"/>
  <c r="O1300" i="4" s="1"/>
  <c r="A849" i="4"/>
  <c r="O849" i="4" s="1" a="1"/>
  <c r="O849" i="4" s="1"/>
  <c r="A11" i="4"/>
  <c r="O11" i="4" s="1" a="1"/>
  <c r="O11" i="4" s="1"/>
  <c r="A969" i="4"/>
  <c r="O969" i="4" s="1" a="1"/>
  <c r="O969" i="4" s="1"/>
  <c r="A105" i="4"/>
  <c r="O105" i="4" s="1" a="1"/>
  <c r="O105" i="4" s="1"/>
  <c r="A1317" i="4"/>
  <c r="O1317" i="4" s="1" a="1"/>
  <c r="O1317" i="4" s="1"/>
  <c r="A1151" i="4"/>
  <c r="O1151" i="4" s="1" a="1"/>
  <c r="O1151" i="4" s="1"/>
  <c r="A316" i="4"/>
  <c r="O316" i="4" s="1" a="1"/>
  <c r="O316" i="4" s="1"/>
  <c r="A841" i="4"/>
  <c r="O841" i="4" s="1" a="1"/>
  <c r="O841" i="4" s="1"/>
  <c r="A735" i="4"/>
  <c r="O735" i="4" s="1" a="1"/>
  <c r="O735" i="4" s="1"/>
  <c r="A1195" i="4"/>
  <c r="O1195" i="4" s="1" a="1"/>
  <c r="O1195" i="4" s="1"/>
  <c r="A797" i="4"/>
  <c r="O797" i="4" s="1" a="1"/>
  <c r="O797" i="4" s="1"/>
  <c r="A1004" i="4"/>
  <c r="O1004" i="4" s="1" a="1"/>
  <c r="O1004" i="4" s="1"/>
  <c r="A612" i="4"/>
  <c r="O612" i="4" s="1" a="1"/>
  <c r="O612" i="4" s="1"/>
  <c r="A1314" i="4"/>
  <c r="O1314" i="4" s="1" a="1"/>
  <c r="O1314" i="4" s="1"/>
  <c r="A1315" i="4"/>
  <c r="O1315" i="4" s="1" a="1"/>
  <c r="O1315" i="4" s="1"/>
  <c r="A644" i="4"/>
  <c r="O644" i="4" s="1" a="1"/>
  <c r="O644" i="4" s="1"/>
  <c r="A1396" i="4"/>
  <c r="O1396" i="4" s="1" a="1"/>
  <c r="O1396" i="4" s="1"/>
  <c r="A559" i="4"/>
  <c r="O559" i="4" s="1" a="1"/>
  <c r="O559" i="4" s="1"/>
  <c r="A473" i="4"/>
  <c r="O473" i="4" s="1" a="1"/>
  <c r="O473" i="4" s="1"/>
  <c r="A1120" i="4"/>
  <c r="O1120" i="4" s="1" a="1"/>
  <c r="O1120" i="4" s="1"/>
  <c r="A432" i="4"/>
  <c r="O432" i="4" s="1" a="1"/>
  <c r="O432" i="4" s="1"/>
  <c r="A58" i="4"/>
  <c r="O58" i="4" s="1" a="1"/>
  <c r="O58" i="4" s="1"/>
  <c r="A584" i="4"/>
  <c r="O584" i="4" s="1" a="1"/>
  <c r="O584" i="4" s="1"/>
  <c r="A19" i="4"/>
  <c r="O19" i="4" s="1" a="1"/>
  <c r="O19" i="4" s="1"/>
  <c r="A911" i="4"/>
  <c r="O911" i="4" s="1" a="1"/>
  <c r="O911" i="4" s="1"/>
  <c r="A1178" i="4"/>
  <c r="O1178" i="4" s="1" a="1"/>
  <c r="O1178" i="4" s="1"/>
  <c r="A433" i="4"/>
  <c r="O433" i="4" s="1" a="1"/>
  <c r="O433" i="4" s="1"/>
  <c r="A1328" i="4"/>
  <c r="O1328" i="4" s="1" a="1"/>
  <c r="O1328" i="4" s="1"/>
  <c r="A980" i="4"/>
  <c r="O980" i="4" s="1" a="1"/>
  <c r="O980" i="4" s="1"/>
  <c r="A1121" i="4"/>
  <c r="O1121" i="4" s="1" a="1"/>
  <c r="O1121" i="4" s="1"/>
  <c r="A1255" i="4"/>
  <c r="O1255" i="4" s="1" a="1"/>
  <c r="O1255" i="4" s="1"/>
  <c r="A633" i="4"/>
  <c r="O633" i="4" s="1" a="1"/>
  <c r="O633" i="4" s="1"/>
  <c r="A757" i="4"/>
  <c r="O757" i="4" s="1" a="1"/>
  <c r="O757" i="4" s="1"/>
  <c r="A1334" i="4"/>
  <c r="O1334" i="4" s="1" a="1"/>
  <c r="O1334" i="4" s="1"/>
  <c r="A1335" i="4"/>
  <c r="O1335" i="4" s="1" a="1"/>
  <c r="O1335" i="4" s="1"/>
  <c r="A1196" i="4"/>
  <c r="O1196" i="4" s="1" a="1"/>
  <c r="O1196" i="4" s="1"/>
  <c r="A1469" i="4"/>
  <c r="O1469" i="4" s="1" a="1"/>
  <c r="O1469" i="4" s="1"/>
  <c r="A64" i="4"/>
  <c r="O64" i="4" s="1" a="1"/>
  <c r="O64" i="4" s="1"/>
  <c r="A1256" i="4"/>
  <c r="O1256" i="4" s="1" a="1"/>
  <c r="O1256" i="4" s="1"/>
  <c r="A1340" i="4"/>
  <c r="O1340" i="4" s="1" a="1"/>
  <c r="O1340" i="4" s="1"/>
  <c r="A1341" i="4"/>
  <c r="O1341" i="4" s="1" a="1"/>
  <c r="O1341" i="4" s="1"/>
  <c r="A1213" i="4"/>
  <c r="O1213" i="4" s="1" a="1"/>
  <c r="O1213" i="4" s="1"/>
  <c r="A78" i="4"/>
  <c r="O78" i="4" s="1" a="1"/>
  <c r="O78" i="4" s="1"/>
  <c r="A947" i="4"/>
  <c r="O947" i="4" s="1" a="1"/>
  <c r="O947" i="4" s="1"/>
  <c r="A389" i="4"/>
  <c r="O389" i="4" s="1" a="1"/>
  <c r="O389" i="4" s="1"/>
  <c r="A1258" i="4"/>
  <c r="O1258" i="4" s="1" a="1"/>
  <c r="O1258" i="4" s="1"/>
  <c r="A1470" i="4"/>
  <c r="O1470" i="4" s="1" a="1"/>
  <c r="O1470" i="4" s="1"/>
  <c r="A1245" i="4"/>
  <c r="O1245" i="4" s="1" a="1"/>
  <c r="O1245" i="4" s="1"/>
  <c r="A504" i="4"/>
  <c r="O504" i="4" s="1" a="1"/>
  <c r="O504" i="4" s="1"/>
  <c r="A867" i="4"/>
  <c r="O867" i="4" s="1" a="1"/>
  <c r="O867" i="4" s="1"/>
  <c r="A434" i="4"/>
  <c r="O434" i="4" s="1" a="1"/>
  <c r="O434" i="4" s="1"/>
  <c r="A1260" i="4"/>
  <c r="O1260" i="4" s="1" a="1"/>
  <c r="O1260" i="4" s="1"/>
  <c r="A970" i="4"/>
  <c r="O970" i="4" s="1" a="1"/>
  <c r="O970" i="4" s="1"/>
  <c r="A710" i="4"/>
  <c r="O710" i="4" s="1" a="1"/>
  <c r="O710" i="4" s="1"/>
  <c r="A1355" i="4"/>
  <c r="O1355" i="4" s="1" a="1"/>
  <c r="O1355" i="4" s="1"/>
  <c r="A1356" i="4"/>
  <c r="O1356" i="4" s="1" a="1"/>
  <c r="O1356" i="4" s="1"/>
  <c r="A344" i="4"/>
  <c r="O344" i="4" s="1" a="1"/>
  <c r="O344" i="4" s="1"/>
  <c r="A1412" i="4"/>
  <c r="O1412" i="4" s="1" a="1"/>
  <c r="O1412" i="4" s="1"/>
  <c r="A1388" i="4"/>
  <c r="O1388" i="4" s="1" a="1"/>
  <c r="O1388" i="4" s="1"/>
  <c r="A1331" i="4"/>
  <c r="O1331" i="4" s="1" a="1"/>
  <c r="O1331" i="4" s="1"/>
  <c r="A317" i="4"/>
  <c r="O317" i="4" s="1" a="1"/>
  <c r="O317" i="4" s="1"/>
  <c r="A645" i="4"/>
  <c r="O645" i="4" s="1" a="1"/>
  <c r="O645" i="4" s="1"/>
  <c r="A736" i="4"/>
  <c r="O736" i="4" s="1" a="1"/>
  <c r="O736" i="4" s="1"/>
  <c r="A345" i="4"/>
  <c r="O345" i="4" s="1" a="1"/>
  <c r="O345" i="4" s="1"/>
  <c r="A981" i="4"/>
  <c r="O981" i="4" s="1" a="1"/>
  <c r="O981" i="4" s="1"/>
  <c r="A1471" i="4"/>
  <c r="O1471" i="4" s="1" a="1"/>
  <c r="O1471" i="4" s="1"/>
  <c r="A1367" i="4"/>
  <c r="O1367" i="4" s="1" a="1"/>
  <c r="O1367" i="4" s="1"/>
  <c r="A816" i="4"/>
  <c r="O816" i="4" s="1" a="1"/>
  <c r="O816" i="4" s="1"/>
  <c r="A675" i="4"/>
  <c r="O675" i="4" s="1" a="1"/>
  <c r="O675" i="4" s="1"/>
  <c r="A304" i="4"/>
  <c r="O304" i="4" s="1" a="1"/>
  <c r="O304" i="4" s="1"/>
  <c r="A1371" i="4"/>
  <c r="O1371" i="4" s="1" a="1"/>
  <c r="O1371" i="4" s="1"/>
  <c r="A1451" i="4"/>
  <c r="O1451" i="4" s="1" a="1"/>
  <c r="O1451" i="4" s="1"/>
  <c r="A156" i="4"/>
  <c r="O156" i="4" s="1" a="1"/>
  <c r="O156" i="4" s="1"/>
  <c r="A305" i="4"/>
  <c r="O305" i="4" s="1" a="1"/>
  <c r="O305" i="4" s="1"/>
  <c r="A46" i="4"/>
  <c r="O46" i="4" s="1" a="1"/>
  <c r="O46" i="4" s="1"/>
  <c r="A1399" i="4"/>
  <c r="O1399" i="4" s="1" a="1"/>
  <c r="O1399" i="4" s="1"/>
  <c r="A1377" i="4"/>
  <c r="O1377" i="4" s="1" a="1"/>
  <c r="O1377" i="4" s="1"/>
  <c r="A37" i="4"/>
  <c r="O37" i="4" s="1" a="1"/>
  <c r="O37" i="4" s="1"/>
  <c r="A817" i="4"/>
  <c r="O817" i="4" s="1" a="1"/>
  <c r="O817" i="4" s="1"/>
  <c r="A20" i="4"/>
  <c r="O20" i="4" s="1" a="1"/>
  <c r="O20" i="4" s="1"/>
  <c r="A1381" i="4"/>
  <c r="O1381" i="4" s="1" a="1"/>
  <c r="O1381" i="4" s="1"/>
  <c r="A84" i="4"/>
  <c r="O84" i="4" s="1" a="1"/>
  <c r="O84" i="4" s="1"/>
  <c r="A1221" i="4"/>
  <c r="O1221" i="4" s="1" a="1"/>
  <c r="O1221" i="4" s="1"/>
  <c r="A598" i="4"/>
  <c r="O598" i="4" s="1" a="1"/>
  <c r="O598" i="4" s="1"/>
  <c r="A85" i="4"/>
  <c r="O85" i="4" s="1" a="1"/>
  <c r="O85" i="4" s="1"/>
  <c r="A912" i="4"/>
  <c r="O912" i="4" s="1" a="1"/>
  <c r="O912" i="4" s="1"/>
  <c r="A550" i="4"/>
  <c r="O550" i="4" s="1" a="1"/>
  <c r="O550" i="4" s="1"/>
  <c r="A1130" i="4"/>
  <c r="O1130" i="4" s="1" a="1"/>
  <c r="O1130" i="4" s="1"/>
  <c r="A115" i="4"/>
  <c r="O115" i="4" s="1" a="1"/>
  <c r="O115" i="4" s="1"/>
  <c r="A855" i="4"/>
  <c r="O855" i="4" s="1" a="1"/>
  <c r="O855" i="4" s="1"/>
  <c r="A87" i="4"/>
  <c r="O87" i="4" s="1" a="1"/>
  <c r="O87" i="4" s="1"/>
  <c r="A1392" i="4"/>
  <c r="O1392" i="4" s="1" a="1"/>
  <c r="O1392" i="4" s="1"/>
  <c r="A88" i="4"/>
  <c r="O88" i="4" s="1" a="1"/>
  <c r="O88" i="4" s="1"/>
  <c r="A971" i="4"/>
  <c r="O971" i="4" s="1" a="1"/>
  <c r="O971" i="4" s="1"/>
  <c r="A984" i="4"/>
  <c r="O984" i="4" s="1" a="1"/>
  <c r="O984" i="4" s="1"/>
  <c r="A89" i="4"/>
  <c r="O89" i="4" s="1" a="1"/>
  <c r="O89" i="4" s="1"/>
  <c r="A1397" i="4"/>
  <c r="O1397" i="4" s="1" a="1"/>
  <c r="O1397" i="4" s="1"/>
  <c r="A1398" i="4"/>
  <c r="O1398" i="4" s="1" a="1"/>
  <c r="O1398" i="4" s="1"/>
  <c r="A166" i="4"/>
  <c r="O166" i="4" s="1" a="1"/>
  <c r="O166" i="4" s="1"/>
  <c r="A676" i="4"/>
  <c r="O676" i="4" s="1" a="1"/>
  <c r="O676" i="4" s="1"/>
  <c r="A183" i="4"/>
  <c r="O183" i="4" s="1" a="1"/>
  <c r="O183" i="4" s="1"/>
  <c r="A21" i="4"/>
  <c r="O21" i="4" s="1" a="1"/>
  <c r="O21" i="4" s="1"/>
  <c r="A379" i="4"/>
  <c r="O379" i="4" s="1" a="1"/>
  <c r="O379" i="4" s="1"/>
  <c r="A474" i="4"/>
  <c r="O474" i="4" s="1" a="1"/>
  <c r="O474" i="4" s="1"/>
  <c r="A22" i="4"/>
  <c r="O22" i="4" s="1" a="1"/>
  <c r="O22" i="4" s="1"/>
  <c r="A551" i="4"/>
  <c r="O551" i="4" s="1" a="1"/>
  <c r="O551" i="4" s="1"/>
  <c r="A408" i="4"/>
  <c r="O408" i="4" s="1" a="1"/>
  <c r="O408" i="4" s="1"/>
  <c r="A1261" i="4"/>
  <c r="O1261" i="4" s="1" a="1"/>
  <c r="O1261" i="4" s="1"/>
  <c r="A985" i="4"/>
  <c r="O985" i="4" s="1" a="1"/>
  <c r="O985" i="4" s="1"/>
  <c r="A306" i="4"/>
  <c r="O306" i="4" s="1" a="1"/>
  <c r="O306" i="4" s="1"/>
  <c r="A531" i="4"/>
  <c r="O531" i="4" s="1" a="1"/>
  <c r="O531" i="4" s="1"/>
  <c r="A625" i="4"/>
  <c r="O625" i="4" s="1" a="1"/>
  <c r="O625" i="4" s="1"/>
  <c r="A116" i="4"/>
  <c r="O116" i="4" s="1" a="1"/>
  <c r="O116" i="4" s="1"/>
  <c r="A157" i="4"/>
  <c r="O157" i="4" s="1" a="1"/>
  <c r="O157" i="4" s="1"/>
  <c r="A599" i="4"/>
  <c r="O599" i="4" s="1" a="1"/>
  <c r="O599" i="4" s="1"/>
  <c r="A881" i="4"/>
  <c r="O881" i="4" s="1" a="1"/>
  <c r="O881" i="4" s="1"/>
  <c r="A1413" i="4"/>
  <c r="O1413" i="4" s="1" a="1"/>
  <c r="O1413" i="4" s="1"/>
  <c r="A307" i="4"/>
  <c r="O307" i="4" s="1" a="1"/>
  <c r="O307" i="4" s="1"/>
  <c r="A475" i="4"/>
  <c r="O475" i="4" s="1" a="1"/>
  <c r="O475" i="4" s="1"/>
  <c r="A585" i="4"/>
  <c r="O585" i="4" s="1" a="1"/>
  <c r="O585" i="4" s="1"/>
  <c r="A409" i="4"/>
  <c r="O409" i="4" s="1" a="1"/>
  <c r="O409" i="4" s="1"/>
  <c r="A933" i="4"/>
  <c r="O933" i="4" s="1" a="1"/>
  <c r="O933" i="4" s="1"/>
  <c r="A993" i="4"/>
  <c r="O993" i="4" s="1" a="1"/>
  <c r="O993" i="4" s="1"/>
  <c r="A986" i="4"/>
  <c r="O986" i="4" s="1" a="1"/>
  <c r="O986" i="4" s="1"/>
  <c r="A842" i="4"/>
  <c r="O842" i="4" s="1" a="1"/>
  <c r="O842" i="4" s="1"/>
  <c r="A1031" i="4"/>
  <c r="O1031" i="4" s="1" a="1"/>
  <c r="O1031" i="4" s="1"/>
  <c r="A688" i="4"/>
  <c r="O688" i="4" s="1" a="1"/>
  <c r="O688" i="4" s="1"/>
  <c r="A1290" i="4"/>
  <c r="O1290" i="4" s="1" a="1"/>
  <c r="O1290" i="4" s="1"/>
  <c r="A363" i="4"/>
  <c r="O363" i="4" s="1" a="1"/>
  <c r="O363" i="4" s="1"/>
  <c r="A1271" i="4"/>
  <c r="O1271" i="4" s="1" a="1"/>
  <c r="O1271" i="4" s="1"/>
  <c r="A601" i="4"/>
  <c r="O601" i="4" s="1" a="1"/>
  <c r="O601" i="4" s="1"/>
  <c r="A505" i="4"/>
  <c r="O505" i="4" s="1" a="1"/>
  <c r="O505" i="4" s="1"/>
  <c r="A210" i="4"/>
  <c r="O210" i="4" s="1" a="1"/>
  <c r="O210" i="4" s="1"/>
  <c r="A752" i="4"/>
  <c r="O752" i="4" s="1" a="1"/>
  <c r="O752" i="4" s="1"/>
  <c r="A1076" i="4"/>
  <c r="O1076" i="4" s="1" a="1"/>
  <c r="O1076" i="4" s="1"/>
  <c r="A59" i="4"/>
  <c r="O59" i="4" s="1" a="1"/>
  <c r="O59" i="4" s="1"/>
  <c r="A284" i="4"/>
  <c r="O284" i="4" s="1" a="1"/>
  <c r="O284" i="4" s="1"/>
  <c r="A1152" i="4"/>
  <c r="O1152" i="4" s="1" a="1"/>
  <c r="O1152" i="4" s="1"/>
  <c r="A79" i="4"/>
  <c r="O79" i="4" s="1" a="1"/>
  <c r="O79" i="4" s="1"/>
  <c r="A1440" i="4"/>
  <c r="O1440" i="4" s="1" a="1"/>
  <c r="O1440" i="4" s="1"/>
  <c r="A414" i="4"/>
  <c r="O414" i="4" s="1" a="1"/>
  <c r="O414" i="4" s="1"/>
  <c r="A140" i="4"/>
  <c r="O140" i="4" s="1" a="1"/>
  <c r="O140" i="4" s="1"/>
  <c r="A476" i="4"/>
  <c r="O476" i="4" s="1" a="1"/>
  <c r="O476" i="4" s="1"/>
  <c r="A1444" i="4"/>
  <c r="O1444" i="4" s="1" a="1"/>
  <c r="O1444" i="4" s="1"/>
  <c r="A1414" i="4"/>
  <c r="O1414" i="4" s="1" a="1"/>
  <c r="O1414" i="4" s="1"/>
  <c r="A1446" i="4"/>
  <c r="O1446" i="4" s="1" a="1"/>
  <c r="O1446" i="4" s="1"/>
  <c r="A1291" i="4"/>
  <c r="O1291" i="4" s="1" a="1"/>
  <c r="O1291" i="4" s="1"/>
  <c r="A758" i="4"/>
  <c r="O758" i="4" s="1" a="1"/>
  <c r="O758" i="4" s="1"/>
  <c r="A634" i="4"/>
  <c r="O634" i="4" s="1" a="1"/>
  <c r="O634" i="4" s="1"/>
  <c r="A1415" i="4"/>
  <c r="O1415" i="4" s="1" a="1"/>
  <c r="O1415" i="4" s="1"/>
  <c r="A1136" i="4"/>
  <c r="O1136" i="4" s="1" a="1"/>
  <c r="O1136" i="4" s="1"/>
  <c r="A1233" i="4"/>
  <c r="O1233" i="4" s="1" a="1"/>
  <c r="O1233" i="4" s="1"/>
  <c r="A689" i="4"/>
  <c r="O689" i="4" s="1" a="1"/>
  <c r="O689" i="4" s="1"/>
  <c r="A1454" i="4"/>
  <c r="O1454" i="4" s="1" a="1"/>
  <c r="O1454" i="4" s="1"/>
  <c r="A921" i="4"/>
  <c r="O921" i="4" s="1" a="1"/>
  <c r="O921" i="4" s="1"/>
  <c r="A477" i="4"/>
  <c r="O477" i="4" s="1" a="1"/>
  <c r="O477" i="4" s="1"/>
  <c r="A331" i="4"/>
  <c r="O331" i="4" s="1" a="1"/>
  <c r="O331" i="4" s="1"/>
  <c r="A520" i="4"/>
  <c r="O520" i="4" s="1" a="1"/>
  <c r="O520" i="4" s="1"/>
  <c r="A626" i="4"/>
  <c r="O626" i="4" s="1" a="1"/>
  <c r="O626" i="4" s="1"/>
  <c r="A1400" i="4"/>
  <c r="O1400" i="4" s="1" a="1"/>
  <c r="O1400" i="4" s="1"/>
  <c r="A332" i="4"/>
  <c r="O332" i="4" s="1" a="1"/>
  <c r="O332" i="4" s="1"/>
  <c r="A1141" i="4"/>
  <c r="O1141" i="4" s="1" a="1"/>
  <c r="O1141" i="4" s="1"/>
  <c r="A1463" i="4"/>
  <c r="O1463" i="4" s="1" a="1"/>
  <c r="O1463" i="4" s="1"/>
  <c r="A130" i="4"/>
  <c r="O130" i="4" s="1" a="1"/>
  <c r="O130" i="4" s="1"/>
  <c r="A318" i="4"/>
  <c r="O318" i="4" s="1" a="1"/>
  <c r="O318" i="4" s="1"/>
  <c r="A185" i="4"/>
  <c r="O185" i="4" s="1" a="1"/>
  <c r="O185" i="4" s="1"/>
  <c r="A1050" i="4"/>
  <c r="O1050" i="4" s="1" a="1"/>
  <c r="O1050" i="4" s="1"/>
  <c r="A818" i="4"/>
  <c r="O818" i="4" s="1" a="1"/>
  <c r="O818" i="4" s="1"/>
  <c r="A935" i="4"/>
  <c r="O935" i="4" s="1" a="1"/>
  <c r="O935" i="4" s="1"/>
  <c r="A950" i="4"/>
  <c r="O950" i="4" s="1" a="1"/>
  <c r="O950" i="4" s="1"/>
  <c r="A1442" i="4"/>
  <c r="O1442" i="4" s="1" a="1"/>
  <c r="O1442" i="4" s="1"/>
  <c r="A663" i="4"/>
  <c r="O663" i="4" s="1" a="1"/>
  <c r="O663" i="4" s="1"/>
  <c r="A1249" i="4"/>
  <c r="O1249" i="4" s="1" a="1"/>
  <c r="O1249" i="4" s="1"/>
  <c r="A68" i="4"/>
  <c r="O68" i="4" s="1" a="1"/>
  <c r="O68" i="4" s="1"/>
  <c r="A1358" i="4"/>
  <c r="O1358" i="4" s="1" a="1"/>
  <c r="O1358" i="4" s="1"/>
  <c r="A916" i="4"/>
  <c r="O916" i="4" s="1" a="1"/>
  <c r="O916" i="4" s="1"/>
  <c r="A423" i="4"/>
  <c r="O423" i="4" s="1" a="1"/>
  <c r="O423" i="4" s="1"/>
  <c r="A424" i="4"/>
  <c r="O424" i="4" s="1" a="1"/>
  <c r="O424" i="4" s="1"/>
  <c r="A1200" i="4"/>
  <c r="O1200" i="4" s="1" a="1"/>
  <c r="O1200" i="4" s="1"/>
  <c r="A792" i="4"/>
  <c r="O792" i="4" s="1" a="1"/>
  <c r="O792" i="4" s="1"/>
  <c r="A1134" i="4"/>
  <c r="O1134" i="4" s="1" a="1"/>
  <c r="O1134" i="4" s="1"/>
  <c r="A40" i="4"/>
  <c r="O40" i="4" s="1" a="1"/>
  <c r="O40" i="4" s="1"/>
  <c r="A762" i="4"/>
  <c r="O762" i="4" s="1" a="1"/>
  <c r="O762" i="4" s="1"/>
  <c r="A773" i="4"/>
  <c r="O773" i="4" s="1" a="1"/>
  <c r="O773" i="4" s="1"/>
  <c r="A654" i="4"/>
  <c r="O654" i="4" s="1" a="1"/>
  <c r="O654" i="4" s="1"/>
  <c r="A882" i="4"/>
  <c r="O882" i="4" s="1" a="1"/>
  <c r="O882" i="4" s="1"/>
  <c r="A4" i="4"/>
  <c r="O4" i="4" s="1" a="1"/>
  <c r="O4" i="4" s="1"/>
  <c r="A1088" i="4"/>
  <c r="O1088" i="4" s="1" a="1"/>
  <c r="O1088" i="4" s="1"/>
  <c r="A801" i="4"/>
  <c r="O801" i="4" s="1" a="1"/>
  <c r="O801" i="4" s="1"/>
  <c r="A106" i="4"/>
  <c r="O106" i="4" s="1" a="1"/>
  <c r="O106" i="4" s="1"/>
  <c r="A65" i="4"/>
  <c r="O65" i="4" s="1" a="1"/>
  <c r="O65" i="4" s="1"/>
  <c r="A24" i="4"/>
  <c r="O24" i="4" s="1" a="1"/>
  <c r="O24" i="4" s="1"/>
  <c r="A602" i="4"/>
  <c r="O602" i="4" s="1" a="1"/>
  <c r="O602" i="4" s="1"/>
  <c r="A988" i="4"/>
  <c r="O988" i="4" s="1" a="1"/>
  <c r="O988" i="4" s="1"/>
  <c r="A922" i="4"/>
  <c r="O922" i="4" s="1" a="1"/>
  <c r="O922" i="4" s="1"/>
  <c r="A646" i="4"/>
  <c r="O646" i="4" s="1" a="1"/>
  <c r="O646" i="4" s="1"/>
  <c r="A804" i="4"/>
  <c r="O804" i="4" s="1" a="1"/>
  <c r="O804" i="4" s="1"/>
  <c r="A285" i="4"/>
  <c r="O285" i="4" s="1" a="1"/>
  <c r="O285" i="4" s="1"/>
  <c r="A16" i="4"/>
  <c r="O16" i="4" s="1" a="1"/>
  <c r="O16" i="4" s="1"/>
  <c r="A452" i="4"/>
  <c r="O452" i="4" s="1" a="1"/>
  <c r="O452" i="4" s="1"/>
  <c r="A415" i="4"/>
  <c r="O415" i="4" s="1" a="1"/>
  <c r="O415" i="4" s="1"/>
  <c r="A552" i="4"/>
  <c r="O552" i="4" s="1" a="1"/>
  <c r="O552" i="4" s="1"/>
  <c r="A418" i="4"/>
  <c r="O418" i="4" s="1" a="1"/>
  <c r="O418" i="4" s="1"/>
  <c r="A265" i="4"/>
  <c r="O265" i="4" s="1" a="1"/>
  <c r="O265" i="4" s="1"/>
  <c r="A1369" i="4"/>
  <c r="O1369" i="4" s="1" a="1"/>
  <c r="O1369" i="4" s="1"/>
  <c r="A23" i="4"/>
  <c r="O23" i="4" s="1" a="1"/>
  <c r="O23" i="4" s="1"/>
  <c r="A648" i="4"/>
  <c r="O648" i="4" s="1" a="1"/>
  <c r="O648" i="4" s="1"/>
  <c r="A135" i="4"/>
  <c r="O135" i="4" s="1" a="1"/>
  <c r="O135" i="4" s="1"/>
  <c r="A26" i="4"/>
  <c r="O26" i="4" s="1" a="1"/>
  <c r="O26" i="4" s="1"/>
  <c r="A737" i="4"/>
  <c r="O737" i="4" s="1" a="1"/>
  <c r="O737" i="4" s="1"/>
  <c r="A28" i="4"/>
  <c r="O28" i="4" s="1" a="1"/>
  <c r="O28" i="4" s="1"/>
  <c r="A738" i="4"/>
  <c r="O738" i="4" s="1" a="1"/>
  <c r="O738" i="4" s="1"/>
  <c r="A1104" i="4"/>
  <c r="O1104" i="4" s="1" a="1"/>
  <c r="O1104" i="4" s="1"/>
  <c r="A994" i="4"/>
  <c r="O994" i="4" s="1" a="1"/>
  <c r="O994" i="4" s="1"/>
  <c r="A868" i="4"/>
  <c r="O868" i="4" s="1" a="1"/>
  <c r="O868" i="4" s="1"/>
  <c r="A1416" i="4"/>
  <c r="O1416" i="4" s="1" a="1"/>
  <c r="O1416" i="4" s="1"/>
  <c r="A1179" i="4"/>
  <c r="O1179" i="4" s="1" a="1"/>
  <c r="O1179" i="4" s="1"/>
  <c r="A35" i="4"/>
  <c r="O35" i="4" s="1" a="1"/>
  <c r="O35" i="4" s="1"/>
  <c r="A36" i="4"/>
  <c r="O36" i="4" s="1" a="1"/>
  <c r="O36" i="4" s="1"/>
  <c r="A158" i="4"/>
  <c r="O158" i="4" s="1" a="1"/>
  <c r="O158" i="4" s="1"/>
  <c r="A38" i="4"/>
  <c r="O38" i="4" s="1" a="1"/>
  <c r="O38" i="4" s="1"/>
  <c r="A677" i="4"/>
  <c r="O677" i="4" s="1" a="1"/>
  <c r="O677" i="4" s="1"/>
  <c r="A507" i="4"/>
  <c r="O507" i="4" s="1" a="1"/>
  <c r="O507" i="4" s="1"/>
  <c r="A267" i="4"/>
  <c r="O267" i="4" s="1" a="1"/>
  <c r="O267" i="4" s="1"/>
  <c r="A1077" i="4"/>
  <c r="O1077" i="4" s="1" a="1"/>
  <c r="O1077" i="4" s="1"/>
  <c r="A268" i="4"/>
  <c r="O268" i="4" s="1" a="1"/>
  <c r="O268" i="4" s="1"/>
  <c r="A44" i="4"/>
  <c r="O44" i="4" s="1" a="1"/>
  <c r="O44" i="4" s="1"/>
  <c r="A805" i="4"/>
  <c r="O805" i="4" s="1" a="1"/>
  <c r="O805" i="4" s="1"/>
  <c r="A1016" i="4"/>
  <c r="O1016" i="4" s="1" a="1"/>
  <c r="O1016" i="4" s="1"/>
  <c r="A47" i="4"/>
  <c r="O47" i="4" s="1" a="1"/>
  <c r="O47" i="4" s="1"/>
  <c r="A308" i="4"/>
  <c r="O308" i="4" s="1" a="1"/>
  <c r="O308" i="4" s="1"/>
  <c r="A435" i="4"/>
  <c r="O435" i="4" s="1" a="1"/>
  <c r="O435" i="4" s="1"/>
  <c r="A856" i="4"/>
  <c r="O856" i="4" s="1" a="1"/>
  <c r="O856" i="4" s="1"/>
  <c r="A390" i="4"/>
  <c r="O390" i="4" s="1" a="1"/>
  <c r="O390" i="4" s="1"/>
  <c r="A52" i="4"/>
  <c r="O52" i="4" s="1" a="1"/>
  <c r="O52" i="4" s="1"/>
  <c r="A53" i="4"/>
  <c r="O53" i="4" s="1" a="1"/>
  <c r="O53" i="4" s="1"/>
  <c r="A436" i="4"/>
  <c r="O436" i="4" s="1" a="1"/>
  <c r="O436" i="4" s="1"/>
  <c r="A1379" i="4"/>
  <c r="O1379" i="4" s="1" a="1"/>
  <c r="O1379" i="4" s="1"/>
  <c r="A1142" i="4"/>
  <c r="O1142" i="4" s="1" a="1"/>
  <c r="O1142" i="4" s="1"/>
  <c r="A495" i="4"/>
  <c r="O495" i="4" s="1" a="1"/>
  <c r="O495" i="4" s="1"/>
  <c r="A1332" i="4"/>
  <c r="O1332" i="4" s="1" a="1"/>
  <c r="O1332" i="4" s="1"/>
  <c r="A1032" i="4"/>
  <c r="O1032" i="4" s="1" a="1"/>
  <c r="O1032" i="4" s="1"/>
  <c r="A1017" i="4"/>
  <c r="O1017" i="4" s="1" a="1"/>
  <c r="O1017" i="4" s="1"/>
  <c r="A120" i="4"/>
  <c r="O120" i="4" s="1" a="1"/>
  <c r="O120" i="4" s="1"/>
  <c r="A972" i="4"/>
  <c r="O972" i="4" s="1" a="1"/>
  <c r="O972" i="4" s="1"/>
  <c r="A39" i="4"/>
  <c r="O39" i="4" s="1" a="1"/>
  <c r="O39" i="4" s="1"/>
  <c r="A603" i="4"/>
  <c r="O603" i="4" s="1" a="1"/>
  <c r="O603" i="4" s="1"/>
  <c r="A1051" i="4"/>
  <c r="O1051" i="4" s="1" a="1"/>
  <c r="O1051" i="4" s="1"/>
  <c r="A1401" i="4"/>
  <c r="O1401" i="4" s="1" a="1"/>
  <c r="O1401" i="4" s="1"/>
  <c r="A1036" i="4"/>
  <c r="O1036" i="4" s="1" a="1"/>
  <c r="O1036" i="4" s="1"/>
  <c r="A613" i="4"/>
  <c r="O613" i="4" s="1" a="1"/>
  <c r="O613" i="4" s="1"/>
  <c r="A649" i="4"/>
  <c r="O649" i="4" s="1" a="1"/>
  <c r="O649" i="4" s="1"/>
  <c r="A292" i="4"/>
  <c r="O292" i="4" s="1" a="1"/>
  <c r="O292" i="4" s="1"/>
  <c r="A71" i="4"/>
  <c r="O71" i="4" s="1" a="1"/>
  <c r="O71" i="4" s="1"/>
  <c r="A843" i="4"/>
  <c r="O843" i="4" s="1" a="1"/>
  <c r="O843" i="4" s="1"/>
  <c r="A923" i="4"/>
  <c r="O923" i="4" s="1" a="1"/>
  <c r="O923" i="4" s="1"/>
  <c r="A692" i="4"/>
  <c r="O692" i="4" s="1" a="1"/>
  <c r="O692" i="4" s="1"/>
  <c r="A1389" i="4"/>
  <c r="O1389" i="4" s="1" a="1"/>
  <c r="O1389" i="4" s="1"/>
  <c r="A1089" i="4"/>
  <c r="O1089" i="4" s="1" a="1"/>
  <c r="O1089" i="4" s="1"/>
  <c r="A202" i="4"/>
  <c r="O202" i="4" s="1" a="1"/>
  <c r="O202" i="4" s="1"/>
  <c r="A478" i="4"/>
  <c r="O478" i="4" s="1" a="1"/>
  <c r="O478" i="4" s="1"/>
  <c r="A320" i="4"/>
  <c r="O320" i="4" s="1" a="1"/>
  <c r="O320" i="4" s="1"/>
  <c r="A905" i="4"/>
  <c r="O905" i="4" s="1" a="1"/>
  <c r="O905" i="4" s="1"/>
  <c r="A759" i="4"/>
  <c r="O759" i="4" s="1" a="1"/>
  <c r="O759" i="4" s="1"/>
  <c r="A321" i="4"/>
  <c r="O321" i="4" s="1" a="1"/>
  <c r="O321" i="4" s="1"/>
  <c r="A269" i="4"/>
  <c r="O269" i="4" s="1" a="1"/>
  <c r="O269" i="4" s="1"/>
  <c r="A25" i="4"/>
  <c r="O25" i="4" s="1" a="1"/>
  <c r="O25" i="4" s="1"/>
  <c r="A760" i="4"/>
  <c r="O760" i="4" s="1" a="1"/>
  <c r="O760" i="4" s="1"/>
  <c r="A1166" i="4"/>
  <c r="O1166" i="4" s="1" a="1"/>
  <c r="O1166" i="4" s="1"/>
  <c r="A1214" i="4"/>
  <c r="O1214" i="4" s="1" a="1"/>
  <c r="O1214" i="4" s="1"/>
  <c r="A573" i="4"/>
  <c r="O573" i="4" s="1" a="1"/>
  <c r="O573" i="4" s="1"/>
  <c r="A819" i="4"/>
  <c r="O819" i="4" s="1" a="1"/>
  <c r="O819" i="4" s="1"/>
  <c r="A60" i="4"/>
  <c r="O60" i="4" s="1" a="1"/>
  <c r="O60" i="4" s="1"/>
  <c r="A91" i="4"/>
  <c r="O91" i="4" s="1" a="1"/>
  <c r="O91" i="4" s="1"/>
  <c r="A66" i="4"/>
  <c r="O66" i="4" s="1" a="1"/>
  <c r="O66" i="4" s="1"/>
  <c r="A244" i="4"/>
  <c r="O244" i="4" s="1" a="1"/>
  <c r="O244" i="4" s="1"/>
  <c r="A936" i="4"/>
  <c r="O936" i="4" s="1" a="1"/>
  <c r="O936" i="4" s="1"/>
  <c r="A1417" i="4"/>
  <c r="O1417" i="4" s="1" a="1"/>
  <c r="O1417" i="4" s="1"/>
  <c r="A822" i="4"/>
  <c r="O822" i="4" s="1" a="1"/>
  <c r="O822" i="4" s="1"/>
  <c r="A586" i="4"/>
  <c r="O586" i="4" s="1" a="1"/>
  <c r="O586" i="4" s="1"/>
  <c r="A543" i="4"/>
  <c r="O543" i="4" s="1" a="1"/>
  <c r="O543" i="4" s="1"/>
  <c r="A1362" i="4"/>
  <c r="O1362" i="4" s="1" a="1"/>
  <c r="O1362" i="4" s="1"/>
  <c r="A1418" i="4"/>
  <c r="O1418" i="4" s="1" a="1"/>
  <c r="O1418" i="4" s="1"/>
  <c r="A159" i="4"/>
  <c r="O159" i="4" s="1" a="1"/>
  <c r="O159" i="4" s="1"/>
  <c r="A102" i="4"/>
  <c r="O102" i="4" s="1" a="1"/>
  <c r="O102" i="4" s="1"/>
  <c r="A309" i="4"/>
  <c r="O309" i="4" s="1" a="1"/>
  <c r="O309" i="4" s="1"/>
  <c r="A104" i="4"/>
  <c r="O104" i="4" s="1" a="1"/>
  <c r="O104" i="4" s="1"/>
  <c r="A1222" i="4"/>
  <c r="O1222" i="4" s="1" a="1"/>
  <c r="O1222" i="4" s="1"/>
  <c r="A753" i="4"/>
  <c r="O753" i="4" s="1" a="1"/>
  <c r="O753" i="4" s="1"/>
  <c r="A850" i="4"/>
  <c r="O850" i="4" s="1" a="1"/>
  <c r="O850" i="4" s="1"/>
  <c r="A770" i="4"/>
  <c r="O770" i="4" s="1" a="1"/>
  <c r="O770" i="4" s="1"/>
  <c r="A109" i="4"/>
  <c r="O109" i="4" s="1" a="1"/>
  <c r="O109" i="4" s="1"/>
  <c r="A27" i="4"/>
  <c r="O27" i="4" s="1" a="1"/>
  <c r="O27" i="4" s="1"/>
  <c r="A951" i="4"/>
  <c r="O951" i="4" s="1" a="1"/>
  <c r="O951" i="4" s="1"/>
  <c r="A604" i="4"/>
  <c r="O604" i="4" s="1" a="1"/>
  <c r="O604" i="4" s="1"/>
  <c r="A113" i="4"/>
  <c r="O113" i="4" s="1" a="1"/>
  <c r="O113" i="4" s="1"/>
  <c r="A1363" i="4"/>
  <c r="O1363" i="4" s="1" a="1"/>
  <c r="O1363" i="4" s="1"/>
  <c r="A783" i="4"/>
  <c r="O783" i="4" s="1" a="1"/>
  <c r="O783" i="4" s="1"/>
  <c r="A1037" i="4"/>
  <c r="O1037" i="4" s="1" a="1"/>
  <c r="O1037" i="4" s="1"/>
  <c r="A1131" i="4"/>
  <c r="O1131" i="4" s="1" a="1"/>
  <c r="O1131" i="4" s="1"/>
  <c r="A906" i="4"/>
  <c r="O906" i="4" s="1" a="1"/>
  <c r="O906" i="4" s="1"/>
  <c r="A186" i="4"/>
  <c r="O186" i="4" s="1" a="1"/>
  <c r="O186" i="4" s="1"/>
  <c r="A333" i="4"/>
  <c r="O333" i="4" s="1" a="1"/>
  <c r="O333" i="4" s="1"/>
  <c r="A410" i="4"/>
  <c r="O410" i="4" s="1" a="1"/>
  <c r="O410" i="4" s="1"/>
  <c r="A222" i="4"/>
  <c r="O222" i="4" s="1" a="1"/>
  <c r="O222" i="4" s="1"/>
  <c r="A1122" i="4"/>
  <c r="O1122" i="4" s="1" a="1"/>
  <c r="O1122" i="4" s="1"/>
  <c r="A124" i="4"/>
  <c r="O124" i="4" s="1" a="1"/>
  <c r="O124" i="4" s="1"/>
  <c r="A1272" i="4"/>
  <c r="O1272" i="4" s="1" a="1"/>
  <c r="O1272" i="4" s="1"/>
  <c r="A126" i="4"/>
  <c r="O126" i="4" s="1" a="1"/>
  <c r="O126" i="4" s="1"/>
  <c r="A784" i="4"/>
  <c r="O784" i="4" s="1" a="1"/>
  <c r="O784" i="4" s="1"/>
  <c r="A128" i="4"/>
  <c r="O128" i="4" s="1" a="1"/>
  <c r="O128" i="4" s="1"/>
  <c r="A129" i="4"/>
  <c r="O129" i="4" s="1" a="1"/>
  <c r="O129" i="4" s="1"/>
  <c r="A1234" i="4"/>
  <c r="O1234" i="4" s="1" a="1"/>
  <c r="O1234" i="4" s="1"/>
  <c r="A820" i="4"/>
  <c r="O820" i="4" s="1" a="1"/>
  <c r="O820" i="4" s="1"/>
  <c r="A712" i="4"/>
  <c r="O712" i="4" s="1" a="1"/>
  <c r="O712" i="4" s="1"/>
  <c r="A869" i="4"/>
  <c r="O869" i="4" s="1" a="1"/>
  <c r="O869" i="4" s="1"/>
  <c r="A134" i="4"/>
  <c r="O134" i="4" s="1" a="1"/>
  <c r="O134" i="4" s="1"/>
  <c r="A614" i="4"/>
  <c r="O614" i="4" s="1" a="1"/>
  <c r="O614" i="4" s="1"/>
  <c r="A1005" i="4"/>
  <c r="O1005" i="4" s="1" a="1"/>
  <c r="O1005" i="4" s="1"/>
  <c r="A693" i="4"/>
  <c r="O693" i="4" s="1" a="1"/>
  <c r="O693" i="4" s="1"/>
  <c r="A138" i="4"/>
  <c r="O138" i="4" s="1" a="1"/>
  <c r="O138" i="4" s="1"/>
  <c r="A588" i="4"/>
  <c r="O588" i="4" s="1" a="1"/>
  <c r="O588" i="4" s="1"/>
  <c r="A907" i="4"/>
  <c r="O907" i="4" s="1" a="1"/>
  <c r="O907" i="4" s="1"/>
  <c r="A167" i="4"/>
  <c r="O167" i="4" s="1" a="1"/>
  <c r="O167" i="4" s="1"/>
  <c r="A142" i="4"/>
  <c r="O142" i="4" s="1" a="1"/>
  <c r="O142" i="4" s="1"/>
  <c r="A351" i="4"/>
  <c r="O351" i="4" s="1" a="1"/>
  <c r="O351" i="4" s="1"/>
  <c r="A479" i="4"/>
  <c r="O479" i="4" s="1" a="1"/>
  <c r="O479" i="4" s="1"/>
  <c r="A1333" i="4"/>
  <c r="O1333" i="4" s="1" a="1"/>
  <c r="O1333" i="4" s="1"/>
  <c r="A334" i="4"/>
  <c r="O334" i="4" s="1" a="1"/>
  <c r="O334" i="4" s="1"/>
  <c r="A352" i="4"/>
  <c r="O352" i="4" s="1" a="1"/>
  <c r="O352" i="4" s="1"/>
  <c r="A48" i="4"/>
  <c r="O48" i="4" s="1" a="1"/>
  <c r="O48" i="4" s="1"/>
  <c r="A61" i="4"/>
  <c r="O61" i="4" s="1" a="1"/>
  <c r="O61" i="4" s="1"/>
  <c r="A223" i="4"/>
  <c r="O223" i="4" s="1" a="1"/>
  <c r="O223" i="4" s="1"/>
  <c r="A353" i="4"/>
  <c r="O353" i="4" s="1" a="1"/>
  <c r="O353" i="4" s="1"/>
  <c r="A650" i="4"/>
  <c r="O650" i="4" s="1" a="1"/>
  <c r="O650" i="4" s="1"/>
  <c r="A1052" i="4"/>
  <c r="O1052" i="4" s="1" a="1"/>
  <c r="O1052" i="4" s="1"/>
  <c r="A175" i="4"/>
  <c r="O175" i="4" s="1" a="1"/>
  <c r="O175" i="4" s="1"/>
  <c r="A785" i="4"/>
  <c r="O785" i="4" s="1" a="1"/>
  <c r="O785" i="4" s="1"/>
  <c r="A49" i="4"/>
  <c r="O49" i="4" s="1" a="1"/>
  <c r="O49" i="4" s="1"/>
  <c r="A806" i="4"/>
  <c r="O806" i="4" s="1" a="1"/>
  <c r="O806" i="4" s="1"/>
  <c r="A661" i="4"/>
  <c r="O661" i="4" s="1" a="1"/>
  <c r="O661" i="4" s="1"/>
  <c r="A203" i="4"/>
  <c r="O203" i="4" s="1" a="1"/>
  <c r="O203" i="4" s="1"/>
  <c r="A1078" i="4"/>
  <c r="O1078" i="4" s="1" a="1"/>
  <c r="O1078" i="4" s="1"/>
  <c r="A1080" i="4"/>
  <c r="O1080" i="4" s="1" a="1"/>
  <c r="O1080" i="4" s="1"/>
  <c r="A419" i="4"/>
  <c r="O419" i="4" s="1" a="1"/>
  <c r="O419" i="4" s="1"/>
  <c r="A1274" i="4"/>
  <c r="O1274" i="4" s="1" a="1"/>
  <c r="O1274" i="4" s="1"/>
  <c r="A480" i="4"/>
  <c r="O480" i="4" s="1" a="1"/>
  <c r="O480" i="4" s="1"/>
  <c r="A420" i="4"/>
  <c r="O420" i="4" s="1" a="1"/>
  <c r="O420" i="4" s="1"/>
  <c r="A1064" i="4"/>
  <c r="O1064" i="4" s="1" a="1"/>
  <c r="O1064" i="4" s="1"/>
  <c r="A739" i="4"/>
  <c r="O739" i="4" s="1" a="1"/>
  <c r="O739" i="4" s="1"/>
  <c r="A952" i="4"/>
  <c r="O952" i="4" s="1" a="1"/>
  <c r="O952" i="4" s="1"/>
  <c r="A1153" i="4"/>
  <c r="O1153" i="4" s="1" a="1"/>
  <c r="O1153" i="4" s="1"/>
  <c r="A786" i="4"/>
  <c r="O786" i="4" s="1" a="1"/>
  <c r="O786" i="4" s="1"/>
  <c r="A335" i="4"/>
  <c r="O335" i="4" s="1" a="1"/>
  <c r="O335" i="4" s="1"/>
  <c r="A1216" i="4"/>
  <c r="O1216" i="4" s="1" a="1"/>
  <c r="O1216" i="4" s="1"/>
  <c r="A173" i="4"/>
  <c r="O173" i="4" s="1" a="1"/>
  <c r="O173" i="4" s="1"/>
  <c r="A211" i="4"/>
  <c r="O211" i="4" s="1" a="1"/>
  <c r="O211" i="4" s="1"/>
  <c r="A364" i="4"/>
  <c r="O364" i="4" s="1" a="1"/>
  <c r="O364" i="4" s="1"/>
  <c r="A1419" i="4"/>
  <c r="O1419" i="4" s="1" a="1"/>
  <c r="O1419" i="4" s="1"/>
  <c r="A439" i="4"/>
  <c r="O439" i="4" s="1" a="1"/>
  <c r="O439" i="4" s="1"/>
  <c r="A694" i="4"/>
  <c r="O694" i="4" s="1" a="1"/>
  <c r="O694" i="4" s="1"/>
  <c r="A179" i="4"/>
  <c r="O179" i="4" s="1" a="1"/>
  <c r="O179" i="4" s="1"/>
  <c r="A1053" i="4"/>
  <c r="O1053" i="4" s="1" a="1"/>
  <c r="O1053" i="4" s="1"/>
  <c r="A714" i="4"/>
  <c r="O714" i="4" s="1" a="1"/>
  <c r="O714" i="4" s="1"/>
  <c r="A553" i="4"/>
  <c r="O553" i="4" s="1" a="1"/>
  <c r="O553" i="4" s="1"/>
  <c r="A1054" i="4"/>
  <c r="O1054" i="4" s="1" a="1"/>
  <c r="O1054" i="4" s="1"/>
  <c r="A184" i="4"/>
  <c r="O184" i="4" s="1" a="1"/>
  <c r="O184" i="4" s="1"/>
  <c r="A1246" i="4"/>
  <c r="O1246" i="4" s="1" a="1"/>
  <c r="O1246" i="4" s="1"/>
  <c r="A1276" i="4"/>
  <c r="O1276" i="4" s="1" a="1"/>
  <c r="O1276" i="4" s="1"/>
  <c r="A574" i="4"/>
  <c r="O574" i="4" s="1" a="1"/>
  <c r="O574" i="4" s="1"/>
  <c r="A1019" i="4"/>
  <c r="O1019" i="4" s="1" a="1"/>
  <c r="O1019" i="4" s="1"/>
  <c r="A245" i="4"/>
  <c r="O245" i="4" s="1" a="1"/>
  <c r="O245" i="4" s="1"/>
  <c r="A1223" i="4"/>
  <c r="O1223" i="4" s="1" a="1"/>
  <c r="O1223" i="4" s="1"/>
  <c r="A678" i="4"/>
  <c r="O678" i="4" s="1" a="1"/>
  <c r="O678" i="4" s="1"/>
  <c r="A204" i="4"/>
  <c r="O204" i="4" s="1" a="1"/>
  <c r="O204" i="4" s="1"/>
  <c r="A1123" i="4"/>
  <c r="O1123" i="4" s="1" a="1"/>
  <c r="O1123" i="4" s="1"/>
  <c r="A194" i="4"/>
  <c r="O194" i="4" s="1" a="1"/>
  <c r="O194" i="4" s="1"/>
  <c r="A270" i="4"/>
  <c r="O270" i="4" s="1" a="1"/>
  <c r="O270" i="4" s="1"/>
  <c r="A715" i="4"/>
  <c r="O715" i="4" s="1" a="1"/>
  <c r="O715" i="4" s="1"/>
  <c r="A635" i="4"/>
  <c r="O635" i="4" s="1" a="1"/>
  <c r="O635" i="4" s="1"/>
  <c r="A1154" i="4"/>
  <c r="O1154" i="4" s="1" a="1"/>
  <c r="O1154" i="4" s="1"/>
  <c r="A176" i="4"/>
  <c r="O176" i="4" s="1" a="1"/>
  <c r="O176" i="4" s="1"/>
  <c r="A141" i="4"/>
  <c r="O141" i="4" s="1" a="1"/>
  <c r="O141" i="4" s="1"/>
  <c r="A1452" i="4"/>
  <c r="O1452" i="4" s="1" a="1"/>
  <c r="O1452" i="4" s="1"/>
  <c r="A168" i="4"/>
  <c r="O168" i="4" s="1" a="1"/>
  <c r="O168" i="4" s="1"/>
  <c r="A1370" i="4"/>
  <c r="O1370" i="4" s="1" a="1"/>
  <c r="O1370" i="4" s="1"/>
  <c r="A391" i="4"/>
  <c r="O391" i="4" s="1" a="1"/>
  <c r="O391" i="4" s="1"/>
  <c r="A1167" i="4"/>
  <c r="O1167" i="4" s="1" a="1"/>
  <c r="O1167" i="4" s="1"/>
  <c r="A206" i="4"/>
  <c r="O206" i="4" s="1" a="1"/>
  <c r="O206" i="4" s="1"/>
  <c r="A207" i="4"/>
  <c r="O207" i="4" s="1" a="1"/>
  <c r="O207" i="4" s="1"/>
  <c r="A169" i="4"/>
  <c r="O169" i="4" s="1" a="1"/>
  <c r="O169" i="4" s="1"/>
  <c r="A160" i="4"/>
  <c r="O160" i="4" s="1" a="1"/>
  <c r="O160" i="4" s="1"/>
  <c r="A716" i="4"/>
  <c r="O716" i="4" s="1" a="1"/>
  <c r="O716" i="4" s="1"/>
  <c r="A346" i="4"/>
  <c r="O346" i="4" s="1" a="1"/>
  <c r="O346" i="4" s="1"/>
  <c r="A212" i="4"/>
  <c r="O212" i="4" s="1" a="1"/>
  <c r="O212" i="4" s="1"/>
  <c r="A1180" i="4"/>
  <c r="O1180" i="4" s="1" a="1"/>
  <c r="O1180" i="4" s="1"/>
  <c r="A107" i="4"/>
  <c r="O107" i="4" s="1" a="1"/>
  <c r="O107" i="4" s="1"/>
  <c r="A924" i="4"/>
  <c r="O924" i="4" s="1" a="1"/>
  <c r="O924" i="4" s="1"/>
  <c r="A216" i="4"/>
  <c r="O216" i="4" s="1" a="1"/>
  <c r="O216" i="4" s="1"/>
  <c r="A937" i="4"/>
  <c r="O937" i="4" s="1" a="1"/>
  <c r="O937" i="4" s="1"/>
  <c r="A218" i="4"/>
  <c r="O218" i="4" s="1" a="1"/>
  <c r="O218" i="4" s="1"/>
  <c r="A219" i="4"/>
  <c r="O219" i="4" s="1" a="1"/>
  <c r="O219" i="4" s="1"/>
  <c r="A1453" i="4"/>
  <c r="O1453" i="4" s="1" a="1"/>
  <c r="O1453" i="4" s="1"/>
  <c r="A953" i="4"/>
  <c r="O953" i="4" s="1" a="1"/>
  <c r="O953" i="4" s="1"/>
  <c r="A883" i="4"/>
  <c r="O883" i="4" s="1" a="1"/>
  <c r="O883" i="4" s="1"/>
  <c r="A205" i="4"/>
  <c r="O205" i="4" s="1" a="1"/>
  <c r="O205" i="4" s="1"/>
  <c r="A1090" i="4"/>
  <c r="O1090" i="4" s="1" a="1"/>
  <c r="O1090" i="4" s="1"/>
  <c r="A293" i="4"/>
  <c r="O293" i="4" s="1" a="1"/>
  <c r="O293" i="4" s="1"/>
  <c r="A195" i="4"/>
  <c r="O195" i="4" s="1" a="1"/>
  <c r="O195" i="4" s="1"/>
  <c r="A1197" i="4"/>
  <c r="O1197" i="4" s="1" a="1"/>
  <c r="O1197" i="4" s="1"/>
  <c r="A1039" i="4"/>
  <c r="O1039" i="4" s="1" a="1"/>
  <c r="O1039" i="4" s="1"/>
  <c r="A605" i="4"/>
  <c r="O605" i="4" s="1" a="1"/>
  <c r="O605" i="4" s="1"/>
  <c r="A3" i="4"/>
  <c r="O3" i="4" s="1" a="1"/>
  <c r="O3" i="4" s="1"/>
  <c r="A231" i="4"/>
  <c r="O231" i="4" s="1" a="1"/>
  <c r="O231" i="4" s="1"/>
  <c r="A1132" i="4"/>
  <c r="O1132" i="4" s="1" a="1"/>
  <c r="O1132" i="4" s="1"/>
  <c r="A1277" i="4"/>
  <c r="O1277" i="4" s="1" a="1"/>
  <c r="O1277" i="4" s="1"/>
  <c r="A787" i="4"/>
  <c r="O787" i="4" s="1" a="1"/>
  <c r="O787" i="4" s="1"/>
  <c r="A771" i="4"/>
  <c r="O771" i="4" s="1" a="1"/>
  <c r="O771" i="4" s="1"/>
  <c r="A236" i="4"/>
  <c r="O236" i="4" s="1" a="1"/>
  <c r="O236" i="4" s="1"/>
  <c r="A12" i="4"/>
  <c r="O12" i="4" s="1" a="1"/>
  <c r="O12" i="4" s="1"/>
  <c r="A238" i="4"/>
  <c r="O238" i="4" s="1" a="1"/>
  <c r="O238" i="4" s="1"/>
  <c r="A421" i="4"/>
  <c r="O421" i="4" s="1" a="1"/>
  <c r="O421" i="4" s="1"/>
  <c r="A788" i="4"/>
  <c r="O788" i="4" s="1" a="1"/>
  <c r="O788" i="4" s="1"/>
  <c r="A241" i="4"/>
  <c r="O241" i="4" s="1" a="1"/>
  <c r="O241" i="4" s="1"/>
  <c r="A224" i="4"/>
  <c r="O224" i="4" s="1" a="1"/>
  <c r="O224" i="4" s="1"/>
  <c r="A1235" i="4"/>
  <c r="O1235" i="4" s="1" a="1"/>
  <c r="O1235" i="4" s="1"/>
  <c r="A271" i="4"/>
  <c r="O271" i="4" s="1" a="1"/>
  <c r="O271" i="4" s="1"/>
  <c r="A884" i="4"/>
  <c r="O884" i="4" s="1" a="1"/>
  <c r="O884" i="4" s="1"/>
  <c r="A246" i="4"/>
  <c r="O246" i="4" s="1" a="1"/>
  <c r="O246" i="4" s="1"/>
  <c r="A1198" i="4"/>
  <c r="O1198" i="4" s="1" a="1"/>
  <c r="O1198" i="4" s="1"/>
  <c r="A521" i="4"/>
  <c r="O521" i="4" s="1" a="1"/>
  <c r="O521" i="4" s="1"/>
  <c r="A1318" i="4"/>
  <c r="O1318" i="4" s="1" a="1"/>
  <c r="O1318" i="4" s="1"/>
  <c r="A143" i="4"/>
  <c r="O143" i="4" s="1" a="1"/>
  <c r="O143" i="4" s="1"/>
  <c r="A1319" i="4"/>
  <c r="O1319" i="4" s="1" a="1"/>
  <c r="O1319" i="4" s="1"/>
  <c r="A252" i="4"/>
  <c r="O252" i="4" s="1" a="1"/>
  <c r="O252" i="4" s="1"/>
  <c r="A938" i="4"/>
  <c r="O938" i="4" s="1" a="1"/>
  <c r="O938" i="4" s="1"/>
  <c r="A1402" i="4"/>
  <c r="O1402" i="4" s="1" a="1"/>
  <c r="O1402" i="4" s="1"/>
  <c r="A1065" i="4"/>
  <c r="O1065" i="4" s="1" a="1"/>
  <c r="O1065" i="4" s="1"/>
  <c r="A90" i="4"/>
  <c r="O90" i="4" s="1" a="1"/>
  <c r="O90" i="4" s="1"/>
  <c r="A1262" i="4"/>
  <c r="O1262" i="4" s="1" a="1"/>
  <c r="O1262" i="4" s="1"/>
  <c r="A789" i="4"/>
  <c r="O789" i="4" s="1" a="1"/>
  <c r="O789" i="4" s="1"/>
  <c r="A790" i="4"/>
  <c r="O790" i="4" s="1" a="1"/>
  <c r="O790" i="4" s="1"/>
  <c r="A679" i="4"/>
  <c r="O679" i="4" s="1" a="1"/>
  <c r="O679" i="4" s="1"/>
  <c r="A261" i="4"/>
  <c r="O261" i="4" s="1" a="1"/>
  <c r="O261" i="4" s="1"/>
  <c r="A99" i="4"/>
  <c r="O99" i="4" s="1" a="1"/>
  <c r="O99" i="4" s="1"/>
  <c r="A392" i="4"/>
  <c r="O392" i="4" s="1" a="1"/>
  <c r="O392" i="4" s="1"/>
  <c r="A1380" i="4"/>
  <c r="O1380" i="4" s="1" a="1"/>
  <c r="O1380" i="4" s="1"/>
  <c r="A522" i="4"/>
  <c r="O522" i="4" s="1" a="1"/>
  <c r="O522" i="4" s="1"/>
  <c r="A266" i="4"/>
  <c r="O266" i="4" s="1" a="1"/>
  <c r="O266" i="4" s="1"/>
  <c r="A925" i="4"/>
  <c r="O925" i="4" s="1" a="1"/>
  <c r="O925" i="4" s="1"/>
  <c r="A1137" i="4"/>
  <c r="O1137" i="4" s="1" a="1"/>
  <c r="O1137" i="4" s="1"/>
  <c r="A761" i="4"/>
  <c r="O761" i="4" s="1" a="1"/>
  <c r="O761" i="4" s="1"/>
  <c r="A196" i="4"/>
  <c r="O196" i="4" s="1" a="1"/>
  <c r="O196" i="4" s="1"/>
  <c r="A1403" i="4"/>
  <c r="O1403" i="4" s="1" a="1"/>
  <c r="O1403" i="4" s="1"/>
  <c r="A197" i="4"/>
  <c r="O197" i="4" s="1" a="1"/>
  <c r="O197" i="4" s="1"/>
  <c r="A273" i="4"/>
  <c r="O273" i="4" s="1" a="1"/>
  <c r="O273" i="4" s="1"/>
  <c r="A1124" i="4"/>
  <c r="O1124" i="4" s="1" a="1"/>
  <c r="O1124" i="4" s="1"/>
  <c r="A857" i="4"/>
  <c r="O857" i="4" s="1" a="1"/>
  <c r="O857" i="4" s="1"/>
  <c r="A347" i="4"/>
  <c r="O347" i="4" s="1" a="1"/>
  <c r="O347" i="4" s="1"/>
  <c r="A1133" i="4"/>
  <c r="O1133" i="4" s="1" a="1"/>
  <c r="O1133" i="4" s="1"/>
  <c r="A576" i="4"/>
  <c r="O576" i="4" s="1" a="1"/>
  <c r="O576" i="4" s="1"/>
  <c r="A1364" i="4"/>
  <c r="O1364" i="4" s="1" a="1"/>
  <c r="O1364" i="4" s="1"/>
  <c r="A144" i="4"/>
  <c r="O144" i="4" s="1" a="1"/>
  <c r="O144" i="4" s="1"/>
  <c r="A755" i="4"/>
  <c r="O755" i="4" s="1" a="1"/>
  <c r="O755" i="4" s="1"/>
  <c r="A1294" i="4"/>
  <c r="O1294" i="4" s="1" a="1"/>
  <c r="O1294" i="4" s="1"/>
  <c r="A286" i="4"/>
  <c r="O286" i="4" s="1" a="1"/>
  <c r="O286" i="4" s="1"/>
  <c r="A1295" i="4"/>
  <c r="O1295" i="4" s="1" a="1"/>
  <c r="O1295" i="4" s="1"/>
  <c r="A393" i="4"/>
  <c r="O393" i="4" s="1" a="1"/>
  <c r="O393" i="4" s="1"/>
  <c r="A1091" i="4"/>
  <c r="O1091" i="4" s="1" a="1"/>
  <c r="O1091" i="4" s="1"/>
  <c r="A1296" i="4"/>
  <c r="O1296" i="4" s="1" a="1"/>
  <c r="O1296" i="4" s="1"/>
  <c r="A288" i="4"/>
  <c r="O288" i="4" s="1" a="1"/>
  <c r="O288" i="4" s="1"/>
  <c r="A995" i="4"/>
  <c r="O995" i="4" s="1" a="1"/>
  <c r="O995" i="4" s="1"/>
  <c r="A290" i="4"/>
  <c r="O290" i="4" s="1" a="1"/>
  <c r="O290" i="4" s="1"/>
  <c r="A523" i="4"/>
  <c r="O523" i="4" s="1" a="1"/>
  <c r="O523" i="4" s="1"/>
  <c r="A1465" i="4"/>
  <c r="O1465" i="4" s="1" a="1"/>
  <c r="O1465" i="4" s="1"/>
  <c r="A544" i="4"/>
  <c r="O544" i="4" s="1" a="1"/>
  <c r="O544" i="4" s="1"/>
  <c r="A870" i="4"/>
  <c r="O870" i="4" s="1" a="1"/>
  <c r="O870" i="4" s="1"/>
  <c r="A295" i="4"/>
  <c r="O295" i="4" s="1" a="1"/>
  <c r="O295" i="4" s="1"/>
  <c r="A1404" i="4"/>
  <c r="O1404" i="4" s="1" a="1"/>
  <c r="O1404" i="4" s="1"/>
  <c r="A422" i="4"/>
  <c r="O422" i="4" s="1" a="1"/>
  <c r="O422" i="4" s="1"/>
  <c r="A298" i="4"/>
  <c r="O298" i="4" s="1" a="1"/>
  <c r="O298" i="4" s="1"/>
  <c r="A1125" i="4"/>
  <c r="O1125" i="4" s="1" a="1"/>
  <c r="O1125" i="4" s="1"/>
  <c r="A823" i="4"/>
  <c r="O823" i="4" s="1" a="1"/>
  <c r="O823" i="4" s="1"/>
  <c r="A1181" i="4"/>
  <c r="O1181" i="4" s="1" a="1"/>
  <c r="O1181" i="4" s="1"/>
  <c r="A824" i="4"/>
  <c r="O824" i="4" s="1" a="1"/>
  <c r="O824" i="4" s="1"/>
  <c r="A1443" i="4"/>
  <c r="O1443" i="4" s="1" a="1"/>
  <c r="O1443" i="4" s="1"/>
  <c r="A1199" i="4"/>
  <c r="O1199" i="4" s="1" a="1"/>
  <c r="O1199" i="4" s="1"/>
  <c r="A680" i="4"/>
  <c r="O680" i="4" s="1" a="1"/>
  <c r="O680" i="4" s="1"/>
  <c r="A651" i="4"/>
  <c r="O651" i="4" s="1" a="1"/>
  <c r="O651" i="4" s="1"/>
  <c r="A1278" i="4"/>
  <c r="O1278" i="4" s="1" a="1"/>
  <c r="O1278" i="4" s="1"/>
  <c r="A1168" i="4"/>
  <c r="O1168" i="4" s="1" a="1"/>
  <c r="O1168" i="4" s="1"/>
  <c r="A13" i="4"/>
  <c r="O13" i="4" s="1" a="1"/>
  <c r="O13" i="4" s="1"/>
  <c r="A606" i="4"/>
  <c r="O606" i="4" s="1" a="1"/>
  <c r="O606" i="4" s="1"/>
  <c r="A871" i="4"/>
  <c r="O871" i="4" s="1" a="1"/>
  <c r="O871" i="4" s="1"/>
  <c r="A636" i="4"/>
  <c r="O636" i="4" s="1" a="1"/>
  <c r="O636" i="4" s="1"/>
  <c r="A287" i="4"/>
  <c r="O287" i="4" s="1" a="1"/>
  <c r="O287" i="4" s="1"/>
  <c r="A973" i="4"/>
  <c r="O973" i="4" s="1" a="1"/>
  <c r="O973" i="4" s="1"/>
  <c r="A440" i="4"/>
  <c r="O440" i="4" s="1" a="1"/>
  <c r="O440" i="4" s="1"/>
  <c r="A615" i="4"/>
  <c r="O615" i="4" s="1" a="1"/>
  <c r="O615" i="4" s="1"/>
  <c r="A272" i="4"/>
  <c r="O272" i="4" s="1" a="1"/>
  <c r="O272" i="4" s="1"/>
  <c r="A1247" i="4"/>
  <c r="O1247" i="4" s="1" a="1"/>
  <c r="O1247" i="4" s="1"/>
  <c r="A319" i="4"/>
  <c r="O319" i="4" s="1" a="1"/>
  <c r="O319" i="4" s="1"/>
  <c r="A233" i="4"/>
  <c r="O233" i="4" s="1" a="1"/>
  <c r="O233" i="4" s="1"/>
  <c r="A772" i="4"/>
  <c r="O772" i="4" s="1" a="1"/>
  <c r="O772" i="4" s="1"/>
  <c r="A80" i="4"/>
  <c r="O80" i="4" s="1" a="1"/>
  <c r="O80" i="4" s="1"/>
  <c r="A1006" i="4"/>
  <c r="O1006" i="4" s="1" a="1"/>
  <c r="O1006" i="4" s="1"/>
  <c r="A1263" i="4"/>
  <c r="O1263" i="4" s="1" a="1"/>
  <c r="O1263" i="4" s="1"/>
  <c r="A325" i="4"/>
  <c r="O325" i="4" s="1" a="1"/>
  <c r="O325" i="4" s="1"/>
  <c r="A1336" i="4"/>
  <c r="O1336" i="4" s="1" a="1"/>
  <c r="O1336" i="4" s="1"/>
  <c r="A86" i="4"/>
  <c r="O86" i="4" s="1" a="1"/>
  <c r="O86" i="4" s="1"/>
  <c r="A1217" i="4"/>
  <c r="O1217" i="4" s="1" a="1"/>
  <c r="O1217" i="4" s="1"/>
  <c r="A329" i="4"/>
  <c r="O329" i="4" s="1" a="1"/>
  <c r="O329" i="4" s="1"/>
  <c r="A255" i="4"/>
  <c r="O255" i="4" s="1" a="1"/>
  <c r="O255" i="4" s="1"/>
  <c r="A1420" i="4"/>
  <c r="O1420" i="4" s="1" a="1"/>
  <c r="O1420" i="4" s="1"/>
  <c r="A425" i="4"/>
  <c r="O425" i="4" s="1" a="1"/>
  <c r="O425" i="4" s="1"/>
  <c r="A939" i="4"/>
  <c r="O939" i="4" s="1" a="1"/>
  <c r="O939" i="4" s="1"/>
  <c r="A1040" i="4"/>
  <c r="O1040" i="4" s="1" a="1"/>
  <c r="O1040" i="4" s="1"/>
  <c r="A336" i="4"/>
  <c r="O336" i="4" s="1" a="1"/>
  <c r="O336" i="4" s="1"/>
  <c r="A637" i="4"/>
  <c r="O637" i="4" s="1" a="1"/>
  <c r="O637" i="4" s="1"/>
  <c r="A453" i="4"/>
  <c r="O453" i="4" s="1" a="1"/>
  <c r="O453" i="4" s="1"/>
  <c r="A338" i="4"/>
  <c r="O338" i="4" s="1" a="1"/>
  <c r="O338" i="4" s="1"/>
  <c r="A274" i="4"/>
  <c r="O274" i="4" s="1" a="1"/>
  <c r="O274" i="4" s="1"/>
  <c r="A807" i="4"/>
  <c r="O807" i="4" s="1" a="1"/>
  <c r="O807" i="4" s="1"/>
  <c r="A454" i="4"/>
  <c r="O454" i="4" s="1" a="1"/>
  <c r="O454" i="4" s="1"/>
  <c r="A81" i="4"/>
  <c r="O81" i="4" s="1" a="1"/>
  <c r="O81" i="4" s="1"/>
  <c r="A5" i="4"/>
  <c r="O5" i="4" s="1" a="1"/>
  <c r="O5" i="4" s="1"/>
  <c r="A808" i="4"/>
  <c r="O808" i="4" s="1" a="1"/>
  <c r="O808" i="4" s="1"/>
  <c r="A1421" i="4"/>
  <c r="O1421" i="4" s="1" a="1"/>
  <c r="O1421" i="4" s="1"/>
  <c r="A1007" i="4"/>
  <c r="O1007" i="4" s="1" a="1"/>
  <c r="O1007" i="4" s="1"/>
  <c r="A996" i="4"/>
  <c r="O996" i="4" s="1" a="1"/>
  <c r="O996" i="4" s="1"/>
  <c r="A617" i="4"/>
  <c r="O617" i="4" s="1" a="1"/>
  <c r="O617" i="4" s="1"/>
  <c r="A858" i="4"/>
  <c r="O858" i="4" s="1" a="1"/>
  <c r="O858" i="4" s="1"/>
  <c r="A974" i="4"/>
  <c r="O974" i="4" s="1" a="1"/>
  <c r="O974" i="4" s="1"/>
  <c r="A117" i="4"/>
  <c r="O117" i="4" s="1" a="1"/>
  <c r="O117" i="4" s="1"/>
  <c r="A381" i="4"/>
  <c r="O381" i="4" s="1" a="1"/>
  <c r="O381" i="4" s="1"/>
  <c r="A161" i="4"/>
  <c r="O161" i="4" s="1" a="1"/>
  <c r="O161" i="4" s="1"/>
  <c r="A496" i="4"/>
  <c r="O496" i="4" s="1" a="1"/>
  <c r="O496" i="4" s="1"/>
  <c r="A652" i="4"/>
  <c r="O652" i="4" s="1" a="1"/>
  <c r="O652" i="4" s="1"/>
  <c r="A872" i="4"/>
  <c r="O872" i="4" s="1" a="1"/>
  <c r="O872" i="4" s="1"/>
  <c r="A895" i="4"/>
  <c r="O895" i="4" s="1" a="1"/>
  <c r="O895" i="4" s="1"/>
  <c r="A618" i="4"/>
  <c r="O618" i="4" s="1" a="1"/>
  <c r="O618" i="4" s="1"/>
  <c r="A359" i="4"/>
  <c r="O359" i="4" s="1" a="1"/>
  <c r="O359" i="4" s="1"/>
  <c r="A1105" i="4"/>
  <c r="O1105" i="4" s="1" a="1"/>
  <c r="O1105" i="4" s="1"/>
  <c r="A532" i="4"/>
  <c r="O532" i="4" s="1" a="1"/>
  <c r="O532" i="4" s="1"/>
  <c r="A234" i="4"/>
  <c r="O234" i="4" s="1" a="1"/>
  <c r="O234" i="4" s="1"/>
  <c r="A1279" i="4"/>
  <c r="O1279" i="4" s="1" a="1"/>
  <c r="O1279" i="4" s="1"/>
  <c r="A337" i="4"/>
  <c r="O337" i="4" s="1" a="1"/>
  <c r="O337" i="4" s="1"/>
  <c r="A365" i="4"/>
  <c r="O365" i="4" s="1" a="1"/>
  <c r="O365" i="4" s="1"/>
  <c r="A225" i="4"/>
  <c r="O225" i="4" s="1" a="1"/>
  <c r="O225" i="4" s="1"/>
  <c r="A1297" i="4"/>
  <c r="O1297" i="4" s="1" a="1"/>
  <c r="O1297" i="4" s="1"/>
  <c r="A368" i="4"/>
  <c r="O368" i="4" s="1" a="1"/>
  <c r="O368" i="4" s="1"/>
  <c r="A187" i="4"/>
  <c r="O187" i="4" s="1" a="1"/>
  <c r="O187" i="4" s="1"/>
  <c r="A370" i="4"/>
  <c r="O370" i="4" s="1" a="1"/>
  <c r="O370" i="4" s="1"/>
  <c r="A394" i="4"/>
  <c r="O394" i="4" s="1" a="1"/>
  <c r="O394" i="4" s="1"/>
  <c r="A372" i="4"/>
  <c r="O372" i="4" s="1" a="1"/>
  <c r="O372" i="4" s="1"/>
  <c r="A1357" i="4"/>
  <c r="O1357" i="4" s="1" a="1"/>
  <c r="O1357" i="4" s="1"/>
  <c r="A619" i="4"/>
  <c r="O619" i="4" s="1" a="1"/>
  <c r="O619" i="4" s="1"/>
  <c r="A1066" i="4"/>
  <c r="O1066" i="4" s="1" a="1"/>
  <c r="O1066" i="4" s="1"/>
  <c r="A411" i="4"/>
  <c r="O411" i="4" s="1" a="1"/>
  <c r="O411" i="4" s="1"/>
  <c r="A1042" i="4"/>
  <c r="O1042" i="4" s="1" a="1"/>
  <c r="O1042" i="4" s="1"/>
  <c r="A67" i="4"/>
  <c r="O67" i="4" s="1" a="1"/>
  <c r="O67" i="4" s="1"/>
  <c r="A620" i="4"/>
  <c r="O620" i="4" s="1" a="1"/>
  <c r="O620" i="4" s="1"/>
  <c r="A380" i="4"/>
  <c r="O380" i="4" s="1" a="1"/>
  <c r="O380" i="4" s="1"/>
  <c r="A1372" i="4"/>
  <c r="O1372" i="4" s="1" a="1"/>
  <c r="O1372" i="4" s="1"/>
  <c r="A145" i="4"/>
  <c r="O145" i="4" s="1" a="1"/>
  <c r="O145" i="4" s="1"/>
  <c r="A366" i="4"/>
  <c r="O366" i="4" s="1" a="1"/>
  <c r="O366" i="4" s="1"/>
  <c r="A384" i="4"/>
  <c r="O384" i="4" s="1" a="1"/>
  <c r="O384" i="4" s="1"/>
  <c r="A1466" i="4"/>
  <c r="O1466" i="4" s="1" a="1"/>
  <c r="O1466" i="4" s="1"/>
  <c r="A1139" i="4"/>
  <c r="O1139" i="4" s="1" a="1"/>
  <c r="O1139" i="4" s="1"/>
  <c r="A387" i="4"/>
  <c r="O387" i="4" s="1" a="1"/>
  <c r="O387" i="4" s="1"/>
  <c r="A1055" i="4"/>
  <c r="O1055" i="4" s="1" a="1"/>
  <c r="O1055" i="4" s="1"/>
  <c r="A456" i="4"/>
  <c r="O456" i="4" s="1" a="1"/>
  <c r="O456" i="4" s="1"/>
  <c r="A681" i="4"/>
  <c r="O681" i="4" s="1" a="1"/>
  <c r="O681" i="4" s="1"/>
  <c r="A1280" i="4"/>
  <c r="O1280" i="4" s="1" a="1"/>
  <c r="O1280" i="4" s="1"/>
  <c r="A653" i="4"/>
  <c r="O653" i="4" s="1" a="1"/>
  <c r="O653" i="4" s="1"/>
  <c r="A825" i="4"/>
  <c r="O825" i="4" s="1" a="1"/>
  <c r="O825" i="4" s="1"/>
  <c r="A1067" i="4"/>
  <c r="O1067" i="4" s="1" a="1"/>
  <c r="O1067" i="4" s="1"/>
  <c r="A1390" i="4"/>
  <c r="O1390" i="4" s="1" a="1"/>
  <c r="O1390" i="4" s="1"/>
  <c r="A1467" i="4"/>
  <c r="O1467" i="4" s="1" a="1"/>
  <c r="O1467" i="4" s="1"/>
  <c r="A367" i="4"/>
  <c r="O367" i="4" s="1" a="1"/>
  <c r="O367" i="4" s="1"/>
  <c r="A369" i="4"/>
  <c r="O369" i="4" s="1" a="1"/>
  <c r="O369" i="4" s="1"/>
  <c r="A914" i="4"/>
  <c r="O914" i="4" s="1" a="1"/>
  <c r="O914" i="4" s="1"/>
  <c r="A247" i="4"/>
  <c r="O247" i="4" s="1" a="1"/>
  <c r="O247" i="4" s="1"/>
  <c r="A1309" i="4"/>
  <c r="O1309" i="4" s="1" a="1"/>
  <c r="O1309" i="4" s="1"/>
  <c r="A1282" i="4"/>
  <c r="O1282" i="4" s="1" a="1"/>
  <c r="O1282" i="4" s="1"/>
  <c r="A1382" i="4"/>
  <c r="O1382" i="4" s="1" a="1"/>
  <c r="O1382" i="4" s="1"/>
  <c r="A1068" i="4"/>
  <c r="O1068" i="4" s="1" a="1"/>
  <c r="O1068" i="4" s="1"/>
  <c r="A896" i="4"/>
  <c r="O896" i="4" s="1" a="1"/>
  <c r="O896" i="4" s="1"/>
  <c r="A997" i="4"/>
  <c r="O997" i="4" s="1" a="1"/>
  <c r="O997" i="4" s="1"/>
  <c r="A407" i="4"/>
  <c r="O407" i="4" s="1" a="1"/>
  <c r="O407" i="4" s="1"/>
  <c r="A748" i="4"/>
  <c r="O748" i="4" s="1" a="1"/>
  <c r="O748" i="4" s="1"/>
  <c r="A717" i="4"/>
  <c r="O717" i="4" s="1" a="1"/>
  <c r="O717" i="4" s="1"/>
  <c r="A1422" i="4"/>
  <c r="O1422" i="4" s="1" a="1"/>
  <c r="O1422" i="4" s="1"/>
  <c r="A6" i="4"/>
  <c r="O6" i="4" s="1" a="1"/>
  <c r="O6" i="4" s="1"/>
  <c r="A1043" i="4"/>
  <c r="O1043" i="4" s="1" a="1"/>
  <c r="O1043" i="4" s="1"/>
  <c r="A1156" i="4"/>
  <c r="O1156" i="4" s="1" a="1"/>
  <c r="O1156" i="4" s="1"/>
  <c r="A1320" i="4"/>
  <c r="O1320" i="4" s="1" a="1"/>
  <c r="O1320" i="4" s="1"/>
  <c r="A508" i="4"/>
  <c r="O508" i="4" s="1" a="1"/>
  <c r="O508" i="4" s="1"/>
  <c r="A416" i="4"/>
  <c r="O416" i="4" s="1" a="1"/>
  <c r="O416" i="4" s="1"/>
  <c r="A417" i="4"/>
  <c r="O417" i="4" s="1" a="1"/>
  <c r="O417" i="4" s="1"/>
  <c r="A2" i="4"/>
  <c r="O2" i="4" s="1" a="1"/>
  <c r="O2" i="4" s="1"/>
  <c r="Q382" i="4" l="1"/>
  <c r="R382" i="4" s="1" a="1"/>
  <c r="R382" i="4" s="1"/>
  <c r="Q248" i="4"/>
  <c r="R248" i="4" s="1" a="1"/>
  <c r="R248" i="4" s="1"/>
  <c r="Q1382" i="4"/>
  <c r="R1382" i="4" s="1" a="1"/>
  <c r="R1382" i="4" s="1"/>
  <c r="Q394" i="4"/>
  <c r="R394" i="4" s="1" a="1"/>
  <c r="R394" i="4" s="1"/>
  <c r="Q227" i="4"/>
  <c r="R227" i="4" s="1" a="1"/>
  <c r="R227" i="4" s="1"/>
  <c r="Q860" i="4"/>
  <c r="R860" i="4" s="1" a="1"/>
  <c r="R860" i="4" s="1"/>
  <c r="Q294" i="4"/>
  <c r="R294" i="4" s="1" a="1"/>
  <c r="R294" i="4" s="1"/>
  <c r="Q560" i="4"/>
  <c r="R560" i="4" s="1" a="1"/>
  <c r="R560" i="4" s="1"/>
  <c r="Q620" i="4"/>
  <c r="R620" i="4" s="1" a="1"/>
  <c r="R620" i="4" s="1"/>
  <c r="Q1437" i="4"/>
  <c r="R1437" i="4" s="1" a="1"/>
  <c r="R1437" i="4" s="1"/>
  <c r="Q809" i="4"/>
  <c r="R809" i="4" s="1" a="1"/>
  <c r="R809" i="4" s="1"/>
  <c r="Q440" i="4"/>
  <c r="R440" i="4" s="1" a="1"/>
  <c r="R440" i="4" s="1"/>
  <c r="Q1442" i="4"/>
  <c r="R1442" i="4" s="1" a="1"/>
  <c r="R1442" i="4" s="1"/>
  <c r="Q921" i="4"/>
  <c r="R921" i="4" s="1" a="1"/>
  <c r="R921" i="4" s="1"/>
  <c r="Q1291" i="4"/>
  <c r="R1291" i="4" s="1" a="1"/>
  <c r="R1291" i="4" s="1"/>
  <c r="Q79" i="4"/>
  <c r="R79" i="4" s="1" a="1"/>
  <c r="R79" i="4" s="1"/>
  <c r="Q601" i="4"/>
  <c r="R601" i="4" s="1" a="1"/>
  <c r="R601" i="4" s="1"/>
  <c r="Q993" i="4"/>
  <c r="R993" i="4" s="1" a="1"/>
  <c r="R993" i="4" s="1"/>
  <c r="Q599" i="4"/>
  <c r="R599" i="4" s="1" a="1"/>
  <c r="R599" i="4" s="1"/>
  <c r="Q408" i="4"/>
  <c r="R408" i="4" s="1" a="1"/>
  <c r="R408" i="4" s="1"/>
  <c r="Q166" i="4"/>
  <c r="R166" i="4" s="1" a="1"/>
  <c r="R166" i="4" s="1"/>
  <c r="Q87" i="4"/>
  <c r="R87" i="4" s="1" a="1"/>
  <c r="R87" i="4" s="1"/>
  <c r="Q1221" i="4"/>
  <c r="R1221" i="4" s="1" a="1"/>
  <c r="R1221" i="4" s="1"/>
  <c r="Q46" i="4"/>
  <c r="R46" i="4" s="1" a="1"/>
  <c r="R46" i="4" s="1"/>
  <c r="Q1388" i="4"/>
  <c r="R1388" i="4" s="1" a="1"/>
  <c r="R1388" i="4" s="1"/>
  <c r="Q434" i="4"/>
  <c r="R434" i="4" s="1" a="1"/>
  <c r="R434" i="4" s="1"/>
  <c r="Q78" i="4"/>
  <c r="R78" i="4" s="1" a="1"/>
  <c r="R78" i="4" s="1"/>
  <c r="Q433" i="4"/>
  <c r="R433" i="4" s="1" a="1"/>
  <c r="R433" i="4" s="1"/>
  <c r="Q473" i="4"/>
  <c r="R473" i="4" s="1" a="1"/>
  <c r="R473" i="4" s="1"/>
  <c r="Q797" i="4"/>
  <c r="R797" i="4" s="1" a="1"/>
  <c r="R797" i="4" s="1"/>
  <c r="Q969" i="4"/>
  <c r="R969" i="4" s="1" a="1"/>
  <c r="R969" i="4" s="1"/>
  <c r="Q1103" i="4"/>
  <c r="R1103" i="4" s="1" a="1"/>
  <c r="R1103" i="4" s="1"/>
  <c r="Q865" i="4"/>
  <c r="R865" i="4" s="1" a="1"/>
  <c r="R865" i="4" s="1"/>
  <c r="Q45" i="4"/>
  <c r="R45" i="4" s="1" a="1"/>
  <c r="R45" i="4" s="1"/>
  <c r="Q63" i="4"/>
  <c r="R63" i="4" s="1" a="1"/>
  <c r="R63" i="4" s="1"/>
  <c r="Q1361" i="4"/>
  <c r="R1361" i="4" s="1" a="1"/>
  <c r="R1361" i="4" s="1"/>
  <c r="Q1353" i="4"/>
  <c r="R1353" i="4" s="1" a="1"/>
  <c r="R1353" i="4" s="1"/>
  <c r="Q469" i="4"/>
  <c r="R469" i="4" s="1" a="1"/>
  <c r="R469" i="4" s="1"/>
  <c r="Q687" i="4"/>
  <c r="R687" i="4" s="1" a="1"/>
  <c r="R687" i="4" s="1"/>
  <c r="Q839" i="4"/>
  <c r="R839" i="4" s="1" a="1"/>
  <c r="R839" i="4" s="1"/>
  <c r="Q1464" i="4"/>
  <c r="R1464" i="4" s="1" a="1"/>
  <c r="R1464" i="4" s="1"/>
  <c r="Q232" i="4"/>
  <c r="R232" i="4" s="1" a="1"/>
  <c r="R232" i="4" s="1"/>
  <c r="Q95" i="4"/>
  <c r="R95" i="4" s="1" a="1"/>
  <c r="R95" i="4" s="1"/>
  <c r="Q979" i="4"/>
  <c r="R979" i="4" s="1" a="1"/>
  <c r="R979" i="4" s="1"/>
  <c r="Q1163" i="4"/>
  <c r="R1163" i="4" s="1" a="1"/>
  <c r="R1163" i="4" s="1"/>
  <c r="Q1030" i="4"/>
  <c r="R1030" i="4" s="1" a="1"/>
  <c r="R1030" i="4" s="1"/>
  <c r="Q582" i="4"/>
  <c r="R582" i="4" s="1" a="1"/>
  <c r="R582" i="4" s="1"/>
  <c r="Q328" i="4"/>
  <c r="R328" i="4" s="1" a="1"/>
  <c r="R328" i="4" s="1"/>
  <c r="Q978" i="4"/>
  <c r="R978" i="4" s="1" a="1"/>
  <c r="R978" i="4" s="1"/>
  <c r="Q1430" i="4"/>
  <c r="R1430" i="4" s="1" a="1"/>
  <c r="R1430" i="4" s="1"/>
  <c r="Q910" i="4"/>
  <c r="R910" i="4" s="1" a="1"/>
  <c r="R910" i="4" s="1"/>
  <c r="Q185" i="4"/>
  <c r="R185" i="4" s="1" a="1"/>
  <c r="R185" i="4" s="1"/>
  <c r="Q520" i="4"/>
  <c r="R520" i="4" s="1" a="1"/>
  <c r="R520" i="4" s="1"/>
  <c r="Q1415" i="4"/>
  <c r="R1415" i="4" s="1" a="1"/>
  <c r="R1415" i="4" s="1"/>
  <c r="Q140" i="4"/>
  <c r="R140" i="4" s="1" a="1"/>
  <c r="R140" i="4" s="1"/>
  <c r="Q752" i="4"/>
  <c r="R752" i="4" s="1" a="1"/>
  <c r="R752" i="4" s="1"/>
  <c r="Q1031" i="4"/>
  <c r="R1031" i="4" s="1" a="1"/>
  <c r="R1031" i="4" s="1"/>
  <c r="Q307" i="4"/>
  <c r="R307" i="4" s="1" a="1"/>
  <c r="R307" i="4" s="1"/>
  <c r="Q306" i="4"/>
  <c r="R306" i="4" s="1" a="1"/>
  <c r="R306" i="4" s="1"/>
  <c r="Q21" i="4"/>
  <c r="R21" i="4" s="1" a="1"/>
  <c r="R21" i="4" s="1"/>
  <c r="Q971" i="4"/>
  <c r="R971" i="4" s="1" a="1"/>
  <c r="R971" i="4" s="1"/>
  <c r="Q912" i="4"/>
  <c r="R912" i="4" s="1" a="1"/>
  <c r="R912" i="4" s="1"/>
  <c r="Q37" i="4"/>
  <c r="R37" i="4" s="1" a="1"/>
  <c r="R37" i="4" s="1"/>
  <c r="Q304" i="4"/>
  <c r="R304" i="4" s="1" a="1"/>
  <c r="R304" i="4" s="1"/>
  <c r="Q645" i="4"/>
  <c r="R645" i="4" s="1" a="1"/>
  <c r="R645" i="4" s="1"/>
  <c r="Q710" i="4"/>
  <c r="R710" i="4" s="1" a="1"/>
  <c r="R710" i="4" s="1"/>
  <c r="Q1258" i="4"/>
  <c r="R1258" i="4" s="1" a="1"/>
  <c r="R1258" i="4" s="1"/>
  <c r="Q64" i="4"/>
  <c r="R64" i="4" s="1" a="1"/>
  <c r="R64" i="4" s="1"/>
  <c r="Q1121" i="4"/>
  <c r="R1121" i="4" s="1" a="1"/>
  <c r="R1121" i="4" s="1"/>
  <c r="Q58" i="4"/>
  <c r="R58" i="4" s="1" a="1"/>
  <c r="R58" i="4" s="1"/>
  <c r="Q1151" i="4"/>
  <c r="R1151" i="4" s="1" a="1"/>
  <c r="R1151" i="4" s="1"/>
  <c r="Q1270" i="4"/>
  <c r="R1270" i="4" s="1" a="1"/>
  <c r="R1270" i="4" s="1"/>
  <c r="Q709" i="4"/>
  <c r="R709" i="4" s="1" a="1"/>
  <c r="R709" i="4" s="1"/>
  <c r="Q114" i="4"/>
  <c r="R114" i="4" s="1" a="1"/>
  <c r="R114" i="4" s="1"/>
  <c r="Q1308" i="4"/>
  <c r="R1308" i="4" s="1" a="1"/>
  <c r="R1308" i="4" s="1"/>
  <c r="Q660" i="4"/>
  <c r="R660" i="4" s="1" a="1"/>
  <c r="R660" i="4" s="1"/>
  <c r="Q1086" i="4"/>
  <c r="R1086" i="4" s="1" a="1"/>
  <c r="R1086" i="4" s="1"/>
  <c r="Q893" i="4"/>
  <c r="R893" i="4" s="1" a="1"/>
  <c r="R893" i="4" s="1"/>
  <c r="Q302" i="4"/>
  <c r="R302" i="4" s="1" a="1"/>
  <c r="R302" i="4" s="1"/>
  <c r="Q263" i="4"/>
  <c r="R263" i="4" s="1" a="1"/>
  <c r="R263" i="4" s="1"/>
  <c r="Q315" i="4"/>
  <c r="R315" i="4" s="1" a="1"/>
  <c r="R315" i="4" s="1"/>
  <c r="Q119" i="4"/>
  <c r="R119" i="4" s="1" a="1"/>
  <c r="R119" i="4" s="1"/>
  <c r="Q744" i="4"/>
  <c r="R744" i="4" s="1" a="1"/>
  <c r="R744" i="4" s="1"/>
  <c r="Q611" i="4"/>
  <c r="R611" i="4" s="1" a="1"/>
  <c r="R611" i="4" s="1"/>
  <c r="Q1084" i="4"/>
  <c r="R1084" i="4" s="1" a="1"/>
  <c r="R1084" i="4" s="1"/>
  <c r="Q350" i="4"/>
  <c r="R350" i="4" s="1" a="1"/>
  <c r="R350" i="4" s="1"/>
  <c r="Q34" i="4"/>
  <c r="R34" i="4" s="1" a="1"/>
  <c r="R34" i="4" s="1"/>
  <c r="Q1431" i="4"/>
  <c r="R1431" i="4" s="1" a="1"/>
  <c r="R1431" i="4" s="1"/>
  <c r="Q541" i="4"/>
  <c r="R541" i="4" s="1" a="1"/>
  <c r="R541" i="4" s="1"/>
  <c r="Q624" i="4"/>
  <c r="R624" i="4" s="1" a="1"/>
  <c r="R624" i="4" s="1"/>
  <c r="Q1289" i="4"/>
  <c r="R1289" i="4" s="1" a="1"/>
  <c r="R1289" i="4" s="1"/>
  <c r="Q632" i="4"/>
  <c r="R632" i="4" s="1" a="1"/>
  <c r="R632" i="4" s="1"/>
  <c r="Q569" i="4"/>
  <c r="R569" i="4" s="1" a="1"/>
  <c r="R569" i="4" s="1"/>
  <c r="Q10" i="4"/>
  <c r="R10" i="4" s="1" a="1"/>
  <c r="R10" i="4" s="1"/>
  <c r="Q1352" i="4"/>
  <c r="R1352" i="4" s="1" a="1"/>
  <c r="R1352" i="4" s="1"/>
  <c r="Q1220" i="4"/>
  <c r="R1220" i="4" s="1" a="1"/>
  <c r="R1220" i="4" s="1"/>
  <c r="Q1254" i="4"/>
  <c r="R1254" i="4" s="1" a="1"/>
  <c r="R1254" i="4" s="1"/>
  <c r="Q1288" i="4"/>
  <c r="R1288" i="4" s="1" a="1"/>
  <c r="R1288" i="4" s="1"/>
  <c r="Q260" i="4"/>
  <c r="R260" i="4" s="1" a="1"/>
  <c r="R260" i="4" s="1"/>
  <c r="Q428" i="4"/>
  <c r="R428" i="4" s="1" a="1"/>
  <c r="R428" i="4" s="1"/>
  <c r="Q1185" i="4"/>
  <c r="R1185" i="4" s="1" a="1"/>
  <c r="R1185" i="4" s="1"/>
  <c r="Q1099" i="4"/>
  <c r="R1099" i="4" s="1" a="1"/>
  <c r="R1099" i="4" s="1"/>
  <c r="Q927" i="4"/>
  <c r="R927" i="4" s="1" a="1"/>
  <c r="R927" i="4" s="1"/>
  <c r="Q1324" i="4"/>
  <c r="R1324" i="4" s="1" a="1"/>
  <c r="R1324" i="4" s="1"/>
  <c r="Q1438" i="4"/>
  <c r="R1438" i="4" s="1" a="1"/>
  <c r="R1438" i="4" s="1"/>
  <c r="Q512" i="4"/>
  <c r="R512" i="4" s="1" a="1"/>
  <c r="R512" i="4" s="1"/>
  <c r="Q1095" i="4"/>
  <c r="R1095" i="4" s="1" a="1"/>
  <c r="R1095" i="4" s="1"/>
  <c r="Q535" i="4"/>
  <c r="R535" i="4" s="1" a="1"/>
  <c r="R535" i="4" s="1"/>
  <c r="Q655" i="4"/>
  <c r="R655" i="4" s="1" a="1"/>
  <c r="R655" i="4" s="1"/>
  <c r="Q898" i="4"/>
  <c r="R898" i="4" s="1" a="1"/>
  <c r="R898" i="4" s="1"/>
  <c r="Q1447" i="4"/>
  <c r="R1447" i="4" s="1" a="1"/>
  <c r="R1447" i="4" s="1"/>
  <c r="Q1233" i="4"/>
  <c r="R1233" i="4" s="1" a="1"/>
  <c r="R1233" i="4" s="1"/>
  <c r="B1233" i="4"/>
  <c r="Q1290" i="4"/>
  <c r="R1290" i="4" s="1" a="1"/>
  <c r="R1290" i="4" s="1"/>
  <c r="B1290" i="4"/>
  <c r="Q474" i="4"/>
  <c r="R474" i="4" s="1" a="1"/>
  <c r="R474" i="4" s="1"/>
  <c r="B474" i="4"/>
  <c r="Q20" i="4"/>
  <c r="R20" i="4" s="1" a="1"/>
  <c r="R20" i="4" s="1"/>
  <c r="B20" i="4"/>
  <c r="Q1340" i="4"/>
  <c r="R1340" i="4" s="1" a="1"/>
  <c r="R1340" i="4" s="1"/>
  <c r="B1340" i="4"/>
  <c r="Q644" i="4"/>
  <c r="R644" i="4" s="1" a="1"/>
  <c r="R644" i="4" s="1"/>
  <c r="B644" i="4"/>
  <c r="Q1292" i="4"/>
  <c r="R1292" i="4" s="1" a="1"/>
  <c r="R1292" i="4" s="1"/>
  <c r="B1292" i="4"/>
  <c r="Q1312" i="4"/>
  <c r="R1312" i="4" s="1" a="1"/>
  <c r="R1312" i="4" s="1"/>
  <c r="B1312" i="4"/>
  <c r="Q1330" i="4"/>
  <c r="R1330" i="4" s="1" a="1"/>
  <c r="R1330" i="4" s="1"/>
  <c r="B1330" i="4"/>
  <c r="Q1165" i="4"/>
  <c r="R1165" i="4" s="1" a="1"/>
  <c r="R1165" i="4" s="1"/>
  <c r="B1165" i="4"/>
  <c r="Q209" i="4"/>
  <c r="R209" i="4" s="1" a="1"/>
  <c r="R209" i="4" s="1"/>
  <c r="B209" i="4"/>
  <c r="Q1164" i="4"/>
  <c r="R1164" i="4" s="1" a="1"/>
  <c r="R1164" i="4" s="1"/>
  <c r="B1164" i="4"/>
  <c r="Q1462" i="4"/>
  <c r="R1462" i="4" s="1" a="1"/>
  <c r="R1462" i="4" s="1"/>
  <c r="B1462" i="4"/>
  <c r="Q1108" i="4"/>
  <c r="R1108" i="4" s="1" a="1"/>
  <c r="R1108" i="4" s="1"/>
  <c r="B1108" i="4"/>
  <c r="Q1376" i="4"/>
  <c r="R1376" i="4" s="1" a="1"/>
  <c r="R1376" i="4" s="1"/>
  <c r="B1376" i="4"/>
  <c r="Q1060" i="4"/>
  <c r="R1060" i="4" s="1" a="1"/>
  <c r="R1060" i="4" s="1"/>
  <c r="B1060" i="4"/>
  <c r="Q608" i="4"/>
  <c r="R608" i="4" s="1" a="1"/>
  <c r="R608" i="4" s="1"/>
  <c r="B608" i="4"/>
  <c r="Q125" i="4"/>
  <c r="R125" i="4" s="1" a="1"/>
  <c r="R125" i="4" s="1"/>
  <c r="B125" i="4"/>
  <c r="Q1241" i="4"/>
  <c r="R1241" i="4" s="1" a="1"/>
  <c r="R1241" i="4" s="1"/>
  <c r="B1241" i="4"/>
  <c r="Q242" i="4"/>
  <c r="R242" i="4" s="1" a="1"/>
  <c r="R242" i="4" s="1"/>
  <c r="B242" i="4"/>
  <c r="Q500" i="4"/>
  <c r="R500" i="4" s="1" a="1"/>
  <c r="R500" i="4" s="1"/>
  <c r="B500" i="4"/>
  <c r="Q426" i="4"/>
  <c r="R426" i="4" s="1" a="1"/>
  <c r="R426" i="4" s="1"/>
  <c r="B426" i="4"/>
  <c r="Q1072" i="4"/>
  <c r="R1072" i="4" s="1" a="1"/>
  <c r="R1072" i="4" s="1"/>
  <c r="B1072" i="4"/>
  <c r="Q17" i="4"/>
  <c r="R17" i="4" s="1" a="1"/>
  <c r="R17" i="4" s="1"/>
  <c r="B17" i="4"/>
  <c r="Q82" i="4"/>
  <c r="R82" i="4" s="1" a="1"/>
  <c r="R82" i="4" s="1"/>
  <c r="B82" i="4"/>
  <c r="Q448" i="4"/>
  <c r="R448" i="4" s="1" a="1"/>
  <c r="R448" i="4" s="1"/>
  <c r="B448" i="4"/>
  <c r="Q861" i="4"/>
  <c r="R861" i="4" s="1" a="1"/>
  <c r="R861" i="4" s="1"/>
  <c r="B861" i="4"/>
  <c r="Q131" i="4"/>
  <c r="R131" i="4" s="1" a="1"/>
  <c r="R131" i="4" s="1"/>
  <c r="B131" i="4"/>
  <c r="Q845" i="4"/>
  <c r="R845" i="4" s="1" a="1"/>
  <c r="R845" i="4" s="1"/>
  <c r="B845" i="4"/>
  <c r="Q1285" i="4"/>
  <c r="R1285" i="4" s="1" a="1"/>
  <c r="R1285" i="4" s="1"/>
  <c r="B1285" i="4"/>
  <c r="Q1109" i="4"/>
  <c r="R1109" i="4" s="1" a="1"/>
  <c r="R1109" i="4" s="1"/>
  <c r="B1109" i="4"/>
  <c r="Q1310" i="4"/>
  <c r="R1310" i="4" s="1" a="1"/>
  <c r="R1310" i="4" s="1"/>
  <c r="B1310" i="4"/>
  <c r="Q355" i="4"/>
  <c r="R355" i="4" s="1" a="1"/>
  <c r="R355" i="4" s="1"/>
  <c r="B355" i="4"/>
  <c r="Q280" i="4"/>
  <c r="R280" i="4" s="1" a="1"/>
  <c r="R280" i="4" s="1"/>
  <c r="B280" i="4"/>
  <c r="Q1058" i="4"/>
  <c r="R1058" i="4" s="1" a="1"/>
  <c r="R1058" i="4" s="1"/>
  <c r="B1058" i="4"/>
  <c r="Q74" i="4"/>
  <c r="R74" i="4" s="1" a="1"/>
  <c r="R74" i="4" s="1"/>
  <c r="B74" i="4"/>
  <c r="Q1407" i="4"/>
  <c r="R1407" i="4" s="1" a="1"/>
  <c r="R1407" i="4" s="1"/>
  <c r="B1407" i="4"/>
  <c r="Q690" i="4"/>
  <c r="R690" i="4" s="1" a="1"/>
  <c r="R690" i="4" s="1"/>
  <c r="B690" i="4"/>
  <c r="Q577" i="4"/>
  <c r="R577" i="4" s="1" a="1"/>
  <c r="R577" i="4" s="1"/>
  <c r="B577" i="4"/>
  <c r="Q1377" i="4"/>
  <c r="R1377" i="4" s="1" a="1"/>
  <c r="R1377" i="4" s="1"/>
  <c r="B1377" i="4"/>
  <c r="Q1281" i="4"/>
  <c r="R1281" i="4" s="1" a="1"/>
  <c r="R1281" i="4" s="1"/>
  <c r="B1281" i="4"/>
  <c r="Q1273" i="4"/>
  <c r="R1273" i="4" s="1" a="1"/>
  <c r="R1273" i="4" s="1"/>
  <c r="B1273" i="4"/>
  <c r="Q1257" i="4"/>
  <c r="R1257" i="4" s="1" a="1"/>
  <c r="R1257" i="4" s="1"/>
  <c r="B1257" i="4"/>
  <c r="Q1225" i="4"/>
  <c r="R1225" i="4" s="1" a="1"/>
  <c r="R1225" i="4" s="1"/>
  <c r="B1225" i="4"/>
  <c r="Q519" i="4"/>
  <c r="R519" i="4" s="1" a="1"/>
  <c r="R519" i="4" s="1"/>
  <c r="B519" i="4"/>
  <c r="Q1169" i="4"/>
  <c r="R1169" i="4" s="1" a="1"/>
  <c r="R1169" i="4" s="1"/>
  <c r="B1169" i="4"/>
  <c r="Q1113" i="4"/>
  <c r="R1113" i="4" s="1" a="1"/>
  <c r="R1113" i="4" s="1"/>
  <c r="B1113" i="4"/>
  <c r="Q1041" i="4"/>
  <c r="R1041" i="4" s="1" a="1"/>
  <c r="R1041" i="4" s="1"/>
  <c r="B1041" i="4"/>
  <c r="Q1033" i="4"/>
  <c r="R1033" i="4" s="1" a="1"/>
  <c r="R1033" i="4" s="1"/>
  <c r="B1033" i="4"/>
  <c r="Q1009" i="4"/>
  <c r="R1009" i="4" s="1" a="1"/>
  <c r="R1009" i="4" s="1"/>
  <c r="B1009" i="4"/>
  <c r="Q977" i="4"/>
  <c r="R977" i="4" s="1" a="1"/>
  <c r="R977" i="4" s="1"/>
  <c r="B977" i="4"/>
  <c r="Q464" i="4"/>
  <c r="R464" i="4" s="1" a="1"/>
  <c r="R464" i="4" s="1"/>
  <c r="B464" i="4"/>
  <c r="Q913" i="4"/>
  <c r="R913" i="4" s="1" a="1"/>
  <c r="R913" i="4" s="1"/>
  <c r="B913" i="4"/>
  <c r="Q873" i="4"/>
  <c r="R873" i="4" s="1" a="1"/>
  <c r="R873" i="4" s="1"/>
  <c r="B873" i="4"/>
  <c r="Q833" i="4"/>
  <c r="R833" i="4" s="1" a="1"/>
  <c r="R833" i="4" s="1"/>
  <c r="B833" i="4"/>
  <c r="Q793" i="4"/>
  <c r="R793" i="4" s="1" a="1"/>
  <c r="R793" i="4" s="1"/>
  <c r="B793" i="4"/>
  <c r="Q713" i="4"/>
  <c r="R713" i="4" s="1" a="1"/>
  <c r="R713" i="4" s="1"/>
  <c r="B713" i="4"/>
  <c r="Q697" i="4"/>
  <c r="R697" i="4" s="1" a="1"/>
  <c r="R697" i="4" s="1"/>
  <c r="B697" i="4"/>
  <c r="Q665" i="4"/>
  <c r="R665" i="4" s="1" a="1"/>
  <c r="R665" i="4" s="1"/>
  <c r="B665" i="4"/>
  <c r="Q609" i="4"/>
  <c r="R609" i="4" s="1" a="1"/>
  <c r="R609" i="4" s="1"/>
  <c r="B609" i="4"/>
  <c r="Q593" i="4"/>
  <c r="R593" i="4" s="1" a="1"/>
  <c r="R593" i="4" s="1"/>
  <c r="B593" i="4"/>
  <c r="Q497" i="4"/>
  <c r="R497" i="4" s="1" a="1"/>
  <c r="R497" i="4" s="1"/>
  <c r="B497" i="4"/>
  <c r="Q481" i="4"/>
  <c r="R481" i="4" s="1" a="1"/>
  <c r="R481" i="4" s="1"/>
  <c r="B481" i="4"/>
  <c r="Q465" i="4"/>
  <c r="R465" i="4" s="1" a="1"/>
  <c r="R465" i="4" s="1"/>
  <c r="B465" i="4"/>
  <c r="Q441" i="4"/>
  <c r="R441" i="4" s="1" a="1"/>
  <c r="R441" i="4" s="1"/>
  <c r="B441" i="4"/>
  <c r="Q417" i="4"/>
  <c r="R417" i="4" s="1" a="1"/>
  <c r="R417" i="4" s="1"/>
  <c r="B417" i="4"/>
  <c r="Q329" i="4"/>
  <c r="R329" i="4" s="1" a="1"/>
  <c r="R329" i="4" s="1"/>
  <c r="B329" i="4"/>
  <c r="Q273" i="4"/>
  <c r="R273" i="4" s="1" a="1"/>
  <c r="R273" i="4" s="1"/>
  <c r="B273" i="4"/>
  <c r="Q241" i="4"/>
  <c r="R241" i="4" s="1" a="1"/>
  <c r="R241" i="4" s="1"/>
  <c r="B241" i="4"/>
  <c r="Q129" i="4"/>
  <c r="R129" i="4" s="1" a="1"/>
  <c r="R129" i="4" s="1"/>
  <c r="B129" i="4"/>
  <c r="Q113" i="4"/>
  <c r="R113" i="4" s="1" a="1"/>
  <c r="R113" i="4" s="1"/>
  <c r="B113" i="4"/>
  <c r="B1440" i="4"/>
  <c r="B1392" i="4"/>
  <c r="B1328" i="4"/>
  <c r="B1264" i="4"/>
  <c r="B1248" i="4"/>
  <c r="B10" i="4"/>
  <c r="B894" i="4"/>
  <c r="B862" i="4"/>
  <c r="B535" i="4"/>
  <c r="B398" i="4"/>
  <c r="B227" i="4"/>
  <c r="B668" i="4"/>
  <c r="B860" i="4"/>
  <c r="B549" i="4"/>
  <c r="B1043" i="4"/>
  <c r="Q1356" i="4"/>
  <c r="R1356" i="4" s="1" a="1"/>
  <c r="R1356" i="4" s="1"/>
  <c r="B1356" i="4"/>
  <c r="Q1176" i="4"/>
  <c r="R1176" i="4" s="1" a="1"/>
  <c r="R1176" i="4" s="1"/>
  <c r="B1176" i="4"/>
  <c r="Q311" i="4"/>
  <c r="R311" i="4" s="1" a="1"/>
  <c r="R311" i="4" s="1"/>
  <c r="B311" i="4"/>
  <c r="Q1114" i="4"/>
  <c r="R1114" i="4" s="1" a="1"/>
  <c r="R1114" i="4" s="1"/>
  <c r="B1114" i="4"/>
  <c r="Q1348" i="4"/>
  <c r="R1348" i="4" s="1" a="1"/>
  <c r="R1348" i="4" s="1"/>
  <c r="B1348" i="4"/>
  <c r="Q1012" i="4"/>
  <c r="R1012" i="4" s="1" a="1"/>
  <c r="R1012" i="4" s="1"/>
  <c r="B1012" i="4"/>
  <c r="Q930" i="4"/>
  <c r="R930" i="4" s="1" a="1"/>
  <c r="R930" i="4" s="1"/>
  <c r="B930" i="4"/>
  <c r="Q989" i="4"/>
  <c r="R989" i="4" s="1" a="1"/>
  <c r="R989" i="4" s="1"/>
  <c r="B989" i="4"/>
  <c r="Q1461" i="4"/>
  <c r="R1461" i="4" s="1" a="1"/>
  <c r="R1461" i="4" s="1"/>
  <c r="B1461" i="4"/>
  <c r="Q837" i="4"/>
  <c r="R837" i="4" s="1" a="1"/>
  <c r="R837" i="4" s="1"/>
  <c r="B837" i="4"/>
  <c r="Q229" i="4"/>
  <c r="R229" i="4" s="1" a="1"/>
  <c r="R229" i="4" s="1"/>
  <c r="B229" i="4"/>
  <c r="Q802" i="4"/>
  <c r="R802" i="4" s="1" a="1"/>
  <c r="R802" i="4" s="1"/>
  <c r="B802" i="4"/>
  <c r="Q526" i="4"/>
  <c r="R526" i="4" s="1" a="1"/>
  <c r="R526" i="4" s="1"/>
  <c r="B526" i="4"/>
  <c r="Q1450" i="4"/>
  <c r="R1450" i="4" s="1" a="1"/>
  <c r="R1450" i="4" s="1"/>
  <c r="B1450" i="4"/>
  <c r="Q1161" i="4"/>
  <c r="R1161" i="4" s="1" a="1"/>
  <c r="R1161" i="4" s="1"/>
  <c r="B1161" i="4"/>
  <c r="Q754" i="4"/>
  <c r="R754" i="4" s="1" a="1"/>
  <c r="R754" i="4" s="1"/>
  <c r="B754" i="4"/>
  <c r="Q746" i="4"/>
  <c r="R746" i="4" s="1" a="1"/>
  <c r="R746" i="4" s="1"/>
  <c r="B746" i="4"/>
  <c r="Q297" i="4"/>
  <c r="R297" i="4" s="1" a="1"/>
  <c r="R297" i="4" s="1"/>
  <c r="B297" i="4"/>
  <c r="Q846" i="4"/>
  <c r="R846" i="4" s="1" a="1"/>
  <c r="R846" i="4" s="1"/>
  <c r="B846" i="4"/>
  <c r="Q722" i="4"/>
  <c r="R722" i="4" s="1" a="1"/>
  <c r="R722" i="4" s="1"/>
  <c r="B722" i="4"/>
  <c r="Q1311" i="4"/>
  <c r="R1311" i="4" s="1" a="1"/>
  <c r="R1311" i="4" s="1"/>
  <c r="B1311" i="4"/>
  <c r="Q1112" i="4"/>
  <c r="R1112" i="4" s="1" a="1"/>
  <c r="R1112" i="4" s="1"/>
  <c r="B1112" i="4"/>
  <c r="Q800" i="4"/>
  <c r="R800" i="4" s="1" a="1"/>
  <c r="R800" i="4" s="1"/>
  <c r="B800" i="4"/>
  <c r="Q616" i="4"/>
  <c r="R616" i="4" s="1" a="1"/>
  <c r="R616" i="4" s="1"/>
  <c r="B616" i="4"/>
  <c r="Q600" i="4"/>
  <c r="R600" i="4" s="1" a="1"/>
  <c r="R600" i="4" s="1"/>
  <c r="B600" i="4"/>
  <c r="Q568" i="4"/>
  <c r="R568" i="4" s="1" a="1"/>
  <c r="R568" i="4" s="1"/>
  <c r="B568" i="4"/>
  <c r="Q424" i="4"/>
  <c r="R424" i="4" s="1" a="1"/>
  <c r="R424" i="4" s="1"/>
  <c r="B424" i="4"/>
  <c r="Q416" i="4"/>
  <c r="R416" i="4" s="1" a="1"/>
  <c r="R416" i="4" s="1"/>
  <c r="B416" i="4"/>
  <c r="Q384" i="4"/>
  <c r="R384" i="4" s="1" a="1"/>
  <c r="R384" i="4" s="1"/>
  <c r="B384" i="4"/>
  <c r="Q368" i="4"/>
  <c r="R368" i="4" s="1" a="1"/>
  <c r="R368" i="4" s="1"/>
  <c r="B368" i="4"/>
  <c r="Q288" i="4"/>
  <c r="R288" i="4" s="1" a="1"/>
  <c r="R288" i="4" s="1"/>
  <c r="B288" i="4"/>
  <c r="Q216" i="4"/>
  <c r="R216" i="4" s="1" a="1"/>
  <c r="R216" i="4" s="1"/>
  <c r="B216" i="4"/>
  <c r="Q184" i="4"/>
  <c r="R184" i="4" s="1" a="1"/>
  <c r="R184" i="4" s="1"/>
  <c r="B184" i="4"/>
  <c r="Q128" i="4"/>
  <c r="R128" i="4" s="1" a="1"/>
  <c r="R128" i="4" s="1"/>
  <c r="B128" i="4"/>
  <c r="B1442" i="4"/>
  <c r="B921" i="4"/>
  <c r="B79" i="4"/>
  <c r="B993" i="4"/>
  <c r="B408" i="4"/>
  <c r="B87" i="4"/>
  <c r="B46" i="4"/>
  <c r="B1388" i="4"/>
  <c r="B78" i="4"/>
  <c r="B433" i="4"/>
  <c r="B797" i="4"/>
  <c r="B1103" i="4"/>
  <c r="B45" i="4"/>
  <c r="B1361" i="4"/>
  <c r="B469" i="4"/>
  <c r="B687" i="4"/>
  <c r="B1215" i="4"/>
  <c r="B1464" i="4"/>
  <c r="B95" i="4"/>
  <c r="B1163" i="4"/>
  <c r="B582" i="4"/>
  <c r="B632" i="4"/>
  <c r="B1254" i="4"/>
  <c r="B1018" i="4"/>
  <c r="B260" i="4"/>
  <c r="B954" i="4"/>
  <c r="B1099" i="4"/>
  <c r="B1324" i="4"/>
  <c r="B512" i="4"/>
  <c r="B1437" i="4"/>
  <c r="B725" i="4"/>
  <c r="B664" i="4"/>
  <c r="B382" i="4"/>
  <c r="B740" i="4"/>
  <c r="B1382" i="4"/>
  <c r="Q18" i="4"/>
  <c r="R18" i="4" s="1" a="1"/>
  <c r="R18" i="4" s="1"/>
  <c r="B18" i="4"/>
  <c r="Q1190" i="4"/>
  <c r="R1190" i="4" s="1" a="1"/>
  <c r="R1190" i="4" s="1"/>
  <c r="B1190" i="4"/>
  <c r="Q253" i="4"/>
  <c r="R253" i="4" s="1" a="1"/>
  <c r="R253" i="4" s="1"/>
  <c r="B253" i="4"/>
  <c r="Q1087" i="4"/>
  <c r="R1087" i="4" s="1" a="1"/>
  <c r="R1087" i="4" s="1"/>
  <c r="B1087" i="4"/>
  <c r="Q1351" i="4"/>
  <c r="R1351" i="4" s="1" a="1"/>
  <c r="R1351" i="4" s="1"/>
  <c r="B1351" i="4"/>
  <c r="Q1189" i="4"/>
  <c r="R1189" i="4" s="1" a="1"/>
  <c r="R1189" i="4" s="1"/>
  <c r="B1189" i="4"/>
  <c r="Q686" i="4"/>
  <c r="R686" i="4" s="1" a="1"/>
  <c r="R686" i="4" s="1"/>
  <c r="B686" i="4"/>
  <c r="Q1349" i="4"/>
  <c r="R1349" i="4" s="1" a="1"/>
  <c r="R1349" i="4" s="1"/>
  <c r="B1349" i="4"/>
  <c r="Q1027" i="4"/>
  <c r="R1027" i="4" s="1" a="1"/>
  <c r="R1027" i="4" s="1"/>
  <c r="B1027" i="4"/>
  <c r="Q1326" i="4"/>
  <c r="R1326" i="4" s="1" a="1"/>
  <c r="R1326" i="4" s="1"/>
  <c r="B1326" i="4"/>
  <c r="Q1023" i="4"/>
  <c r="R1023" i="4" s="1" a="1"/>
  <c r="R1023" i="4" s="1"/>
  <c r="B1023" i="4"/>
  <c r="Q376" i="4"/>
  <c r="R376" i="4" s="1" a="1"/>
  <c r="R376" i="4" s="1"/>
  <c r="B376" i="4"/>
  <c r="Q1149" i="4"/>
  <c r="R1149" i="4" s="1" a="1"/>
  <c r="R1149" i="4" s="1"/>
  <c r="B1149" i="4"/>
  <c r="Q999" i="4"/>
  <c r="R999" i="4" s="1" a="1"/>
  <c r="R999" i="4" s="1"/>
  <c r="B999" i="4"/>
  <c r="Q1411" i="4"/>
  <c r="R1411" i="4" s="1" a="1"/>
  <c r="R1411" i="4" s="1"/>
  <c r="B1411" i="4"/>
  <c r="Q983" i="4"/>
  <c r="R983" i="4" s="1" a="1"/>
  <c r="R983" i="4" s="1"/>
  <c r="B983" i="4"/>
  <c r="Q796" i="4"/>
  <c r="R796" i="4" s="1" a="1"/>
  <c r="R796" i="4" s="1"/>
  <c r="B796" i="4"/>
  <c r="Q1013" i="4"/>
  <c r="R1013" i="4" s="1" a="1"/>
  <c r="R1013" i="4" s="1"/>
  <c r="B1013" i="4"/>
  <c r="Q1395" i="4"/>
  <c r="R1395" i="4" s="1" a="1"/>
  <c r="R1395" i="4" s="1"/>
  <c r="B1395" i="4"/>
  <c r="Q1302" i="4"/>
  <c r="R1302" i="4" s="1" a="1"/>
  <c r="R1302" i="4" s="1"/>
  <c r="B1302" i="4"/>
  <c r="Q259" i="4"/>
  <c r="R259" i="4" s="1" a="1"/>
  <c r="R259" i="4" s="1"/>
  <c r="B259" i="4"/>
  <c r="Q514" i="4"/>
  <c r="R514" i="4" s="1" a="1"/>
  <c r="R514" i="4" s="1"/>
  <c r="B514" i="4"/>
  <c r="Q566" i="4"/>
  <c r="R566" i="4" s="1" a="1"/>
  <c r="R566" i="4" s="1"/>
  <c r="B566" i="4"/>
  <c r="Q565" i="4"/>
  <c r="R565" i="4" s="1" a="1"/>
  <c r="R565" i="4" s="1"/>
  <c r="B565" i="4"/>
  <c r="Q1360" i="4"/>
  <c r="R1360" i="4" s="1" a="1"/>
  <c r="R1360" i="4" s="1"/>
  <c r="B1360" i="4"/>
  <c r="Q1439" i="4"/>
  <c r="R1439" i="4" s="1" a="1"/>
  <c r="R1439" i="4" s="1"/>
  <c r="B1439" i="4"/>
  <c r="Q499" i="4"/>
  <c r="R499" i="4" s="1" a="1"/>
  <c r="R499" i="4" s="1"/>
  <c r="B499" i="4"/>
  <c r="Q963" i="4"/>
  <c r="R963" i="4" s="1" a="1"/>
  <c r="R963" i="4" s="1"/>
  <c r="B963" i="4"/>
  <c r="Q208" i="4"/>
  <c r="R208" i="4" s="1" a="1"/>
  <c r="R208" i="4" s="1"/>
  <c r="B208" i="4"/>
  <c r="Q1096" i="4"/>
  <c r="R1096" i="4" s="1" a="1"/>
  <c r="R1096" i="4" s="1"/>
  <c r="B1096" i="4"/>
  <c r="Q776" i="4"/>
  <c r="R776" i="4" s="1" a="1"/>
  <c r="R776" i="4" s="1"/>
  <c r="B776" i="4"/>
  <c r="Q536" i="4"/>
  <c r="R536" i="4" s="1" a="1"/>
  <c r="R536" i="4" s="1"/>
  <c r="B536" i="4"/>
  <c r="Q1127" i="4"/>
  <c r="R1127" i="4" s="1" a="1"/>
  <c r="R1127" i="4" s="1"/>
  <c r="B1127" i="4"/>
  <c r="Q1385" i="4"/>
  <c r="R1385" i="4" s="1" a="1"/>
  <c r="R1385" i="4" s="1"/>
  <c r="B1385" i="4"/>
  <c r="Q831" i="4"/>
  <c r="R831" i="4" s="1" a="1"/>
  <c r="R831" i="4" s="1"/>
  <c r="B831" i="4"/>
  <c r="Q1460" i="4"/>
  <c r="R1460" i="4" s="1" a="1"/>
  <c r="R1460" i="4" s="1"/>
  <c r="B1460" i="4"/>
  <c r="Q815" i="4"/>
  <c r="R815" i="4" s="1" a="1"/>
  <c r="R815" i="4" s="1"/>
  <c r="B815" i="4"/>
  <c r="Q641" i="4"/>
  <c r="R641" i="4" s="1" a="1"/>
  <c r="R641" i="4" s="1"/>
  <c r="B641" i="4"/>
  <c r="Q799" i="4"/>
  <c r="R799" i="4" s="1" a="1"/>
  <c r="R799" i="4" s="1"/>
  <c r="B799" i="4"/>
  <c r="Q791" i="4"/>
  <c r="R791" i="4" s="1" a="1"/>
  <c r="R791" i="4" s="1"/>
  <c r="B791" i="4"/>
  <c r="Q462" i="4"/>
  <c r="R462" i="4" s="1" a="1"/>
  <c r="R462" i="4" s="1"/>
  <c r="B462" i="4"/>
  <c r="Q962" i="4"/>
  <c r="R962" i="4" s="1" a="1"/>
  <c r="R962" i="4" s="1"/>
  <c r="B962" i="4"/>
  <c r="Q1427" i="4"/>
  <c r="R1427" i="4" s="1" a="1"/>
  <c r="R1427" i="4" s="1"/>
  <c r="B1427" i="4"/>
  <c r="Q373" i="4"/>
  <c r="R373" i="4" s="1" a="1"/>
  <c r="R373" i="4" s="1"/>
  <c r="B373" i="4"/>
  <c r="Q751" i="4"/>
  <c r="R751" i="4" s="1" a="1"/>
  <c r="R751" i="4" s="1"/>
  <c r="B751" i="4"/>
  <c r="Q14" i="4"/>
  <c r="R14" i="4" s="1" a="1"/>
  <c r="R14" i="4" s="1"/>
  <c r="B14" i="4"/>
  <c r="Q489" i="4"/>
  <c r="R489" i="4" s="1" a="1"/>
  <c r="R489" i="4" s="1"/>
  <c r="B489" i="4"/>
  <c r="Q727" i="4"/>
  <c r="R727" i="4" s="1" a="1"/>
  <c r="R727" i="4" s="1"/>
  <c r="B727" i="4"/>
  <c r="Q180" i="4"/>
  <c r="R180" i="4" s="1" a="1"/>
  <c r="R180" i="4" s="1"/>
  <c r="B180" i="4"/>
  <c r="Q711" i="4"/>
  <c r="R711" i="4" s="1" a="1"/>
  <c r="R711" i="4" s="1"/>
  <c r="B711" i="4"/>
  <c r="Q1426" i="4"/>
  <c r="R1426" i="4" s="1" a="1"/>
  <c r="R1426" i="4" s="1"/>
  <c r="B1426" i="4"/>
  <c r="Q695" i="4"/>
  <c r="R695" i="4" s="1" a="1"/>
  <c r="R695" i="4" s="1"/>
  <c r="B695" i="4"/>
  <c r="Q533" i="4"/>
  <c r="R533" i="4" s="1" a="1"/>
  <c r="R533" i="4" s="1"/>
  <c r="B533" i="4"/>
  <c r="Q961" i="4"/>
  <c r="R961" i="4" s="1" a="1"/>
  <c r="R961" i="4" s="1"/>
  <c r="B961" i="4"/>
  <c r="Q671" i="4"/>
  <c r="R671" i="4" s="1" a="1"/>
  <c r="R671" i="4" s="1"/>
  <c r="B671" i="4"/>
  <c r="Q1025" i="4"/>
  <c r="R1025" i="4" s="1" a="1"/>
  <c r="R1025" i="4" s="1"/>
  <c r="B1025" i="4"/>
  <c r="Q863" i="4"/>
  <c r="R863" i="4" s="1" a="1"/>
  <c r="R863" i="4" s="1"/>
  <c r="B863" i="4"/>
  <c r="Q647" i="4"/>
  <c r="R647" i="4" s="1" a="1"/>
  <c r="R647" i="4" s="1"/>
  <c r="B647" i="4"/>
  <c r="Q724" i="4"/>
  <c r="R724" i="4" s="1" a="1"/>
  <c r="R724" i="4" s="1"/>
  <c r="B724" i="4"/>
  <c r="Q1202" i="4"/>
  <c r="R1202" i="4" s="1" a="1"/>
  <c r="R1202" i="4" s="1"/>
  <c r="B1202" i="4"/>
  <c r="Q257" i="4"/>
  <c r="R257" i="4" s="1" a="1"/>
  <c r="R257" i="4" s="1"/>
  <c r="B257" i="4"/>
  <c r="Q1184" i="4"/>
  <c r="R1184" i="4" s="1" a="1"/>
  <c r="R1184" i="4" s="1"/>
  <c r="B1184" i="4"/>
  <c r="Q749" i="4"/>
  <c r="R749" i="4" s="1" a="1"/>
  <c r="R749" i="4" s="1"/>
  <c r="B749" i="4"/>
  <c r="Q547" i="4"/>
  <c r="R547" i="4" s="1" a="1"/>
  <c r="R547" i="4" s="1"/>
  <c r="B547" i="4"/>
  <c r="Q591" i="4"/>
  <c r="R591" i="4" s="1" a="1"/>
  <c r="R591" i="4" s="1"/>
  <c r="B591" i="4"/>
  <c r="Q1044" i="4"/>
  <c r="R1044" i="4" s="1" a="1"/>
  <c r="R1044" i="4" s="1"/>
  <c r="B1044" i="4"/>
  <c r="Q575" i="4"/>
  <c r="R575" i="4" s="1" a="1"/>
  <c r="R575" i="4" s="1"/>
  <c r="B575" i="4"/>
  <c r="Q1322" i="4"/>
  <c r="R1322" i="4" s="1" a="1"/>
  <c r="R1322" i="4" s="1"/>
  <c r="B1322" i="4"/>
  <c r="Q836" i="4"/>
  <c r="R836" i="4" s="1" a="1"/>
  <c r="R836" i="4" s="1"/>
  <c r="B836" i="4"/>
  <c r="Q1126" i="4"/>
  <c r="R1126" i="4" s="1" a="1"/>
  <c r="R1126" i="4" s="1"/>
  <c r="B1126" i="4"/>
  <c r="Q720" i="4"/>
  <c r="R720" i="4" s="1" a="1"/>
  <c r="R720" i="4" s="1"/>
  <c r="B720" i="4"/>
  <c r="Q1093" i="4"/>
  <c r="R1093" i="4" s="1" a="1"/>
  <c r="R1093" i="4" s="1"/>
  <c r="B1093" i="4"/>
  <c r="Q527" i="4"/>
  <c r="R527" i="4" s="1" a="1"/>
  <c r="R527" i="4" s="1"/>
  <c r="B527" i="4"/>
  <c r="Q1021" i="4"/>
  <c r="R1021" i="4" s="1" a="1"/>
  <c r="R1021" i="4" s="1"/>
  <c r="B1021" i="4"/>
  <c r="Q1424" i="4"/>
  <c r="R1424" i="4" s="1" a="1"/>
  <c r="R1424" i="4" s="1"/>
  <c r="B1424" i="4"/>
  <c r="Q30" i="4"/>
  <c r="R30" i="4" s="1" a="1"/>
  <c r="R30" i="4" s="1"/>
  <c r="B30" i="4"/>
  <c r="Q323" i="4"/>
  <c r="R323" i="4" s="1" a="1"/>
  <c r="R323" i="4" s="1"/>
  <c r="B323" i="4"/>
  <c r="Q1337" i="4"/>
  <c r="R1337" i="4" s="1" a="1"/>
  <c r="R1337" i="4" s="1"/>
  <c r="B1337" i="4"/>
  <c r="Q136" i="4"/>
  <c r="R136" i="4" s="1" a="1"/>
  <c r="R136" i="4" s="1"/>
  <c r="B136" i="4"/>
  <c r="Q471" i="4"/>
  <c r="R471" i="4" s="1" a="1"/>
  <c r="R471" i="4" s="1"/>
  <c r="B471" i="4"/>
  <c r="Q509" i="4"/>
  <c r="R509" i="4" s="1" a="1"/>
  <c r="R509" i="4" s="1"/>
  <c r="B509" i="4"/>
  <c r="Q455" i="4"/>
  <c r="R455" i="4" s="1" a="1"/>
  <c r="R455" i="4" s="1"/>
  <c r="B455" i="4"/>
  <c r="Q235" i="4"/>
  <c r="R235" i="4" s="1" a="1"/>
  <c r="R235" i="4" s="1"/>
  <c r="B235" i="4"/>
  <c r="Q1455" i="4"/>
  <c r="R1455" i="4" s="1" a="1"/>
  <c r="R1455" i="4" s="1"/>
  <c r="B1455" i="4"/>
  <c r="Q654" i="4"/>
  <c r="R654" i="4" s="1" a="1"/>
  <c r="R654" i="4" s="1"/>
  <c r="B654" i="4"/>
  <c r="Q423" i="4"/>
  <c r="R423" i="4" s="1" a="1"/>
  <c r="R423" i="4" s="1"/>
  <c r="B423" i="4"/>
  <c r="Q508" i="4"/>
  <c r="R508" i="4" s="1" a="1"/>
  <c r="R508" i="4" s="1"/>
  <c r="B508" i="4"/>
  <c r="Q407" i="4"/>
  <c r="R407" i="4" s="1" a="1"/>
  <c r="R407" i="4" s="1"/>
  <c r="B407" i="4"/>
  <c r="Q914" i="4"/>
  <c r="R914" i="4" s="1" a="1"/>
  <c r="R914" i="4" s="1"/>
  <c r="B914" i="4"/>
  <c r="Q1280" i="4"/>
  <c r="R1280" i="4" s="1" a="1"/>
  <c r="R1280" i="4" s="1"/>
  <c r="B1280" i="4"/>
  <c r="Q366" i="4"/>
  <c r="R366" i="4" s="1" a="1"/>
  <c r="R366" i="4" s="1"/>
  <c r="B366" i="4"/>
  <c r="Q1066" i="4"/>
  <c r="R1066" i="4" s="1" a="1"/>
  <c r="R1066" i="4" s="1"/>
  <c r="B1066" i="4"/>
  <c r="Q1297" i="4"/>
  <c r="R1297" i="4" s="1" a="1"/>
  <c r="R1297" i="4" s="1"/>
  <c r="B1297" i="4"/>
  <c r="Q359" i="4"/>
  <c r="R359" i="4" s="1" a="1"/>
  <c r="R359" i="4" s="1"/>
  <c r="B359" i="4"/>
  <c r="Q117" i="4"/>
  <c r="R117" i="4" s="1" a="1"/>
  <c r="R117" i="4" s="1"/>
  <c r="B117" i="4"/>
  <c r="Q5" i="4"/>
  <c r="R5" i="4" s="1" a="1"/>
  <c r="R5" i="4" s="1"/>
  <c r="B5" i="4"/>
  <c r="Q336" i="4"/>
  <c r="R336" i="4" s="1" a="1"/>
  <c r="R336" i="4" s="1"/>
  <c r="B336" i="4"/>
  <c r="Q86" i="4"/>
  <c r="R86" i="4" s="1" a="1"/>
  <c r="R86" i="4" s="1"/>
  <c r="B86" i="4"/>
  <c r="Q319" i="4"/>
  <c r="R319" i="4" s="1" a="1"/>
  <c r="R319" i="4" s="1"/>
  <c r="B319" i="4"/>
  <c r="Q295" i="4"/>
  <c r="R295" i="4" s="1" a="1"/>
  <c r="R295" i="4" s="1"/>
  <c r="B295" i="4"/>
  <c r="Q231" i="4"/>
  <c r="R231" i="4" s="1" a="1"/>
  <c r="R231" i="4" s="1"/>
  <c r="B231" i="4"/>
  <c r="Q207" i="4"/>
  <c r="R207" i="4" s="1" a="1"/>
  <c r="R207" i="4" s="1"/>
  <c r="B207" i="4"/>
  <c r="Q71" i="4"/>
  <c r="R71" i="4" s="1" a="1"/>
  <c r="R71" i="4" s="1"/>
  <c r="B71" i="4"/>
  <c r="Q47" i="4"/>
  <c r="R47" i="4" s="1" a="1"/>
  <c r="R47" i="4" s="1"/>
  <c r="B47" i="4"/>
  <c r="Q23" i="4"/>
  <c r="R23" i="4" s="1" a="1"/>
  <c r="R23" i="4" s="1"/>
  <c r="B23" i="4"/>
  <c r="B1454" i="4"/>
  <c r="B1079" i="4"/>
  <c r="B764" i="4"/>
  <c r="B655" i="4"/>
  <c r="B658" i="4"/>
  <c r="B560" i="4"/>
  <c r="B440" i="4"/>
  <c r="Q1062" i="4"/>
  <c r="R1062" i="4" s="1" a="1"/>
  <c r="R1062" i="4" s="1"/>
  <c r="B1062" i="4"/>
  <c r="Q1014" i="4"/>
  <c r="R1014" i="4" s="1" a="1"/>
  <c r="R1014" i="4" s="1"/>
  <c r="B1014" i="4"/>
  <c r="Q982" i="4"/>
  <c r="R982" i="4" s="1" a="1"/>
  <c r="R982" i="4" s="1"/>
  <c r="B982" i="4"/>
  <c r="Q934" i="4"/>
  <c r="R934" i="4" s="1" a="1"/>
  <c r="R934" i="4" s="1"/>
  <c r="B934" i="4"/>
  <c r="Q838" i="4"/>
  <c r="R838" i="4" s="1" a="1"/>
  <c r="R838" i="4" s="1"/>
  <c r="B838" i="4"/>
  <c r="Q830" i="4"/>
  <c r="R830" i="4" s="1" a="1"/>
  <c r="R830" i="4" s="1"/>
  <c r="B830" i="4"/>
  <c r="Q782" i="4"/>
  <c r="R782" i="4" s="1" a="1"/>
  <c r="R782" i="4" s="1"/>
  <c r="B782" i="4"/>
  <c r="Q734" i="4"/>
  <c r="R734" i="4" s="1" a="1"/>
  <c r="R734" i="4" s="1"/>
  <c r="B734" i="4"/>
  <c r="Q702" i="4"/>
  <c r="R702" i="4" s="1" a="1"/>
  <c r="R702" i="4" s="1"/>
  <c r="B702" i="4"/>
  <c r="Q662" i="4"/>
  <c r="R662" i="4" s="1" a="1"/>
  <c r="R662" i="4" s="1"/>
  <c r="B662" i="4"/>
  <c r="Q638" i="4"/>
  <c r="R638" i="4" s="1" a="1"/>
  <c r="R638" i="4" s="1"/>
  <c r="B638" i="4"/>
  <c r="Q542" i="4"/>
  <c r="R542" i="4" s="1" a="1"/>
  <c r="R542" i="4" s="1"/>
  <c r="B542" i="4"/>
  <c r="Q438" i="4"/>
  <c r="R438" i="4" s="1" a="1"/>
  <c r="R438" i="4" s="1"/>
  <c r="B438" i="4"/>
  <c r="Q238" i="4"/>
  <c r="R238" i="4" s="1" a="1"/>
  <c r="R238" i="4" s="1"/>
  <c r="B238" i="4"/>
  <c r="Q206" i="4"/>
  <c r="R206" i="4" s="1" a="1"/>
  <c r="R206" i="4" s="1"/>
  <c r="B206" i="4"/>
  <c r="Q142" i="4"/>
  <c r="R142" i="4" s="1" a="1"/>
  <c r="R142" i="4" s="1"/>
  <c r="B142" i="4"/>
  <c r="Q134" i="4"/>
  <c r="R134" i="4" s="1" a="1"/>
  <c r="R134" i="4" s="1"/>
  <c r="B134" i="4"/>
  <c r="Q126" i="4"/>
  <c r="R126" i="4" s="1" a="1"/>
  <c r="R126" i="4" s="1"/>
  <c r="B126" i="4"/>
  <c r="Q102" i="4"/>
  <c r="R102" i="4" s="1" a="1"/>
  <c r="R102" i="4" s="1"/>
  <c r="B102" i="4"/>
  <c r="Q38" i="4"/>
  <c r="R38" i="4" s="1" a="1"/>
  <c r="R38" i="4" s="1"/>
  <c r="B38" i="4"/>
  <c r="B185" i="4"/>
  <c r="B1415" i="4"/>
  <c r="B752" i="4"/>
  <c r="B307" i="4"/>
  <c r="B21" i="4"/>
  <c r="B912" i="4"/>
  <c r="B304" i="4"/>
  <c r="B710" i="4"/>
  <c r="B64" i="4"/>
  <c r="B58" i="4"/>
  <c r="B1151" i="4"/>
  <c r="B709" i="4"/>
  <c r="B1308" i="4"/>
  <c r="B1086" i="4"/>
  <c r="B302" i="4"/>
  <c r="B315" i="4"/>
  <c r="B744" i="4"/>
  <c r="B1084" i="4"/>
  <c r="B34" i="4"/>
  <c r="B541" i="4"/>
  <c r="B1289" i="4"/>
  <c r="B569" i="4"/>
  <c r="B1008" i="4"/>
  <c r="B803" i="4"/>
  <c r="B750" i="4"/>
  <c r="B72" i="4"/>
  <c r="B620" i="4"/>
  <c r="Q935" i="4"/>
  <c r="R935" i="4" s="1" a="1"/>
  <c r="R935" i="4" s="1"/>
  <c r="B935" i="4"/>
  <c r="Q332" i="4"/>
  <c r="R332" i="4" s="1" a="1"/>
  <c r="R332" i="4" s="1"/>
  <c r="B332" i="4"/>
  <c r="Q689" i="4"/>
  <c r="R689" i="4" s="1" a="1"/>
  <c r="R689" i="4" s="1"/>
  <c r="B689" i="4"/>
  <c r="Q1414" i="4"/>
  <c r="R1414" i="4" s="1" a="1"/>
  <c r="R1414" i="4" s="1"/>
  <c r="B1414" i="4"/>
  <c r="Q284" i="4"/>
  <c r="R284" i="4" s="1" a="1"/>
  <c r="R284" i="4" s="1"/>
  <c r="B284" i="4"/>
  <c r="Q363" i="4"/>
  <c r="R363" i="4" s="1" a="1"/>
  <c r="R363" i="4" s="1"/>
  <c r="B363" i="4"/>
  <c r="Q409" i="4"/>
  <c r="R409" i="4" s="1" a="1"/>
  <c r="R409" i="4" s="1"/>
  <c r="B409" i="4"/>
  <c r="Q116" i="4"/>
  <c r="R116" i="4" s="1" a="1"/>
  <c r="R116" i="4" s="1"/>
  <c r="B116" i="4"/>
  <c r="Q22" i="4"/>
  <c r="R22" i="4" s="1" a="1"/>
  <c r="R22" i="4" s="1"/>
  <c r="B22" i="4"/>
  <c r="Q1397" i="4"/>
  <c r="R1397" i="4" s="1" a="1"/>
  <c r="R1397" i="4" s="1"/>
  <c r="B1397" i="4"/>
  <c r="Q115" i="4"/>
  <c r="R115" i="4" s="1" a="1"/>
  <c r="R115" i="4" s="1"/>
  <c r="B115" i="4"/>
  <c r="Q1381" i="4"/>
  <c r="R1381" i="4" s="1" a="1"/>
  <c r="R1381" i="4" s="1"/>
  <c r="B1381" i="4"/>
  <c r="Q156" i="4"/>
  <c r="R156" i="4" s="1" a="1"/>
  <c r="R156" i="4" s="1"/>
  <c r="B156" i="4"/>
  <c r="Q981" i="4"/>
  <c r="R981" i="4" s="1" a="1"/>
  <c r="R981" i="4" s="1"/>
  <c r="B981" i="4"/>
  <c r="Q344" i="4"/>
  <c r="R344" i="4" s="1" a="1"/>
  <c r="R344" i="4" s="1"/>
  <c r="B344" i="4"/>
  <c r="Q504" i="4"/>
  <c r="R504" i="4" s="1" a="1"/>
  <c r="R504" i="4" s="1"/>
  <c r="B504" i="4"/>
  <c r="Q1341" i="4"/>
  <c r="R1341" i="4" s="1" a="1"/>
  <c r="R1341" i="4" s="1"/>
  <c r="B1341" i="4"/>
  <c r="Q757" i="4"/>
  <c r="R757" i="4" s="1" a="1"/>
  <c r="R757" i="4" s="1"/>
  <c r="B757" i="4"/>
  <c r="Q911" i="4"/>
  <c r="R911" i="4" s="1" a="1"/>
  <c r="R911" i="4" s="1"/>
  <c r="B911" i="4"/>
  <c r="Q1396" i="4"/>
  <c r="R1396" i="4" s="1" a="1"/>
  <c r="R1396" i="4" s="1"/>
  <c r="B1396" i="4"/>
  <c r="Q735" i="4"/>
  <c r="R735" i="4" s="1" a="1"/>
  <c r="R735" i="4" s="1"/>
  <c r="B735" i="4"/>
  <c r="Q849" i="4"/>
  <c r="R849" i="4" s="1" a="1"/>
  <c r="R849" i="4" s="1"/>
  <c r="B849" i="4"/>
  <c r="Q1293" i="4"/>
  <c r="R1293" i="4" s="1" a="1"/>
  <c r="R1293" i="4" s="1"/>
  <c r="B1293" i="4"/>
  <c r="Q832" i="4"/>
  <c r="R832" i="4" s="1" a="1"/>
  <c r="R832" i="4" s="1"/>
  <c r="B832" i="4"/>
  <c r="Q1102" i="4"/>
  <c r="R1102" i="4" s="1" a="1"/>
  <c r="R1102" i="4" s="1"/>
  <c r="B1102" i="4"/>
  <c r="Q303" i="4"/>
  <c r="R303" i="4" s="1" a="1"/>
  <c r="R303" i="4" s="1"/>
  <c r="B303" i="4"/>
  <c r="Q470" i="4"/>
  <c r="R470" i="4" s="1" a="1"/>
  <c r="R470" i="4" s="1"/>
  <c r="B470" i="4"/>
  <c r="Q192" i="4"/>
  <c r="R192" i="4" s="1" a="1"/>
  <c r="R192" i="4" s="1"/>
  <c r="B192" i="4"/>
  <c r="Q264" i="4"/>
  <c r="R264" i="4" s="1" a="1"/>
  <c r="R264" i="4" s="1"/>
  <c r="B264" i="4"/>
  <c r="Q780" i="4"/>
  <c r="R780" i="4" s="1" a="1"/>
  <c r="R780" i="4" s="1"/>
  <c r="B780" i="4"/>
  <c r="Q583" i="4"/>
  <c r="R583" i="4" s="1" a="1"/>
  <c r="R583" i="4" s="1"/>
  <c r="B583" i="4"/>
  <c r="Q97" i="4"/>
  <c r="R97" i="4" s="1" a="1"/>
  <c r="R97" i="4" s="1"/>
  <c r="B97" i="4"/>
  <c r="Q1366" i="4"/>
  <c r="R1366" i="4" s="1" a="1"/>
  <c r="R1366" i="4" s="1"/>
  <c r="B1366" i="4"/>
  <c r="Q966" i="4"/>
  <c r="R966" i="4" s="1" a="1"/>
  <c r="R966" i="4" s="1"/>
  <c r="B966" i="4"/>
  <c r="Q1119" i="4"/>
  <c r="R1119" i="4" s="1" a="1"/>
  <c r="R1119" i="4" s="1"/>
  <c r="B1119" i="4"/>
  <c r="Q571" i="4"/>
  <c r="R571" i="4" s="1" a="1"/>
  <c r="R571" i="4" s="1"/>
  <c r="B571" i="4"/>
  <c r="Q254" i="4"/>
  <c r="R254" i="4" s="1" a="1"/>
  <c r="R254" i="4" s="1"/>
  <c r="B254" i="4"/>
  <c r="Q1173" i="4"/>
  <c r="R1173" i="4" s="1" a="1"/>
  <c r="R1173" i="4" s="1"/>
  <c r="B1173" i="4"/>
  <c r="Q451" i="4"/>
  <c r="R451" i="4" s="1" a="1"/>
  <c r="R451" i="4" s="1"/>
  <c r="B451" i="4"/>
  <c r="Q518" i="4"/>
  <c r="R518" i="4" s="1" a="1"/>
  <c r="R518" i="4" s="1"/>
  <c r="B518" i="4"/>
  <c r="Q77" i="4"/>
  <c r="R77" i="4" s="1" a="1"/>
  <c r="R77" i="4" s="1"/>
  <c r="B77" i="4"/>
  <c r="Q814" i="4"/>
  <c r="R814" i="4" s="1" a="1"/>
  <c r="R814" i="4" s="1"/>
  <c r="B814" i="4"/>
  <c r="Q1177" i="4"/>
  <c r="R1177" i="4" s="1" a="1"/>
  <c r="R1177" i="4" s="1"/>
  <c r="B1177" i="4"/>
  <c r="Q43" i="4"/>
  <c r="R43" i="4" s="1" a="1"/>
  <c r="R43" i="4" s="1"/>
  <c r="B43" i="4"/>
  <c r="Q1047" i="4"/>
  <c r="R1047" i="4" s="1" a="1"/>
  <c r="R1047" i="4" s="1"/>
  <c r="B1047" i="4"/>
  <c r="Q377" i="4"/>
  <c r="R377" i="4" s="1" a="1"/>
  <c r="R377" i="4" s="1"/>
  <c r="B377" i="4"/>
  <c r="Q165" i="4"/>
  <c r="R165" i="4" s="1" a="1"/>
  <c r="R165" i="4" s="1"/>
  <c r="B165" i="4"/>
  <c r="Q406" i="4"/>
  <c r="R406" i="4" s="1" a="1"/>
  <c r="R406" i="4" s="1"/>
  <c r="B406" i="4"/>
  <c r="Q1085" i="4"/>
  <c r="R1085" i="4" s="1" a="1"/>
  <c r="R1085" i="4" s="1"/>
  <c r="B1085" i="4"/>
  <c r="Q581" i="4"/>
  <c r="R581" i="4" s="1" a="1"/>
  <c r="R581" i="4" s="1"/>
  <c r="B581" i="4"/>
  <c r="Q152" i="4"/>
  <c r="R152" i="4" s="1" a="1"/>
  <c r="R152" i="4" s="1"/>
  <c r="B152" i="4"/>
  <c r="Q1441" i="4"/>
  <c r="R1441" i="4" s="1" a="1"/>
  <c r="R1441" i="4" s="1"/>
  <c r="B1441" i="4"/>
  <c r="Q1002" i="4"/>
  <c r="R1002" i="4" s="1" a="1"/>
  <c r="R1002" i="4" s="1"/>
  <c r="B1002" i="4"/>
  <c r="Q1117" i="4"/>
  <c r="R1117" i="4" s="1" a="1"/>
  <c r="R1117" i="4" s="1"/>
  <c r="B1117" i="4"/>
  <c r="Q864" i="4"/>
  <c r="R864" i="4" s="1" a="1"/>
  <c r="R864" i="4" s="1"/>
  <c r="B864" i="4"/>
  <c r="Q629" i="4"/>
  <c r="R629" i="4" s="1" a="1"/>
  <c r="R629" i="4" s="1"/>
  <c r="B629" i="4"/>
  <c r="Q1175" i="4"/>
  <c r="R1175" i="4" s="1" a="1"/>
  <c r="R1175" i="4" s="1"/>
  <c r="B1175" i="4"/>
  <c r="Q502" i="4"/>
  <c r="R502" i="4" s="1" a="1"/>
  <c r="R502" i="4" s="1"/>
  <c r="B502" i="4"/>
  <c r="Q929" i="4"/>
  <c r="R929" i="4" s="1" a="1"/>
  <c r="R929" i="4" s="1"/>
  <c r="B929" i="4"/>
  <c r="Q891" i="4"/>
  <c r="R891" i="4" s="1" a="1"/>
  <c r="R891" i="4" s="1"/>
  <c r="B891" i="4"/>
  <c r="Q1100" i="4"/>
  <c r="R1100" i="4" s="1" a="1"/>
  <c r="R1100" i="4" s="1"/>
  <c r="B1100" i="4"/>
  <c r="Q703" i="4"/>
  <c r="R703" i="4" s="1" a="1"/>
  <c r="R703" i="4" s="1"/>
  <c r="B703" i="4"/>
  <c r="Q928" i="4"/>
  <c r="R928" i="4" s="1" a="1"/>
  <c r="R928" i="4" s="1"/>
  <c r="B928" i="4"/>
  <c r="Q278" i="4"/>
  <c r="R278" i="4" s="1" a="1"/>
  <c r="R278" i="4" s="1"/>
  <c r="B278" i="4"/>
  <c r="Q466" i="4"/>
  <c r="R466" i="4" s="1" a="1"/>
  <c r="R466" i="4" s="1"/>
  <c r="B466" i="4"/>
  <c r="Q949" i="4"/>
  <c r="R949" i="4" s="1" a="1"/>
  <c r="R949" i="4" s="1"/>
  <c r="B949" i="4"/>
  <c r="Q941" i="4"/>
  <c r="R941" i="4" s="1" a="1"/>
  <c r="R941" i="4" s="1"/>
  <c r="B941" i="4"/>
  <c r="Q450" i="4"/>
  <c r="R450" i="4" s="1" a="1"/>
  <c r="R450" i="4" s="1"/>
  <c r="B450" i="4"/>
  <c r="Q1148" i="4"/>
  <c r="R1148" i="4" s="1" a="1"/>
  <c r="R1148" i="4" s="1"/>
  <c r="B1148" i="4"/>
  <c r="Q917" i="4"/>
  <c r="R917" i="4" s="1" a="1"/>
  <c r="R917" i="4" s="1"/>
  <c r="B917" i="4"/>
  <c r="Q75" i="4"/>
  <c r="R75" i="4" s="1" a="1"/>
  <c r="R75" i="4" s="1"/>
  <c r="B75" i="4"/>
  <c r="Q358" i="4"/>
  <c r="R358" i="4" s="1" a="1"/>
  <c r="R358" i="4" s="1"/>
  <c r="B358" i="4"/>
  <c r="Q1209" i="4"/>
  <c r="R1209" i="4" s="1" a="1"/>
  <c r="R1209" i="4" s="1"/>
  <c r="B1209" i="4"/>
  <c r="Q537" i="4"/>
  <c r="R537" i="4" s="1" a="1"/>
  <c r="R537" i="4" s="1"/>
  <c r="B537" i="4"/>
  <c r="Q399" i="4"/>
  <c r="R399" i="4" s="1" a="1"/>
  <c r="R399" i="4" s="1"/>
  <c r="B399" i="4"/>
  <c r="Q1046" i="4"/>
  <c r="R1046" i="4" s="1" a="1"/>
  <c r="R1046" i="4" s="1"/>
  <c r="B1046" i="4"/>
  <c r="Q889" i="4"/>
  <c r="R889" i="4" s="1" a="1"/>
  <c r="R889" i="4" s="1"/>
  <c r="B889" i="4"/>
  <c r="Q1240" i="4"/>
  <c r="R1240" i="4" s="1" a="1"/>
  <c r="R1240" i="4" s="1"/>
  <c r="B1240" i="4"/>
  <c r="Q357" i="4"/>
  <c r="R357" i="4" s="1" a="1"/>
  <c r="R357" i="4" s="1"/>
  <c r="B357" i="4"/>
  <c r="Q189" i="4"/>
  <c r="R189" i="4" s="1" a="1"/>
  <c r="R189" i="4" s="1"/>
  <c r="B189" i="4"/>
  <c r="Q976" i="4"/>
  <c r="R976" i="4" s="1" a="1"/>
  <c r="R976" i="4" s="1"/>
  <c r="B976" i="4"/>
  <c r="Q775" i="4"/>
  <c r="R775" i="4" s="1" a="1"/>
  <c r="R775" i="4" s="1"/>
  <c r="B775" i="4"/>
  <c r="Q674" i="4"/>
  <c r="R674" i="4" s="1" a="1"/>
  <c r="R674" i="4" s="1"/>
  <c r="B674" i="4"/>
  <c r="Q811" i="4"/>
  <c r="R811" i="4" s="1" a="1"/>
  <c r="R811" i="4" s="1"/>
  <c r="B811" i="4"/>
  <c r="Q511" i="4"/>
  <c r="R511" i="4" s="1" a="1"/>
  <c r="R511" i="4" s="1"/>
  <c r="B511" i="4"/>
  <c r="Q781" i="4"/>
  <c r="R781" i="4" s="1" a="1"/>
  <c r="R781" i="4" s="1"/>
  <c r="B781" i="4"/>
  <c r="Q563" i="4"/>
  <c r="R563" i="4" s="1" a="1"/>
  <c r="R563" i="4" s="1"/>
  <c r="B563" i="4"/>
  <c r="Q1436" i="4"/>
  <c r="R1436" i="4" s="1" a="1"/>
  <c r="R1436" i="4" s="1"/>
  <c r="B1436" i="4"/>
  <c r="Q810" i="4"/>
  <c r="R810" i="4" s="1" a="1"/>
  <c r="R810" i="4" s="1"/>
  <c r="B810" i="4"/>
  <c r="Q733" i="4"/>
  <c r="R733" i="4" s="1" a="1"/>
  <c r="R733" i="4" s="1"/>
  <c r="B733" i="4"/>
  <c r="Q73" i="4"/>
  <c r="R73" i="4" s="1" a="1"/>
  <c r="R73" i="4" s="1"/>
  <c r="B73" i="4"/>
  <c r="Q578" i="4"/>
  <c r="R578" i="4" s="1" a="1"/>
  <c r="R578" i="4" s="1"/>
  <c r="B578" i="4"/>
  <c r="Q774" i="4"/>
  <c r="R774" i="4" s="1" a="1"/>
  <c r="R774" i="4" s="1"/>
  <c r="B774" i="4"/>
  <c r="Q54" i="4"/>
  <c r="R54" i="4" s="1" a="1"/>
  <c r="R54" i="4" s="1"/>
  <c r="B54" i="4"/>
  <c r="Q685" i="4"/>
  <c r="R685" i="4" s="1" a="1"/>
  <c r="R685" i="4" s="1"/>
  <c r="B685" i="4"/>
  <c r="Q975" i="4"/>
  <c r="R975" i="4" s="1" a="1"/>
  <c r="R975" i="4" s="1"/>
  <c r="B975" i="4"/>
  <c r="Q669" i="4"/>
  <c r="R669" i="4" s="1" a="1"/>
  <c r="R669" i="4" s="1"/>
  <c r="B669" i="4"/>
  <c r="Q1432" i="4"/>
  <c r="R1432" i="4" s="1" a="1"/>
  <c r="R1432" i="4" s="1"/>
  <c r="B1432" i="4"/>
  <c r="Q597" i="4"/>
  <c r="R597" i="4" s="1" a="1"/>
  <c r="R597" i="4" s="1"/>
  <c r="B597" i="4"/>
  <c r="Q437" i="4"/>
  <c r="R437" i="4" s="1" a="1"/>
  <c r="R437" i="4" s="1"/>
  <c r="B437" i="4"/>
  <c r="Q1372" i="4"/>
  <c r="R1372" i="4" s="1" a="1"/>
  <c r="R1372" i="4" s="1"/>
  <c r="B1372" i="4"/>
  <c r="Q365" i="4"/>
  <c r="R365" i="4" s="1" a="1"/>
  <c r="R365" i="4" s="1"/>
  <c r="B365" i="4"/>
  <c r="Q325" i="4"/>
  <c r="R325" i="4" s="1" a="1"/>
  <c r="R325" i="4" s="1"/>
  <c r="B325" i="4"/>
  <c r="Q261" i="4"/>
  <c r="R261" i="4" s="1" a="1"/>
  <c r="R261" i="4" s="1"/>
  <c r="B261" i="4"/>
  <c r="Q884" i="4"/>
  <c r="R884" i="4" s="1" a="1"/>
  <c r="R884" i="4" s="1"/>
  <c r="B884" i="4"/>
  <c r="Q173" i="4"/>
  <c r="R173" i="4" s="1" a="1"/>
  <c r="R173" i="4" s="1"/>
  <c r="B173" i="4"/>
  <c r="Q109" i="4"/>
  <c r="R109" i="4" s="1" a="1"/>
  <c r="R109" i="4" s="1"/>
  <c r="B109" i="4"/>
  <c r="Q53" i="4"/>
  <c r="R53" i="4" s="1" a="1"/>
  <c r="R53" i="4" s="1"/>
  <c r="B53" i="4"/>
  <c r="B1224" i="4"/>
  <c r="B910" i="4"/>
  <c r="B1070" i="4"/>
  <c r="B1038" i="4"/>
  <c r="B942" i="4"/>
  <c r="B798" i="4"/>
  <c r="B1147" i="4"/>
  <c r="B898" i="4"/>
  <c r="B445" i="4"/>
  <c r="B394" i="4"/>
  <c r="Q908" i="4"/>
  <c r="R908" i="4" s="1" a="1"/>
  <c r="R908" i="4" s="1"/>
  <c r="B908" i="4"/>
  <c r="Q484" i="4"/>
  <c r="R484" i="4" s="1" a="1"/>
  <c r="R484" i="4" s="1"/>
  <c r="B484" i="4"/>
  <c r="Q874" i="4"/>
  <c r="R874" i="4" s="1" a="1"/>
  <c r="R874" i="4" s="1"/>
  <c r="B874" i="4"/>
  <c r="Q1170" i="4"/>
  <c r="R1170" i="4" s="1" a="1"/>
  <c r="R1170" i="4" s="1"/>
  <c r="B1170" i="4"/>
  <c r="Q1218" i="4"/>
  <c r="R1218" i="4" s="1" a="1"/>
  <c r="R1218" i="4" s="1"/>
  <c r="B1218" i="4"/>
  <c r="Q696" i="4"/>
  <c r="R696" i="4" s="1" a="1"/>
  <c r="R696" i="4" s="1"/>
  <c r="B696" i="4"/>
  <c r="Q667" i="4"/>
  <c r="R667" i="4" s="1" a="1"/>
  <c r="R667" i="4" s="1"/>
  <c r="B667" i="4"/>
  <c r="Q40" i="4"/>
  <c r="R40" i="4" s="1" a="1"/>
  <c r="R40" i="4" s="1"/>
  <c r="B40" i="4"/>
  <c r="Q68" i="4"/>
  <c r="R68" i="4" s="1" a="1"/>
  <c r="R68" i="4" s="1"/>
  <c r="B68" i="4"/>
  <c r="Q1068" i="4"/>
  <c r="R1068" i="4" s="1" a="1"/>
  <c r="R1068" i="4" s="1"/>
  <c r="B1068" i="4"/>
  <c r="Q1467" i="4"/>
  <c r="R1467" i="4" s="1" a="1"/>
  <c r="R1467" i="4" s="1"/>
  <c r="B1467" i="4"/>
  <c r="Q1055" i="4"/>
  <c r="R1055" i="4" s="1" a="1"/>
  <c r="R1055" i="4" s="1"/>
  <c r="B1055" i="4"/>
  <c r="Q380" i="4"/>
  <c r="R380" i="4" s="1" a="1"/>
  <c r="R380" i="4" s="1"/>
  <c r="B380" i="4"/>
  <c r="Q372" i="4"/>
  <c r="R372" i="4" s="1" a="1"/>
  <c r="R372" i="4" s="1"/>
  <c r="B372" i="4"/>
  <c r="Q337" i="4"/>
  <c r="R337" i="4" s="1" a="1"/>
  <c r="R337" i="4" s="1"/>
  <c r="B337" i="4"/>
  <c r="Q872" i="4"/>
  <c r="R872" i="4" s="1" a="1"/>
  <c r="R872" i="4" s="1"/>
  <c r="B872" i="4"/>
  <c r="Q617" i="4"/>
  <c r="R617" i="4" s="1" a="1"/>
  <c r="R617" i="4" s="1"/>
  <c r="B617" i="4"/>
  <c r="Q807" i="4"/>
  <c r="R807" i="4" s="1" a="1"/>
  <c r="R807" i="4" s="1"/>
  <c r="B807" i="4"/>
  <c r="Q425" i="4"/>
  <c r="R425" i="4" s="1" a="1"/>
  <c r="R425" i="4" s="1"/>
  <c r="B425" i="4"/>
  <c r="Q1263" i="4"/>
  <c r="R1263" i="4" s="1" a="1"/>
  <c r="R1263" i="4" s="1"/>
  <c r="B1263" i="4"/>
  <c r="Q615" i="4"/>
  <c r="R615" i="4" s="1" a="1"/>
  <c r="R615" i="4" s="1"/>
  <c r="B615" i="4"/>
  <c r="Q1168" i="4"/>
  <c r="R1168" i="4" s="1" a="1"/>
  <c r="R1168" i="4" s="1"/>
  <c r="B1168" i="4"/>
  <c r="Q823" i="4"/>
  <c r="R823" i="4" s="1" a="1"/>
  <c r="R823" i="4" s="1"/>
  <c r="B823" i="4"/>
  <c r="Q1465" i="4"/>
  <c r="R1465" i="4" s="1" a="1"/>
  <c r="R1465" i="4" s="1"/>
  <c r="B1465" i="4"/>
  <c r="Q1295" i="4"/>
  <c r="R1295" i="4" s="1" a="1"/>
  <c r="R1295" i="4" s="1"/>
  <c r="B1295" i="4"/>
  <c r="Q347" i="4"/>
  <c r="R347" i="4" s="1" a="1"/>
  <c r="R347" i="4" s="1"/>
  <c r="B347" i="4"/>
  <c r="Q1137" i="4"/>
  <c r="R1137" i="4" s="1" a="1"/>
  <c r="R1137" i="4" s="1"/>
  <c r="B1137" i="4"/>
  <c r="Q679" i="4"/>
  <c r="R679" i="4" s="1" a="1"/>
  <c r="R679" i="4" s="1"/>
  <c r="B679" i="4"/>
  <c r="Q252" i="4"/>
  <c r="R252" i="4" s="1" a="1"/>
  <c r="R252" i="4" s="1"/>
  <c r="B252" i="4"/>
  <c r="Q271" i="4"/>
  <c r="R271" i="4" s="1" a="1"/>
  <c r="R271" i="4" s="1"/>
  <c r="B271" i="4"/>
  <c r="Q236" i="4"/>
  <c r="R236" i="4" s="1" a="1"/>
  <c r="R236" i="4" s="1"/>
  <c r="B236" i="4"/>
  <c r="Q1039" i="4"/>
  <c r="R1039" i="4" s="1" a="1"/>
  <c r="R1039" i="4" s="1"/>
  <c r="B1039" i="4"/>
  <c r="Q1453" i="4"/>
  <c r="R1453" i="4" s="1" a="1"/>
  <c r="R1453" i="4" s="1"/>
  <c r="B1453" i="4"/>
  <c r="Q212" i="4"/>
  <c r="R212" i="4" s="1" a="1"/>
  <c r="R212" i="4" s="1"/>
  <c r="B212" i="4"/>
  <c r="Q391" i="4"/>
  <c r="R391" i="4" s="1" a="1"/>
  <c r="R391" i="4" s="1"/>
  <c r="B391" i="4"/>
  <c r="Q715" i="4"/>
  <c r="R715" i="4" s="1" a="1"/>
  <c r="R715" i="4" s="1"/>
  <c r="B715" i="4"/>
  <c r="Q1019" i="4"/>
  <c r="R1019" i="4" s="1" a="1"/>
  <c r="R1019" i="4" s="1"/>
  <c r="B1019" i="4"/>
  <c r="Q1053" i="4"/>
  <c r="R1053" i="4" s="1" a="1"/>
  <c r="R1053" i="4" s="1"/>
  <c r="B1053" i="4"/>
  <c r="Q1216" i="4"/>
  <c r="R1216" i="4" s="1" a="1"/>
  <c r="R1216" i="4" s="1"/>
  <c r="B1216" i="4"/>
  <c r="Q480" i="4"/>
  <c r="R480" i="4" s="1" a="1"/>
  <c r="R480" i="4" s="1"/>
  <c r="B480" i="4"/>
  <c r="Q49" i="4"/>
  <c r="R49" i="4" s="1" a="1"/>
  <c r="R49" i="4" s="1"/>
  <c r="B49" i="4"/>
  <c r="Q48" i="4"/>
  <c r="R48" i="4" s="1" a="1"/>
  <c r="R48" i="4" s="1"/>
  <c r="B48" i="4"/>
  <c r="Q907" i="4"/>
  <c r="R907" i="4" s="1" a="1"/>
  <c r="R907" i="4" s="1"/>
  <c r="B907" i="4"/>
  <c r="Q712" i="4"/>
  <c r="R712" i="4" s="1" a="1"/>
  <c r="R712" i="4" s="1"/>
  <c r="B712" i="4"/>
  <c r="Q124" i="4"/>
  <c r="R124" i="4" s="1" a="1"/>
  <c r="R124" i="4" s="1"/>
  <c r="B124" i="4"/>
  <c r="Q1037" i="4"/>
  <c r="R1037" i="4" s="1" a="1"/>
  <c r="R1037" i="4" s="1"/>
  <c r="B1037" i="4"/>
  <c r="Q770" i="4"/>
  <c r="R770" i="4" s="1" a="1"/>
  <c r="R770" i="4" s="1"/>
  <c r="B770" i="4"/>
  <c r="Q1418" i="4"/>
  <c r="R1418" i="4" s="1" a="1"/>
  <c r="R1418" i="4" s="1"/>
  <c r="B1418" i="4"/>
  <c r="Q66" i="4"/>
  <c r="R66" i="4" s="1" a="1"/>
  <c r="R66" i="4" s="1"/>
  <c r="B66" i="4"/>
  <c r="Q25" i="4"/>
  <c r="R25" i="4" s="1" a="1"/>
  <c r="R25" i="4" s="1"/>
  <c r="B25" i="4"/>
  <c r="Q1089" i="4"/>
  <c r="R1089" i="4" s="1" a="1"/>
  <c r="R1089" i="4" s="1"/>
  <c r="B1089" i="4"/>
  <c r="Q613" i="4"/>
  <c r="R613" i="4" s="1" a="1"/>
  <c r="R613" i="4" s="1"/>
  <c r="B613" i="4"/>
  <c r="Q1017" i="4"/>
  <c r="R1017" i="4" s="1" a="1"/>
  <c r="R1017" i="4" s="1"/>
  <c r="B1017" i="4"/>
  <c r="Q52" i="4"/>
  <c r="R52" i="4" s="1" a="1"/>
  <c r="R52" i="4" s="1"/>
  <c r="B52" i="4"/>
  <c r="Q44" i="4"/>
  <c r="R44" i="4" s="1" a="1"/>
  <c r="R44" i="4" s="1"/>
  <c r="B44" i="4"/>
  <c r="Q36" i="4"/>
  <c r="R36" i="4" s="1" a="1"/>
  <c r="R36" i="4" s="1"/>
  <c r="B36" i="4"/>
  <c r="Q28" i="4"/>
  <c r="R28" i="4" s="1" a="1"/>
  <c r="R28" i="4" s="1"/>
  <c r="B28" i="4"/>
  <c r="Q418" i="4"/>
  <c r="R418" i="4" s="1" a="1"/>
  <c r="R418" i="4" s="1"/>
  <c r="B418" i="4"/>
  <c r="Q922" i="4"/>
  <c r="R922" i="4" s="1" a="1"/>
  <c r="R922" i="4" s="1"/>
  <c r="B922" i="4"/>
  <c r="Q4" i="4"/>
  <c r="R4" i="4" s="1" a="1"/>
  <c r="R4" i="4" s="1"/>
  <c r="B4" i="4"/>
  <c r="B1463" i="4"/>
  <c r="B1291" i="4"/>
  <c r="B601" i="4"/>
  <c r="B599" i="4"/>
  <c r="B166" i="4"/>
  <c r="B1221" i="4"/>
  <c r="B1367" i="4"/>
  <c r="B434" i="4"/>
  <c r="B1335" i="4"/>
  <c r="B473" i="4"/>
  <c r="B969" i="4"/>
  <c r="B865" i="4"/>
  <c r="B63" i="4"/>
  <c r="B1353" i="4"/>
  <c r="B1239" i="4"/>
  <c r="B839" i="4"/>
  <c r="B1207" i="4"/>
  <c r="B232" i="4"/>
  <c r="B979" i="4"/>
  <c r="B1030" i="4"/>
  <c r="B328" i="4"/>
  <c r="B978" i="4"/>
  <c r="B1220" i="4"/>
  <c r="B1034" i="4"/>
  <c r="B1288" i="4"/>
  <c r="B428" i="4"/>
  <c r="B1185" i="4"/>
  <c r="B927" i="4"/>
  <c r="B1438" i="4"/>
  <c r="B1095" i="4"/>
  <c r="B794" i="4"/>
  <c r="B461" i="4"/>
  <c r="B691" i="4"/>
  <c r="B248" i="4"/>
  <c r="B666" i="4"/>
  <c r="B104" i="4"/>
  <c r="Q1400" i="4"/>
  <c r="R1400" i="4" s="1" a="1"/>
  <c r="R1400" i="4" s="1"/>
  <c r="B1400" i="4"/>
  <c r="Q59" i="4"/>
  <c r="R59" i="4" s="1" a="1"/>
  <c r="R59" i="4" s="1"/>
  <c r="B59" i="4"/>
  <c r="Q625" i="4"/>
  <c r="R625" i="4" s="1" a="1"/>
  <c r="R625" i="4" s="1"/>
  <c r="B625" i="4"/>
  <c r="Q1130" i="4"/>
  <c r="R1130" i="4" s="1" a="1"/>
  <c r="R1130" i="4" s="1"/>
  <c r="B1130" i="4"/>
  <c r="Q345" i="4"/>
  <c r="R345" i="4" s="1" a="1"/>
  <c r="R345" i="4" s="1"/>
  <c r="B345" i="4"/>
  <c r="Q633" i="4"/>
  <c r="R633" i="4" s="1" a="1"/>
  <c r="R633" i="4" s="1"/>
  <c r="B633" i="4"/>
  <c r="Q841" i="4"/>
  <c r="R841" i="4" s="1" a="1"/>
  <c r="R841" i="4" s="1"/>
  <c r="B841" i="4"/>
  <c r="Q1313" i="4"/>
  <c r="R1313" i="4" s="1" a="1"/>
  <c r="R1313" i="4" s="1"/>
  <c r="B1313" i="4"/>
  <c r="Q1015" i="4"/>
  <c r="R1015" i="4" s="1" a="1"/>
  <c r="R1015" i="4" s="1"/>
  <c r="B1015" i="4"/>
  <c r="Q745" i="4"/>
  <c r="R745" i="4" s="1" a="1"/>
  <c r="R745" i="4" s="1"/>
  <c r="B745" i="4"/>
  <c r="Q112" i="4"/>
  <c r="R112" i="4" s="1" a="1"/>
  <c r="R112" i="4" s="1"/>
  <c r="B112" i="4"/>
  <c r="Q492" i="4"/>
  <c r="R492" i="4" s="1" a="1"/>
  <c r="R492" i="4" s="1"/>
  <c r="B492" i="4"/>
  <c r="Q558" i="4"/>
  <c r="R558" i="4" s="1" a="1"/>
  <c r="R558" i="4" s="1"/>
  <c r="B558" i="4"/>
  <c r="Q281" i="4"/>
  <c r="R281" i="4" s="1" a="1"/>
  <c r="R281" i="4" s="1"/>
  <c r="B281" i="4"/>
  <c r="Q83" i="4"/>
  <c r="R83" i="4" s="1" a="1"/>
  <c r="R83" i="4" s="1"/>
  <c r="B83" i="4"/>
  <c r="Q94" i="4"/>
  <c r="R94" i="4" s="1" a="1"/>
  <c r="R94" i="4" s="1"/>
  <c r="B94" i="4"/>
  <c r="Q630" i="4"/>
  <c r="R630" i="4" s="1" a="1"/>
  <c r="R630" i="4" s="1"/>
  <c r="B630" i="4"/>
  <c r="Q1187" i="4"/>
  <c r="R1187" i="4" s="1" a="1"/>
  <c r="R1187" i="4" s="1"/>
  <c r="B1187" i="4"/>
  <c r="Q299" i="4"/>
  <c r="R299" i="4" s="1" a="1"/>
  <c r="R299" i="4" s="1"/>
  <c r="B299" i="4"/>
  <c r="Q404" i="4"/>
  <c r="R404" i="4" s="1" a="1"/>
  <c r="R404" i="4" s="1"/>
  <c r="B404" i="4"/>
  <c r="Q878" i="4"/>
  <c r="R878" i="4" s="1" a="1"/>
  <c r="R878" i="4" s="1"/>
  <c r="B878" i="4"/>
  <c r="Q948" i="4"/>
  <c r="R948" i="4" s="1" a="1"/>
  <c r="R948" i="4" s="1"/>
  <c r="B948" i="4"/>
  <c r="Q1116" i="4"/>
  <c r="R1116" i="4" s="1" a="1"/>
  <c r="R1116" i="4" s="1"/>
  <c r="B1116" i="4"/>
  <c r="Q1229" i="4"/>
  <c r="R1229" i="4" s="1" a="1"/>
  <c r="R1229" i="4" s="1"/>
  <c r="B1229" i="4"/>
  <c r="Q1373" i="4"/>
  <c r="R1373" i="4" s="1" a="1"/>
  <c r="R1373" i="4" s="1"/>
  <c r="B1373" i="4"/>
  <c r="Q1098" i="4"/>
  <c r="R1098" i="4" s="1" a="1"/>
  <c r="R1098" i="4" s="1"/>
  <c r="B1098" i="4"/>
  <c r="Q847" i="4"/>
  <c r="R847" i="4" s="1" a="1"/>
  <c r="R847" i="4" s="1"/>
  <c r="B847" i="4"/>
  <c r="Q730" i="4"/>
  <c r="R730" i="4" s="1" a="1"/>
  <c r="R730" i="4" s="1"/>
  <c r="B730" i="4"/>
  <c r="Q1409" i="4"/>
  <c r="R1409" i="4" s="1" a="1"/>
  <c r="R1409" i="4" s="1"/>
  <c r="B1409" i="4"/>
  <c r="Q844" i="4"/>
  <c r="R844" i="4" s="1" a="1"/>
  <c r="R844" i="4" s="1"/>
  <c r="B844" i="4"/>
  <c r="Q728" i="4"/>
  <c r="R728" i="4" s="1" a="1"/>
  <c r="R728" i="4" s="1"/>
  <c r="B728" i="4"/>
  <c r="Q741" i="4"/>
  <c r="R741" i="4" s="1" a="1"/>
  <c r="R741" i="4" s="1"/>
  <c r="B741" i="4"/>
  <c r="Q877" i="4"/>
  <c r="R877" i="4" s="1" a="1"/>
  <c r="R877" i="4" s="1"/>
  <c r="B877" i="4"/>
  <c r="Q249" i="4"/>
  <c r="R249" i="4" s="1" a="1"/>
  <c r="R249" i="4" s="1"/>
  <c r="B249" i="4"/>
  <c r="Q1393" i="4"/>
  <c r="R1393" i="4" s="1" a="1"/>
  <c r="R1393" i="4" s="1"/>
  <c r="B1393" i="4"/>
  <c r="Q1448" i="4"/>
  <c r="R1448" i="4" s="1" a="1"/>
  <c r="R1448" i="4" s="1"/>
  <c r="B1448" i="4"/>
  <c r="Q683" i="4"/>
  <c r="R683" i="4" s="1" a="1"/>
  <c r="R683" i="4" s="1"/>
  <c r="B683" i="4"/>
  <c r="Q1201" i="4"/>
  <c r="R1201" i="4" s="1" a="1"/>
  <c r="R1201" i="4" s="1"/>
  <c r="B1201" i="4"/>
  <c r="Q826" i="4"/>
  <c r="R826" i="4" s="1" a="1"/>
  <c r="R826" i="4" s="1"/>
  <c r="B826" i="4"/>
  <c r="Q446" i="4"/>
  <c r="R446" i="4" s="1" a="1"/>
  <c r="R446" i="4" s="1"/>
  <c r="B446" i="4"/>
  <c r="Q564" i="4"/>
  <c r="R564" i="4" s="1" a="1"/>
  <c r="R564" i="4" s="1"/>
  <c r="B564" i="4"/>
  <c r="Q1456" i="4"/>
  <c r="R1456" i="4" s="1" a="1"/>
  <c r="R1456" i="4" s="1"/>
  <c r="B1456" i="4"/>
  <c r="Q516" i="4"/>
  <c r="R516" i="4" s="1" a="1"/>
  <c r="R516" i="4" s="1"/>
  <c r="B516" i="4"/>
  <c r="Q1050" i="4"/>
  <c r="R1050" i="4" s="1" a="1"/>
  <c r="R1050" i="4" s="1"/>
  <c r="B1050" i="4"/>
  <c r="Q626" i="4"/>
  <c r="R626" i="4" s="1" a="1"/>
  <c r="R626" i="4" s="1"/>
  <c r="B626" i="4"/>
  <c r="Q1136" i="4"/>
  <c r="R1136" i="4" s="1" a="1"/>
  <c r="R1136" i="4" s="1"/>
  <c r="B1136" i="4"/>
  <c r="Q476" i="4"/>
  <c r="R476" i="4" s="1" a="1"/>
  <c r="R476" i="4" s="1"/>
  <c r="B476" i="4"/>
  <c r="Q1076" i="4"/>
  <c r="R1076" i="4" s="1" a="1"/>
  <c r="R1076" i="4" s="1"/>
  <c r="B1076" i="4"/>
  <c r="Q688" i="4"/>
  <c r="R688" i="4" s="1" a="1"/>
  <c r="R688" i="4" s="1"/>
  <c r="B688" i="4"/>
  <c r="Q475" i="4"/>
  <c r="R475" i="4" s="1" a="1"/>
  <c r="R475" i="4" s="1"/>
  <c r="B475" i="4"/>
  <c r="Q531" i="4"/>
  <c r="R531" i="4" s="1" a="1"/>
  <c r="R531" i="4" s="1"/>
  <c r="B531" i="4"/>
  <c r="Q379" i="4"/>
  <c r="R379" i="4" s="1" a="1"/>
  <c r="R379" i="4" s="1"/>
  <c r="B379" i="4"/>
  <c r="Q984" i="4"/>
  <c r="R984" i="4" s="1" a="1"/>
  <c r="R984" i="4" s="1"/>
  <c r="B984" i="4"/>
  <c r="Q550" i="4"/>
  <c r="R550" i="4" s="1" a="1"/>
  <c r="R550" i="4" s="1"/>
  <c r="B550" i="4"/>
  <c r="Q817" i="4"/>
  <c r="R817" i="4" s="1" a="1"/>
  <c r="R817" i="4" s="1"/>
  <c r="B817" i="4"/>
  <c r="Q1371" i="4"/>
  <c r="R1371" i="4" s="1" a="1"/>
  <c r="R1371" i="4" s="1"/>
  <c r="B1371" i="4"/>
  <c r="Q736" i="4"/>
  <c r="R736" i="4" s="1" a="1"/>
  <c r="R736" i="4" s="1"/>
  <c r="B736" i="4"/>
  <c r="Q1355" i="4"/>
  <c r="R1355" i="4" s="1" a="1"/>
  <c r="R1355" i="4" s="1"/>
  <c r="B1355" i="4"/>
  <c r="Q1470" i="4"/>
  <c r="R1470" i="4" s="1" a="1"/>
  <c r="R1470" i="4" s="1"/>
  <c r="B1470" i="4"/>
  <c r="Q1256" i="4"/>
  <c r="R1256" i="4" s="1" a="1"/>
  <c r="R1256" i="4" s="1"/>
  <c r="B1256" i="4"/>
  <c r="Q1255" i="4"/>
  <c r="R1255" i="4" s="1" a="1"/>
  <c r="R1255" i="4" s="1"/>
  <c r="B1255" i="4"/>
  <c r="Q584" i="4"/>
  <c r="R584" i="4" s="1" a="1"/>
  <c r="R584" i="4" s="1"/>
  <c r="B584" i="4"/>
  <c r="Q1315" i="4"/>
  <c r="R1315" i="4" s="1" a="1"/>
  <c r="R1315" i="4" s="1"/>
  <c r="B1315" i="4"/>
  <c r="Q316" i="4"/>
  <c r="R316" i="4" s="1" a="1"/>
  <c r="R316" i="4" s="1"/>
  <c r="B316" i="4"/>
  <c r="Q1299" i="4"/>
  <c r="R1299" i="4" s="1" a="1"/>
  <c r="R1299" i="4" s="1"/>
  <c r="B1299" i="4"/>
  <c r="Q193" i="4"/>
  <c r="R193" i="4" s="1" a="1"/>
  <c r="R193" i="4" s="1"/>
  <c r="B193" i="4"/>
  <c r="Q1283" i="4"/>
  <c r="R1283" i="4" s="1" a="1"/>
  <c r="R1283" i="4" s="1"/>
  <c r="B1283" i="4"/>
  <c r="Q1275" i="4"/>
  <c r="R1275" i="4" s="1" a="1"/>
  <c r="R1275" i="4" s="1"/>
  <c r="B1275" i="4"/>
  <c r="Q1192" i="4"/>
  <c r="R1192" i="4" s="1" a="1"/>
  <c r="R1192" i="4" s="1"/>
  <c r="B1192" i="4"/>
  <c r="Q1259" i="4"/>
  <c r="R1259" i="4" s="1" a="1"/>
  <c r="R1259" i="4" s="1"/>
  <c r="B1259" i="4"/>
  <c r="Q1251" i="4"/>
  <c r="R1251" i="4" s="1" a="1"/>
  <c r="R1251" i="4" s="1"/>
  <c r="B1251" i="4"/>
  <c r="Q572" i="4"/>
  <c r="R572" i="4" s="1" a="1"/>
  <c r="R572" i="4" s="1"/>
  <c r="B572" i="4"/>
  <c r="Q1368" i="4"/>
  <c r="R1368" i="4" s="1" a="1"/>
  <c r="R1368" i="4" s="1"/>
  <c r="B1368" i="4"/>
  <c r="Q596" i="4"/>
  <c r="R596" i="4" s="1" a="1"/>
  <c r="R596" i="4" s="1"/>
  <c r="B596" i="4"/>
  <c r="Q1140" i="4"/>
  <c r="R1140" i="4" s="1" a="1"/>
  <c r="R1140" i="4" s="1"/>
  <c r="B1140" i="4"/>
  <c r="Q1063" i="4"/>
  <c r="R1063" i="4" s="1" a="1"/>
  <c r="R1063" i="4" s="1"/>
  <c r="B1063" i="4"/>
  <c r="Q1203" i="4"/>
  <c r="R1203" i="4" s="1" a="1"/>
  <c r="R1203" i="4" s="1"/>
  <c r="B1203" i="4"/>
  <c r="Q283" i="4"/>
  <c r="R283" i="4" s="1" a="1"/>
  <c r="R283" i="4" s="1"/>
  <c r="B283" i="4"/>
  <c r="Q892" i="4"/>
  <c r="R892" i="4" s="1" a="1"/>
  <c r="R892" i="4" s="1"/>
  <c r="B892" i="4"/>
  <c r="Q743" i="4"/>
  <c r="R743" i="4" s="1" a="1"/>
  <c r="R743" i="4" s="1"/>
  <c r="B743" i="4"/>
  <c r="Q931" i="4"/>
  <c r="R931" i="4" s="1" a="1"/>
  <c r="R931" i="4" s="1"/>
  <c r="B931" i="4"/>
  <c r="Q742" i="4"/>
  <c r="R742" i="4" s="1" a="1"/>
  <c r="R742" i="4" s="1"/>
  <c r="B742" i="4"/>
  <c r="Q1155" i="4"/>
  <c r="R1155" i="4" s="1" a="1"/>
  <c r="R1155" i="4" s="1"/>
  <c r="B1155" i="4"/>
  <c r="Q705" i="4"/>
  <c r="R705" i="4" s="1" a="1"/>
  <c r="R705" i="4" s="1"/>
  <c r="B705" i="4"/>
  <c r="Q1386" i="4"/>
  <c r="R1386" i="4" s="1" a="1"/>
  <c r="R1386" i="4" s="1"/>
  <c r="B1386" i="4"/>
  <c r="Q1244" i="4"/>
  <c r="R1244" i="4" s="1" a="1"/>
  <c r="R1244" i="4" s="1"/>
  <c r="B1244" i="4"/>
  <c r="Q32" i="4"/>
  <c r="R32" i="4" s="1" a="1"/>
  <c r="R32" i="4" s="1"/>
  <c r="B32" i="4"/>
  <c r="Q732" i="4"/>
  <c r="R732" i="4" s="1" a="1"/>
  <c r="R732" i="4" s="1"/>
  <c r="B732" i="4"/>
  <c r="Q1029" i="4"/>
  <c r="R1029" i="4" s="1" a="1"/>
  <c r="R1029" i="4" s="1"/>
  <c r="B1029" i="4"/>
  <c r="Q965" i="4"/>
  <c r="R965" i="4" s="1" a="1"/>
  <c r="R965" i="4" s="1"/>
  <c r="B965" i="4"/>
  <c r="Q386" i="4"/>
  <c r="R386" i="4" s="1" a="1"/>
  <c r="R386" i="4" s="1"/>
  <c r="B386" i="4"/>
  <c r="Q557" i="4"/>
  <c r="R557" i="4" s="1" a="1"/>
  <c r="R557" i="4" s="1"/>
  <c r="B557" i="4"/>
  <c r="Q623" i="4"/>
  <c r="R623" i="4" s="1" a="1"/>
  <c r="R623" i="4" s="1"/>
  <c r="B623" i="4"/>
  <c r="Q1304" i="4"/>
  <c r="R1304" i="4" s="1" a="1"/>
  <c r="R1304" i="4" s="1"/>
  <c r="B1304" i="4"/>
  <c r="Q1059" i="4"/>
  <c r="R1059" i="4" s="1" a="1"/>
  <c r="R1059" i="4" s="1"/>
  <c r="B1059" i="4"/>
  <c r="Q991" i="4"/>
  <c r="R991" i="4" s="1" a="1"/>
  <c r="R991" i="4" s="1"/>
  <c r="B991" i="4"/>
  <c r="Q517" i="4"/>
  <c r="R517" i="4" s="1" a="1"/>
  <c r="R517" i="4" s="1"/>
  <c r="B517" i="4"/>
  <c r="Q1035" i="4"/>
  <c r="R1035" i="4" s="1" a="1"/>
  <c r="R1035" i="4" s="1"/>
  <c r="B1035" i="4"/>
  <c r="Q1231" i="4"/>
  <c r="R1231" i="4" s="1" a="1"/>
  <c r="R1231" i="4" s="1"/>
  <c r="B1231" i="4"/>
  <c r="Q821" i="4"/>
  <c r="R821" i="4" s="1" a="1"/>
  <c r="R821" i="4" s="1"/>
  <c r="B821" i="4"/>
  <c r="Q150" i="4"/>
  <c r="R150" i="4" s="1" a="1"/>
  <c r="R150" i="4" s="1"/>
  <c r="B150" i="4"/>
  <c r="Q555" i="4"/>
  <c r="R555" i="4" s="1" a="1"/>
  <c r="R555" i="4" s="1"/>
  <c r="B555" i="4"/>
  <c r="Q1174" i="4"/>
  <c r="R1174" i="4" s="1" a="1"/>
  <c r="R1174" i="4" s="1"/>
  <c r="B1174" i="4"/>
  <c r="Q987" i="4"/>
  <c r="R987" i="4" s="1" a="1"/>
  <c r="R987" i="4" s="1"/>
  <c r="B987" i="4"/>
  <c r="Q230" i="4"/>
  <c r="R230" i="4" s="1" a="1"/>
  <c r="R230" i="4" s="1"/>
  <c r="B230" i="4"/>
  <c r="Q467" i="4"/>
  <c r="R467" i="4" s="1" a="1"/>
  <c r="R467" i="4" s="1"/>
  <c r="B467" i="4"/>
  <c r="Q1075" i="4"/>
  <c r="R1075" i="4" s="1" a="1"/>
  <c r="R1075" i="4" s="1"/>
  <c r="B1075" i="4"/>
  <c r="Q955" i="4"/>
  <c r="R955" i="4" s="1" a="1"/>
  <c r="R955" i="4" s="1"/>
  <c r="B955" i="4"/>
  <c r="Q182" i="4"/>
  <c r="R182" i="4" s="1" a="1"/>
  <c r="R182" i="4" s="1"/>
  <c r="B182" i="4"/>
  <c r="Q990" i="4"/>
  <c r="R990" i="4" s="1" a="1"/>
  <c r="R990" i="4" s="1"/>
  <c r="B990" i="4"/>
  <c r="Q1026" i="4"/>
  <c r="R1026" i="4" s="1" a="1"/>
  <c r="R1026" i="4" s="1"/>
  <c r="B1026" i="4"/>
  <c r="Q1230" i="4"/>
  <c r="R1230" i="4" s="1" a="1"/>
  <c r="R1230" i="4" s="1"/>
  <c r="B1230" i="4"/>
  <c r="Q915" i="4"/>
  <c r="R915" i="4" s="1" a="1"/>
  <c r="R915" i="4" s="1"/>
  <c r="B915" i="4"/>
  <c r="Q1073" i="4"/>
  <c r="R1073" i="4" s="1" a="1"/>
  <c r="R1073" i="4" s="1"/>
  <c r="B1073" i="4"/>
  <c r="Q901" i="4"/>
  <c r="R901" i="4" s="1" a="1"/>
  <c r="R901" i="4" s="1"/>
  <c r="B901" i="4"/>
  <c r="Q1228" i="4"/>
  <c r="R1228" i="4" s="1" a="1"/>
  <c r="R1228" i="4" s="1"/>
  <c r="B1228" i="4"/>
  <c r="Q56" i="4"/>
  <c r="R56" i="4" s="1" a="1"/>
  <c r="R56" i="4" s="1"/>
  <c r="B56" i="4"/>
  <c r="Q900" i="4"/>
  <c r="R900" i="4" s="1" a="1"/>
  <c r="R900" i="4" s="1"/>
  <c r="B900" i="4"/>
  <c r="Q375" i="4"/>
  <c r="R375" i="4" s="1" a="1"/>
  <c r="R375" i="4" s="1"/>
  <c r="B375" i="4"/>
  <c r="Q859" i="4"/>
  <c r="R859" i="4" s="1" a="1"/>
  <c r="R859" i="4" s="1"/>
  <c r="B859" i="4"/>
  <c r="Q851" i="4"/>
  <c r="R851" i="4" s="1" a="1"/>
  <c r="R851" i="4" s="1"/>
  <c r="B851" i="4"/>
  <c r="Q463" i="4"/>
  <c r="R463" i="4" s="1" a="1"/>
  <c r="R463" i="4" s="1"/>
  <c r="B463" i="4"/>
  <c r="Q122" i="4"/>
  <c r="R122" i="4" s="1" a="1"/>
  <c r="R122" i="4" s="1"/>
  <c r="B122" i="4"/>
  <c r="Q199" i="4"/>
  <c r="R199" i="4" s="1" a="1"/>
  <c r="R199" i="4" s="1"/>
  <c r="B199" i="4"/>
  <c r="Q1433" i="4"/>
  <c r="R1433" i="4" s="1" a="1"/>
  <c r="R1433" i="4" s="1"/>
  <c r="B1433" i="4"/>
  <c r="Q534" i="4"/>
  <c r="R534" i="4" s="1" a="1"/>
  <c r="R534" i="4" s="1"/>
  <c r="B534" i="4"/>
  <c r="Q374" i="4"/>
  <c r="R374" i="4" s="1" a="1"/>
  <c r="R374" i="4" s="1"/>
  <c r="B374" i="4"/>
  <c r="Q779" i="4"/>
  <c r="R779" i="4" s="1" a="1"/>
  <c r="R779" i="4" s="1"/>
  <c r="B779" i="4"/>
  <c r="Q726" i="4"/>
  <c r="R726" i="4" s="1" a="1"/>
  <c r="R726" i="4" s="1"/>
  <c r="B726" i="4"/>
  <c r="Q763" i="4"/>
  <c r="R763" i="4" s="1" a="1"/>
  <c r="R763" i="4" s="1"/>
  <c r="B763" i="4"/>
  <c r="Q510" i="4"/>
  <c r="R510" i="4" s="1" a="1"/>
  <c r="R510" i="4" s="1"/>
  <c r="B510" i="4"/>
  <c r="Q1345" i="4"/>
  <c r="R1345" i="4" s="1" a="1"/>
  <c r="R1345" i="4" s="1"/>
  <c r="B1345" i="4"/>
  <c r="Q326" i="4"/>
  <c r="R326" i="4" s="1" a="1"/>
  <c r="R326" i="4" s="1"/>
  <c r="B326" i="4"/>
  <c r="Q621" i="4"/>
  <c r="R621" i="4" s="1" a="1"/>
  <c r="R621" i="4" s="1"/>
  <c r="B621" i="4"/>
  <c r="Q276" i="4"/>
  <c r="R276" i="4" s="1" a="1"/>
  <c r="R276" i="4" s="1"/>
  <c r="B276" i="4"/>
  <c r="Q1071" i="4"/>
  <c r="R1071" i="4" s="1" a="1"/>
  <c r="R1071" i="4" s="1"/>
  <c r="B1071" i="4"/>
  <c r="Q1135" i="4"/>
  <c r="R1135" i="4" s="1" a="1"/>
  <c r="R1135" i="4" s="1"/>
  <c r="B1135" i="4"/>
  <c r="Q1171" i="4"/>
  <c r="R1171" i="4" s="1" a="1"/>
  <c r="R1171" i="4" s="1"/>
  <c r="B1171" i="4"/>
  <c r="Q1205" i="4"/>
  <c r="R1205" i="4" s="1" a="1"/>
  <c r="R1205" i="4" s="1"/>
  <c r="B1205" i="4"/>
  <c r="Q1267" i="4"/>
  <c r="R1267" i="4" s="1" a="1"/>
  <c r="R1267" i="4" s="1"/>
  <c r="B1267" i="4"/>
  <c r="Q640" i="4"/>
  <c r="R640" i="4" s="1" a="1"/>
  <c r="R640" i="4" s="1"/>
  <c r="B640" i="4"/>
  <c r="Q1359" i="4"/>
  <c r="R1359" i="4" s="1" a="1"/>
  <c r="R1359" i="4" s="1"/>
  <c r="B1359" i="4"/>
  <c r="Q827" i="4"/>
  <c r="R827" i="4" s="1" a="1"/>
  <c r="R827" i="4" s="1"/>
  <c r="B827" i="4"/>
  <c r="Q312" i="4"/>
  <c r="R312" i="4" s="1" a="1"/>
  <c r="R312" i="4" s="1"/>
  <c r="B312" i="4"/>
  <c r="Q958" i="4"/>
  <c r="R958" i="4" s="1" a="1"/>
  <c r="R958" i="4" s="1"/>
  <c r="B958" i="4"/>
  <c r="Q1301" i="4"/>
  <c r="R1301" i="4" s="1" a="1"/>
  <c r="R1301" i="4" s="1"/>
  <c r="B1301" i="4"/>
  <c r="Q587" i="4"/>
  <c r="R587" i="4" s="1" a="1"/>
  <c r="R587" i="4" s="1"/>
  <c r="B587" i="4"/>
  <c r="Q237" i="4"/>
  <c r="R237" i="4" s="1" a="1"/>
  <c r="R237" i="4" s="1"/>
  <c r="B237" i="4"/>
  <c r="Q672" i="4"/>
  <c r="R672" i="4" s="1" a="1"/>
  <c r="R672" i="4" s="1"/>
  <c r="B672" i="4"/>
  <c r="Q766" i="4"/>
  <c r="R766" i="4" s="1" a="1"/>
  <c r="R766" i="4" s="1"/>
  <c r="B766" i="4"/>
  <c r="Q1236" i="4"/>
  <c r="R1236" i="4" s="1" a="1"/>
  <c r="R1236" i="4" s="1"/>
  <c r="B1236" i="4"/>
  <c r="Q1159" i="4"/>
  <c r="R1159" i="4" s="1" a="1"/>
  <c r="R1159" i="4" s="1"/>
  <c r="B1159" i="4"/>
  <c r="Q1365" i="4"/>
  <c r="R1365" i="4" s="1" a="1"/>
  <c r="R1365" i="4" s="1"/>
  <c r="B1365" i="4"/>
  <c r="Q835" i="4"/>
  <c r="R835" i="4" s="1" a="1"/>
  <c r="R835" i="4" s="1"/>
  <c r="B835" i="4"/>
  <c r="Q515" i="4"/>
  <c r="R515" i="4" s="1" a="1"/>
  <c r="R515" i="4" s="1"/>
  <c r="B515" i="4"/>
  <c r="Q340" i="4"/>
  <c r="R340" i="4" s="1" a="1"/>
  <c r="R340" i="4" s="1"/>
  <c r="B340" i="4"/>
  <c r="Q897" i="4"/>
  <c r="R897" i="4" s="1" a="1"/>
  <c r="R897" i="4" s="1"/>
  <c r="B897" i="4"/>
  <c r="Q765" i="4"/>
  <c r="R765" i="4" s="1" a="1"/>
  <c r="R765" i="4" s="1"/>
  <c r="B765" i="4"/>
  <c r="Q41" i="4"/>
  <c r="R41" i="4" s="1" a="1"/>
  <c r="R41" i="4" s="1"/>
  <c r="B41" i="4"/>
  <c r="Q459" i="4"/>
  <c r="R459" i="4" s="1" a="1"/>
  <c r="R459" i="4" s="1"/>
  <c r="B459" i="4"/>
  <c r="Q322" i="4"/>
  <c r="R322" i="4" s="1" a="1"/>
  <c r="R322" i="4" s="1"/>
  <c r="B322" i="4"/>
  <c r="Q412" i="4"/>
  <c r="R412" i="4" s="1" a="1"/>
  <c r="R412" i="4" s="1"/>
  <c r="B412" i="4"/>
  <c r="Q226" i="4"/>
  <c r="R226" i="4" s="1" a="1"/>
  <c r="R226" i="4" s="1"/>
  <c r="B226" i="4"/>
  <c r="Q1134" i="4"/>
  <c r="R1134" i="4" s="1" a="1"/>
  <c r="R1134" i="4" s="1"/>
  <c r="B1134" i="4"/>
  <c r="Q1249" i="4"/>
  <c r="R1249" i="4" s="1" a="1"/>
  <c r="R1249" i="4" s="1"/>
  <c r="B1249" i="4"/>
  <c r="Q6" i="4"/>
  <c r="R6" i="4" s="1" a="1"/>
  <c r="R6" i="4" s="1"/>
  <c r="B6" i="4"/>
  <c r="Q1390" i="4"/>
  <c r="R1390" i="4" s="1" a="1"/>
  <c r="R1390" i="4" s="1"/>
  <c r="B1390" i="4"/>
  <c r="Q387" i="4"/>
  <c r="R387" i="4" s="1" a="1"/>
  <c r="R387" i="4" s="1"/>
  <c r="B387" i="4"/>
  <c r="Q1279" i="4"/>
  <c r="R1279" i="4" s="1" a="1"/>
  <c r="R1279" i="4" s="1"/>
  <c r="B1279" i="4"/>
  <c r="Q652" i="4"/>
  <c r="R652" i="4" s="1" a="1"/>
  <c r="R652" i="4" s="1"/>
  <c r="B652" i="4"/>
  <c r="Q996" i="4"/>
  <c r="R996" i="4" s="1" a="1"/>
  <c r="R996" i="4" s="1"/>
  <c r="B996" i="4"/>
  <c r="Q274" i="4"/>
  <c r="R274" i="4" s="1" a="1"/>
  <c r="R274" i="4" s="1"/>
  <c r="B274" i="4"/>
  <c r="Q1420" i="4"/>
  <c r="R1420" i="4" s="1" a="1"/>
  <c r="R1420" i="4" s="1"/>
  <c r="B1420" i="4"/>
  <c r="Q1006" i="4"/>
  <c r="R1006" i="4" s="1" a="1"/>
  <c r="R1006" i="4" s="1"/>
  <c r="B1006" i="4"/>
  <c r="Q1278" i="4"/>
  <c r="R1278" i="4" s="1" a="1"/>
  <c r="R1278" i="4" s="1"/>
  <c r="B1278" i="4"/>
  <c r="Q1125" i="4"/>
  <c r="R1125" i="4" s="1" a="1"/>
  <c r="R1125" i="4" s="1"/>
  <c r="B1125" i="4"/>
  <c r="Q523" i="4"/>
  <c r="R523" i="4" s="1" a="1"/>
  <c r="R523" i="4" s="1"/>
  <c r="B523" i="4"/>
  <c r="Q286" i="4"/>
  <c r="R286" i="4" s="1" a="1"/>
  <c r="R286" i="4" s="1"/>
  <c r="B286" i="4"/>
  <c r="Q857" i="4"/>
  <c r="R857" i="4" s="1" a="1"/>
  <c r="R857" i="4" s="1"/>
  <c r="Q925" i="4"/>
  <c r="R925" i="4" s="1" a="1"/>
  <c r="R925" i="4" s="1"/>
  <c r="B925" i="4"/>
  <c r="Q790" i="4"/>
  <c r="R790" i="4" s="1" a="1"/>
  <c r="R790" i="4" s="1"/>
  <c r="B790" i="4"/>
  <c r="Q1319" i="4"/>
  <c r="R1319" i="4" s="1" a="1"/>
  <c r="R1319" i="4" s="1"/>
  <c r="Q1235" i="4"/>
  <c r="R1235" i="4" s="1" a="1"/>
  <c r="R1235" i="4" s="1"/>
  <c r="Q771" i="4"/>
  <c r="R771" i="4" s="1" a="1"/>
  <c r="R771" i="4" s="1"/>
  <c r="B771" i="4"/>
  <c r="Q1197" i="4"/>
  <c r="R1197" i="4" s="1" a="1"/>
  <c r="R1197" i="4" s="1"/>
  <c r="B1197" i="4"/>
  <c r="Q219" i="4"/>
  <c r="R219" i="4" s="1" a="1"/>
  <c r="R219" i="4" s="1"/>
  <c r="B219" i="4"/>
  <c r="Q346" i="4"/>
  <c r="R346" i="4" s="1" a="1"/>
  <c r="R346" i="4" s="1"/>
  <c r="B346" i="4"/>
  <c r="Q1370" i="4"/>
  <c r="R1370" i="4" s="1" a="1"/>
  <c r="R1370" i="4" s="1"/>
  <c r="B1370" i="4"/>
  <c r="Q270" i="4"/>
  <c r="R270" i="4" s="1" a="1"/>
  <c r="R270" i="4" s="1"/>
  <c r="B270" i="4"/>
  <c r="Q574" i="4"/>
  <c r="R574" i="4" s="1" a="1"/>
  <c r="R574" i="4" s="1"/>
  <c r="Q179" i="4"/>
  <c r="R179" i="4" s="1" a="1"/>
  <c r="R179" i="4" s="1"/>
  <c r="B179" i="4"/>
  <c r="Q335" i="4"/>
  <c r="R335" i="4" s="1" a="1"/>
  <c r="R335" i="4" s="1"/>
  <c r="B335" i="4"/>
  <c r="Q1274" i="4"/>
  <c r="R1274" i="4" s="1" a="1"/>
  <c r="R1274" i="4" s="1"/>
  <c r="B1274" i="4"/>
  <c r="Q785" i="4"/>
  <c r="R785" i="4" s="1" a="1"/>
  <c r="R785" i="4" s="1"/>
  <c r="B785" i="4"/>
  <c r="Q352" i="4"/>
  <c r="R352" i="4" s="1" a="1"/>
  <c r="R352" i="4" s="1"/>
  <c r="Q588" i="4"/>
  <c r="R588" i="4" s="1" a="1"/>
  <c r="R588" i="4" s="1"/>
  <c r="B588" i="4"/>
  <c r="Q820" i="4"/>
  <c r="R820" i="4" s="1" a="1"/>
  <c r="R820" i="4" s="1"/>
  <c r="B820" i="4"/>
  <c r="Q1122" i="4"/>
  <c r="R1122" i="4" s="1" a="1"/>
  <c r="R1122" i="4" s="1"/>
  <c r="Q783" i="4"/>
  <c r="R783" i="4" s="1" a="1"/>
  <c r="R783" i="4" s="1"/>
  <c r="Q850" i="4"/>
  <c r="R850" i="4" s="1" a="1"/>
  <c r="R850" i="4" s="1"/>
  <c r="B850" i="4"/>
  <c r="Q1362" i="4"/>
  <c r="R1362" i="4" s="1" a="1"/>
  <c r="R1362" i="4" s="1"/>
  <c r="B1362" i="4"/>
  <c r="Q91" i="4"/>
  <c r="R91" i="4" s="1" a="1"/>
  <c r="R91" i="4" s="1"/>
  <c r="B91" i="4"/>
  <c r="Q269" i="4"/>
  <c r="R269" i="4" s="1" a="1"/>
  <c r="R269" i="4" s="1"/>
  <c r="B269" i="4"/>
  <c r="Q1389" i="4"/>
  <c r="R1389" i="4" s="1" a="1"/>
  <c r="R1389" i="4" s="1"/>
  <c r="B1389" i="4"/>
  <c r="Q1036" i="4"/>
  <c r="R1036" i="4" s="1" a="1"/>
  <c r="R1036" i="4" s="1"/>
  <c r="B1036" i="4"/>
  <c r="Q1032" i="4"/>
  <c r="R1032" i="4" s="1" a="1"/>
  <c r="R1032" i="4" s="1"/>
  <c r="Q390" i="4"/>
  <c r="R390" i="4" s="1" a="1"/>
  <c r="R390" i="4" s="1"/>
  <c r="B390" i="4"/>
  <c r="Q268" i="4"/>
  <c r="R268" i="4" s="1" a="1"/>
  <c r="R268" i="4" s="1"/>
  <c r="B268" i="4"/>
  <c r="Q35" i="4"/>
  <c r="R35" i="4" s="1" a="1"/>
  <c r="R35" i="4" s="1"/>
  <c r="B35" i="4"/>
  <c r="Q737" i="4"/>
  <c r="R737" i="4" s="1" a="1"/>
  <c r="R737" i="4" s="1"/>
  <c r="B737" i="4"/>
  <c r="Q552" i="4"/>
  <c r="R552" i="4" s="1" a="1"/>
  <c r="R552" i="4" s="1"/>
  <c r="Q988" i="4"/>
  <c r="R988" i="4" s="1" a="1"/>
  <c r="R988" i="4" s="1"/>
  <c r="A3" i="3"/>
  <c r="B988" i="4"/>
  <c r="Q882" i="4"/>
  <c r="R882" i="4" s="1" a="1"/>
  <c r="R882" i="4" s="1"/>
  <c r="B882" i="4"/>
  <c r="B1446" i="4"/>
  <c r="B1398" i="4"/>
  <c r="B1334" i="4"/>
  <c r="B1238" i="4"/>
  <c r="B1206" i="4"/>
  <c r="B1352" i="4"/>
  <c r="B968" i="4"/>
  <c r="B840" i="4"/>
  <c r="B945" i="4"/>
  <c r="B809" i="4"/>
  <c r="B294" i="4"/>
  <c r="B1338" i="4"/>
  <c r="B574" i="4"/>
  <c r="B16" i="4"/>
  <c r="Q818" i="4"/>
  <c r="R818" i="4" s="1" a="1"/>
  <c r="R818" i="4" s="1"/>
  <c r="B818" i="4"/>
  <c r="Q1444" i="4"/>
  <c r="R1444" i="4" s="1" a="1"/>
  <c r="R1444" i="4" s="1"/>
  <c r="B1444" i="4"/>
  <c r="Q585" i="4"/>
  <c r="R585" i="4" s="1" a="1"/>
  <c r="R585" i="4" s="1"/>
  <c r="B585" i="4"/>
  <c r="Q89" i="4"/>
  <c r="R89" i="4" s="1" a="1"/>
  <c r="R89" i="4" s="1"/>
  <c r="B89" i="4"/>
  <c r="Q1451" i="4"/>
  <c r="R1451" i="4" s="1" a="1"/>
  <c r="R1451" i="4" s="1"/>
  <c r="B1451" i="4"/>
  <c r="Q1245" i="4"/>
  <c r="R1245" i="4" s="1" a="1"/>
  <c r="R1245" i="4" s="1"/>
  <c r="B1245" i="4"/>
  <c r="Q19" i="4"/>
  <c r="R19" i="4" s="1" a="1"/>
  <c r="R19" i="4" s="1"/>
  <c r="B19" i="4"/>
  <c r="Q1300" i="4"/>
  <c r="R1300" i="4" s="1" a="1"/>
  <c r="R1300" i="4" s="1"/>
  <c r="B1300" i="4"/>
  <c r="Q880" i="4"/>
  <c r="R880" i="4" s="1" a="1"/>
  <c r="R880" i="4" s="1"/>
  <c r="B880" i="4"/>
  <c r="Q291" i="4"/>
  <c r="R291" i="4" s="1" a="1"/>
  <c r="R291" i="4" s="1"/>
  <c r="B291" i="4"/>
  <c r="Q155" i="4"/>
  <c r="R155" i="4" s="1" a="1"/>
  <c r="R155" i="4" s="1"/>
  <c r="B155" i="4"/>
  <c r="Q707" i="4"/>
  <c r="R707" i="4" s="1" a="1"/>
  <c r="R707" i="4" s="1"/>
  <c r="B707" i="4"/>
  <c r="Q1188" i="4"/>
  <c r="R1188" i="4" s="1" a="1"/>
  <c r="R1188" i="4" s="1"/>
  <c r="B1188" i="4"/>
  <c r="Q430" i="4"/>
  <c r="R430" i="4" s="1" a="1"/>
  <c r="R430" i="4" s="1"/>
  <c r="B430" i="4"/>
  <c r="Q1118" i="4"/>
  <c r="R1118" i="4" s="1" a="1"/>
  <c r="R1118" i="4" s="1"/>
  <c r="B1118" i="4"/>
  <c r="Q201" i="4"/>
  <c r="R201" i="4" s="1" a="1"/>
  <c r="R201" i="4" s="1"/>
  <c r="B201" i="4"/>
  <c r="Q314" i="4"/>
  <c r="R314" i="4" s="1" a="1"/>
  <c r="R314" i="4" s="1"/>
  <c r="B314" i="4"/>
  <c r="Q946" i="4"/>
  <c r="R946" i="4" s="1" a="1"/>
  <c r="R946" i="4" s="1"/>
  <c r="B946" i="4"/>
  <c r="Q1350" i="4"/>
  <c r="R1350" i="4" s="1" a="1"/>
  <c r="R1350" i="4" s="1"/>
  <c r="B1350" i="4"/>
  <c r="Q920" i="4"/>
  <c r="R920" i="4" s="1" a="1"/>
  <c r="R920" i="4" s="1"/>
  <c r="B920" i="4"/>
  <c r="Q595" i="4"/>
  <c r="R595" i="4" s="1" a="1"/>
  <c r="R595" i="4" s="1"/>
  <c r="B595" i="4"/>
  <c r="Q200" i="4"/>
  <c r="R200" i="4" s="1" a="1"/>
  <c r="R200" i="4" s="1"/>
  <c r="B200" i="4"/>
  <c r="Q403" i="4"/>
  <c r="R403" i="4" s="1" a="1"/>
  <c r="R403" i="4" s="1"/>
  <c r="B403" i="4"/>
  <c r="Q528" i="4"/>
  <c r="R528" i="4" s="1" a="1"/>
  <c r="R528" i="4" s="1"/>
  <c r="B528" i="4"/>
  <c r="Q221" i="4"/>
  <c r="R221" i="4" s="1" a="1"/>
  <c r="R221" i="4" s="1"/>
  <c r="B221" i="4"/>
  <c r="Q1162" i="4"/>
  <c r="R1162" i="4" s="1" a="1"/>
  <c r="R1162" i="4" s="1"/>
  <c r="B1162" i="4"/>
  <c r="Q147" i="4"/>
  <c r="R147" i="4" s="1" a="1"/>
  <c r="R147" i="4" s="1"/>
  <c r="B147" i="4"/>
  <c r="Q250" i="4"/>
  <c r="R250" i="4" s="1" a="1"/>
  <c r="R250" i="4" s="1"/>
  <c r="B250" i="4"/>
  <c r="Q1428" i="4"/>
  <c r="R1428" i="4" s="1" a="1"/>
  <c r="R1428" i="4" s="1"/>
  <c r="B1428" i="4"/>
  <c r="Q708" i="4"/>
  <c r="R708" i="4" s="1" a="1"/>
  <c r="R708" i="4" s="1"/>
  <c r="B708" i="4"/>
  <c r="Q1425" i="4"/>
  <c r="R1425" i="4" s="1" a="1"/>
  <c r="R1425" i="4" s="1"/>
  <c r="B1425" i="4"/>
  <c r="Q1468" i="4"/>
  <c r="R1468" i="4" s="1" a="1"/>
  <c r="R1468" i="4" s="1"/>
  <c r="B1468" i="4"/>
  <c r="Q488" i="4"/>
  <c r="R488" i="4" s="1" a="1"/>
  <c r="R488" i="4" s="1"/>
  <c r="B488" i="4"/>
  <c r="Q8" i="4"/>
  <c r="R8" i="4" s="1" a="1"/>
  <c r="R8" i="4" s="1"/>
  <c r="B8" i="4"/>
  <c r="Q485" i="4"/>
  <c r="R485" i="4" s="1" a="1"/>
  <c r="R485" i="4" s="1"/>
  <c r="B485" i="4"/>
  <c r="Q1138" i="4"/>
  <c r="R1138" i="4" s="1" a="1"/>
  <c r="R1138" i="4" s="1"/>
  <c r="B1138" i="4"/>
  <c r="Q1150" i="4"/>
  <c r="R1150" i="4" s="1" a="1"/>
  <c r="R1150" i="4" s="1"/>
  <c r="B1150" i="4"/>
  <c r="Q1061" i="4"/>
  <c r="R1061" i="4" s="1" a="1"/>
  <c r="R1061" i="4" s="1"/>
  <c r="B1061" i="4"/>
  <c r="Q1028" i="4"/>
  <c r="R1028" i="4" s="1" a="1"/>
  <c r="R1028" i="4" s="1"/>
  <c r="B1028" i="4"/>
  <c r="Q300" i="4"/>
  <c r="R300" i="4" s="1" a="1"/>
  <c r="R300" i="4" s="1"/>
  <c r="B300" i="4"/>
  <c r="Q540" i="4"/>
  <c r="R540" i="4" s="1" a="1"/>
  <c r="R540" i="4" s="1"/>
  <c r="B540" i="4"/>
  <c r="Q890" i="4"/>
  <c r="R890" i="4" s="1" a="1"/>
  <c r="R890" i="4" s="1"/>
  <c r="B890" i="4"/>
  <c r="Q385" i="4"/>
  <c r="R385" i="4" s="1" a="1"/>
  <c r="R385" i="4" s="1"/>
  <c r="B385" i="4"/>
  <c r="Q657" i="4"/>
  <c r="R657" i="4" s="1" a="1"/>
  <c r="R657" i="4" s="1"/>
  <c r="B657" i="4"/>
  <c r="Q866" i="4"/>
  <c r="R866" i="4" s="1" a="1"/>
  <c r="R866" i="4" s="1"/>
  <c r="B866" i="4"/>
  <c r="Q1204" i="4"/>
  <c r="R1204" i="4" s="1" a="1"/>
  <c r="R1204" i="4" s="1"/>
  <c r="B1204" i="4"/>
  <c r="Q1024" i="4"/>
  <c r="R1024" i="4" s="1" a="1"/>
  <c r="R1024" i="4" s="1"/>
  <c r="B1024" i="4"/>
  <c r="Q960" i="4"/>
  <c r="R960" i="4" s="1" a="1"/>
  <c r="R960" i="4" s="1"/>
  <c r="B960" i="4"/>
  <c r="Q178" i="4"/>
  <c r="R178" i="4" s="1" a="1"/>
  <c r="R178" i="4" s="1"/>
  <c r="B178" i="4"/>
  <c r="Q1323" i="4"/>
  <c r="R1323" i="4" s="1" a="1"/>
  <c r="R1323" i="4" s="1"/>
  <c r="B1323" i="4"/>
  <c r="Q1445" i="4"/>
  <c r="R1445" i="4" s="1" a="1"/>
  <c r="R1445" i="4" s="1"/>
  <c r="B1445" i="4"/>
  <c r="Q610" i="4"/>
  <c r="R610" i="4" s="1" a="1"/>
  <c r="R610" i="4" s="1"/>
  <c r="B610" i="4"/>
  <c r="Q100" i="4"/>
  <c r="R100" i="4" s="1" a="1"/>
  <c r="R100" i="4" s="1"/>
  <c r="B100" i="4"/>
  <c r="Q546" i="4"/>
  <c r="R546" i="4" s="1" a="1"/>
  <c r="R546" i="4" s="1"/>
  <c r="B546" i="4"/>
  <c r="Q1081" i="4"/>
  <c r="R1081" i="4" s="1" a="1"/>
  <c r="R1081" i="4" s="1"/>
  <c r="B1081" i="4"/>
  <c r="Q1183" i="4"/>
  <c r="R1183" i="4" s="1" a="1"/>
  <c r="R1183" i="4" s="1"/>
  <c r="B1183" i="4"/>
  <c r="Q570" i="4"/>
  <c r="R570" i="4" s="1" a="1"/>
  <c r="R570" i="4" s="1"/>
  <c r="B570" i="4"/>
  <c r="Q487" i="4"/>
  <c r="R487" i="4" s="1" a="1"/>
  <c r="R487" i="4" s="1"/>
  <c r="B487" i="4"/>
  <c r="Q561" i="4"/>
  <c r="R561" i="4" s="1" a="1"/>
  <c r="R561" i="4" s="1"/>
  <c r="B561" i="4"/>
  <c r="Q460" i="4"/>
  <c r="R460" i="4" s="1" a="1"/>
  <c r="R460" i="4" s="1"/>
  <c r="B460" i="4"/>
  <c r="Q926" i="4"/>
  <c r="R926" i="4" s="1" a="1"/>
  <c r="R926" i="4" s="1"/>
  <c r="B926" i="4"/>
  <c r="Q530" i="4"/>
  <c r="R530" i="4" s="1" a="1"/>
  <c r="R530" i="4" s="1"/>
  <c r="B530" i="4"/>
  <c r="Q1145" i="4"/>
  <c r="R1145" i="4" s="1" a="1"/>
  <c r="R1145" i="4" s="1"/>
  <c r="B1145" i="4"/>
  <c r="Q956" i="4"/>
  <c r="R956" i="4" s="1" a="1"/>
  <c r="R956" i="4" s="1"/>
  <c r="B956" i="4"/>
  <c r="Q506" i="4"/>
  <c r="R506" i="4" s="1" a="1"/>
  <c r="R506" i="4" s="1"/>
  <c r="B506" i="4"/>
  <c r="Q589" i="4"/>
  <c r="R589" i="4" s="1" a="1"/>
  <c r="R589" i="4" s="1"/>
  <c r="B589" i="4"/>
  <c r="Q698" i="4"/>
  <c r="R698" i="4" s="1" a="1"/>
  <c r="R698" i="4" s="1"/>
  <c r="B698" i="4"/>
  <c r="Q482" i="4"/>
  <c r="R482" i="4" s="1" a="1"/>
  <c r="R482" i="4" s="1"/>
  <c r="B482" i="4"/>
  <c r="Q525" i="4"/>
  <c r="R525" i="4" s="1" a="1"/>
  <c r="R525" i="4" s="1"/>
  <c r="B525" i="4"/>
  <c r="Q1284" i="4"/>
  <c r="R1284" i="4" s="1" a="1"/>
  <c r="R1284" i="4" s="1"/>
  <c r="B1284" i="4"/>
  <c r="Q545" i="4"/>
  <c r="R545" i="4" s="1" a="1"/>
  <c r="R545" i="4" s="1"/>
  <c r="B545" i="4"/>
  <c r="Q719" i="4"/>
  <c r="R719" i="4" s="1" a="1"/>
  <c r="R719" i="4" s="1"/>
  <c r="B719" i="4"/>
  <c r="Q442" i="4"/>
  <c r="R442" i="4" s="1" a="1"/>
  <c r="R442" i="4" s="1"/>
  <c r="B442" i="4"/>
  <c r="Q524" i="4"/>
  <c r="R524" i="4" s="1" a="1"/>
  <c r="R524" i="4" s="1"/>
  <c r="B524" i="4"/>
  <c r="Q792" i="4"/>
  <c r="R792" i="4" s="1" a="1"/>
  <c r="R792" i="4" s="1"/>
  <c r="B792" i="4"/>
  <c r="Q663" i="4"/>
  <c r="R663" i="4" s="1" a="1"/>
  <c r="R663" i="4" s="1"/>
  <c r="B663" i="4"/>
  <c r="Q1422" i="4"/>
  <c r="R1422" i="4" s="1" a="1"/>
  <c r="R1422" i="4" s="1"/>
  <c r="B1422" i="4"/>
  <c r="Q1282" i="4"/>
  <c r="R1282" i="4" s="1" a="1"/>
  <c r="R1282" i="4" s="1"/>
  <c r="B1282" i="4"/>
  <c r="Q1067" i="4"/>
  <c r="R1067" i="4" s="1" a="1"/>
  <c r="R1067" i="4" s="1"/>
  <c r="B1067" i="4"/>
  <c r="Q1139" i="4"/>
  <c r="R1139" i="4" s="1" a="1"/>
  <c r="R1139" i="4" s="1"/>
  <c r="B1139" i="4"/>
  <c r="Q67" i="4"/>
  <c r="R67" i="4" s="1" a="1"/>
  <c r="R67" i="4" s="1"/>
  <c r="B67" i="4"/>
  <c r="Q370" i="4"/>
  <c r="R370" i="4" s="1" a="1"/>
  <c r="R370" i="4" s="1"/>
  <c r="B370" i="4"/>
  <c r="Q234" i="4"/>
  <c r="R234" i="4" s="1" a="1"/>
  <c r="R234" i="4" s="1"/>
  <c r="B234" i="4"/>
  <c r="Q496" i="4"/>
  <c r="R496" i="4" s="1" a="1"/>
  <c r="R496" i="4" s="1"/>
  <c r="B496" i="4"/>
  <c r="Q1007" i="4"/>
  <c r="R1007" i="4" s="1" a="1"/>
  <c r="R1007" i="4" s="1"/>
  <c r="B1007" i="4"/>
  <c r="Q338" i="4"/>
  <c r="R338" i="4" s="1" a="1"/>
  <c r="R338" i="4" s="1"/>
  <c r="B338" i="4"/>
  <c r="Q255" i="4"/>
  <c r="R255" i="4" s="1" a="1"/>
  <c r="R255" i="4" s="1"/>
  <c r="B255" i="4"/>
  <c r="Q80" i="4"/>
  <c r="R80" i="4" s="1" a="1"/>
  <c r="R80" i="4" s="1"/>
  <c r="B80" i="4"/>
  <c r="Q973" i="4"/>
  <c r="R973" i="4" s="1" a="1"/>
  <c r="R973" i="4" s="1"/>
  <c r="B973" i="4"/>
  <c r="Q651" i="4"/>
  <c r="R651" i="4" s="1" a="1"/>
  <c r="R651" i="4" s="1"/>
  <c r="B651" i="4"/>
  <c r="Q298" i="4"/>
  <c r="R298" i="4" s="1" a="1"/>
  <c r="R298" i="4" s="1"/>
  <c r="B298" i="4"/>
  <c r="Q290" i="4"/>
  <c r="R290" i="4" s="1" a="1"/>
  <c r="R290" i="4" s="1"/>
  <c r="B290" i="4"/>
  <c r="Q1294" i="4"/>
  <c r="R1294" i="4" s="1" a="1"/>
  <c r="R1294" i="4" s="1"/>
  <c r="B1294" i="4"/>
  <c r="Q1124" i="4"/>
  <c r="R1124" i="4" s="1" a="1"/>
  <c r="R1124" i="4" s="1"/>
  <c r="B1124" i="4"/>
  <c r="Q266" i="4"/>
  <c r="R266" i="4" s="1" a="1"/>
  <c r="R266" i="4" s="1"/>
  <c r="B266" i="4"/>
  <c r="Q789" i="4"/>
  <c r="R789" i="4" s="1" a="1"/>
  <c r="R789" i="4" s="1"/>
  <c r="B789" i="4"/>
  <c r="Q143" i="4"/>
  <c r="R143" i="4" s="1" a="1"/>
  <c r="R143" i="4" s="1"/>
  <c r="B143" i="4"/>
  <c r="Q224" i="4"/>
  <c r="R224" i="4" s="1" a="1"/>
  <c r="R224" i="4" s="1"/>
  <c r="B224" i="4"/>
  <c r="Q787" i="4"/>
  <c r="R787" i="4" s="1" a="1"/>
  <c r="R787" i="4" s="1"/>
  <c r="B787" i="4"/>
  <c r="Q195" i="4"/>
  <c r="R195" i="4" s="1" a="1"/>
  <c r="R195" i="4" s="1"/>
  <c r="B195" i="4"/>
  <c r="Q218" i="4"/>
  <c r="R218" i="4" s="1" a="1"/>
  <c r="R218" i="4" s="1"/>
  <c r="B218" i="4"/>
  <c r="Q716" i="4"/>
  <c r="R716" i="4" s="1" a="1"/>
  <c r="R716" i="4" s="1"/>
  <c r="B716" i="4"/>
  <c r="Q168" i="4"/>
  <c r="R168" i="4" s="1" a="1"/>
  <c r="R168" i="4" s="1"/>
  <c r="B168" i="4"/>
  <c r="Q194" i="4"/>
  <c r="R194" i="4" s="1" a="1"/>
  <c r="R194" i="4" s="1"/>
  <c r="B194" i="4"/>
  <c r="Q1276" i="4"/>
  <c r="R1276" i="4" s="1" a="1"/>
  <c r="R1276" i="4" s="1"/>
  <c r="B1276" i="4"/>
  <c r="Q694" i="4"/>
  <c r="R694" i="4" s="1" a="1"/>
  <c r="R694" i="4" s="1"/>
  <c r="B694" i="4"/>
  <c r="Q786" i="4"/>
  <c r="R786" i="4" s="1" a="1"/>
  <c r="R786" i="4" s="1"/>
  <c r="B786" i="4"/>
  <c r="Q419" i="4"/>
  <c r="R419" i="4" s="1" a="1"/>
  <c r="R419" i="4" s="1"/>
  <c r="B419" i="4"/>
  <c r="Q175" i="4"/>
  <c r="R175" i="4" s="1" a="1"/>
  <c r="R175" i="4" s="1"/>
  <c r="B175" i="4"/>
  <c r="Q334" i="4"/>
  <c r="R334" i="4" s="1" a="1"/>
  <c r="R334" i="4" s="1"/>
  <c r="B334" i="4"/>
  <c r="Q138" i="4"/>
  <c r="R138" i="4" s="1" a="1"/>
  <c r="R138" i="4" s="1"/>
  <c r="B138" i="4"/>
  <c r="Q1234" i="4"/>
  <c r="R1234" i="4" s="1" a="1"/>
  <c r="R1234" i="4" s="1"/>
  <c r="B1234" i="4"/>
  <c r="Q222" i="4"/>
  <c r="R222" i="4" s="1" a="1"/>
  <c r="R222" i="4" s="1"/>
  <c r="B222" i="4"/>
  <c r="Q1363" i="4"/>
  <c r="R1363" i="4" s="1" a="1"/>
  <c r="R1363" i="4" s="1"/>
  <c r="B1363" i="4"/>
  <c r="Q753" i="4"/>
  <c r="R753" i="4" s="1" a="1"/>
  <c r="R753" i="4" s="1"/>
  <c r="B753" i="4"/>
  <c r="Q543" i="4"/>
  <c r="R543" i="4" s="1" a="1"/>
  <c r="R543" i="4" s="1"/>
  <c r="B543" i="4"/>
  <c r="Q60" i="4"/>
  <c r="R60" i="4" s="1" a="1"/>
  <c r="R60" i="4" s="1"/>
  <c r="B60" i="4"/>
  <c r="Q321" i="4"/>
  <c r="R321" i="4" s="1" a="1"/>
  <c r="R321" i="4" s="1"/>
  <c r="B321" i="4"/>
  <c r="Q692" i="4"/>
  <c r="R692" i="4" s="1" a="1"/>
  <c r="R692" i="4" s="1"/>
  <c r="B692" i="4"/>
  <c r="Q1401" i="4"/>
  <c r="R1401" i="4" s="1" a="1"/>
  <c r="R1401" i="4" s="1"/>
  <c r="B1401" i="4"/>
  <c r="Q1332" i="4"/>
  <c r="R1332" i="4" s="1" a="1"/>
  <c r="R1332" i="4" s="1"/>
  <c r="B1332" i="4"/>
  <c r="Q856" i="4"/>
  <c r="R856" i="4" s="1" a="1"/>
  <c r="R856" i="4" s="1"/>
  <c r="B856" i="4"/>
  <c r="Q1077" i="4"/>
  <c r="R1077" i="4" s="1" a="1"/>
  <c r="R1077" i="4" s="1"/>
  <c r="B1077" i="4"/>
  <c r="Q1179" i="4"/>
  <c r="R1179" i="4" s="1" a="1"/>
  <c r="R1179" i="4" s="1"/>
  <c r="B1179" i="4"/>
  <c r="Q26" i="4"/>
  <c r="R26" i="4" s="1" a="1"/>
  <c r="R26" i="4" s="1"/>
  <c r="B26" i="4"/>
  <c r="Q415" i="4"/>
  <c r="R415" i="4" s="1" a="1"/>
  <c r="R415" i="4" s="1"/>
  <c r="B415" i="4"/>
  <c r="Q602" i="4"/>
  <c r="R602" i="4" s="1" a="1"/>
  <c r="R602" i="4" s="1"/>
  <c r="B602" i="4"/>
  <c r="B520" i="4"/>
  <c r="B140" i="4"/>
  <c r="B1031" i="4"/>
  <c r="B306" i="4"/>
  <c r="B971" i="4"/>
  <c r="B37" i="4"/>
  <c r="B645" i="4"/>
  <c r="B1258" i="4"/>
  <c r="B1121" i="4"/>
  <c r="B1314" i="4"/>
  <c r="B1270" i="4"/>
  <c r="B114" i="4"/>
  <c r="B660" i="4"/>
  <c r="B893" i="4"/>
  <c r="B263" i="4"/>
  <c r="B119" i="4"/>
  <c r="B611" i="4"/>
  <c r="B350" i="4"/>
  <c r="B1431" i="4"/>
  <c r="B624" i="4"/>
  <c r="B1430" i="4"/>
  <c r="B1227" i="4"/>
  <c r="B778" i="4"/>
  <c r="B579" i="4"/>
  <c r="B1447" i="4"/>
  <c r="B1319" i="4"/>
  <c r="Q559" i="4"/>
  <c r="R559" i="4" s="1" a="1"/>
  <c r="R559" i="4" s="1"/>
  <c r="Q829" i="4"/>
  <c r="R829" i="4" s="1" a="1"/>
  <c r="R829" i="4" s="1"/>
  <c r="Q1387" i="4"/>
  <c r="R1387" i="4" s="1" a="1"/>
  <c r="R1387" i="4" s="1"/>
  <c r="Q1110" i="4"/>
  <c r="R1110" i="4" s="1" a="1"/>
  <c r="R1110" i="4" s="1"/>
  <c r="Q1434" i="4"/>
  <c r="R1434" i="4" s="1" a="1"/>
  <c r="R1434" i="4" s="1"/>
  <c r="Q871" i="4"/>
  <c r="R871" i="4" s="1" a="1"/>
  <c r="R871" i="4" s="1"/>
  <c r="Q1443" i="4"/>
  <c r="R1443" i="4" s="1" a="1"/>
  <c r="R1443" i="4" s="1"/>
  <c r="Q1296" i="4"/>
  <c r="R1296" i="4" s="1" a="1"/>
  <c r="R1296" i="4" s="1"/>
  <c r="Q1364" i="4"/>
  <c r="R1364" i="4" s="1" a="1"/>
  <c r="R1364" i="4" s="1"/>
  <c r="Q1403" i="4"/>
  <c r="R1403" i="4" s="1" a="1"/>
  <c r="R1403" i="4" s="1"/>
  <c r="Q392" i="4"/>
  <c r="R392" i="4" s="1" a="1"/>
  <c r="R392" i="4" s="1"/>
  <c r="Q1065" i="4"/>
  <c r="R1065" i="4" s="1" a="1"/>
  <c r="R1065" i="4" s="1"/>
  <c r="Q1198" i="4"/>
  <c r="R1198" i="4" s="1" a="1"/>
  <c r="R1198" i="4" s="1"/>
  <c r="Q421" i="4"/>
  <c r="R421" i="4" s="1" a="1"/>
  <c r="R421" i="4" s="1"/>
  <c r="D2" i="2"/>
  <c r="Q2" i="4"/>
  <c r="R2" i="4" s="1" a="1"/>
  <c r="R2" i="4" s="1"/>
  <c r="D4" i="2"/>
  <c r="C4" i="2"/>
  <c r="C6" i="2"/>
  <c r="D3" i="2"/>
  <c r="C3" i="2"/>
  <c r="E1519" i="4"/>
  <c r="F1519" i="4"/>
  <c r="D6" i="2"/>
  <c r="F1520" i="4"/>
  <c r="D5" i="2"/>
  <c r="E1520" i="4"/>
  <c r="C5" i="2"/>
  <c r="Q130" i="4"/>
  <c r="R130" i="4" s="1" a="1"/>
  <c r="R130" i="4" s="1"/>
  <c r="Q477" i="4"/>
  <c r="R477" i="4" s="1" a="1"/>
  <c r="R477" i="4" s="1"/>
  <c r="Q758" i="4"/>
  <c r="R758" i="4" s="1" a="1"/>
  <c r="R758" i="4" s="1"/>
  <c r="Q505" i="4"/>
  <c r="R505" i="4" s="1" a="1"/>
  <c r="R505" i="4" s="1"/>
  <c r="Q986" i="4"/>
  <c r="R986" i="4" s="1" a="1"/>
  <c r="R986" i="4" s="1"/>
  <c r="Q881" i="4"/>
  <c r="R881" i="4" s="1" a="1"/>
  <c r="R881" i="4" s="1"/>
  <c r="Q1261" i="4"/>
  <c r="R1261" i="4" s="1" a="1"/>
  <c r="R1261" i="4" s="1"/>
  <c r="Q676" i="4"/>
  <c r="R676" i="4" s="1" a="1"/>
  <c r="R676" i="4" s="1"/>
  <c r="Q598" i="4"/>
  <c r="R598" i="4" s="1" a="1"/>
  <c r="R598" i="4" s="1"/>
  <c r="Q1399" i="4"/>
  <c r="R1399" i="4" s="1" a="1"/>
  <c r="R1399" i="4" s="1"/>
  <c r="Q816" i="4"/>
  <c r="R816" i="4" s="1" a="1"/>
  <c r="R816" i="4" s="1"/>
  <c r="Q1331" i="4"/>
  <c r="R1331" i="4" s="1" a="1"/>
  <c r="R1331" i="4" s="1"/>
  <c r="Q1260" i="4"/>
  <c r="R1260" i="4" s="1" a="1"/>
  <c r="R1260" i="4" s="1"/>
  <c r="Q947" i="4"/>
  <c r="R947" i="4" s="1" a="1"/>
  <c r="R947" i="4" s="1"/>
  <c r="Q1196" i="4"/>
  <c r="R1196" i="4" s="1" a="1"/>
  <c r="R1196" i="4" s="1"/>
  <c r="Q1120" i="4"/>
  <c r="R1120" i="4" s="1" a="1"/>
  <c r="R1120" i="4" s="1"/>
  <c r="Q1004" i="4"/>
  <c r="R1004" i="4" s="1" a="1"/>
  <c r="R1004" i="4" s="1"/>
  <c r="Q105" i="4"/>
  <c r="R105" i="4" s="1" a="1"/>
  <c r="R105" i="4" s="1"/>
  <c r="Q243" i="4"/>
  <c r="R243" i="4" s="1" a="1"/>
  <c r="R243" i="4" s="1"/>
  <c r="Q503" i="4"/>
  <c r="R503" i="4" s="1" a="1"/>
  <c r="R503" i="4" s="1"/>
  <c r="Q1193" i="4"/>
  <c r="R1193" i="4" s="1" a="1"/>
  <c r="R1193" i="4" s="1"/>
  <c r="Q854" i="4"/>
  <c r="R854" i="4" s="1" a="1"/>
  <c r="R854" i="4" s="1"/>
  <c r="Q932" i="4"/>
  <c r="R932" i="4" s="1" a="1"/>
  <c r="R932" i="4" s="1"/>
  <c r="Q967" i="4"/>
  <c r="R967" i="4" s="1" a="1"/>
  <c r="R967" i="4" s="1"/>
  <c r="Q191" i="4"/>
  <c r="R191" i="4" s="1" a="1"/>
  <c r="R191" i="4" s="1"/>
  <c r="Q190" i="4"/>
  <c r="R190" i="4" s="1" a="1"/>
  <c r="R190" i="4" s="1"/>
  <c r="Q706" i="4"/>
  <c r="R706" i="4" s="1" a="1"/>
  <c r="R706" i="4" s="1"/>
  <c r="Q853" i="4"/>
  <c r="R853" i="4" s="1" a="1"/>
  <c r="R853" i="4" s="1"/>
  <c r="Q1049" i="4"/>
  <c r="R1049" i="4" s="1" a="1"/>
  <c r="R1049" i="4" s="1"/>
  <c r="Q493" i="4"/>
  <c r="R493" i="4" s="1" a="1"/>
  <c r="R493" i="4" s="1"/>
  <c r="Q362" i="4"/>
  <c r="R362" i="4" s="1" a="1"/>
  <c r="R362" i="4" s="1"/>
  <c r="Q1329" i="4"/>
  <c r="R1329" i="4" s="1" a="1"/>
  <c r="R1329" i="4" s="1"/>
  <c r="Q769" i="4"/>
  <c r="R769" i="4" s="1" a="1"/>
  <c r="R769" i="4" s="1"/>
  <c r="Q388" i="4"/>
  <c r="R388" i="4" s="1" a="1"/>
  <c r="R388" i="4" s="1"/>
  <c r="Q468" i="4"/>
  <c r="R468" i="4" s="1" a="1"/>
  <c r="R468" i="4" s="1"/>
  <c r="Q643" i="4"/>
  <c r="R643" i="4" s="1" a="1"/>
  <c r="R643" i="4" s="1"/>
  <c r="Q262" i="4"/>
  <c r="R262" i="4" s="1" a="1"/>
  <c r="R262" i="4" s="1"/>
  <c r="Q76" i="4"/>
  <c r="R76" i="4" s="1" a="1"/>
  <c r="R76" i="4" s="1"/>
  <c r="Q731" i="4"/>
  <c r="R731" i="4" s="1" a="1"/>
  <c r="R731" i="4" s="1"/>
  <c r="Q174" i="4"/>
  <c r="R174" i="4" s="1" a="1"/>
  <c r="R174" i="4" s="1"/>
  <c r="Q631" i="4"/>
  <c r="R631" i="4" s="1" a="1"/>
  <c r="R631" i="4" s="1"/>
  <c r="Q1306" i="4"/>
  <c r="R1306" i="4" s="1" a="1"/>
  <c r="R1306" i="4" s="1"/>
  <c r="Q964" i="4"/>
  <c r="R964" i="4" s="1" a="1"/>
  <c r="R964" i="4" s="1"/>
  <c r="Q567" i="4"/>
  <c r="R567" i="4" s="1" a="1"/>
  <c r="R567" i="4" s="1"/>
  <c r="Q1232" i="4"/>
  <c r="R1232" i="4" s="1" a="1"/>
  <c r="R1232" i="4" s="1"/>
  <c r="Q172" i="4"/>
  <c r="R172" i="4" s="1" a="1"/>
  <c r="R172" i="4" s="1"/>
  <c r="Q556" i="4"/>
  <c r="R556" i="4" s="1" a="1"/>
  <c r="R556" i="4" s="1"/>
  <c r="Q852" i="4"/>
  <c r="R852" i="4" s="1" a="1"/>
  <c r="R852" i="4" s="1"/>
  <c r="Q768" i="4"/>
  <c r="R768" i="4" s="1" a="1"/>
  <c r="R768" i="4" s="1"/>
  <c r="Q1375" i="4"/>
  <c r="R1375" i="4" s="1" a="1"/>
  <c r="R1375" i="4" s="1"/>
  <c r="Q343" i="4"/>
  <c r="R343" i="4" s="1" a="1"/>
  <c r="R343" i="4" s="1"/>
  <c r="Q1083" i="4"/>
  <c r="R1083" i="4" s="1" a="1"/>
  <c r="R1083" i="4" s="1"/>
  <c r="Q1287" i="4"/>
  <c r="R1287" i="4" s="1" a="1"/>
  <c r="R1287" i="4" s="1"/>
  <c r="Q1429" i="4"/>
  <c r="R1429" i="4" s="1" a="1"/>
  <c r="R1429" i="4" s="1"/>
  <c r="Q1074" i="4"/>
  <c r="R1074" i="4" s="1" a="1"/>
  <c r="R1074" i="4" s="1"/>
  <c r="Q1410" i="4"/>
  <c r="R1410" i="4" s="1" a="1"/>
  <c r="R1410" i="4" s="1"/>
  <c r="Q1394" i="4"/>
  <c r="R1394" i="4" s="1" a="1"/>
  <c r="R1394" i="4" s="1"/>
  <c r="Q401" i="4"/>
  <c r="R401" i="4" s="1" a="1"/>
  <c r="R401" i="4" s="1"/>
  <c r="Q123" i="4"/>
  <c r="R123" i="4" s="1" a="1"/>
  <c r="R123" i="4" s="1"/>
  <c r="Q1325" i="4"/>
  <c r="R1325" i="4" s="1" a="1"/>
  <c r="R1325" i="4" s="1"/>
  <c r="Q1286" i="4"/>
  <c r="R1286" i="4" s="1" a="1"/>
  <c r="R1286" i="4" s="1"/>
  <c r="Q110" i="4"/>
  <c r="R110" i="4" s="1" a="1"/>
  <c r="R110" i="4" s="1"/>
  <c r="Q240" i="4"/>
  <c r="R240" i="4" s="1" a="1"/>
  <c r="R240" i="4" s="1"/>
  <c r="Q313" i="4"/>
  <c r="R313" i="4" s="1" a="1"/>
  <c r="R313" i="4" s="1"/>
  <c r="Q628" i="4"/>
  <c r="R628" i="4" s="1" a="1"/>
  <c r="R628" i="4" s="1"/>
  <c r="Q1129" i="4"/>
  <c r="R1129" i="4" s="1" a="1"/>
  <c r="R1129" i="4" s="1"/>
  <c r="Q729" i="4"/>
  <c r="R729" i="4" s="1" a="1"/>
  <c r="R729" i="4" s="1"/>
  <c r="Q700" i="4"/>
  <c r="R700" i="4" s="1" a="1"/>
  <c r="R700" i="4" s="1"/>
  <c r="Q813" i="4"/>
  <c r="R813" i="4" s="1" a="1"/>
  <c r="R813" i="4" s="1"/>
  <c r="Q899" i="4"/>
  <c r="R899" i="4" s="1" a="1"/>
  <c r="R899" i="4" s="1"/>
  <c r="Q554" i="4"/>
  <c r="R554" i="4" s="1" a="1"/>
  <c r="R554" i="4" s="1"/>
  <c r="Q1111" i="4"/>
  <c r="R1111" i="4" s="1" a="1"/>
  <c r="R1111" i="4" s="1"/>
  <c r="Q15" i="4"/>
  <c r="R15" i="4" s="1" a="1"/>
  <c r="R15" i="4" s="1"/>
  <c r="Q55" i="4"/>
  <c r="R55" i="4" s="1" a="1"/>
  <c r="R55" i="4" s="1"/>
  <c r="Q828" i="4"/>
  <c r="R828" i="4" s="1" a="1"/>
  <c r="R828" i="4" s="1"/>
  <c r="Q342" i="4"/>
  <c r="R342" i="4" s="1" a="1"/>
  <c r="R342" i="4" s="1"/>
  <c r="Q163" i="4"/>
  <c r="R163" i="4" s="1" a="1"/>
  <c r="R163" i="4" s="1"/>
  <c r="Q887" i="4"/>
  <c r="R887" i="4" s="1" a="1"/>
  <c r="R887" i="4" s="1"/>
  <c r="Q656" i="4"/>
  <c r="R656" i="4" s="1" a="1"/>
  <c r="R656" i="4" s="1"/>
  <c r="Q1268" i="4"/>
  <c r="R1268" i="4" s="1" a="1"/>
  <c r="R1268" i="4" s="1"/>
  <c r="Q1237" i="4"/>
  <c r="R1237" i="4" s="1" a="1"/>
  <c r="R1237" i="4" s="1"/>
  <c r="Q228" i="4"/>
  <c r="R228" i="4" s="1" a="1"/>
  <c r="R228" i="4" s="1"/>
  <c r="Q607" i="4"/>
  <c r="R607" i="4" s="1" a="1"/>
  <c r="R607" i="4" s="1"/>
  <c r="Q217" i="4"/>
  <c r="R217" i="4" s="1" a="1"/>
  <c r="R217" i="4" s="1"/>
  <c r="Q1344" i="4"/>
  <c r="R1344" i="4" s="1" a="1"/>
  <c r="R1344" i="4" s="1"/>
  <c r="Q1045" i="4"/>
  <c r="R1045" i="4" s="1" a="1"/>
  <c r="R1045" i="4" s="1"/>
  <c r="Q592" i="4"/>
  <c r="R592" i="4" s="1" a="1"/>
  <c r="R592" i="4" s="1"/>
  <c r="Q383" i="4"/>
  <c r="R383" i="4" s="1" a="1"/>
  <c r="R383" i="4" s="1"/>
  <c r="Q1252" i="4"/>
  <c r="R1252" i="4" s="1" a="1"/>
  <c r="R1252" i="4" s="1"/>
  <c r="Q132" i="4"/>
  <c r="R132" i="4" s="1" a="1"/>
  <c r="R132" i="4" s="1"/>
  <c r="Q1343" i="4"/>
  <c r="R1343" i="4" s="1" a="1"/>
  <c r="R1343" i="4" s="1"/>
  <c r="Q198" i="4"/>
  <c r="R198" i="4" s="1" a="1"/>
  <c r="R198" i="4" s="1"/>
  <c r="Q396" i="4"/>
  <c r="R396" i="4" s="1" a="1"/>
  <c r="R396" i="4" s="1"/>
  <c r="Q886" i="4"/>
  <c r="R886" i="4" s="1" a="1"/>
  <c r="R886" i="4" s="1"/>
  <c r="Q289" i="4"/>
  <c r="R289" i="4" s="1" a="1"/>
  <c r="R289" i="4" s="1"/>
  <c r="Q256" i="4"/>
  <c r="R256" i="4" s="1" a="1"/>
  <c r="R256" i="4" s="1"/>
  <c r="Q1298" i="4"/>
  <c r="R1298" i="4" s="1" a="1"/>
  <c r="R1298" i="4" s="1"/>
  <c r="Q721" i="4"/>
  <c r="R721" i="4" s="1" a="1"/>
  <c r="R721" i="4" s="1"/>
  <c r="Q875" i="4"/>
  <c r="R875" i="4" s="1" a="1"/>
  <c r="R875" i="4" s="1"/>
  <c r="Q1107" i="4"/>
  <c r="R1107" i="4" s="1" a="1"/>
  <c r="R1107" i="4" s="1"/>
  <c r="Q69" i="4"/>
  <c r="R69" i="4" s="1" a="1"/>
  <c r="R69" i="4" s="1"/>
  <c r="Q42" i="4"/>
  <c r="R42" i="4" s="1" a="1"/>
  <c r="R42" i="4" s="1"/>
  <c r="Q1250" i="4"/>
  <c r="R1250" i="4" s="1" a="1"/>
  <c r="R1250" i="4" s="1"/>
  <c r="Q1405" i="4"/>
  <c r="R1405" i="4" s="1" a="1"/>
  <c r="R1405" i="4" s="1"/>
  <c r="Q998" i="4"/>
  <c r="R998" i="4" s="1" a="1"/>
  <c r="R998" i="4" s="1"/>
  <c r="Q341" i="4"/>
  <c r="R341" i="4" s="1" a="1"/>
  <c r="R341" i="4" s="1"/>
  <c r="Q214" i="4"/>
  <c r="R214" i="4" s="1" a="1"/>
  <c r="R214" i="4" s="1"/>
  <c r="Q444" i="4"/>
  <c r="R444" i="4" s="1" a="1"/>
  <c r="R444" i="4" s="1"/>
  <c r="Q213" i="4"/>
  <c r="R213" i="4" s="1" a="1"/>
  <c r="R213" i="4" s="1"/>
  <c r="Q339" i="4"/>
  <c r="R339" i="4" s="1" a="1"/>
  <c r="R339" i="4" s="1"/>
  <c r="Q1265" i="4"/>
  <c r="R1265" i="4" s="1" a="1"/>
  <c r="R1265" i="4" s="1"/>
  <c r="Q483" i="4"/>
  <c r="R483" i="4" s="1" a="1"/>
  <c r="R483" i="4" s="1"/>
  <c r="Q1092" i="4"/>
  <c r="R1092" i="4" s="1" a="1"/>
  <c r="R1092" i="4" s="1"/>
  <c r="Q718" i="4"/>
  <c r="R718" i="4" s="1" a="1"/>
  <c r="R718" i="4" s="1"/>
  <c r="Q457" i="4"/>
  <c r="R457" i="4" s="1" a="1"/>
  <c r="R457" i="4" s="1"/>
  <c r="Q748" i="4"/>
  <c r="R748" i="4" s="1" a="1"/>
  <c r="R748" i="4" s="1"/>
  <c r="Q247" i="4"/>
  <c r="R247" i="4" s="1" a="1"/>
  <c r="R247" i="4" s="1"/>
  <c r="Q653" i="4"/>
  <c r="R653" i="4" s="1" a="1"/>
  <c r="R653" i="4" s="1"/>
  <c r="Q411" i="4"/>
  <c r="R411" i="4" s="1" a="1"/>
  <c r="R411" i="4" s="1"/>
  <c r="Q1105" i="4"/>
  <c r="R1105" i="4" s="1" a="1"/>
  <c r="R1105" i="4" s="1"/>
  <c r="Q381" i="4"/>
  <c r="R381" i="4" s="1" a="1"/>
  <c r="R381" i="4" s="1"/>
  <c r="Q808" i="4"/>
  <c r="R808" i="4" s="1" a="1"/>
  <c r="R808" i="4" s="1"/>
  <c r="Q637" i="4"/>
  <c r="R637" i="4" s="1" a="1"/>
  <c r="R637" i="4" s="1"/>
  <c r="Q1217" i="4"/>
  <c r="R1217" i="4" s="1" a="1"/>
  <c r="R1217" i="4" s="1"/>
  <c r="Q233" i="4"/>
  <c r="R233" i="4" s="1" a="1"/>
  <c r="R233" i="4" s="1"/>
  <c r="Q636" i="4"/>
  <c r="R636" i="4" s="1" a="1"/>
  <c r="R636" i="4" s="1"/>
  <c r="Q1199" i="4"/>
  <c r="R1199" i="4" s="1" a="1"/>
  <c r="R1199" i="4" s="1"/>
  <c r="Q1404" i="4"/>
  <c r="R1404" i="4" s="1" a="1"/>
  <c r="R1404" i="4" s="1"/>
  <c r="Q144" i="4"/>
  <c r="R144" i="4" s="1" a="1"/>
  <c r="R144" i="4" s="1"/>
  <c r="Q197" i="4"/>
  <c r="R197" i="4" s="1" a="1"/>
  <c r="R197" i="4" s="1"/>
  <c r="Q1380" i="4"/>
  <c r="R1380" i="4" s="1" a="1"/>
  <c r="R1380" i="4" s="1"/>
  <c r="Q90" i="4"/>
  <c r="R90" i="4" s="1" a="1"/>
  <c r="R90" i="4" s="1"/>
  <c r="Q521" i="4"/>
  <c r="R521" i="4" s="1" a="1"/>
  <c r="R521" i="4" s="1"/>
  <c r="Q788" i="4"/>
  <c r="R788" i="4" s="1" a="1"/>
  <c r="R788" i="4" s="1"/>
  <c r="Q1132" i="4"/>
  <c r="R1132" i="4" s="1" a="1"/>
  <c r="R1132" i="4" s="1"/>
  <c r="Q1090" i="4"/>
  <c r="R1090" i="4" s="1" a="1"/>
  <c r="R1090" i="4" s="1"/>
  <c r="Q169" i="4"/>
  <c r="R169" i="4" s="1" a="1"/>
  <c r="R169" i="4" s="1"/>
  <c r="Q141" i="4"/>
  <c r="R141" i="4" s="1" a="1"/>
  <c r="R141" i="4" s="1"/>
  <c r="Q204" i="4"/>
  <c r="R204" i="4" s="1" a="1"/>
  <c r="R204" i="4" s="1"/>
  <c r="Q1419" i="4"/>
  <c r="R1419" i="4" s="1" a="1"/>
  <c r="R1419" i="4" s="1"/>
  <c r="Q952" i="4"/>
  <c r="R952" i="4" s="1" a="1"/>
  <c r="R952" i="4" s="1"/>
  <c r="Q1078" i="4"/>
  <c r="R1078" i="4" s="1" a="1"/>
  <c r="R1078" i="4" s="1"/>
  <c r="Q650" i="4"/>
  <c r="R650" i="4" s="1" a="1"/>
  <c r="R650" i="4" s="1"/>
  <c r="Q479" i="4"/>
  <c r="R479" i="4" s="1" a="1"/>
  <c r="R479" i="4" s="1"/>
  <c r="Q1005" i="4"/>
  <c r="R1005" i="4" s="1" a="1"/>
  <c r="R1005" i="4" s="1"/>
  <c r="Q333" i="4"/>
  <c r="R333" i="4" s="1" a="1"/>
  <c r="R333" i="4" s="1"/>
  <c r="Q604" i="4"/>
  <c r="R604" i="4" s="1" a="1"/>
  <c r="R604" i="4" s="1"/>
  <c r="Q822" i="4"/>
  <c r="R822" i="4" s="1" a="1"/>
  <c r="R822" i="4" s="1"/>
  <c r="Q573" i="4"/>
  <c r="R573" i="4" s="1" a="1"/>
  <c r="R573" i="4" s="1"/>
  <c r="Q905" i="4"/>
  <c r="R905" i="4" s="1" a="1"/>
  <c r="R905" i="4" s="1"/>
  <c r="Q843" i="4"/>
  <c r="R843" i="4" s="1" a="1"/>
  <c r="R843" i="4" s="1"/>
  <c r="Q603" i="4"/>
  <c r="R603" i="4" s="1" a="1"/>
  <c r="R603" i="4" s="1"/>
  <c r="Q1142" i="4"/>
  <c r="R1142" i="4" s="1" a="1"/>
  <c r="R1142" i="4" s="1"/>
  <c r="Q308" i="4"/>
  <c r="R308" i="4" s="1" a="1"/>
  <c r="R308" i="4" s="1"/>
  <c r="Q507" i="4"/>
  <c r="R507" i="4" s="1" a="1"/>
  <c r="R507" i="4" s="1"/>
  <c r="Q868" i="4"/>
  <c r="R868" i="4" s="1" a="1"/>
  <c r="R868" i="4" s="1"/>
  <c r="Q648" i="4"/>
  <c r="R648" i="4" s="1" a="1"/>
  <c r="R648" i="4" s="1"/>
  <c r="Q65" i="4"/>
  <c r="R65" i="4" s="1" a="1"/>
  <c r="R65" i="4" s="1"/>
  <c r="Q205" i="4"/>
  <c r="R205" i="4" s="1" a="1"/>
  <c r="R205" i="4" s="1"/>
  <c r="Q924" i="4"/>
  <c r="R924" i="4" s="1" a="1"/>
  <c r="R924" i="4" s="1"/>
  <c r="Q176" i="4"/>
  <c r="R176" i="4" s="1" a="1"/>
  <c r="R176" i="4" s="1"/>
  <c r="Q678" i="4"/>
  <c r="R678" i="4" s="1" a="1"/>
  <c r="R678" i="4" s="1"/>
  <c r="Q1054" i="4"/>
  <c r="R1054" i="4" s="1" a="1"/>
  <c r="R1054" i="4" s="1"/>
  <c r="Q364" i="4"/>
  <c r="R364" i="4" s="1" a="1"/>
  <c r="R364" i="4" s="1"/>
  <c r="Q739" i="4"/>
  <c r="R739" i="4" s="1" a="1"/>
  <c r="R739" i="4" s="1"/>
  <c r="Q203" i="4"/>
  <c r="R203" i="4" s="1" a="1"/>
  <c r="R203" i="4" s="1"/>
  <c r="Q353" i="4"/>
  <c r="R353" i="4" s="1" a="1"/>
  <c r="R353" i="4" s="1"/>
  <c r="Q351" i="4"/>
  <c r="R351" i="4" s="1" a="1"/>
  <c r="R351" i="4" s="1"/>
  <c r="Q614" i="4"/>
  <c r="R614" i="4" s="1" a="1"/>
  <c r="R614" i="4" s="1"/>
  <c r="Q784" i="4"/>
  <c r="R784" i="4" s="1" a="1"/>
  <c r="R784" i="4" s="1"/>
  <c r="Q186" i="4"/>
  <c r="R186" i="4" s="1" a="1"/>
  <c r="R186" i="4" s="1"/>
  <c r="Q951" i="4"/>
  <c r="R951" i="4" s="1" a="1"/>
  <c r="R951" i="4" s="1"/>
  <c r="Q309" i="4"/>
  <c r="R309" i="4" s="1" a="1"/>
  <c r="R309" i="4" s="1"/>
  <c r="Q1417" i="4"/>
  <c r="R1417" i="4" s="1" a="1"/>
  <c r="R1417" i="4" s="1"/>
  <c r="Q1214" i="4"/>
  <c r="R1214" i="4" s="1" a="1"/>
  <c r="R1214" i="4" s="1"/>
  <c r="Q320" i="4"/>
  <c r="R320" i="4" s="1" a="1"/>
  <c r="R320" i="4" s="1"/>
  <c r="Q39" i="4"/>
  <c r="R39" i="4" s="1" a="1"/>
  <c r="R39" i="4" s="1"/>
  <c r="Q1379" i="4"/>
  <c r="R1379" i="4" s="1" a="1"/>
  <c r="R1379" i="4" s="1"/>
  <c r="Q677" i="4"/>
  <c r="R677" i="4" s="1" a="1"/>
  <c r="R677" i="4" s="1"/>
  <c r="Q994" i="4"/>
  <c r="R994" i="4" s="1" a="1"/>
  <c r="R994" i="4" s="1"/>
  <c r="Q285" i="4"/>
  <c r="R285" i="4" s="1" a="1"/>
  <c r="R285" i="4" s="1"/>
  <c r="Q106" i="4"/>
  <c r="R106" i="4" s="1" a="1"/>
  <c r="R106" i="4" s="1"/>
  <c r="Q950" i="4"/>
  <c r="R950" i="4" s="1" a="1"/>
  <c r="R950" i="4" s="1"/>
  <c r="Q1141" i="4"/>
  <c r="R1141" i="4" s="1" a="1"/>
  <c r="R1141" i="4" s="1"/>
  <c r="Q1152" i="4"/>
  <c r="R1152" i="4" s="1" a="1"/>
  <c r="R1152" i="4" s="1"/>
  <c r="Q1271" i="4"/>
  <c r="R1271" i="4" s="1" a="1"/>
  <c r="R1271" i="4" s="1"/>
  <c r="Q933" i="4"/>
  <c r="R933" i="4" s="1" a="1"/>
  <c r="R933" i="4" s="1"/>
  <c r="Q157" i="4"/>
  <c r="R157" i="4" s="1" a="1"/>
  <c r="R157" i="4" s="1"/>
  <c r="Q551" i="4"/>
  <c r="R551" i="4" s="1" a="1"/>
  <c r="R551" i="4" s="1"/>
  <c r="Q855" i="4"/>
  <c r="R855" i="4" s="1" a="1"/>
  <c r="R855" i="4" s="1"/>
  <c r="Q84" i="4"/>
  <c r="R84" i="4" s="1" a="1"/>
  <c r="R84" i="4" s="1"/>
  <c r="Q305" i="4"/>
  <c r="R305" i="4" s="1" a="1"/>
  <c r="R305" i="4" s="1"/>
  <c r="Q1471" i="4"/>
  <c r="R1471" i="4" s="1" a="1"/>
  <c r="R1471" i="4" s="1"/>
  <c r="Q1412" i="4"/>
  <c r="R1412" i="4" s="1" a="1"/>
  <c r="R1412" i="4" s="1"/>
  <c r="Q867" i="4"/>
  <c r="R867" i="4" s="1" a="1"/>
  <c r="R867" i="4" s="1"/>
  <c r="Q1213" i="4"/>
  <c r="R1213" i="4" s="1" a="1"/>
  <c r="R1213" i="4" s="1"/>
  <c r="Q1178" i="4"/>
  <c r="R1178" i="4" s="1" a="1"/>
  <c r="R1178" i="4" s="1"/>
  <c r="Q1195" i="4"/>
  <c r="R1195" i="4" s="1" a="1"/>
  <c r="R1195" i="4" s="1"/>
  <c r="Q11" i="4"/>
  <c r="R11" i="4" s="1" a="1"/>
  <c r="R11" i="4" s="1"/>
  <c r="Q1194" i="4"/>
  <c r="R1194" i="4" s="1" a="1"/>
  <c r="R1194" i="4" s="1"/>
  <c r="Q1354" i="4"/>
  <c r="R1354" i="4" s="1" a="1"/>
  <c r="R1354" i="4" s="1"/>
  <c r="Q330" i="4"/>
  <c r="R330" i="4" s="1" a="1"/>
  <c r="R330" i="4" s="1"/>
  <c r="Q904" i="4"/>
  <c r="R904" i="4" s="1" a="1"/>
  <c r="R904" i="4" s="1"/>
  <c r="Q378" i="4"/>
  <c r="R378" i="4" s="1" a="1"/>
  <c r="R378" i="4" s="1"/>
  <c r="Q139" i="4"/>
  <c r="R139" i="4" s="1" a="1"/>
  <c r="R139" i="4" s="1"/>
  <c r="Q879" i="4"/>
  <c r="R879" i="4" s="1" a="1"/>
  <c r="R879" i="4" s="1"/>
  <c r="Q747" i="4"/>
  <c r="R747" i="4" s="1" a="1"/>
  <c r="R747" i="4" s="1"/>
  <c r="Q127" i="4"/>
  <c r="R127" i="4" s="1" a="1"/>
  <c r="R127" i="4" s="1"/>
  <c r="Q1307" i="4"/>
  <c r="R1307" i="4" s="1" a="1"/>
  <c r="R1307" i="4" s="1"/>
  <c r="Q431" i="4"/>
  <c r="R431" i="4" s="1" a="1"/>
  <c r="R431" i="4" s="1"/>
  <c r="Q96" i="4"/>
  <c r="R96" i="4" s="1" a="1"/>
  <c r="R96" i="4" s="1"/>
  <c r="Q491" i="4"/>
  <c r="R491" i="4" s="1" a="1"/>
  <c r="R491" i="4" s="1"/>
  <c r="Q429" i="4"/>
  <c r="R429" i="4" s="1" a="1"/>
  <c r="R429" i="4" s="1"/>
  <c r="Q1327" i="4"/>
  <c r="R1327" i="4" s="1" a="1"/>
  <c r="R1327" i="4" s="1"/>
  <c r="Q154" i="4"/>
  <c r="R154" i="4" s="1" a="1"/>
  <c r="R154" i="4" s="1"/>
  <c r="Q282" i="4"/>
  <c r="R282" i="4" s="1" a="1"/>
  <c r="R282" i="4" s="1"/>
  <c r="Q361" i="4"/>
  <c r="R361" i="4" s="1" a="1"/>
  <c r="R361" i="4" s="1"/>
  <c r="Q490" i="4"/>
  <c r="R490" i="4" s="1" a="1"/>
  <c r="R490" i="4" s="1"/>
  <c r="Q659" i="4"/>
  <c r="R659" i="4" s="1" a="1"/>
  <c r="R659" i="4" s="1"/>
  <c r="Q777" i="4"/>
  <c r="R777" i="4" s="1" a="1"/>
  <c r="R777" i="4" s="1"/>
  <c r="Q62" i="4"/>
  <c r="R62" i="4" s="1" a="1"/>
  <c r="R62" i="4" s="1"/>
  <c r="Q1378" i="4"/>
  <c r="R1378" i="4" s="1" a="1"/>
  <c r="R1378" i="4" s="1"/>
  <c r="Q164" i="4"/>
  <c r="R164" i="4" s="1" a="1"/>
  <c r="R164" i="4" s="1"/>
  <c r="Q111" i="4"/>
  <c r="R111" i="4" s="1" a="1"/>
  <c r="R111" i="4" s="1"/>
  <c r="Q580" i="4"/>
  <c r="R580" i="4" s="1" a="1"/>
  <c r="R580" i="4" s="1"/>
  <c r="Q103" i="4"/>
  <c r="R103" i="4" s="1" a="1"/>
  <c r="R103" i="4" s="1"/>
  <c r="Q1186" i="4"/>
  <c r="R1186" i="4" s="1" a="1"/>
  <c r="R1186" i="4" s="1"/>
  <c r="Q1211" i="4"/>
  <c r="R1211" i="4" s="1" a="1"/>
  <c r="R1211" i="4" s="1"/>
  <c r="Q501" i="4"/>
  <c r="R501" i="4" s="1" a="1"/>
  <c r="R501" i="4" s="1"/>
  <c r="Q137" i="4"/>
  <c r="R137" i="4" s="1" a="1"/>
  <c r="R137" i="4" s="1"/>
  <c r="Q1210" i="4"/>
  <c r="R1210" i="4" s="1" a="1"/>
  <c r="R1210" i="4" s="1"/>
  <c r="Q1374" i="4"/>
  <c r="R1374" i="4" s="1" a="1"/>
  <c r="R1374" i="4" s="1"/>
  <c r="Q1347" i="4"/>
  <c r="R1347" i="4" s="1" a="1"/>
  <c r="R1347" i="4" s="1"/>
  <c r="Q919" i="4"/>
  <c r="R919" i="4" s="1" a="1"/>
  <c r="R919" i="4" s="1"/>
  <c r="Q1057" i="4"/>
  <c r="R1057" i="4" s="1" a="1"/>
  <c r="R1057" i="4" s="1"/>
  <c r="Q529" i="4"/>
  <c r="R529" i="4" s="1" a="1"/>
  <c r="R529" i="4" s="1"/>
  <c r="Q909" i="4"/>
  <c r="R909" i="4" s="1" a="1"/>
  <c r="R909" i="4" s="1"/>
  <c r="Q149" i="4"/>
  <c r="R149" i="4" s="1" a="1"/>
  <c r="R149" i="4" s="1"/>
  <c r="Q538" i="4"/>
  <c r="R538" i="4" s="1" a="1"/>
  <c r="R538" i="4" s="1"/>
  <c r="Q148" i="4"/>
  <c r="R148" i="4" s="1" a="1"/>
  <c r="R148" i="4" s="1"/>
  <c r="Q400" i="4"/>
  <c r="R400" i="4" s="1" a="1"/>
  <c r="R400" i="4" s="1"/>
  <c r="Q1253" i="4"/>
  <c r="R1253" i="4" s="1" a="1"/>
  <c r="R1253" i="4" s="1"/>
  <c r="Q594" i="4"/>
  <c r="R594" i="4" s="1" a="1"/>
  <c r="R594" i="4" s="1"/>
  <c r="Q1269" i="4"/>
  <c r="R1269" i="4" s="1" a="1"/>
  <c r="R1269" i="4" s="1"/>
  <c r="Q1459" i="4"/>
  <c r="R1459" i="4" s="1" a="1"/>
  <c r="R1459" i="4" s="1"/>
  <c r="Q1384" i="4"/>
  <c r="R1384" i="4" s="1" a="1"/>
  <c r="R1384" i="4" s="1"/>
  <c r="Q812" i="4"/>
  <c r="R812" i="4" s="1" a="1"/>
  <c r="R812" i="4" s="1"/>
  <c r="Q795" i="4"/>
  <c r="R795" i="4" s="1" a="1"/>
  <c r="R795" i="4" s="1"/>
  <c r="Q1011" i="4"/>
  <c r="R1011" i="4" s="1" a="1"/>
  <c r="R1011" i="4" s="1"/>
  <c r="Q1208" i="4"/>
  <c r="R1208" i="4" s="1" a="1"/>
  <c r="R1208" i="4" s="1"/>
  <c r="Q162" i="4"/>
  <c r="R162" i="4" s="1" a="1"/>
  <c r="R162" i="4" s="1"/>
  <c r="Q220" i="4"/>
  <c r="R220" i="4" s="1" a="1"/>
  <c r="R220" i="4" s="1"/>
  <c r="Q1226" i="4"/>
  <c r="R1226" i="4" s="1" a="1"/>
  <c r="R1226" i="4" s="1"/>
  <c r="Q1082" i="4"/>
  <c r="R1082" i="4" s="1" a="1"/>
  <c r="R1082" i="4" s="1"/>
  <c r="Q239" i="4"/>
  <c r="R239" i="4" s="1" a="1"/>
  <c r="R239" i="4" s="1"/>
  <c r="Q349" i="4"/>
  <c r="R349" i="4" s="1" a="1"/>
  <c r="R349" i="4" s="1"/>
  <c r="Q449" i="4"/>
  <c r="R449" i="4" s="1" a="1"/>
  <c r="R449" i="4" s="1"/>
  <c r="Q1458" i="4"/>
  <c r="R1458" i="4" s="1" a="1"/>
  <c r="R1458" i="4" s="1"/>
  <c r="Q1001" i="4"/>
  <c r="R1001" i="4" s="1" a="1"/>
  <c r="R1001" i="4" s="1"/>
  <c r="Q397" i="4"/>
  <c r="R397" i="4" s="1" a="1"/>
  <c r="R397" i="4" s="1"/>
  <c r="Q324" i="4"/>
  <c r="R324" i="4" s="1" a="1"/>
  <c r="R324" i="4" s="1"/>
  <c r="Q944" i="4"/>
  <c r="R944" i="4" s="1" a="1"/>
  <c r="R944" i="4" s="1"/>
  <c r="Q959" i="4"/>
  <c r="R959" i="4" s="1" a="1"/>
  <c r="R959" i="4" s="1"/>
  <c r="Q876" i="4"/>
  <c r="R876" i="4" s="1" a="1"/>
  <c r="R876" i="4" s="1"/>
  <c r="Q1056" i="4"/>
  <c r="R1056" i="4" s="1" a="1"/>
  <c r="R1056" i="4" s="1"/>
  <c r="Q1160" i="4"/>
  <c r="R1160" i="4" s="1" a="1"/>
  <c r="R1160" i="4" s="1"/>
  <c r="Q1342" i="4"/>
  <c r="R1342" i="4" s="1" a="1"/>
  <c r="R1342" i="4" s="1"/>
  <c r="Q447" i="4"/>
  <c r="R447" i="4" s="1" a="1"/>
  <c r="R447" i="4" s="1"/>
  <c r="Q1339" i="4"/>
  <c r="R1339" i="4" s="1" a="1"/>
  <c r="R1339" i="4" s="1"/>
  <c r="Q170" i="4"/>
  <c r="R170" i="4" s="1" a="1"/>
  <c r="R170" i="4" s="1"/>
  <c r="Q1182" i="4"/>
  <c r="R1182" i="4" s="1" a="1"/>
  <c r="R1182" i="4" s="1"/>
  <c r="Q957" i="4"/>
  <c r="R957" i="4" s="1" a="1"/>
  <c r="R957" i="4" s="1"/>
  <c r="Q1158" i="4"/>
  <c r="R1158" i="4" s="1" a="1"/>
  <c r="R1158" i="4" s="1"/>
  <c r="Q225" i="4"/>
  <c r="R225" i="4" s="1" a="1"/>
  <c r="R225" i="4" s="1"/>
  <c r="Q50" i="4"/>
  <c r="R50" i="4" s="1" a="1"/>
  <c r="R50" i="4" s="1"/>
  <c r="Q684" i="4"/>
  <c r="R684" i="4" s="1" a="1"/>
  <c r="R684" i="4" s="1"/>
  <c r="Q1391" i="4"/>
  <c r="R1391" i="4" s="1" a="1"/>
  <c r="R1391" i="4" s="1"/>
  <c r="Q146" i="4"/>
  <c r="R146" i="4" s="1" a="1"/>
  <c r="R146" i="4" s="1"/>
  <c r="Q1457" i="4"/>
  <c r="R1457" i="4" s="1" a="1"/>
  <c r="R1457" i="4" s="1"/>
  <c r="Q1094" i="4"/>
  <c r="R1094" i="4" s="1" a="1"/>
  <c r="R1094" i="4" s="1"/>
  <c r="Q7" i="4"/>
  <c r="R7" i="4" s="1" a="1"/>
  <c r="R7" i="4" s="1"/>
  <c r="Q108" i="4"/>
  <c r="R108" i="4" s="1" a="1"/>
  <c r="R108" i="4" s="1"/>
  <c r="Q70" i="4"/>
  <c r="R70" i="4" s="1" a="1"/>
  <c r="R70" i="4" s="1"/>
  <c r="Q639" i="4"/>
  <c r="R639" i="4" s="1" a="1"/>
  <c r="R639" i="4" s="1"/>
  <c r="Q177" i="4"/>
  <c r="R177" i="4" s="1" a="1"/>
  <c r="R177" i="4" s="1"/>
  <c r="Q1321" i="4"/>
  <c r="R1321" i="4" s="1" a="1"/>
  <c r="R1321" i="4" s="1"/>
  <c r="Q121" i="4"/>
  <c r="R121" i="4" s="1" a="1"/>
  <c r="R121" i="4" s="1"/>
  <c r="Q1157" i="4"/>
  <c r="R1157" i="4" s="1" a="1"/>
  <c r="R1157" i="4" s="1"/>
  <c r="Q31" i="4"/>
  <c r="R31" i="4" s="1" a="1"/>
  <c r="R31" i="4" s="1"/>
  <c r="Q486" i="4"/>
  <c r="R486" i="4" s="1" a="1"/>
  <c r="R486" i="4" s="1"/>
  <c r="Q885" i="4"/>
  <c r="R885" i="4" s="1" a="1"/>
  <c r="R885" i="4" s="1"/>
  <c r="Q670" i="4"/>
  <c r="R670" i="4" s="1" a="1"/>
  <c r="R670" i="4" s="1"/>
  <c r="Q940" i="4"/>
  <c r="R940" i="4" s="1" a="1"/>
  <c r="R940" i="4" s="1"/>
  <c r="Q1143" i="4"/>
  <c r="R1143" i="4" s="1" a="1"/>
  <c r="R1143" i="4" s="1"/>
  <c r="Q834" i="4"/>
  <c r="R834" i="4" s="1" a="1"/>
  <c r="R834" i="4" s="1"/>
  <c r="Q1266" i="4"/>
  <c r="R1266" i="4" s="1" a="1"/>
  <c r="R1266" i="4" s="1"/>
  <c r="Q29" i="4"/>
  <c r="R29" i="4" s="1" a="1"/>
  <c r="R29" i="4" s="1"/>
  <c r="C2" i="2"/>
  <c r="Q318" i="4"/>
  <c r="R318" i="4" s="1" a="1"/>
  <c r="R318" i="4" s="1"/>
  <c r="Q331" i="4"/>
  <c r="R331" i="4" s="1" a="1"/>
  <c r="R331" i="4" s="1"/>
  <c r="Q634" i="4"/>
  <c r="R634" i="4" s="1" a="1"/>
  <c r="R634" i="4" s="1"/>
  <c r="Q414" i="4"/>
  <c r="R414" i="4" s="1" a="1"/>
  <c r="R414" i="4" s="1"/>
  <c r="Q210" i="4"/>
  <c r="R210" i="4" s="1" a="1"/>
  <c r="R210" i="4" s="1"/>
  <c r="Q842" i="4"/>
  <c r="R842" i="4" s="1" a="1"/>
  <c r="R842" i="4" s="1"/>
  <c r="Q1413" i="4"/>
  <c r="R1413" i="4" s="1" a="1"/>
  <c r="R1413" i="4" s="1"/>
  <c r="Q985" i="4"/>
  <c r="R985" i="4" s="1" a="1"/>
  <c r="R985" i="4" s="1"/>
  <c r="Q183" i="4"/>
  <c r="R183" i="4" s="1" a="1"/>
  <c r="R183" i="4" s="1"/>
  <c r="Q88" i="4"/>
  <c r="R88" i="4" s="1" a="1"/>
  <c r="R88" i="4" s="1"/>
  <c r="Q85" i="4"/>
  <c r="R85" i="4" s="1" a="1"/>
  <c r="R85" i="4" s="1"/>
  <c r="Q675" i="4"/>
  <c r="R675" i="4" s="1" a="1"/>
  <c r="R675" i="4" s="1"/>
  <c r="Q317" i="4"/>
  <c r="R317" i="4" s="1" a="1"/>
  <c r="R317" i="4" s="1"/>
  <c r="Q970" i="4"/>
  <c r="R970" i="4" s="1" a="1"/>
  <c r="R970" i="4" s="1"/>
  <c r="Q389" i="4"/>
  <c r="R389" i="4" s="1" a="1"/>
  <c r="R389" i="4" s="1"/>
  <c r="Q1469" i="4"/>
  <c r="R1469" i="4" s="1" a="1"/>
  <c r="R1469" i="4" s="1"/>
  <c r="Q980" i="4"/>
  <c r="R980" i="4" s="1" a="1"/>
  <c r="R980" i="4" s="1"/>
  <c r="Q432" i="4"/>
  <c r="R432" i="4" s="1" a="1"/>
  <c r="R432" i="4" s="1"/>
  <c r="Q612" i="4"/>
  <c r="R612" i="4" s="1" a="1"/>
  <c r="R612" i="4" s="1"/>
  <c r="Q1317" i="4"/>
  <c r="R1317" i="4" s="1" a="1"/>
  <c r="R1317" i="4" s="1"/>
  <c r="Q1003" i="4"/>
  <c r="R1003" i="4" s="1" a="1"/>
  <c r="R1003" i="4" s="1"/>
  <c r="Q1316" i="4"/>
  <c r="R1316" i="4" s="1" a="1"/>
  <c r="R1316" i="4" s="1"/>
  <c r="Q472" i="4"/>
  <c r="R472" i="4" s="1" a="1"/>
  <c r="R472" i="4" s="1"/>
  <c r="Q1101" i="4"/>
  <c r="R1101" i="4" s="1" a="1"/>
  <c r="R1101" i="4" s="1"/>
  <c r="Q98" i="4"/>
  <c r="R98" i="4" s="1" a="1"/>
  <c r="R98" i="4" s="1"/>
  <c r="Q494" i="4"/>
  <c r="R494" i="4" s="1" a="1"/>
  <c r="R494" i="4" s="1"/>
  <c r="Q992" i="4"/>
  <c r="R992" i="4" s="1" a="1"/>
  <c r="R992" i="4" s="1"/>
  <c r="Q301" i="4"/>
  <c r="R301" i="4" s="1" a="1"/>
  <c r="R301" i="4" s="1"/>
  <c r="Q118" i="4"/>
  <c r="R118" i="4" s="1" a="1"/>
  <c r="R118" i="4" s="1"/>
  <c r="Q33" i="4"/>
  <c r="R33" i="4" s="1" a="1"/>
  <c r="R33" i="4" s="1"/>
  <c r="Q1191" i="4"/>
  <c r="R1191" i="4" s="1" a="1"/>
  <c r="R1191" i="4" s="1"/>
  <c r="Q1048" i="4"/>
  <c r="R1048" i="4" s="1" a="1"/>
  <c r="R1048" i="4" s="1"/>
  <c r="Q903" i="4"/>
  <c r="R903" i="4" s="1" a="1"/>
  <c r="R903" i="4" s="1"/>
  <c r="Q902" i="4"/>
  <c r="R902" i="4" s="1" a="1"/>
  <c r="R902" i="4" s="1"/>
  <c r="Q57" i="4"/>
  <c r="R57" i="4" s="1" a="1"/>
  <c r="R57" i="4" s="1"/>
  <c r="Q704" i="4"/>
  <c r="R704" i="4" s="1" a="1"/>
  <c r="R704" i="4" s="1"/>
  <c r="Q1243" i="4"/>
  <c r="R1243" i="4" s="1" a="1"/>
  <c r="R1243" i="4" s="1"/>
  <c r="Q153" i="4"/>
  <c r="R153" i="4" s="1" a="1"/>
  <c r="R153" i="4" s="1"/>
  <c r="Q848" i="4"/>
  <c r="R848" i="4" s="1" a="1"/>
  <c r="R848" i="4" s="1"/>
  <c r="Q279" i="4"/>
  <c r="R279" i="4" s="1" a="1"/>
  <c r="R279" i="4" s="1"/>
  <c r="Q1305" i="4"/>
  <c r="R1305" i="4" s="1" a="1"/>
  <c r="R1305" i="4" s="1"/>
  <c r="Q151" i="4"/>
  <c r="R151" i="4" s="1" a="1"/>
  <c r="R151" i="4" s="1"/>
  <c r="Q1212" i="4"/>
  <c r="R1212" i="4" s="1" a="1"/>
  <c r="R1212" i="4" s="1"/>
  <c r="Q1219" i="4"/>
  <c r="R1219" i="4" s="1" a="1"/>
  <c r="R1219" i="4" s="1"/>
  <c r="Q360" i="4"/>
  <c r="R360" i="4" s="1" a="1"/>
  <c r="R360" i="4" s="1"/>
  <c r="Q1242" i="4"/>
  <c r="R1242" i="4" s="1" a="1"/>
  <c r="R1242" i="4" s="1"/>
  <c r="Q405" i="4"/>
  <c r="R405" i="4" s="1" a="1"/>
  <c r="R405" i="4" s="1"/>
  <c r="Q1303" i="4"/>
  <c r="R1303" i="4" s="1" a="1"/>
  <c r="R1303" i="4" s="1"/>
  <c r="Q101" i="4"/>
  <c r="R101" i="4" s="1" a="1"/>
  <c r="R101" i="4" s="1"/>
  <c r="Q427" i="4"/>
  <c r="R427" i="4" s="1" a="1"/>
  <c r="R427" i="4" s="1"/>
  <c r="Q548" i="4"/>
  <c r="R548" i="4" s="1" a="1"/>
  <c r="R548" i="4" s="1"/>
  <c r="Q1435" i="4"/>
  <c r="R1435" i="4" s="1" a="1"/>
  <c r="R1435" i="4" s="1"/>
  <c r="Q9" i="4"/>
  <c r="R9" i="4" s="1" a="1"/>
  <c r="R9" i="4" s="1"/>
  <c r="Q402" i="4"/>
  <c r="R402" i="4" s="1" a="1"/>
  <c r="R402" i="4" s="1"/>
  <c r="Q181" i="4"/>
  <c r="R181" i="4" s="1" a="1"/>
  <c r="R181" i="4" s="1"/>
  <c r="Q539" i="4"/>
  <c r="R539" i="4" s="1" a="1"/>
  <c r="R539" i="4" s="1"/>
  <c r="Q642" i="4"/>
  <c r="R642" i="4" s="1" a="1"/>
  <c r="R642" i="4" s="1"/>
  <c r="Q513" i="4"/>
  <c r="R513" i="4" s="1" a="1"/>
  <c r="R513" i="4" s="1"/>
  <c r="Q701" i="4"/>
  <c r="R701" i="4" s="1" a="1"/>
  <c r="R701" i="4" s="1"/>
  <c r="Q1097" i="4"/>
  <c r="R1097" i="4" s="1" a="1"/>
  <c r="R1097" i="4" s="1"/>
  <c r="Q327" i="4"/>
  <c r="R327" i="4" s="1" a="1"/>
  <c r="R327" i="4" s="1"/>
  <c r="Q622" i="4"/>
  <c r="R622" i="4" s="1" a="1"/>
  <c r="R622" i="4" s="1"/>
  <c r="Q1408" i="4"/>
  <c r="R1408" i="4" s="1" a="1"/>
  <c r="R1408" i="4" s="1"/>
  <c r="Q1128" i="4"/>
  <c r="R1128" i="4" s="1" a="1"/>
  <c r="R1128" i="4" s="1"/>
  <c r="Q1115" i="4"/>
  <c r="R1115" i="4" s="1" a="1"/>
  <c r="R1115" i="4" s="1"/>
  <c r="Q888" i="4"/>
  <c r="R888" i="4" s="1" a="1"/>
  <c r="R888" i="4" s="1"/>
  <c r="Q251" i="4"/>
  <c r="R251" i="4" s="1" a="1"/>
  <c r="R251" i="4" s="1"/>
  <c r="Q1346" i="4"/>
  <c r="R1346" i="4" s="1" a="1"/>
  <c r="R1346" i="4" s="1"/>
  <c r="Q627" i="4"/>
  <c r="R627" i="4" s="1" a="1"/>
  <c r="R627" i="4" s="1"/>
  <c r="Q133" i="4"/>
  <c r="R133" i="4" s="1" a="1"/>
  <c r="R133" i="4" s="1"/>
  <c r="Q277" i="4"/>
  <c r="R277" i="4" s="1" a="1"/>
  <c r="R277" i="4" s="1"/>
  <c r="Q756" i="4"/>
  <c r="R756" i="4" s="1" a="1"/>
  <c r="R756" i="4" s="1"/>
  <c r="Q1449" i="4"/>
  <c r="R1449" i="4" s="1" a="1"/>
  <c r="R1449" i="4" s="1"/>
  <c r="Q1172" i="4"/>
  <c r="R1172" i="4" s="1" a="1"/>
  <c r="R1172" i="4" s="1"/>
  <c r="Q1010" i="4"/>
  <c r="R1010" i="4" s="1" a="1"/>
  <c r="R1010" i="4" s="1"/>
  <c r="Q767" i="4"/>
  <c r="R767" i="4" s="1" a="1"/>
  <c r="R767" i="4" s="1"/>
  <c r="Q296" i="4"/>
  <c r="R296" i="4" s="1" a="1"/>
  <c r="R296" i="4" s="1"/>
  <c r="Q51" i="4"/>
  <c r="R51" i="4" s="1" a="1"/>
  <c r="R51" i="4" s="1"/>
  <c r="Q356" i="4"/>
  <c r="R356" i="4" s="1" a="1"/>
  <c r="R356" i="4" s="1"/>
  <c r="Q258" i="4"/>
  <c r="R258" i="4" s="1" a="1"/>
  <c r="R258" i="4" s="1"/>
  <c r="Q562" i="4"/>
  <c r="R562" i="4" s="1" a="1"/>
  <c r="R562" i="4" s="1"/>
  <c r="Q673" i="4"/>
  <c r="R673" i="4" s="1" a="1"/>
  <c r="R673" i="4" s="1"/>
  <c r="Q723" i="4"/>
  <c r="R723" i="4" s="1" a="1"/>
  <c r="R723" i="4" s="1"/>
  <c r="Q943" i="4"/>
  <c r="R943" i="4" s="1" a="1"/>
  <c r="R943" i="4" s="1"/>
  <c r="Q171" i="4"/>
  <c r="R171" i="4" s="1" a="1"/>
  <c r="R171" i="4" s="1"/>
  <c r="Q93" i="4"/>
  <c r="R93" i="4" s="1" a="1"/>
  <c r="R93" i="4" s="1"/>
  <c r="Q348" i="4"/>
  <c r="R348" i="4" s="1" a="1"/>
  <c r="R348" i="4" s="1"/>
  <c r="Q413" i="4"/>
  <c r="R413" i="4" s="1" a="1"/>
  <c r="R413" i="4" s="1"/>
  <c r="Q1146" i="4"/>
  <c r="R1146" i="4" s="1" a="1"/>
  <c r="R1146" i="4" s="1"/>
  <c r="Q188" i="4"/>
  <c r="R188" i="4" s="1" a="1"/>
  <c r="R188" i="4" s="1"/>
  <c r="Q215" i="4"/>
  <c r="R215" i="4" s="1" a="1"/>
  <c r="R215" i="4" s="1"/>
  <c r="Q1406" i="4"/>
  <c r="R1406" i="4" s="1" a="1"/>
  <c r="R1406" i="4" s="1"/>
  <c r="Q371" i="4"/>
  <c r="R371" i="4" s="1" a="1"/>
  <c r="R371" i="4" s="1"/>
  <c r="Q458" i="4"/>
  <c r="R458" i="4" s="1" a="1"/>
  <c r="R458" i="4" s="1"/>
  <c r="Q1000" i="4"/>
  <c r="R1000" i="4" s="1" a="1"/>
  <c r="R1000" i="4" s="1"/>
  <c r="Q590" i="4"/>
  <c r="R590" i="4" s="1" a="1"/>
  <c r="R590" i="4" s="1"/>
  <c r="Q1423" i="4"/>
  <c r="R1423" i="4" s="1" a="1"/>
  <c r="R1423" i="4" s="1"/>
  <c r="Q1383" i="4"/>
  <c r="R1383" i="4" s="1" a="1"/>
  <c r="R1383" i="4" s="1"/>
  <c r="Q918" i="4"/>
  <c r="R918" i="4" s="1" a="1"/>
  <c r="R918" i="4" s="1"/>
  <c r="Q1069" i="4"/>
  <c r="R1069" i="4" s="1" a="1"/>
  <c r="R1069" i="4" s="1"/>
  <c r="Q395" i="4"/>
  <c r="R395" i="4" s="1" a="1"/>
  <c r="R395" i="4" s="1"/>
  <c r="Q1200" i="4"/>
  <c r="R1200" i="4" s="1" a="1"/>
  <c r="R1200" i="4" s="1"/>
  <c r="Q717" i="4"/>
  <c r="R717" i="4" s="1" a="1"/>
  <c r="R717" i="4" s="1"/>
  <c r="Q1309" i="4"/>
  <c r="R1309" i="4" s="1" a="1"/>
  <c r="R1309" i="4" s="1"/>
  <c r="Q825" i="4"/>
  <c r="R825" i="4" s="1" a="1"/>
  <c r="R825" i="4" s="1"/>
  <c r="Q1466" i="4"/>
  <c r="R1466" i="4" s="1" a="1"/>
  <c r="R1466" i="4" s="1"/>
  <c r="Q1042" i="4"/>
  <c r="R1042" i="4" s="1" a="1"/>
  <c r="R1042" i="4" s="1"/>
  <c r="Q187" i="4"/>
  <c r="R187" i="4" s="1" a="1"/>
  <c r="R187" i="4" s="1"/>
  <c r="Q532" i="4"/>
  <c r="R532" i="4" s="1" a="1"/>
  <c r="R532" i="4" s="1"/>
  <c r="Q161" i="4"/>
  <c r="R161" i="4" s="1" a="1"/>
  <c r="R161" i="4" s="1"/>
  <c r="Q1421" i="4"/>
  <c r="R1421" i="4" s="1" a="1"/>
  <c r="R1421" i="4" s="1"/>
  <c r="Q453" i="4"/>
  <c r="R453" i="4" s="1" a="1"/>
  <c r="R453" i="4" s="1"/>
  <c r="Q772" i="4"/>
  <c r="R772" i="4" s="1" a="1"/>
  <c r="R772" i="4" s="1"/>
  <c r="Q287" i="4"/>
  <c r="R287" i="4" s="1" a="1"/>
  <c r="R287" i="4" s="1"/>
  <c r="Q680" i="4"/>
  <c r="R680" i="4" s="1" a="1"/>
  <c r="R680" i="4" s="1"/>
  <c r="Q422" i="4"/>
  <c r="R422" i="4" s="1" a="1"/>
  <c r="R422" i="4" s="1"/>
  <c r="Q995" i="4"/>
  <c r="R995" i="4" s="1" a="1"/>
  <c r="R995" i="4" s="1"/>
  <c r="Q755" i="4"/>
  <c r="R755" i="4" s="1" a="1"/>
  <c r="R755" i="4" s="1"/>
  <c r="Q522" i="4"/>
  <c r="R522" i="4" s="1" a="1"/>
  <c r="R522" i="4" s="1"/>
  <c r="Q1262" i="4"/>
  <c r="R1262" i="4" s="1" a="1"/>
  <c r="R1262" i="4" s="1"/>
  <c r="Q1318" i="4"/>
  <c r="R1318" i="4" s="1" a="1"/>
  <c r="R1318" i="4" s="1"/>
  <c r="Q1277" i="4"/>
  <c r="R1277" i="4" s="1" a="1"/>
  <c r="R1277" i="4" s="1"/>
  <c r="Q293" i="4"/>
  <c r="R293" i="4" s="1" a="1"/>
  <c r="R293" i="4" s="1"/>
  <c r="Q937" i="4"/>
  <c r="R937" i="4" s="1" a="1"/>
  <c r="R937" i="4" s="1"/>
  <c r="Q160" i="4"/>
  <c r="R160" i="4" s="1" a="1"/>
  <c r="R160" i="4" s="1"/>
  <c r="Q1452" i="4"/>
  <c r="R1452" i="4" s="1" a="1"/>
  <c r="R1452" i="4" s="1"/>
  <c r="Q1123" i="4"/>
  <c r="R1123" i="4" s="1" a="1"/>
  <c r="R1123" i="4" s="1"/>
  <c r="Q1246" i="4"/>
  <c r="R1246" i="4" s="1" a="1"/>
  <c r="R1246" i="4" s="1"/>
  <c r="Q439" i="4"/>
  <c r="R439" i="4" s="1" a="1"/>
  <c r="R439" i="4" s="1"/>
  <c r="Q1153" i="4"/>
  <c r="R1153" i="4" s="1" a="1"/>
  <c r="R1153" i="4" s="1"/>
  <c r="Q1080" i="4"/>
  <c r="R1080" i="4" s="1" a="1"/>
  <c r="R1080" i="4" s="1"/>
  <c r="Q1052" i="4"/>
  <c r="R1052" i="4" s="1" a="1"/>
  <c r="R1052" i="4" s="1"/>
  <c r="Q1333" i="4"/>
  <c r="R1333" i="4" s="1" a="1"/>
  <c r="R1333" i="4" s="1"/>
  <c r="Q693" i="4"/>
  <c r="R693" i="4" s="1" a="1"/>
  <c r="R693" i="4" s="1"/>
  <c r="Q410" i="4"/>
  <c r="R410" i="4" s="1" a="1"/>
  <c r="R410" i="4" s="1"/>
  <c r="Q1222" i="4"/>
  <c r="R1222" i="4" s="1" a="1"/>
  <c r="R1222" i="4" s="1"/>
  <c r="Q586" i="4"/>
  <c r="R586" i="4" s="1" a="1"/>
  <c r="R586" i="4" s="1"/>
  <c r="Q819" i="4"/>
  <c r="R819" i="4" s="1" a="1"/>
  <c r="R819" i="4" s="1"/>
  <c r="Q759" i="4"/>
  <c r="R759" i="4" s="1" a="1"/>
  <c r="R759" i="4" s="1"/>
  <c r="Q923" i="4"/>
  <c r="R923" i="4" s="1" a="1"/>
  <c r="R923" i="4" s="1"/>
  <c r="Q1051" i="4"/>
  <c r="R1051" i="4" s="1" a="1"/>
  <c r="R1051" i="4" s="1"/>
  <c r="Q495" i="4"/>
  <c r="R495" i="4" s="1" a="1"/>
  <c r="R495" i="4" s="1"/>
  <c r="Q435" i="4"/>
  <c r="R435" i="4" s="1" a="1"/>
  <c r="R435" i="4" s="1"/>
  <c r="Q267" i="4"/>
  <c r="R267" i="4" s="1" a="1"/>
  <c r="R267" i="4" s="1"/>
  <c r="Q1416" i="4"/>
  <c r="R1416" i="4" s="1" a="1"/>
  <c r="R1416" i="4" s="1"/>
  <c r="Q135" i="4"/>
  <c r="R135" i="4" s="1" a="1"/>
  <c r="R135" i="4" s="1"/>
  <c r="Q452" i="4"/>
  <c r="R452" i="4" s="1" a="1"/>
  <c r="R452" i="4" s="1"/>
  <c r="Q24" i="4"/>
  <c r="R24" i="4" s="1" a="1"/>
  <c r="R24" i="4" s="1"/>
  <c r="Q1022" i="4"/>
  <c r="R1022" i="4" s="1" a="1"/>
  <c r="R1022" i="4" s="1"/>
  <c r="Q1144" i="4"/>
  <c r="R1144" i="4" s="1" a="1"/>
  <c r="R1144" i="4" s="1"/>
  <c r="Q699" i="4"/>
  <c r="R699" i="4" s="1" a="1"/>
  <c r="R699" i="4" s="1"/>
  <c r="Q498" i="4"/>
  <c r="R498" i="4" s="1" a="1"/>
  <c r="R498" i="4" s="1"/>
  <c r="Q275" i="4"/>
  <c r="R275" i="4" s="1" a="1"/>
  <c r="R275" i="4" s="1"/>
  <c r="Q310" i="4"/>
  <c r="R310" i="4" s="1" a="1"/>
  <c r="R310" i="4" s="1"/>
  <c r="Q682" i="4"/>
  <c r="R682" i="4" s="1" a="1"/>
  <c r="R682" i="4" s="1"/>
  <c r="Q354" i="4"/>
  <c r="R354" i="4" s="1" a="1"/>
  <c r="R354" i="4" s="1"/>
  <c r="Q1106" i="4"/>
  <c r="R1106" i="4" s="1" a="1"/>
  <c r="R1106" i="4" s="1"/>
  <c r="Q443" i="4"/>
  <c r="R443" i="4" s="1" a="1"/>
  <c r="R443" i="4" s="1"/>
  <c r="Q92" i="4"/>
  <c r="R92" i="4" s="1" a="1"/>
  <c r="R92" i="4" s="1"/>
  <c r="Q773" i="4"/>
  <c r="R773" i="4" s="1" a="1"/>
  <c r="R773" i="4" s="1"/>
  <c r="Q916" i="4"/>
  <c r="R916" i="4" s="1" a="1"/>
  <c r="R916" i="4" s="1"/>
  <c r="Q1320" i="4"/>
  <c r="R1320" i="4" s="1" a="1"/>
  <c r="R1320" i="4" s="1"/>
  <c r="Q997" i="4"/>
  <c r="R997" i="4" s="1" a="1"/>
  <c r="R997" i="4" s="1"/>
  <c r="Q369" i="4"/>
  <c r="R369" i="4" s="1" a="1"/>
  <c r="R369" i="4" s="1"/>
  <c r="Q681" i="4"/>
  <c r="R681" i="4" s="1" a="1"/>
  <c r="R681" i="4" s="1"/>
  <c r="Q145" i="4"/>
  <c r="R145" i="4" s="1" a="1"/>
  <c r="R145" i="4" s="1"/>
  <c r="Q619" i="4"/>
  <c r="R619" i="4" s="1" a="1"/>
  <c r="R619" i="4" s="1"/>
  <c r="Q618" i="4"/>
  <c r="R618" i="4" s="1" a="1"/>
  <c r="R618" i="4" s="1"/>
  <c r="Q974" i="4"/>
  <c r="R974" i="4" s="1" a="1"/>
  <c r="R974" i="4" s="1"/>
  <c r="Q81" i="4"/>
  <c r="R81" i="4" s="1" a="1"/>
  <c r="R81" i="4" s="1"/>
  <c r="Q1040" i="4"/>
  <c r="R1040" i="4" s="1" a="1"/>
  <c r="R1040" i="4" s="1"/>
  <c r="Q1336" i="4"/>
  <c r="R1336" i="4" s="1" a="1"/>
  <c r="R1336" i="4" s="1"/>
  <c r="Q1247" i="4"/>
  <c r="R1247" i="4" s="1" a="1"/>
  <c r="R1247" i="4" s="1"/>
  <c r="Q606" i="4"/>
  <c r="R606" i="4" s="1" a="1"/>
  <c r="R606" i="4" s="1"/>
  <c r="Q824" i="4"/>
  <c r="R824" i="4" s="1" a="1"/>
  <c r="R824" i="4" s="1"/>
  <c r="Q870" i="4"/>
  <c r="R870" i="4" s="1" a="1"/>
  <c r="R870" i="4" s="1"/>
  <c r="Q1091" i="4"/>
  <c r="R1091" i="4" s="1" a="1"/>
  <c r="R1091" i="4" s="1"/>
  <c r="Q576" i="4"/>
  <c r="R576" i="4" s="1" a="1"/>
  <c r="R576" i="4" s="1"/>
  <c r="Q196" i="4"/>
  <c r="R196" i="4" s="1" a="1"/>
  <c r="R196" i="4" s="1"/>
  <c r="Q99" i="4"/>
  <c r="R99" i="4" s="1" a="1"/>
  <c r="R99" i="4" s="1"/>
  <c r="Q1402" i="4"/>
  <c r="R1402" i="4" s="1" a="1"/>
  <c r="R1402" i="4" s="1"/>
  <c r="Q246" i="4"/>
  <c r="R246" i="4" s="1" a="1"/>
  <c r="R246" i="4" s="1"/>
  <c r="Q3" i="4"/>
  <c r="R3" i="4" s="1" a="1"/>
  <c r="R3" i="4" s="1"/>
  <c r="Q883" i="4"/>
  <c r="R883" i="4" s="1" a="1"/>
  <c r="R883" i="4" s="1"/>
  <c r="Q107" i="4"/>
  <c r="R107" i="4" s="1" a="1"/>
  <c r="R107" i="4" s="1"/>
  <c r="Q1154" i="4"/>
  <c r="R1154" i="4" s="1" a="1"/>
  <c r="R1154" i="4" s="1"/>
  <c r="Q1223" i="4"/>
  <c r="R1223" i="4" s="1" a="1"/>
  <c r="R1223" i="4" s="1"/>
  <c r="Q553" i="4"/>
  <c r="R553" i="4" s="1" a="1"/>
  <c r="R553" i="4" s="1"/>
  <c r="Q211" i="4"/>
  <c r="R211" i="4" s="1" a="1"/>
  <c r="R211" i="4" s="1"/>
  <c r="Q1064" i="4"/>
  <c r="R1064" i="4" s="1" a="1"/>
  <c r="R1064" i="4" s="1"/>
  <c r="Q661" i="4"/>
  <c r="R661" i="4" s="1" a="1"/>
  <c r="R661" i="4" s="1"/>
  <c r="Q223" i="4"/>
  <c r="R223" i="4" s="1" a="1"/>
  <c r="R223" i="4" s="1"/>
  <c r="Q906" i="4"/>
  <c r="R906" i="4" s="1" a="1"/>
  <c r="R906" i="4" s="1"/>
  <c r="Q27" i="4"/>
  <c r="R27" i="4" s="1" a="1"/>
  <c r="R27" i="4" s="1"/>
  <c r="Q936" i="4"/>
  <c r="R936" i="4" s="1" a="1"/>
  <c r="R936" i="4" s="1"/>
  <c r="Q1166" i="4"/>
  <c r="R1166" i="4" s="1" a="1"/>
  <c r="R1166" i="4" s="1"/>
  <c r="Q478" i="4"/>
  <c r="R478" i="4" s="1" a="1"/>
  <c r="R478" i="4" s="1"/>
  <c r="Q292" i="4"/>
  <c r="R292" i="4" s="1" a="1"/>
  <c r="R292" i="4" s="1"/>
  <c r="Q972" i="4"/>
  <c r="R972" i="4" s="1" a="1"/>
  <c r="R972" i="4" s="1"/>
  <c r="Q436" i="4"/>
  <c r="R436" i="4" s="1" a="1"/>
  <c r="R436" i="4" s="1"/>
  <c r="Q1016" i="4"/>
  <c r="R1016" i="4" s="1" a="1"/>
  <c r="R1016" i="4" s="1"/>
  <c r="Q1104" i="4"/>
  <c r="R1104" i="4" s="1" a="1"/>
  <c r="R1104" i="4" s="1"/>
  <c r="Q1369" i="4"/>
  <c r="R1369" i="4" s="1" a="1"/>
  <c r="R1369" i="4" s="1"/>
  <c r="Q804" i="4"/>
  <c r="R804" i="4" s="1" a="1"/>
  <c r="R804" i="4" s="1"/>
  <c r="Q801" i="4"/>
  <c r="R801" i="4" s="1" a="1"/>
  <c r="R801" i="4" s="1"/>
  <c r="Q1020" i="4"/>
  <c r="R1020" i="4" s="1" a="1"/>
  <c r="R1020" i="4" s="1"/>
  <c r="Q762" i="4"/>
  <c r="R762" i="4" s="1" a="1"/>
  <c r="R762" i="4" s="1"/>
  <c r="Q1358" i="4"/>
  <c r="R1358" i="4" s="1" a="1"/>
  <c r="R1358" i="4" s="1"/>
  <c r="Q1156" i="4"/>
  <c r="R1156" i="4" s="1" a="1"/>
  <c r="R1156" i="4" s="1"/>
  <c r="Q896" i="4"/>
  <c r="R896" i="4" s="1" a="1"/>
  <c r="R896" i="4" s="1"/>
  <c r="Q367" i="4"/>
  <c r="R367" i="4" s="1" a="1"/>
  <c r="R367" i="4" s="1"/>
  <c r="Q456" i="4"/>
  <c r="R456" i="4" s="1" a="1"/>
  <c r="R456" i="4" s="1"/>
  <c r="Q1357" i="4"/>
  <c r="R1357" i="4" s="1" a="1"/>
  <c r="R1357" i="4" s="1"/>
  <c r="Q895" i="4"/>
  <c r="R895" i="4" s="1" a="1"/>
  <c r="R895" i="4" s="1"/>
  <c r="Q858" i="4"/>
  <c r="R858" i="4" s="1" a="1"/>
  <c r="R858" i="4" s="1"/>
  <c r="Q454" i="4"/>
  <c r="R454" i="4" s="1" a="1"/>
  <c r="R454" i="4" s="1"/>
  <c r="Q939" i="4"/>
  <c r="R939" i="4" s="1" a="1"/>
  <c r="R939" i="4" s="1"/>
  <c r="Q272" i="4"/>
  <c r="R272" i="4" s="1" a="1"/>
  <c r="R272" i="4" s="1"/>
  <c r="Q13" i="4"/>
  <c r="R13" i="4" s="1" a="1"/>
  <c r="R13" i="4" s="1"/>
  <c r="Q1181" i="4"/>
  <c r="R1181" i="4" s="1" a="1"/>
  <c r="R1181" i="4" s="1"/>
  <c r="Q544" i="4"/>
  <c r="R544" i="4" s="1" a="1"/>
  <c r="R544" i="4" s="1"/>
  <c r="Q393" i="4"/>
  <c r="R393" i="4" s="1" a="1"/>
  <c r="R393" i="4" s="1"/>
  <c r="Q1133" i="4"/>
  <c r="R1133" i="4" s="1" a="1"/>
  <c r="R1133" i="4" s="1"/>
  <c r="Q761" i="4"/>
  <c r="R761" i="4" s="1" a="1"/>
  <c r="R761" i="4" s="1"/>
  <c r="Q938" i="4"/>
  <c r="R938" i="4" s="1" a="1"/>
  <c r="R938" i="4" s="1"/>
  <c r="Q12" i="4"/>
  <c r="R12" i="4" s="1" a="1"/>
  <c r="R12" i="4" s="1"/>
  <c r="Q605" i="4"/>
  <c r="R605" i="4" s="1" a="1"/>
  <c r="R605" i="4" s="1"/>
  <c r="Q953" i="4"/>
  <c r="R953" i="4" s="1" a="1"/>
  <c r="R953" i="4" s="1"/>
  <c r="Q1180" i="4"/>
  <c r="R1180" i="4" s="1" a="1"/>
  <c r="R1180" i="4" s="1"/>
  <c r="Q1167" i="4"/>
  <c r="R1167" i="4" s="1" a="1"/>
  <c r="R1167" i="4" s="1"/>
  <c r="Q635" i="4"/>
  <c r="R635" i="4" s="1" a="1"/>
  <c r="R635" i="4" s="1"/>
  <c r="Q245" i="4"/>
  <c r="R245" i="4" s="1" a="1"/>
  <c r="R245" i="4" s="1"/>
  <c r="Q714" i="4"/>
  <c r="R714" i="4" s="1" a="1"/>
  <c r="R714" i="4" s="1"/>
  <c r="Q420" i="4"/>
  <c r="R420" i="4" s="1" a="1"/>
  <c r="R420" i="4" s="1"/>
  <c r="Q806" i="4"/>
  <c r="R806" i="4" s="1" a="1"/>
  <c r="R806" i="4" s="1"/>
  <c r="Q61" i="4"/>
  <c r="R61" i="4" s="1" a="1"/>
  <c r="R61" i="4" s="1"/>
  <c r="Q167" i="4"/>
  <c r="R167" i="4" s="1" a="1"/>
  <c r="R167" i="4" s="1"/>
  <c r="Q869" i="4"/>
  <c r="R869" i="4" s="1" a="1"/>
  <c r="R869" i="4" s="1"/>
  <c r="Q1272" i="4"/>
  <c r="R1272" i="4" s="1" a="1"/>
  <c r="R1272" i="4" s="1"/>
  <c r="Q1131" i="4"/>
  <c r="R1131" i="4" s="1" a="1"/>
  <c r="R1131" i="4" s="1"/>
  <c r="Q159" i="4"/>
  <c r="R159" i="4" s="1" a="1"/>
  <c r="R159" i="4" s="1"/>
  <c r="Q244" i="4"/>
  <c r="R244" i="4" s="1" a="1"/>
  <c r="R244" i="4" s="1"/>
  <c r="Q760" i="4"/>
  <c r="R760" i="4" s="1" a="1"/>
  <c r="R760" i="4" s="1"/>
  <c r="Q202" i="4"/>
  <c r="R202" i="4" s="1" a="1"/>
  <c r="R202" i="4" s="1"/>
  <c r="Q649" i="4"/>
  <c r="R649" i="4" s="1" a="1"/>
  <c r="R649" i="4" s="1"/>
  <c r="Q120" i="4"/>
  <c r="R120" i="4" s="1" a="1"/>
  <c r="R120" i="4" s="1"/>
  <c r="Q805" i="4"/>
  <c r="R805" i="4" s="1" a="1"/>
  <c r="R805" i="4" s="1"/>
  <c r="Q158" i="4"/>
  <c r="R158" i="4" s="1" a="1"/>
  <c r="R158" i="4" s="1"/>
  <c r="Q738" i="4"/>
  <c r="R738" i="4" s="1" a="1"/>
  <c r="R738" i="4" s="1"/>
  <c r="Q265" i="4"/>
  <c r="R265" i="4" s="1" a="1"/>
  <c r="R265" i="4" s="1"/>
  <c r="Q646" i="4"/>
  <c r="R646" i="4" s="1" a="1"/>
  <c r="R646" i="4" s="1"/>
  <c r="Q1088" i="4"/>
  <c r="R1088" i="4" s="1" a="1"/>
  <c r="R1088" i="4" s="1"/>
  <c r="F1518" i="4"/>
  <c r="F1522" i="4"/>
  <c r="E1518" i="4"/>
  <c r="E1521" i="4"/>
  <c r="F1521" i="4"/>
  <c r="E1522" i="4"/>
  <c r="E1480" i="4"/>
  <c r="E1481" i="4"/>
  <c r="E1482" i="4"/>
  <c r="F1481" i="4"/>
  <c r="F1480" i="4"/>
  <c r="F1482" i="4"/>
  <c r="G1501" i="4"/>
  <c r="G1499" i="4"/>
  <c r="G1509" i="4"/>
  <c r="G1506" i="4"/>
  <c r="G1507" i="4"/>
  <c r="F1501" i="4"/>
  <c r="G1510" i="4"/>
  <c r="G1498" i="4"/>
  <c r="G1504" i="4"/>
  <c r="G1497" i="4"/>
  <c r="G1508" i="4"/>
  <c r="G1511" i="4"/>
  <c r="G1505" i="4"/>
  <c r="G1503" i="4"/>
  <c r="G1502" i="4"/>
  <c r="G1500" i="4"/>
  <c r="F1497" i="4"/>
  <c r="F1509" i="4"/>
  <c r="F1505" i="4"/>
  <c r="F1507" i="4"/>
  <c r="F1504" i="4"/>
  <c r="F1506" i="4"/>
  <c r="F1499" i="4"/>
  <c r="F1510" i="4"/>
  <c r="F1498" i="4"/>
  <c r="F1508" i="4"/>
  <c r="F1511" i="4"/>
  <c r="F1503" i="4"/>
  <c r="F1502" i="4"/>
  <c r="F1500" i="4"/>
  <c r="F1491" i="4"/>
  <c r="F1490" i="4"/>
  <c r="F1489" i="4"/>
  <c r="E1488" i="4"/>
  <c r="E1489" i="4"/>
  <c r="F1488" i="4"/>
  <c r="F1492" i="4"/>
  <c r="E1492" i="4"/>
  <c r="E1491" i="4"/>
  <c r="E1490" i="4"/>
  <c r="G3" i="3" l="1"/>
  <c r="H1511" i="4"/>
  <c r="H1506" i="4"/>
  <c r="G1480" i="4"/>
  <c r="H1509" i="4"/>
  <c r="H1499" i="4"/>
  <c r="H1508" i="4"/>
  <c r="G1482" i="4"/>
  <c r="H1510" i="4"/>
  <c r="H1500" i="4"/>
  <c r="H1502" i="4"/>
  <c r="H1498" i="4"/>
  <c r="G1481" i="4"/>
  <c r="H1507" i="4"/>
  <c r="H1501" i="4"/>
  <c r="H1505" i="4"/>
  <c r="H1497" i="4"/>
  <c r="H1503" i="4"/>
  <c r="H1504" i="4"/>
  <c r="G1491" i="4"/>
  <c r="G1489" i="4"/>
  <c r="G1490" i="4"/>
  <c r="G1492" i="4"/>
  <c r="G1488" i="4"/>
  <c r="E3" i="3" s="1"/>
  <c r="C3"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<sst xmlns="http://schemas.openxmlformats.org/spreadsheetml/2006/main" count="13448" uniqueCount="133">
  <si>
    <t>Age</t>
  </si>
  <si>
    <t>Attrition</t>
  </si>
  <si>
    <t>BusinessTravel</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</si>
  <si>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</si>
  <si>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</si>
  <si>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</si>
  <si>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</si>
  <si>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</si>
  <si>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</si>
  <si>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</si>
  <si>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</si>
  <si>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</si>
  <si>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</si>
  <si>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</si>
  <si>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</si>
  <si>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</si>
  <si>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</si>
  <si>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</si>
  <si>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</si>
  <si>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</si>
  <si>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</si>
  <si>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</si>
  <si>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</si>
  <si>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</si>
  <si>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</si>
  <si>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</si>
  <si>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</si>
  <si>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</si>
  <si>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</si>
  <si>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</si>
  <si>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</si>
  <si>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</si>
  <si>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</si>
  <si>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</si>
  <si>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</si>
  <si>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</si>
  <si>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</si>
  <si>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</si>
  <si>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</si>
  <si>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</si>
  <si>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</si>
  <si>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</si>
  <si>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</si>
  <si>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</si>
  <si>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</si>
  <si>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</si>
  <si>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</si>
  <si>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</si>
  <si>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</si>
  <si>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</si>
  <si>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</si>
  <si>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</si>
  <si>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</si>
  <si>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</si>
  <si>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</si>
  <si>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</si>
  <si>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</si>
  <si>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</si>
  <si>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</si>
  <si>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</si>
  <si>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</si>
  <si>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Environment Satisfaction</t>
  </si>
  <si>
    <t>Hourly Rate</t>
  </si>
  <si>
    <t>Overtime</t>
  </si>
  <si>
    <t>AgeRange</t>
  </si>
  <si>
    <t>Salary Range</t>
  </si>
  <si>
    <t>SUMMARY</t>
  </si>
  <si>
    <t>Attrition Yes</t>
  </si>
  <si>
    <t>Total Size</t>
  </si>
  <si>
    <t>Attrition Rate</t>
  </si>
  <si>
    <t>Attrition By Department</t>
  </si>
  <si>
    <t>Attrition By Salary</t>
  </si>
  <si>
    <t>Salary Band</t>
  </si>
  <si>
    <t>Attriton Yes</t>
  </si>
  <si>
    <t>45 or below</t>
  </si>
  <si>
    <t>46-60</t>
  </si>
  <si>
    <t>61-75</t>
  </si>
  <si>
    <t>76-90</t>
  </si>
  <si>
    <t>91 or above</t>
  </si>
  <si>
    <t>Attition Yes</t>
  </si>
  <si>
    <t xml:space="preserve">Attrition By Salary &amp; Department </t>
  </si>
  <si>
    <t>Investigating Potential Factors for Flight Risk</t>
  </si>
  <si>
    <t>Factor</t>
  </si>
  <si>
    <t>Attrition Percentage when true</t>
  </si>
  <si>
    <t xml:space="preserve">Works Overtime </t>
  </si>
  <si>
    <t>Job Satifaction &lt;=2</t>
  </si>
  <si>
    <t>Atrrition Percentage when false</t>
  </si>
  <si>
    <t>Years since Last Promotion &gt;=3</t>
  </si>
  <si>
    <t>Work Life Balance &lt;=1</t>
  </si>
  <si>
    <t>Comments</t>
  </si>
  <si>
    <t>Working overtime is a strong risk factor</t>
  </si>
  <si>
    <t>Low job satisfaction is a risk factor</t>
  </si>
  <si>
    <t>Low work Life Balance is a strong risk factor</t>
  </si>
  <si>
    <t>Not a risk factor</t>
  </si>
  <si>
    <t>Environment Satisfaction &lt;=2</t>
  </si>
  <si>
    <t>S</t>
  </si>
  <si>
    <t>Contribution to flight risk score</t>
  </si>
  <si>
    <t>Low environment satisfaction is a risk factor</t>
  </si>
  <si>
    <t>Risk Level</t>
  </si>
  <si>
    <t>Flight Risk Score</t>
  </si>
  <si>
    <t>Condition</t>
  </si>
  <si>
    <t xml:space="preserve"> Overtime =  "Yes"</t>
  </si>
  <si>
    <t>Variable</t>
  </si>
  <si>
    <t>Job Satisfaction</t>
  </si>
  <si>
    <t>Years since last promotion</t>
  </si>
  <si>
    <t>Label</t>
  </si>
  <si>
    <t>Score Range</t>
  </si>
  <si>
    <t>Interpretation</t>
  </si>
  <si>
    <t>High Risk</t>
  </si>
  <si>
    <t>Immediate attention recommended</t>
  </si>
  <si>
    <t>Medium Risk</t>
  </si>
  <si>
    <t>Monitor closely</t>
  </si>
  <si>
    <t>Low Risk</t>
  </si>
  <si>
    <t>Stable</t>
  </si>
  <si>
    <t>50-69</t>
  </si>
  <si>
    <t>30-49</t>
  </si>
  <si>
    <t>Very Low Risk</t>
  </si>
  <si>
    <t>Very unlikely to leave</t>
  </si>
  <si>
    <t>0-29</t>
  </si>
  <si>
    <t>70-100</t>
  </si>
  <si>
    <t>Row Labels</t>
  </si>
  <si>
    <t>Grand Total</t>
  </si>
  <si>
    <t>Column Labels</t>
  </si>
  <si>
    <t>Count of Attrition</t>
  </si>
  <si>
    <t>EmployeeNum</t>
  </si>
  <si>
    <t>Number of Employees</t>
  </si>
  <si>
    <t>Average of Attrition Rate</t>
  </si>
  <si>
    <t>Attrition_binary</t>
  </si>
  <si>
    <t>Overall Attrition Rate</t>
  </si>
  <si>
    <t>Dept with Highest Attrition</t>
  </si>
  <si>
    <t xml:space="preserve"> Employees at  Medium/High Risk</t>
  </si>
  <si>
    <t>NA</t>
  </si>
  <si>
    <t>Salary Band with Highest Attrition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</si>
</sst>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sz val="12"/>
      <color theme="1"/>
      <name val="Aptos Narrow"/>
      <family val="2"/>
      <scheme val="minor"/>
    </font>
    <font>
      <b/>
      <sz val="26"/>
      <color theme="1"/>
      <name val="Aptos Narrow"/>
      <scheme val="minor"/>
    </font>
    <font>
      <b/>
      <sz val="18"/>
      <color theme="1"/>
      <name val="Aptos Narrow (Body)"/>
    </font>
    <font>
      <b/>
      <sz val="12"/>
      <color theme="1"/>
      <name val="Aptos Narrow"/>
      <family val="2"/>
      <scheme val="minor"/>
    </font>
    <font>
      <sz val="8"/>
      <name val="Aptos Narrow"/>
      <family val="2"/>
      <scheme val="minor"/>
    </font>
    <font>
      <sz val="18"/>
      <color theme="3"/>
      <name val="Aptos Display"/>
      <family val="2"/>
      <scheme val="major"/>
    </font>
    <font>
      <b/>
      <sz val="11"/>
      <color theme="3"/>
      <name val="Aptos Narrow"/>
      <family val="2"/>
      <scheme val="minor"/>
    </font>
    <font>
      <b/>
      <sz val="24"/>
      <color theme="3"/>
      <name val="Aptos Narrow"/>
      <family val="2"/>
      <scheme val="minor"/>
    </font>
    <font>
      <sz val="20"/>
      <color theme="3"/>
      <name val="Aptos Display"/>
      <family val="2"/>
      <scheme val="major"/>
    </font>
  </fonts>
  <fills count="4">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4">
    <xf numFmtId="0" fontId="0" fillId="0" borderId="0"/>
    <xf numFmtId="9" fontId="1"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cellStyleXfs>
  <cellXfs count="16">
    <xf numFmtId="0" fontId="0" fillId="0" borderId="0" xfId="0"/>
    <xf numFmtId="0" fontId="2" fillId="2" borderId="0" xfId="0" applyFont="1" applyFill="1"/>
    <xf numFmtId="9" fontId="0" fillId="0" borderId="0" xfId="1" applyFont="1"/>
    <xf numFmtId="0" fontId="3" fillId="0" borderId="0" xfId="0" applyFont="1"/>
    <xf numFmtId="0" fontId="0" fillId="0" borderId="0" xfId="0" applyAlignment="1">
      <alignment horizontal="center" wrapText="1"/>
    </xf>
    <xf numFmtId="0" fontId="0" fillId="0" borderId="0" xfId="0" applyAlignment="1">
      <alignment wrapText="1"/>
    </xf>
    <xf numFmtId="0" fontId="0" fillId="0" borderId="0" xfId="0" applyAlignment="1">
      <alignment wrapText="1" shrinkToFit="1"/>
    </xf>
    <xf numFmtId="0" fontId="4" fillId="0" borderId="0" xfId="0" applyFont="1"/>
    <xf numFmtId="0" fontId="0" fillId="0" borderId="0" xfId="0" pivotButton="1"/>
    <xf numFmtId="0" fontId="0" fillId="0" borderId="0" xfId="0" applyAlignment="1">
      <alignment horizontal="left"/>
    </xf>
    <xf numFmtId="9" fontId="0" fillId="0" borderId="0" xfId="0" applyNumberFormat="1"/>
    <xf numFmtId="0" fontId="6" fillId="0" borderId="0" xfId="2"/>
    <xf numFmtId="0" fontId="9" fillId="3" borderId="2" xfId="2" applyFont="1" applyFill="1" applyBorder="1"/>
    <xf numFmtId="9" fontId="8" fillId="3" borderId="1" xfId="3" applyNumberFormat="1" applyFont="1" applyFill="1" applyBorder="1" applyAlignment="1">
      <alignment horizontal="center"/>
    </xf>
    <xf numFmtId="0" fontId="9" fillId="3" borderId="3" xfId="2" applyFont="1" applyFill="1" applyBorder="1"/>
    <xf numFmtId="0" fontId="6" fillId="3" borderId="3" xfId="2" applyFill="1" applyBorder="1" applyAlignment="1">
      <alignment horizontal="center"/>
    </xf>
  </cellXfs>
  <cellStyles count="4">
    <cellStyle name="Heading 4" xfId="3" builtinId="19"/>
    <cellStyle name="Normal" xfId="0" builtinId="0"/>
    <cellStyle name="Per cent" xfId="1" builtinId="5"/>
    <cellStyle name="Title" xfId="2" builtinId="15"/>
  </cellStyles>
  <dxfs count="17">
    <dxf>
      <font>
        <color rgb="FF9C0006"/>
      </font>
      <fill>
        <patternFill>
          <bgColor rgb="FFFFC7CE"/>
        </patternFill>
      </fill>
    </dxf>
    <dxf>
      <font>
        <b val="0"/>
        <i val="0"/>
        <strike val="0"/>
        <color theme="5" tint="-0.24994659260841701"/>
      </font>
      <fill>
        <patternFill patternType="solid">
          <fgColor theme="5" tint="0.39994506668294322"/>
          <bgColor theme="5" tint="0.39994506668294322"/>
        </patternFill>
      </fill>
    </dxf>
    <dxf>
      <font>
        <color rgb="FF9C57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E6F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[Employee_Atrition_Analysis.xlsx]PivotTable1!PivotTable1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358705161854754E-2"/>
          <c:y val="7.407407407407407E-2"/>
          <c:w val="0.7228307086614173"/>
          <c:h val="0.79118839311752698"/>
        </c:manualLayout>
      </c:layout>
      <c:barChart>
        <c:barDir val="col"/>
        <c:grouping val="clustered"/>
        <c:varyColors val="0"/>
        <c:ser>
          <c:idx val="0"/>
          <c:order val="0"/>
          <c:tx>
            <c:strRef>
              <c:f>PivotTable1!$B$3:$B$4</c:f>
              <c:strCache>
                <c:ptCount val="1"/>
                <c:pt idx="0">
                  <c:v>45 or below</c:v>
                </c:pt>
              </c:strCache>
            </c:strRef>
          </c:tx>
          <c:spPr>
            <a:solidFill>
              <a:schemeClr val="accent1"/>
            </a:solidFill>
            <a:ln>
              <a:noFill/>
            </a:ln>
            <a:effectLst/>
          </c:spPr>
          <c:invertIfNegative val="0"/>
          <c:cat>
            <c:strRef>
              <c:f>PivotTable1!$A$5:$A$8</c:f>
              <c:strCache>
                <c:ptCount val="3"/>
                <c:pt idx="0">
                  <c:v>Human Resources</c:v>
                </c:pt>
                <c:pt idx="1">
                  <c:v>Research &amp; Development</c:v>
                </c:pt>
                <c:pt idx="2">
                  <c:v>Sales</c:v>
                </c:pt>
              </c:strCache>
            </c:strRef>
          </c:cat>
          <c:val>
            <c:numRef>
              <c:f>PivotTable1!$B$5:$B$8</c:f>
              <c:numCache>
                <c:formatCode>General</c:formatCode>
                <c:ptCount val="3"/>
                <c:pt idx="0">
                  <c:v>1</c:v>
                </c:pt>
                <c:pt idx="1">
                  <c:v>25</c:v>
                </c:pt>
                <c:pt idx="2">
                  <c:v>19</c:v>
                </c:pt>
              </c:numCache>
            </c:numRef>
          </c:val>
          <c:extLst>
            <c:ext xmlns:c16="http://schemas.microsoft.com/office/drawing/2014/chart" uri="{C3380CC4-5D6E-409C-BE32-E72D297353CC}">
              <c16:uniqueId val="{00000000-9516-4B48-85B5-77C268FE0D74}"/>
            </c:ext>
          </c:extLst>
        </c:ser>
        <c:ser>
          <c:idx val="1"/>
          <c:order val="1"/>
          <c:tx>
            <c:strRef>
              <c:f>PivotTable1!$C$3:$C$4</c:f>
              <c:strCache>
                <c:ptCount val="1"/>
                <c:pt idx="0">
                  <c:v>46-60</c:v>
                </c:pt>
              </c:strCache>
            </c:strRef>
          </c:tx>
          <c:spPr>
            <a:solidFill>
              <a:schemeClr val="accent2"/>
            </a:solidFill>
            <a:ln>
              <a:noFill/>
            </a:ln>
            <a:effectLst/>
          </c:spPr>
          <c:invertIfNegative val="0"/>
          <c:cat>
            <c:strRef>
              <c:f>PivotTable1!$A$5:$A$8</c:f>
              <c:strCache>
                <c:ptCount val="3"/>
                <c:pt idx="0">
                  <c:v>Human Resources</c:v>
                </c:pt>
                <c:pt idx="1">
                  <c:v>Research &amp; Development</c:v>
                </c:pt>
                <c:pt idx="2">
                  <c:v>Sales</c:v>
                </c:pt>
              </c:strCache>
            </c:strRef>
          </c:cat>
          <c:val>
            <c:numRef>
              <c:f>PivotTable1!$C$5:$C$8</c:f>
              <c:numCache>
                <c:formatCode>General</c:formatCode>
                <c:ptCount val="3"/>
                <c:pt idx="0">
                  <c:v>6</c:v>
                </c:pt>
                <c:pt idx="1">
                  <c:v>29</c:v>
                </c:pt>
                <c:pt idx="2">
                  <c:v>23</c:v>
                </c:pt>
              </c:numCache>
            </c:numRef>
          </c:val>
          <c:extLst>
            <c:ext xmlns:c16="http://schemas.microsoft.com/office/drawing/2014/chart" uri="{C3380CC4-5D6E-409C-BE32-E72D297353CC}">
              <c16:uniqueId val="{00000001-EB59-0941-848D-32FA1315656B}"/>
            </c:ext>
          </c:extLst>
        </c:ser>
        <c:ser>
          <c:idx val="2"/>
          <c:order val="2"/>
          <c:tx>
            <c:strRef>
              <c:f>PivotTable1!$D$3:$D$4</c:f>
              <c:strCache>
                <c:ptCount val="1"/>
                <c:pt idx="0">
                  <c:v>61-75</c:v>
                </c:pt>
              </c:strCache>
            </c:strRef>
          </c:tx>
          <c:spPr>
            <a:solidFill>
              <a:schemeClr val="accent3"/>
            </a:solidFill>
            <a:ln>
              <a:noFill/>
            </a:ln>
            <a:effectLst/>
          </c:spPr>
          <c:invertIfNegative val="0"/>
          <c:cat>
            <c:strRef>
              <c:f>PivotTable1!$A$5:$A$8</c:f>
              <c:strCache>
                <c:ptCount val="3"/>
                <c:pt idx="0">
                  <c:v>Human Resources</c:v>
                </c:pt>
                <c:pt idx="1">
                  <c:v>Research &amp; Development</c:v>
                </c:pt>
                <c:pt idx="2">
                  <c:v>Sales</c:v>
                </c:pt>
              </c:strCache>
            </c:strRef>
          </c:cat>
          <c:val>
            <c:numRef>
              <c:f>PivotTable1!$D$5:$D$8</c:f>
              <c:numCache>
                <c:formatCode>General</c:formatCode>
                <c:ptCount val="3"/>
                <c:pt idx="0">
                  <c:v>3</c:v>
                </c:pt>
                <c:pt idx="1">
                  <c:v>29</c:v>
                </c:pt>
                <c:pt idx="2">
                  <c:v>21</c:v>
                </c:pt>
              </c:numCache>
            </c:numRef>
          </c:val>
          <c:extLst>
            <c:ext xmlns:c16="http://schemas.microsoft.com/office/drawing/2014/chart" uri="{C3380CC4-5D6E-409C-BE32-E72D297353CC}">
              <c16:uniqueId val="{00000002-EB59-0941-848D-32FA1315656B}"/>
            </c:ext>
          </c:extLst>
        </c:ser>
        <c:ser>
          <c:idx val="3"/>
          <c:order val="3"/>
          <c:tx>
            <c:strRef>
              <c:f>PivotTable1!$E$3:$E$4</c:f>
              <c:strCache>
                <c:ptCount val="1"/>
                <c:pt idx="0">
                  <c:v>76-90</c:v>
                </c:pt>
              </c:strCache>
            </c:strRef>
          </c:tx>
          <c:spPr>
            <a:solidFill>
              <a:schemeClr val="accent4"/>
            </a:solidFill>
            <a:ln>
              <a:noFill/>
            </a:ln>
            <a:effectLst/>
          </c:spPr>
          <c:invertIfNegative val="0"/>
          <c:cat>
            <c:strRef>
              <c:f>PivotTable1!$A$5:$A$8</c:f>
              <c:strCache>
                <c:ptCount val="3"/>
                <c:pt idx="0">
                  <c:v>Human Resources</c:v>
                </c:pt>
                <c:pt idx="1">
                  <c:v>Research &amp; Development</c:v>
                </c:pt>
                <c:pt idx="2">
                  <c:v>Sales</c:v>
                </c:pt>
              </c:strCache>
            </c:strRef>
          </c:cat>
          <c:val>
            <c:numRef>
              <c:f>PivotTable1!$E$5:$E$8</c:f>
              <c:numCache>
                <c:formatCode>General</c:formatCode>
                <c:ptCount val="3"/>
                <c:pt idx="0">
                  <c:v>1</c:v>
                </c:pt>
                <c:pt idx="1">
                  <c:v>27</c:v>
                </c:pt>
                <c:pt idx="2">
                  <c:v>18</c:v>
                </c:pt>
              </c:numCache>
            </c:numRef>
          </c:val>
          <c:extLst>
            <c:ext xmlns:c16="http://schemas.microsoft.com/office/drawing/2014/chart" uri="{C3380CC4-5D6E-409C-BE32-E72D297353CC}">
              <c16:uniqueId val="{00000003-EB59-0941-848D-32FA1315656B}"/>
            </c:ext>
          </c:extLst>
        </c:ser>
        <c:ser>
          <c:idx val="4"/>
          <c:order val="4"/>
          <c:tx>
            <c:strRef>
              <c:f>PivotTable1!$F$3:$F$4</c:f>
              <c:strCache>
                <c:ptCount val="1"/>
                <c:pt idx="0">
                  <c:v>91 or above</c:v>
                </c:pt>
              </c:strCache>
            </c:strRef>
          </c:tx>
          <c:spPr>
            <a:solidFill>
              <a:schemeClr val="accent5"/>
            </a:solidFill>
            <a:ln>
              <a:noFill/>
            </a:ln>
            <a:effectLst/>
          </c:spPr>
          <c:invertIfNegative val="0"/>
          <c:cat>
            <c:strRef>
              <c:f>PivotTable1!$A$5:$A$8</c:f>
              <c:strCache>
                <c:ptCount val="3"/>
                <c:pt idx="0">
                  <c:v>Human Resources</c:v>
                </c:pt>
                <c:pt idx="1">
                  <c:v>Research &amp; Development</c:v>
                </c:pt>
                <c:pt idx="2">
                  <c:v>Sales</c:v>
                </c:pt>
              </c:strCache>
            </c:strRef>
          </c:cat>
          <c:val>
            <c:numRef>
              <c:f>PivotTable1!$F$5:$F$8</c:f>
              <c:numCache>
                <c:formatCode>General</c:formatCode>
                <c:ptCount val="3"/>
                <c:pt idx="0">
                  <c:v>1</c:v>
                </c:pt>
                <c:pt idx="1">
                  <c:v>23</c:v>
                </c:pt>
                <c:pt idx="2">
                  <c:v>11</c:v>
                </c:pt>
              </c:numCache>
            </c:numRef>
          </c:val>
          <c:extLst>
            <c:ext xmlns:c16="http://schemas.microsoft.com/office/drawing/2014/chart" uri="{C3380CC4-5D6E-409C-BE32-E72D297353CC}">
              <c16:uniqueId val="{00000004-EB59-0941-848D-32FA1315656B}"/>
            </c:ext>
          </c:extLst>
        </c:ser>
        <c:dLbls>
          <c:showLegendKey val="0"/>
          <c:showVal val="0"/>
          <c:showCatName val="0"/>
          <c:showSerName val="0"/>
          <c:showPercent val="0"/>
          <c:showBubbleSize val="0"/>
        </c:dLbls>
        <c:gapWidth val="219"/>
        <c:overlap val="-27"/>
        <c:axId val="1720967824"/>
        <c:axId val="1820199632"/>
      </c:barChart>
      <c:catAx>
        <c:axId val="172096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199632"/>
        <c:crosses val="autoZero"/>
        <c:auto val="1"/>
        <c:lblAlgn val="ctr"/>
        <c:lblOffset val="100"/>
        <c:noMultiLvlLbl val="0"/>
      </c:catAx>
      <c:valAx>
        <c:axId val="18201996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96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[Employee_Atrition_Analysis.xlsx]Employee Risk!PivotTable3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365455288454"/>
          <c:y val="8.3450352583553711E-2"/>
          <c:w val="0.69033048993875767"/>
          <c:h val="0.79118839311752698"/>
        </c:manualLayout>
      </c:layout>
      <c:barChart>
        <c:barDir val="col"/>
        <c:grouping val="clustered"/>
        <c:varyColors val="0"/>
        <c:ser>
          <c:idx val="0"/>
          <c:order val="0"/>
          <c:tx>
            <c:strRef>
              <c:f>'Employee Risk'!$B$3:$B$4</c:f>
              <c:strCache>
                <c:ptCount val="1"/>
                <c:pt idx="0">
                  <c:v>High Risk</c:v>
                </c:pt>
              </c:strCache>
            </c:strRef>
          </c:tx>
          <c:spPr>
            <a:solidFill>
              <a:srgbClr val="FF0000"/>
            </a:solidFill>
            <a:ln>
              <a:noFill/>
            </a:ln>
            <a:effectLst/>
          </c:spPr>
          <c:invertIfNegative val="0"/>
          <c:cat>
            <c:strRef>
              <c:f>'Employee Risk'!$A$5:$A$8</c:f>
              <c:strCache>
                <c:ptCount val="3"/>
                <c:pt idx="0">
                  <c:v>Human Resources</c:v>
                </c:pt>
                <c:pt idx="1">
                  <c:v>Research &amp; Development</c:v>
                </c:pt>
                <c:pt idx="2">
                  <c:v>Sales</c:v>
                </c:pt>
              </c:strCache>
            </c:strRef>
          </c:cat>
          <c:val>
            <c:numRef>
              <c:f>'Employee Risk'!$B$5:$B$8</c:f>
              <c:numCache>
                <c:formatCode>General</c:formatCode>
                <c:ptCount val="3"/>
                <c:pt idx="0">
                  <c:v>1</c:v>
                </c:pt>
                <c:pt idx="1">
                  <c:v>8</c:v>
                </c:pt>
                <c:pt idx="2">
                  <c:v>3</c:v>
                </c:pt>
              </c:numCache>
            </c:numRef>
          </c:val>
          <c:extLst>
            <c:ext xmlns:c16="http://schemas.microsoft.com/office/drawing/2014/chart" uri="{C3380CC4-5D6E-409C-BE32-E72D297353CC}">
              <c16:uniqueId val="{00000000-6CE0-9A4E-801C-BD1CD3E7EFD7}"/>
            </c:ext>
          </c:extLst>
        </c:ser>
        <c:ser>
          <c:idx val="1"/>
          <c:order val="1"/>
          <c:tx>
            <c:strRef>
              <c:f>'Employee Risk'!$C$3:$C$4</c:f>
              <c:strCache>
                <c:ptCount val="1"/>
                <c:pt idx="0">
                  <c:v>Low Risk</c:v>
                </c:pt>
              </c:strCache>
            </c:strRef>
          </c:tx>
          <c:spPr>
            <a:solidFill>
              <a:srgbClr val="FFFF00"/>
            </a:solidFill>
            <a:ln>
              <a:noFill/>
            </a:ln>
            <a:effectLst/>
          </c:spPr>
          <c:invertIfNegative val="0"/>
          <c:cat>
            <c:strRef>
              <c:f>'Employee Risk'!$A$5:$A$8</c:f>
              <c:strCache>
                <c:ptCount val="3"/>
                <c:pt idx="0">
                  <c:v>Human Resources</c:v>
                </c:pt>
                <c:pt idx="1">
                  <c:v>Research &amp; Development</c:v>
                </c:pt>
                <c:pt idx="2">
                  <c:v>Sales</c:v>
                </c:pt>
              </c:strCache>
            </c:strRef>
          </c:cat>
          <c:val>
            <c:numRef>
              <c:f>'Employee Risk'!$C$5:$C$8</c:f>
              <c:numCache>
                <c:formatCode>General</c:formatCode>
                <c:ptCount val="3"/>
                <c:pt idx="0">
                  <c:v>13</c:v>
                </c:pt>
                <c:pt idx="1">
                  <c:v>161</c:v>
                </c:pt>
                <c:pt idx="2">
                  <c:v>83</c:v>
                </c:pt>
              </c:numCache>
            </c:numRef>
          </c:val>
          <c:extLst>
            <c:ext xmlns:c16="http://schemas.microsoft.com/office/drawing/2014/chart" uri="{C3380CC4-5D6E-409C-BE32-E72D297353CC}">
              <c16:uniqueId val="{00000003-D33F-6F49-9DCE-2A1576F0A1B5}"/>
            </c:ext>
          </c:extLst>
        </c:ser>
        <c:ser>
          <c:idx val="2"/>
          <c:order val="2"/>
          <c:tx>
            <c:strRef>
              <c:f>'Employee Risk'!$D$3:$D$4</c:f>
              <c:strCache>
                <c:ptCount val="1"/>
                <c:pt idx="0">
                  <c:v>Medium Risk</c:v>
                </c:pt>
              </c:strCache>
            </c:strRef>
          </c:tx>
          <c:spPr>
            <a:solidFill>
              <a:schemeClr val="accent2"/>
            </a:solidFill>
            <a:ln>
              <a:noFill/>
            </a:ln>
            <a:effectLst/>
          </c:spPr>
          <c:invertIfNegative val="0"/>
          <c:cat>
            <c:strRef>
              <c:f>'Employee Risk'!$A$5:$A$8</c:f>
              <c:strCache>
                <c:ptCount val="3"/>
                <c:pt idx="0">
                  <c:v>Human Resources</c:v>
                </c:pt>
                <c:pt idx="1">
                  <c:v>Research &amp; Development</c:v>
                </c:pt>
                <c:pt idx="2">
                  <c:v>Sales</c:v>
                </c:pt>
              </c:strCache>
            </c:strRef>
          </c:cat>
          <c:val>
            <c:numRef>
              <c:f>'Employee Risk'!$D$5:$D$8</c:f>
              <c:numCache>
                <c:formatCode>General</c:formatCode>
                <c:ptCount val="3"/>
                <c:pt idx="0">
                  <c:v>7</c:v>
                </c:pt>
                <c:pt idx="1">
                  <c:v>135</c:v>
                </c:pt>
                <c:pt idx="2">
                  <c:v>41</c:v>
                </c:pt>
              </c:numCache>
            </c:numRef>
          </c:val>
          <c:extLst>
            <c:ext xmlns:c16="http://schemas.microsoft.com/office/drawing/2014/chart" uri="{C3380CC4-5D6E-409C-BE32-E72D297353CC}">
              <c16:uniqueId val="{00000004-D33F-6F49-9DCE-2A1576F0A1B5}"/>
            </c:ext>
          </c:extLst>
        </c:ser>
        <c:ser>
          <c:idx val="3"/>
          <c:order val="3"/>
          <c:tx>
            <c:strRef>
              <c:f>'Employee Risk'!$E$3:$E$4</c:f>
              <c:strCache>
                <c:ptCount val="1"/>
                <c:pt idx="0">
                  <c:v>NA</c:v>
                </c:pt>
              </c:strCache>
            </c:strRef>
          </c:tx>
          <c:spPr>
            <a:solidFill>
              <a:schemeClr val="accent2">
                <a:lumMod val="60000"/>
              </a:schemeClr>
            </a:solidFill>
            <a:ln>
              <a:noFill/>
            </a:ln>
            <a:effectLst/>
          </c:spPr>
          <c:invertIfNegative val="0"/>
          <c:cat>
            <c:strRef>
              <c:f>'Employee Risk'!$A$5:$A$8</c:f>
              <c:strCache>
                <c:ptCount val="3"/>
                <c:pt idx="0">
                  <c:v>Human Resources</c:v>
                </c:pt>
                <c:pt idx="1">
                  <c:v>Research &amp; Development</c:v>
                </c:pt>
                <c:pt idx="2">
                  <c:v>Sales</c:v>
                </c:pt>
              </c:strCache>
            </c:strRef>
          </c:cat>
          <c:val>
            <c:numRef>
              <c:f>'Employee Risk'!$E$5:$E$8</c:f>
              <c:numCache>
                <c:formatCode>General</c:formatCode>
                <c:ptCount val="3"/>
                <c:pt idx="0">
                  <c:v>12</c:v>
                </c:pt>
                <c:pt idx="1">
                  <c:v>133</c:v>
                </c:pt>
                <c:pt idx="2">
                  <c:v>92</c:v>
                </c:pt>
              </c:numCache>
            </c:numRef>
          </c:val>
          <c:extLst>
            <c:ext xmlns:c16="http://schemas.microsoft.com/office/drawing/2014/chart" uri="{C3380CC4-5D6E-409C-BE32-E72D297353CC}">
              <c16:uniqueId val="{00000005-D33F-6F49-9DCE-2A1576F0A1B5}"/>
            </c:ext>
          </c:extLst>
        </c:ser>
        <c:ser>
          <c:idx val="4"/>
          <c:order val="4"/>
          <c:tx>
            <c:strRef>
              <c:f>'Employee Risk'!$F$3:$F$4</c:f>
              <c:strCache>
                <c:ptCount val="1"/>
                <c:pt idx="0">
                  <c:v>Very Low Risk</c:v>
                </c:pt>
              </c:strCache>
            </c:strRef>
          </c:tx>
          <c:spPr>
            <a:solidFill>
              <a:schemeClr val="accent6"/>
            </a:solidFill>
            <a:ln>
              <a:noFill/>
            </a:ln>
            <a:effectLst/>
          </c:spPr>
          <c:invertIfNegative val="0"/>
          <c:cat>
            <c:strRef>
              <c:f>'Employee Risk'!$A$5:$A$8</c:f>
              <c:strCache>
                <c:ptCount val="3"/>
                <c:pt idx="0">
                  <c:v>Human Resources</c:v>
                </c:pt>
                <c:pt idx="1">
                  <c:v>Research &amp; Development</c:v>
                </c:pt>
                <c:pt idx="2">
                  <c:v>Sales</c:v>
                </c:pt>
              </c:strCache>
            </c:strRef>
          </c:cat>
          <c:val>
            <c:numRef>
              <c:f>'Employee Risk'!$F$5:$F$8</c:f>
              <c:numCache>
                <c:formatCode>General</c:formatCode>
                <c:ptCount val="3"/>
                <c:pt idx="0">
                  <c:v>30</c:v>
                </c:pt>
                <c:pt idx="1">
                  <c:v>524</c:v>
                </c:pt>
                <c:pt idx="2">
                  <c:v>227</c:v>
                </c:pt>
              </c:numCache>
            </c:numRef>
          </c:val>
          <c:extLst>
            <c:ext xmlns:c16="http://schemas.microsoft.com/office/drawing/2014/chart" uri="{C3380CC4-5D6E-409C-BE32-E72D297353CC}">
              <c16:uniqueId val="{00000006-D33F-6F49-9DCE-2A1576F0A1B5}"/>
            </c:ext>
          </c:extLst>
        </c:ser>
        <c:dLbls>
          <c:showLegendKey val="0"/>
          <c:showVal val="0"/>
          <c:showCatName val="0"/>
          <c:showSerName val="0"/>
          <c:showPercent val="0"/>
          <c:showBubbleSize val="0"/>
        </c:dLbls>
        <c:gapWidth val="219"/>
        <c:overlap val="-27"/>
        <c:axId val="440675488"/>
        <c:axId val="441092592"/>
      </c:barChart>
      <c:catAx>
        <c:axId val="44067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092592"/>
        <c:crosses val="autoZero"/>
        <c:auto val="1"/>
        <c:lblAlgn val="ctr"/>
        <c:lblOffset val="100"/>
        <c:noMultiLvlLbl val="0"/>
      </c:catAx>
      <c:valAx>
        <c:axId val="4410925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Count</a:t>
                </a:r>
                <a:r>
                  <a:rPr lang="en-GB" baseline="0"/>
                  <a:t> of Employees</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5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[Employee_Atrition_Analysis.xlsx]PivotTable1!PivotTable1</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358705161854754E-2"/>
          <c:y val="7.407407407407407E-2"/>
          <c:w val="0.7228307086614173"/>
          <c:h val="0.79118839311752698"/>
        </c:manualLayout>
      </c:layout>
      <c:barChart>
        <c:barDir val="col"/>
        <c:grouping val="clustered"/>
        <c:varyColors val="0"/>
        <c:ser>
          <c:idx val="0"/>
          <c:order val="0"/>
          <c:tx>
            <c:strRef>
              <c:f>PivotTable1!$B$3:$B$4</c:f>
              <c:strCache>
                <c:ptCount val="1"/>
                <c:pt idx="0">
                  <c:v>45 or below</c:v>
                </c:pt>
              </c:strCache>
            </c:strRef>
          </c:tx>
          <c:spPr>
            <a:solidFill>
              <a:schemeClr val="accent1"/>
            </a:solidFill>
            <a:ln>
              <a:noFill/>
            </a:ln>
            <a:effectLst/>
          </c:spPr>
          <c:invertIfNegative val="0"/>
          <c:cat>
            <c:strRef>
              <c:f>PivotTable1!$A$5:$A$8</c:f>
              <c:strCache>
                <c:ptCount val="3"/>
                <c:pt idx="0">
                  <c:v>Human Resources</c:v>
                </c:pt>
                <c:pt idx="1">
                  <c:v>Research &amp; Development</c:v>
                </c:pt>
                <c:pt idx="2">
                  <c:v>Sales</c:v>
                </c:pt>
              </c:strCache>
            </c:strRef>
          </c:cat>
          <c:val>
            <c:numRef>
              <c:f>PivotTable1!$B$5:$B$8</c:f>
              <c:numCache>
                <c:formatCode>General</c:formatCode>
                <c:ptCount val="3"/>
                <c:pt idx="0">
                  <c:v>1</c:v>
                </c:pt>
                <c:pt idx="1">
                  <c:v>25</c:v>
                </c:pt>
                <c:pt idx="2">
                  <c:v>19</c:v>
                </c:pt>
              </c:numCache>
            </c:numRef>
          </c:val>
          <c:extLst>
            <c:ext xmlns:c16="http://schemas.microsoft.com/office/drawing/2014/chart" uri="{C3380CC4-5D6E-409C-BE32-E72D297353CC}">
              <c16:uniqueId val="{00000000-F69A-8543-A721-CC89E65BC23F}"/>
            </c:ext>
          </c:extLst>
        </c:ser>
        <c:ser>
          <c:idx val="1"/>
          <c:order val="1"/>
          <c:tx>
            <c:strRef>
              <c:f>PivotTable1!$C$3:$C$4</c:f>
              <c:strCache>
                <c:ptCount val="1"/>
                <c:pt idx="0">
                  <c:v>46-60</c:v>
                </c:pt>
              </c:strCache>
            </c:strRef>
          </c:tx>
          <c:spPr>
            <a:solidFill>
              <a:schemeClr val="accent2"/>
            </a:solidFill>
            <a:ln>
              <a:noFill/>
            </a:ln>
            <a:effectLst/>
          </c:spPr>
          <c:invertIfNegative val="0"/>
          <c:cat>
            <c:strRef>
              <c:f>PivotTable1!$A$5:$A$8</c:f>
              <c:strCache>
                <c:ptCount val="3"/>
                <c:pt idx="0">
                  <c:v>Human Resources</c:v>
                </c:pt>
                <c:pt idx="1">
                  <c:v>Research &amp; Development</c:v>
                </c:pt>
                <c:pt idx="2">
                  <c:v>Sales</c:v>
                </c:pt>
              </c:strCache>
            </c:strRef>
          </c:cat>
          <c:val>
            <c:numRef>
              <c:f>PivotTable1!$C$5:$C$8</c:f>
              <c:numCache>
                <c:formatCode>General</c:formatCode>
                <c:ptCount val="3"/>
                <c:pt idx="0">
                  <c:v>6</c:v>
                </c:pt>
                <c:pt idx="1">
                  <c:v>29</c:v>
                </c:pt>
                <c:pt idx="2">
                  <c:v>23</c:v>
                </c:pt>
              </c:numCache>
            </c:numRef>
          </c:val>
          <c:extLst>
            <c:ext xmlns:c16="http://schemas.microsoft.com/office/drawing/2014/chart" uri="{C3380CC4-5D6E-409C-BE32-E72D297353CC}">
              <c16:uniqueId val="{00000001-E7E4-404D-9F75-7EE418B09B58}"/>
            </c:ext>
          </c:extLst>
        </c:ser>
        <c:ser>
          <c:idx val="2"/>
          <c:order val="2"/>
          <c:tx>
            <c:strRef>
              <c:f>PivotTable1!$D$3:$D$4</c:f>
              <c:strCache>
                <c:ptCount val="1"/>
                <c:pt idx="0">
                  <c:v>61-75</c:v>
                </c:pt>
              </c:strCache>
            </c:strRef>
          </c:tx>
          <c:spPr>
            <a:solidFill>
              <a:schemeClr val="accent3"/>
            </a:solidFill>
            <a:ln>
              <a:noFill/>
            </a:ln>
            <a:effectLst/>
          </c:spPr>
          <c:invertIfNegative val="0"/>
          <c:cat>
            <c:strRef>
              <c:f>PivotTable1!$A$5:$A$8</c:f>
              <c:strCache>
                <c:ptCount val="3"/>
                <c:pt idx="0">
                  <c:v>Human Resources</c:v>
                </c:pt>
                <c:pt idx="1">
                  <c:v>Research &amp; Development</c:v>
                </c:pt>
                <c:pt idx="2">
                  <c:v>Sales</c:v>
                </c:pt>
              </c:strCache>
            </c:strRef>
          </c:cat>
          <c:val>
            <c:numRef>
              <c:f>PivotTable1!$D$5:$D$8</c:f>
              <c:numCache>
                <c:formatCode>General</c:formatCode>
                <c:ptCount val="3"/>
                <c:pt idx="0">
                  <c:v>3</c:v>
                </c:pt>
                <c:pt idx="1">
                  <c:v>29</c:v>
                </c:pt>
                <c:pt idx="2">
                  <c:v>21</c:v>
                </c:pt>
              </c:numCache>
            </c:numRef>
          </c:val>
          <c:extLst>
            <c:ext xmlns:c16="http://schemas.microsoft.com/office/drawing/2014/chart" uri="{C3380CC4-5D6E-409C-BE32-E72D297353CC}">
              <c16:uniqueId val="{00000002-E7E4-404D-9F75-7EE418B09B58}"/>
            </c:ext>
          </c:extLst>
        </c:ser>
        <c:ser>
          <c:idx val="3"/>
          <c:order val="3"/>
          <c:tx>
            <c:strRef>
              <c:f>PivotTable1!$E$3:$E$4</c:f>
              <c:strCache>
                <c:ptCount val="1"/>
                <c:pt idx="0">
                  <c:v>76-90</c:v>
                </c:pt>
              </c:strCache>
            </c:strRef>
          </c:tx>
          <c:spPr>
            <a:solidFill>
              <a:schemeClr val="accent4"/>
            </a:solidFill>
            <a:ln>
              <a:noFill/>
            </a:ln>
            <a:effectLst/>
          </c:spPr>
          <c:invertIfNegative val="0"/>
          <c:cat>
            <c:strRef>
              <c:f>PivotTable1!$A$5:$A$8</c:f>
              <c:strCache>
                <c:ptCount val="3"/>
                <c:pt idx="0">
                  <c:v>Human Resources</c:v>
                </c:pt>
                <c:pt idx="1">
                  <c:v>Research &amp; Development</c:v>
                </c:pt>
                <c:pt idx="2">
                  <c:v>Sales</c:v>
                </c:pt>
              </c:strCache>
            </c:strRef>
          </c:cat>
          <c:val>
            <c:numRef>
              <c:f>PivotTable1!$E$5:$E$8</c:f>
              <c:numCache>
                <c:formatCode>General</c:formatCode>
                <c:ptCount val="3"/>
                <c:pt idx="0">
                  <c:v>1</c:v>
                </c:pt>
                <c:pt idx="1">
                  <c:v>27</c:v>
                </c:pt>
                <c:pt idx="2">
                  <c:v>18</c:v>
                </c:pt>
              </c:numCache>
            </c:numRef>
          </c:val>
          <c:extLst>
            <c:ext xmlns:c16="http://schemas.microsoft.com/office/drawing/2014/chart" uri="{C3380CC4-5D6E-409C-BE32-E72D297353CC}">
              <c16:uniqueId val="{00000003-E7E4-404D-9F75-7EE418B09B58}"/>
            </c:ext>
          </c:extLst>
        </c:ser>
        <c:ser>
          <c:idx val="4"/>
          <c:order val="4"/>
          <c:tx>
            <c:strRef>
              <c:f>PivotTable1!$F$3:$F$4</c:f>
              <c:strCache>
                <c:ptCount val="1"/>
                <c:pt idx="0">
                  <c:v>91 or above</c:v>
                </c:pt>
              </c:strCache>
            </c:strRef>
          </c:tx>
          <c:spPr>
            <a:solidFill>
              <a:schemeClr val="accent5"/>
            </a:solidFill>
            <a:ln>
              <a:noFill/>
            </a:ln>
            <a:effectLst/>
          </c:spPr>
          <c:invertIfNegative val="0"/>
          <c:cat>
            <c:strRef>
              <c:f>PivotTable1!$A$5:$A$8</c:f>
              <c:strCache>
                <c:ptCount val="3"/>
                <c:pt idx="0">
                  <c:v>Human Resources</c:v>
                </c:pt>
                <c:pt idx="1">
                  <c:v>Research &amp; Development</c:v>
                </c:pt>
                <c:pt idx="2">
                  <c:v>Sales</c:v>
                </c:pt>
              </c:strCache>
            </c:strRef>
          </c:cat>
          <c:val>
            <c:numRef>
              <c:f>PivotTable1!$F$5:$F$8</c:f>
              <c:numCache>
                <c:formatCode>General</c:formatCode>
                <c:ptCount val="3"/>
                <c:pt idx="0">
                  <c:v>1</c:v>
                </c:pt>
                <c:pt idx="1">
                  <c:v>23</c:v>
                </c:pt>
                <c:pt idx="2">
                  <c:v>11</c:v>
                </c:pt>
              </c:numCache>
            </c:numRef>
          </c:val>
          <c:extLst>
            <c:ext xmlns:c16="http://schemas.microsoft.com/office/drawing/2014/chart" uri="{C3380CC4-5D6E-409C-BE32-E72D297353CC}">
              <c16:uniqueId val="{00000004-E7E4-404D-9F75-7EE418B09B58}"/>
            </c:ext>
          </c:extLst>
        </c:ser>
        <c:dLbls>
          <c:showLegendKey val="0"/>
          <c:showVal val="0"/>
          <c:showCatName val="0"/>
          <c:showSerName val="0"/>
          <c:showPercent val="0"/>
          <c:showBubbleSize val="0"/>
        </c:dLbls>
        <c:gapWidth val="219"/>
        <c:overlap val="-27"/>
        <c:axId val="1720967824"/>
        <c:axId val="1820199632"/>
      </c:barChart>
      <c:catAx>
        <c:axId val="172096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20199632"/>
        <c:crosses val="autoZero"/>
        <c:auto val="1"/>
        <c:lblAlgn val="ctr"/>
        <c:lblOffset val="100"/>
        <c:noMultiLvlLbl val="0"/>
      </c:catAx>
      <c:valAx>
        <c:axId val="1820199632"/>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sz="1400"/>
                  <a:t>Count of employees</a:t>
                </a:r>
              </a:p>
              <a:p>
                <a:pPr>
                  <a:defRPr sz="1400"/>
                </a:pPr>
                <a:endParaRPr lang="en-GB" sz="1400"/>
              </a:p>
            </c:rich>
          </c:tx>
          <c:layout>
            <c:manualLayout>
              <c:xMode val="edge"/>
              <c:yMode val="edge"/>
              <c:x val="0"/>
              <c:y val="0.30736538088485676"/>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72096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[Employee_Atrition_Analysis.xlsx]Employee Risk!PivotTable3</c:name>
    <c:fmtId val="9"/>
  </c:pivotSource>
  <c:chart>
    <c:autoTitleDeleted val="0"/>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365455288454"/>
          <c:y val="8.3450352583553711E-2"/>
          <c:w val="0.69033048993875767"/>
          <c:h val="0.79118839311752698"/>
        </c:manualLayout>
      </c:layout>
      <c:barChart>
        <c:barDir val="col"/>
        <c:grouping val="clustered"/>
        <c:varyColors val="0"/>
        <c:ser>
          <c:idx val="0"/>
          <c:order val="0"/>
          <c:tx>
            <c:strRef>
              <c:f>'Employee Risk'!$B$3:$B$4</c:f>
              <c:strCache>
                <c:ptCount val="1"/>
                <c:pt idx="0">
                  <c:v>High Risk</c:v>
                </c:pt>
              </c:strCache>
            </c:strRef>
          </c:tx>
          <c:spPr>
            <a:solidFill>
              <a:srgbClr val="FF0000"/>
            </a:solidFill>
            <a:ln>
              <a:noFill/>
            </a:ln>
            <a:effectLst/>
          </c:spPr>
          <c:invertIfNegative val="0"/>
          <c:cat>
            <c:strRef>
              <c:f>'Employee Risk'!$A$5:$A$8</c:f>
              <c:strCache>
                <c:ptCount val="3"/>
                <c:pt idx="0">
                  <c:v>Human Resources</c:v>
                </c:pt>
                <c:pt idx="1">
                  <c:v>Research &amp; Development</c:v>
                </c:pt>
                <c:pt idx="2">
                  <c:v>Sales</c:v>
                </c:pt>
              </c:strCache>
            </c:strRef>
          </c:cat>
          <c:val>
            <c:numRef>
              <c:f>'Employee Risk'!$B$5:$B$8</c:f>
              <c:numCache>
                <c:formatCode>General</c:formatCode>
                <c:ptCount val="3"/>
                <c:pt idx="0">
                  <c:v>1</c:v>
                </c:pt>
                <c:pt idx="1">
                  <c:v>8</c:v>
                </c:pt>
                <c:pt idx="2">
                  <c:v>3</c:v>
                </c:pt>
              </c:numCache>
            </c:numRef>
          </c:val>
          <c:extLst>
            <c:ext xmlns:c16="http://schemas.microsoft.com/office/drawing/2014/chart" uri="{C3380CC4-5D6E-409C-BE32-E72D297353CC}">
              <c16:uniqueId val="{00000000-5E9B-7B48-BF36-FB0F0F7DBBA8}"/>
            </c:ext>
          </c:extLst>
        </c:ser>
        <c:ser>
          <c:idx val="1"/>
          <c:order val="1"/>
          <c:tx>
            <c:strRef>
              <c:f>'Employee Risk'!$C$3:$C$4</c:f>
              <c:strCache>
                <c:ptCount val="1"/>
                <c:pt idx="0">
                  <c:v>Low Risk</c:v>
                </c:pt>
              </c:strCache>
            </c:strRef>
          </c:tx>
          <c:spPr>
            <a:solidFill>
              <a:srgbClr val="FFFF00"/>
            </a:solidFill>
            <a:ln>
              <a:noFill/>
            </a:ln>
            <a:effectLst/>
          </c:spPr>
          <c:invertIfNegative val="0"/>
          <c:cat>
            <c:strRef>
              <c:f>'Employee Risk'!$A$5:$A$8</c:f>
              <c:strCache>
                <c:ptCount val="3"/>
                <c:pt idx="0">
                  <c:v>Human Resources</c:v>
                </c:pt>
                <c:pt idx="1">
                  <c:v>Research &amp; Development</c:v>
                </c:pt>
                <c:pt idx="2">
                  <c:v>Sales</c:v>
                </c:pt>
              </c:strCache>
            </c:strRef>
          </c:cat>
          <c:val>
            <c:numRef>
              <c:f>'Employee Risk'!$C$5:$C$8</c:f>
              <c:numCache>
                <c:formatCode>General</c:formatCode>
                <c:ptCount val="3"/>
                <c:pt idx="0">
                  <c:v>13</c:v>
                </c:pt>
                <c:pt idx="1">
                  <c:v>161</c:v>
                </c:pt>
                <c:pt idx="2">
                  <c:v>83</c:v>
                </c:pt>
              </c:numCache>
            </c:numRef>
          </c:val>
          <c:extLst>
            <c:ext xmlns:c16="http://schemas.microsoft.com/office/drawing/2014/chart" uri="{C3380CC4-5D6E-409C-BE32-E72D297353CC}">
              <c16:uniqueId val="{00000003-5CC8-8A44-A0E3-10A4BD72DAE1}"/>
            </c:ext>
          </c:extLst>
        </c:ser>
        <c:ser>
          <c:idx val="2"/>
          <c:order val="2"/>
          <c:tx>
            <c:strRef>
              <c:f>'Employee Risk'!$D$3:$D$4</c:f>
              <c:strCache>
                <c:ptCount val="1"/>
                <c:pt idx="0">
                  <c:v>Medium Risk</c:v>
                </c:pt>
              </c:strCache>
            </c:strRef>
          </c:tx>
          <c:spPr>
            <a:solidFill>
              <a:schemeClr val="accent2"/>
            </a:solidFill>
            <a:ln>
              <a:noFill/>
            </a:ln>
            <a:effectLst/>
          </c:spPr>
          <c:invertIfNegative val="0"/>
          <c:cat>
            <c:strRef>
              <c:f>'Employee Risk'!$A$5:$A$8</c:f>
              <c:strCache>
                <c:ptCount val="3"/>
                <c:pt idx="0">
                  <c:v>Human Resources</c:v>
                </c:pt>
                <c:pt idx="1">
                  <c:v>Research &amp; Development</c:v>
                </c:pt>
                <c:pt idx="2">
                  <c:v>Sales</c:v>
                </c:pt>
              </c:strCache>
            </c:strRef>
          </c:cat>
          <c:val>
            <c:numRef>
              <c:f>'Employee Risk'!$D$5:$D$8</c:f>
              <c:numCache>
                <c:formatCode>General</c:formatCode>
                <c:ptCount val="3"/>
                <c:pt idx="0">
                  <c:v>7</c:v>
                </c:pt>
                <c:pt idx="1">
                  <c:v>135</c:v>
                </c:pt>
                <c:pt idx="2">
                  <c:v>41</c:v>
                </c:pt>
              </c:numCache>
            </c:numRef>
          </c:val>
          <c:extLst>
            <c:ext xmlns:c16="http://schemas.microsoft.com/office/drawing/2014/chart" uri="{C3380CC4-5D6E-409C-BE32-E72D297353CC}">
              <c16:uniqueId val="{00000004-5CC8-8A44-A0E3-10A4BD72DAE1}"/>
            </c:ext>
          </c:extLst>
        </c:ser>
        <c:ser>
          <c:idx val="3"/>
          <c:order val="3"/>
          <c:tx>
            <c:strRef>
              <c:f>'Employee Risk'!$E$3:$E$4</c:f>
              <c:strCache>
                <c:ptCount val="1"/>
                <c:pt idx="0">
                  <c:v>NA</c:v>
                </c:pt>
              </c:strCache>
            </c:strRef>
          </c:tx>
          <c:spPr>
            <a:solidFill>
              <a:schemeClr val="accent2">
                <a:lumMod val="60000"/>
              </a:schemeClr>
            </a:solidFill>
            <a:ln>
              <a:noFill/>
            </a:ln>
            <a:effectLst/>
          </c:spPr>
          <c:invertIfNegative val="0"/>
          <c:cat>
            <c:strRef>
              <c:f>'Employee Risk'!$A$5:$A$8</c:f>
              <c:strCache>
                <c:ptCount val="3"/>
                <c:pt idx="0">
                  <c:v>Human Resources</c:v>
                </c:pt>
                <c:pt idx="1">
                  <c:v>Research &amp; Development</c:v>
                </c:pt>
                <c:pt idx="2">
                  <c:v>Sales</c:v>
                </c:pt>
              </c:strCache>
            </c:strRef>
          </c:cat>
          <c:val>
            <c:numRef>
              <c:f>'Employee Risk'!$E$5:$E$8</c:f>
              <c:numCache>
                <c:formatCode>General</c:formatCode>
                <c:ptCount val="3"/>
                <c:pt idx="0">
                  <c:v>12</c:v>
                </c:pt>
                <c:pt idx="1">
                  <c:v>133</c:v>
                </c:pt>
                <c:pt idx="2">
                  <c:v>92</c:v>
                </c:pt>
              </c:numCache>
            </c:numRef>
          </c:val>
          <c:extLst>
            <c:ext xmlns:c16="http://schemas.microsoft.com/office/drawing/2014/chart" uri="{C3380CC4-5D6E-409C-BE32-E72D297353CC}">
              <c16:uniqueId val="{00000005-5CC8-8A44-A0E3-10A4BD72DAE1}"/>
            </c:ext>
          </c:extLst>
        </c:ser>
        <c:ser>
          <c:idx val="4"/>
          <c:order val="4"/>
          <c:tx>
            <c:strRef>
              <c:f>'Employee Risk'!$F$3:$F$4</c:f>
              <c:strCache>
                <c:ptCount val="1"/>
                <c:pt idx="0">
                  <c:v>Very Low Risk</c:v>
                </c:pt>
              </c:strCache>
            </c:strRef>
          </c:tx>
          <c:spPr>
            <a:solidFill>
              <a:schemeClr val="accent6"/>
            </a:solidFill>
            <a:ln>
              <a:noFill/>
            </a:ln>
            <a:effectLst/>
          </c:spPr>
          <c:invertIfNegative val="0"/>
          <c:cat>
            <c:strRef>
              <c:f>'Employee Risk'!$A$5:$A$8</c:f>
              <c:strCache>
                <c:ptCount val="3"/>
                <c:pt idx="0">
                  <c:v>Human Resources</c:v>
                </c:pt>
                <c:pt idx="1">
                  <c:v>Research &amp; Development</c:v>
                </c:pt>
                <c:pt idx="2">
                  <c:v>Sales</c:v>
                </c:pt>
              </c:strCache>
            </c:strRef>
          </c:cat>
          <c:val>
            <c:numRef>
              <c:f>'Employee Risk'!$F$5:$F$8</c:f>
              <c:numCache>
                <c:formatCode>General</c:formatCode>
                <c:ptCount val="3"/>
                <c:pt idx="0">
                  <c:v>30</c:v>
                </c:pt>
                <c:pt idx="1">
                  <c:v>524</c:v>
                </c:pt>
                <c:pt idx="2">
                  <c:v>227</c:v>
                </c:pt>
              </c:numCache>
            </c:numRef>
          </c:val>
          <c:extLst>
            <c:ext xmlns:c16="http://schemas.microsoft.com/office/drawing/2014/chart" uri="{C3380CC4-5D6E-409C-BE32-E72D297353CC}">
              <c16:uniqueId val="{00000006-5CC8-8A44-A0E3-10A4BD72DAE1}"/>
            </c:ext>
          </c:extLst>
        </c:ser>
        <c:dLbls>
          <c:showLegendKey val="0"/>
          <c:showVal val="0"/>
          <c:showCatName val="0"/>
          <c:showSerName val="0"/>
          <c:showPercent val="0"/>
          <c:showBubbleSize val="0"/>
        </c:dLbls>
        <c:gapWidth val="219"/>
        <c:overlap val="-27"/>
        <c:axId val="440675488"/>
        <c:axId val="441092592"/>
      </c:barChart>
      <c:catAx>
        <c:axId val="44067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41092592"/>
        <c:crosses val="autoZero"/>
        <c:auto val="1"/>
        <c:lblAlgn val="ctr"/>
        <c:lblOffset val="100"/>
        <c:noMultiLvlLbl val="0"/>
      </c:catAx>
      <c:valAx>
        <c:axId val="4410925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GB" sz="1200"/>
                  <a:t>Count</a:t>
                </a:r>
                <a:r>
                  <a:rPr lang="en-GB" sz="1200" baseline="0"/>
                  <a:t> of Employees</a:t>
                </a:r>
                <a:endParaRPr lang="en-GB"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5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487375</xdr:colOff>
      <xdr:row>10</xdr:row>
      <xdr:rowOff>44937</xdr:rowOff>
    </xdr:from>
    <xdr:to>
      <xdr:col>7</xdr:col>
      <xdr:colOff>54273</xdr:colOff>
      <xdr:row>26</xdr:row>
      <xdr:rowOff>43419</xdr:rowOff>
    </xdr:to>
    <xdr:graphicFrame macro="">
      <xdr:nvGraphicFramePr>
        <xdr:cNvPr id="2" name="Chart 1">
          <a:extLst>
            <a:ext uri="{FF2B5EF4-FFF2-40B4-BE49-F238E27FC236}">
              <a16:creationId xmlns:a16="http://schemas.microsoft.com/office/drawing/2014/main" id="{23BAE9AC-F1F7-B922-946A-F125120AF8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0.87688</cdr:x>
      <cdr:y>0.20899</cdr:y>
    </cdr:from>
    <cdr:to>
      <cdr:x>0.94906</cdr:x>
      <cdr:y>0.28123</cdr:y>
    </cdr:to>
    <cdr:sp macro="" textlink="">
      <cdr:nvSpPr>
        <cdr:cNvPr id="2" name="TextBox 1">
          <a:extLst xmlns:a="http://schemas.openxmlformats.org/drawingml/2006/main">
            <a:ext uri="{FF2B5EF4-FFF2-40B4-BE49-F238E27FC236}">
              <a16:creationId xmlns:a16="http://schemas.microsoft.com/office/drawing/2014/main" id="{CB3482C4-B926-8C3E-0370-EDCB5BDDF718}"/>
            </a:ext>
          </a:extLst>
        </cdr:cNvPr>
        <cdr:cNvSpPr txBox="1"/>
      </cdr:nvSpPr>
      <cdr:spPr>
        <a:xfrm xmlns:a="http://schemas.openxmlformats.org/drawingml/2006/main">
          <a:off x="4484078" y="628055"/>
          <a:ext cx="369060" cy="21709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GB" sz="1100" kern="1200"/>
        </a:p>
      </cdr:txBody>
    </cdr:sp>
  </cdr:relSizeAnchor>
  <cdr:relSizeAnchor xmlns:cdr="http://schemas.openxmlformats.org/drawingml/2006/chartDrawing">
    <cdr:from>
      <cdr:x>0.81745</cdr:x>
      <cdr:y>0.23066</cdr:y>
    </cdr:from>
    <cdr:to>
      <cdr:x>0.94481</cdr:x>
      <cdr:y>0.29567</cdr:y>
    </cdr:to>
    <cdr:sp macro="" textlink="">
      <cdr:nvSpPr>
        <cdr:cNvPr id="3" name="TextBox 2">
          <a:extLst xmlns:a="http://schemas.openxmlformats.org/drawingml/2006/main">
            <a:ext uri="{FF2B5EF4-FFF2-40B4-BE49-F238E27FC236}">
              <a16:creationId xmlns:a16="http://schemas.microsoft.com/office/drawing/2014/main" id="{CBCBEBE2-78CA-BFFD-CAC9-F44773F9712B}"/>
            </a:ext>
          </a:extLst>
        </cdr:cNvPr>
        <cdr:cNvSpPr txBox="1"/>
      </cdr:nvSpPr>
      <cdr:spPr>
        <a:xfrm xmlns:a="http://schemas.openxmlformats.org/drawingml/2006/main">
          <a:off x="4180147" y="693184"/>
          <a:ext cx="651280" cy="19538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000" kern="1200"/>
            <a:t>Salary</a:t>
          </a:r>
          <a:r>
            <a:rPr lang="en-GB" sz="1000" kern="1200" baseline="0"/>
            <a:t> Range</a:t>
          </a:r>
          <a:endParaRPr lang="en-GB" sz="1000" kern="1200"/>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298824</xdr:colOff>
      <xdr:row>18</xdr:row>
      <xdr:rowOff>68910</xdr:rowOff>
    </xdr:from>
    <xdr:to>
      <xdr:col>5</xdr:col>
      <xdr:colOff>529166</xdr:colOff>
      <xdr:row>38</xdr:row>
      <xdr:rowOff>23520</xdr:rowOff>
    </xdr:to>
    <xdr:graphicFrame macro="">
      <xdr:nvGraphicFramePr>
        <xdr:cNvPr id="2" name="Chart 1">
          <a:extLst>
            <a:ext uri="{FF2B5EF4-FFF2-40B4-BE49-F238E27FC236}">
              <a16:creationId xmlns:a16="http://schemas.microsoft.com/office/drawing/2014/main" id="{52D65834-7FC6-89DA-E3A8-97B82EBC8F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54041</xdr:colOff>
      <xdr:row>6</xdr:row>
      <xdr:rowOff>27021</xdr:rowOff>
    </xdr:from>
    <xdr:to>
      <xdr:col>3</xdr:col>
      <xdr:colOff>82826</xdr:colOff>
      <xdr:row>28</xdr:row>
      <xdr:rowOff>94577</xdr:rowOff>
    </xdr:to>
    <xdr:graphicFrame macro="">
      <xdr:nvGraphicFramePr>
        <xdr:cNvPr id="2" name="Chart 1">
          <a:extLst>
            <a:ext uri="{FF2B5EF4-FFF2-40B4-BE49-F238E27FC236}">
              <a16:creationId xmlns:a16="http://schemas.microsoft.com/office/drawing/2014/main" id="{85B7BE7B-4696-F04F-A2F1-FCBC779206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26728</xdr:colOff>
      <xdr:row>6</xdr:row>
      <xdr:rowOff>41413</xdr:rowOff>
    </xdr:from>
    <xdr:to>
      <xdr:col>6</xdr:col>
      <xdr:colOff>3395870</xdr:colOff>
      <xdr:row>28</xdr:row>
      <xdr:rowOff>65791</xdr:rowOff>
    </xdr:to>
    <xdr:graphicFrame macro="">
      <xdr:nvGraphicFramePr>
        <xdr:cNvPr id="3" name="Chart 2">
          <a:extLst>
            <a:ext uri="{FF2B5EF4-FFF2-40B4-BE49-F238E27FC236}">
              <a16:creationId xmlns:a16="http://schemas.microsoft.com/office/drawing/2014/main" id="{9A462046-B328-6D4E-B33A-ED403CB98B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2277719</xdr:colOff>
      <xdr:row>30</xdr:row>
      <xdr:rowOff>124239</xdr:rowOff>
    </xdr:from>
    <xdr:to>
      <xdr:col>6</xdr:col>
      <xdr:colOff>400326</xdr:colOff>
      <xdr:row>39</xdr:row>
      <xdr:rowOff>13804</xdr:rowOff>
    </xdr:to>
    <mc:AlternateContent xmlns:mc="http://schemas.openxmlformats.org/markup-compatibility/2006" xmlns:a14="http://schemas.microsoft.com/office/drawing/2010/main">
      <mc:Choice Requires="a14">
        <xdr:graphicFrame macro="">
          <xdr:nvGraphicFramePr>
            <xdr:cNvPr id="4" name="Department">
              <a:extLst>
                <a:ext uri="{FF2B5EF4-FFF2-40B4-BE49-F238E27FC236}">
                  <a16:creationId xmlns:a16="http://schemas.microsoft.com/office/drawing/2014/main" id="{EF842711-00A9-034B-B337-6A0C28BF75C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083262" y="6639891"/>
              <a:ext cx="2733260" cy="175315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773042</xdr:colOff>
      <xdr:row>30</xdr:row>
      <xdr:rowOff>179458</xdr:rowOff>
    </xdr:from>
    <xdr:to>
      <xdr:col>6</xdr:col>
      <xdr:colOff>3216412</xdr:colOff>
      <xdr:row>39</xdr:row>
      <xdr:rowOff>82827</xdr:rowOff>
    </xdr:to>
    <mc:AlternateContent xmlns:mc="http://schemas.openxmlformats.org/markup-compatibility/2006" xmlns:a14="http://schemas.microsoft.com/office/drawing/2010/main">
      <mc:Choice Requires="a14">
        <xdr:graphicFrame macro="">
          <xdr:nvGraphicFramePr>
            <xdr:cNvPr id="5" name="Salary Range">
              <a:extLst>
                <a:ext uri="{FF2B5EF4-FFF2-40B4-BE49-F238E27FC236}">
                  <a16:creationId xmlns:a16="http://schemas.microsoft.com/office/drawing/2014/main" id="{EED3B3D4-974F-1741-835C-0C7DB2522D08}"/>
                </a:ext>
              </a:extLst>
            </xdr:cNvPr>
            <xdr:cNvGraphicFramePr/>
          </xdr:nvGraphicFramePr>
          <xdr:xfrm>
            <a:off x="0" y="0"/>
            <a:ext cx="0" cy="0"/>
          </xdr:xfrm>
          <a:graphic>
            <a:graphicData uri="http://schemas.microsoft.com/office/drawing/2010/slicer">
              <sle:slicer xmlns:sle="http://schemas.microsoft.com/office/drawing/2010/slicer" name="Salary Range"/>
            </a:graphicData>
          </a:graphic>
        </xdr:graphicFrame>
      </mc:Choice>
      <mc:Fallback xmlns="">
        <xdr:sp macro="" textlink="">
          <xdr:nvSpPr>
            <xdr:cNvPr id="0" name=""/>
            <xdr:cNvSpPr>
              <a:spLocks noTextEdit="1"/>
            </xdr:cNvSpPr>
          </xdr:nvSpPr>
          <xdr:spPr>
            <a:xfrm>
              <a:off x="11995977" y="6695110"/>
              <a:ext cx="2443370" cy="176695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814456</xdr:colOff>
      <xdr:row>30</xdr:row>
      <xdr:rowOff>82827</xdr:rowOff>
    </xdr:from>
    <xdr:to>
      <xdr:col>4</xdr:col>
      <xdr:colOff>1980648</xdr:colOff>
      <xdr:row>39</xdr:row>
      <xdr:rowOff>13806</xdr:rowOff>
    </xdr:to>
    <mc:AlternateContent xmlns:mc="http://schemas.openxmlformats.org/markup-compatibility/2006" xmlns:a14="http://schemas.microsoft.com/office/drawing/2010/main">
      <mc:Choice Requires="a14">
        <xdr:graphicFrame macro="">
          <xdr:nvGraphicFramePr>
            <xdr:cNvPr id="6" name="Risk Level">
              <a:extLst>
                <a:ext uri="{FF2B5EF4-FFF2-40B4-BE49-F238E27FC236}">
                  <a16:creationId xmlns:a16="http://schemas.microsoft.com/office/drawing/2014/main" id="{55D8348D-6C1F-654B-B300-B5061BF3AD45}"/>
                </a:ext>
              </a:extLst>
            </xdr:cNvPr>
            <xdr:cNvGraphicFramePr/>
          </xdr:nvGraphicFramePr>
          <xdr:xfrm>
            <a:off x="0" y="0"/>
            <a:ext cx="0" cy="0"/>
          </xdr:xfrm>
          <a:graphic>
            <a:graphicData uri="http://schemas.microsoft.com/office/drawing/2010/slicer">
              <sle:slicer xmlns:sle="http://schemas.microsoft.com/office/drawing/2010/slicer" name="Risk Level"/>
            </a:graphicData>
          </a:graphic>
        </xdr:graphicFrame>
      </mc:Choice>
      <mc:Fallback xmlns="">
        <xdr:sp macro="" textlink="">
          <xdr:nvSpPr>
            <xdr:cNvPr id="0" name=""/>
            <xdr:cNvSpPr>
              <a:spLocks noTextEdit="1"/>
            </xdr:cNvSpPr>
          </xdr:nvSpPr>
          <xdr:spPr>
            <a:xfrm>
              <a:off x="6791739" y="6598479"/>
              <a:ext cx="1994452" cy="179456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30</xdr:row>
      <xdr:rowOff>165652</xdr:rowOff>
    </xdr:from>
    <xdr:to>
      <xdr:col>3</xdr:col>
      <xdr:colOff>635000</xdr:colOff>
      <xdr:row>39</xdr:row>
      <xdr:rowOff>27609</xdr:rowOff>
    </xdr:to>
    <xdr:sp macro="" textlink="">
      <xdr:nvSpPr>
        <xdr:cNvPr id="7" name="TextBox 6">
          <a:extLst>
            <a:ext uri="{FF2B5EF4-FFF2-40B4-BE49-F238E27FC236}">
              <a16:creationId xmlns:a16="http://schemas.microsoft.com/office/drawing/2014/main" id="{73BD612C-2CD7-1ADC-7197-D011B26D95FB}"/>
            </a:ext>
          </a:extLst>
        </xdr:cNvPr>
        <xdr:cNvSpPr txBox="1"/>
      </xdr:nvSpPr>
      <xdr:spPr>
        <a:xfrm>
          <a:off x="0" y="6681304"/>
          <a:ext cx="6612283" cy="172554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a:t>Takeaways:</a:t>
          </a:r>
        </a:p>
        <a:p>
          <a:br>
            <a:rPr lang="en-GB" sz="1600"/>
          </a:br>
          <a:r>
            <a:rPr lang="en-GB" sz="1600"/>
            <a:t>Attrition count</a:t>
          </a:r>
          <a:r>
            <a:rPr lang="en-GB" sz="1600" baseline="0"/>
            <a:t> is highest in the R&amp;D department and sales. Sales has the highest attrition percentage.  The salary band $ 46-60 per hour has the highest attrition. We also note that 16% of employees are at a substantial risk of attrition. </a:t>
          </a:r>
          <a:br>
            <a:rPr lang="en-GB" sz="1600" baseline="0"/>
          </a:br>
          <a:r>
            <a:rPr lang="en-GB" sz="1600" baseline="0"/>
            <a:t> </a:t>
          </a:r>
          <a:endParaRPr lang="en-GB" sz="1600"/>
        </a:p>
      </xdr:txBody>
    </xdr:sp>
    <xdr:clientData/>
  </xdr:twoCellAnchor>
</xdr:wsDr>
</file>

<file path=xl/drawings/drawing5.xml><?xml version="1.0" encoding="utf-8"?>
<c:userShapes xmlns:c="http://schemas.openxmlformats.org/drawingml/2006/chart">
  <cdr:relSizeAnchor xmlns:cdr="http://schemas.openxmlformats.org/drawingml/2006/chartDrawing">
    <cdr:from>
      <cdr:x>0.87688</cdr:x>
      <cdr:y>0.20899</cdr:y>
    </cdr:from>
    <cdr:to>
      <cdr:x>0.94906</cdr:x>
      <cdr:y>0.28123</cdr:y>
    </cdr:to>
    <cdr:sp macro="" textlink="">
      <cdr:nvSpPr>
        <cdr:cNvPr id="2" name="TextBox 1">
          <a:extLst xmlns:a="http://schemas.openxmlformats.org/drawingml/2006/main">
            <a:ext uri="{FF2B5EF4-FFF2-40B4-BE49-F238E27FC236}">
              <a16:creationId xmlns:a16="http://schemas.microsoft.com/office/drawing/2014/main" id="{CB3482C4-B926-8C3E-0370-EDCB5BDDF718}"/>
            </a:ext>
          </a:extLst>
        </cdr:cNvPr>
        <cdr:cNvSpPr txBox="1"/>
      </cdr:nvSpPr>
      <cdr:spPr>
        <a:xfrm xmlns:a="http://schemas.openxmlformats.org/drawingml/2006/main">
          <a:off x="4484078" y="628055"/>
          <a:ext cx="369060" cy="21709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GB" sz="1100" kern="1200"/>
        </a:p>
      </cdr:txBody>
    </cdr:sp>
  </cdr:relSizeAnchor>
  <cdr:relSizeAnchor xmlns:cdr="http://schemas.openxmlformats.org/drawingml/2006/chartDrawing">
    <cdr:from>
      <cdr:x>0.81745</cdr:x>
      <cdr:y>0.23066</cdr:y>
    </cdr:from>
    <cdr:to>
      <cdr:x>1</cdr:x>
      <cdr:y>0.31673</cdr:y>
    </cdr:to>
    <cdr:sp macro="" textlink="">
      <cdr:nvSpPr>
        <cdr:cNvPr id="3" name="TextBox 2">
          <a:extLst xmlns:a="http://schemas.openxmlformats.org/drawingml/2006/main">
            <a:ext uri="{FF2B5EF4-FFF2-40B4-BE49-F238E27FC236}">
              <a16:creationId xmlns:a16="http://schemas.microsoft.com/office/drawing/2014/main" id="{CBCBEBE2-78CA-BFFD-CAC9-F44773F9712B}"/>
            </a:ext>
          </a:extLst>
        </cdr:cNvPr>
        <cdr:cNvSpPr txBox="1"/>
      </cdr:nvSpPr>
      <cdr:spPr>
        <a:xfrm xmlns:a="http://schemas.openxmlformats.org/drawingml/2006/main">
          <a:off x="4826347" y="875698"/>
          <a:ext cx="1077802" cy="32674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200" kern="1200"/>
            <a:t>Salary</a:t>
          </a:r>
          <a:r>
            <a:rPr lang="en-GB" sz="1200" kern="1200" baseline="0"/>
            <a:t> Range</a:t>
          </a:r>
          <a:endParaRPr lang="en-GB" sz="12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chit Sharma" refreshedDate="46143.629859953704" createdVersion="8" refreshedVersion="8" minRefreshableVersion="3" recordCount="1470" xr:uid="{481283E9-B3C5-0647-9ADF-259C2546D9ED}">
  <cacheSource type="worksheet">
    <worksheetSource name="Table3"/>
  </cacheSource>
  <cacheFields count="16">
    <cacheField name="Age" numFmtId="0">
      <sharedItems containsSemiMixedTypes="0" containsString="0" containsNumber="1" containsInteger="1" minValue="18" maxValue="60"/>
    </cacheField>
    <cacheField name="Attrition" numFmtId="0">
      <sharedItems count="2">
        <s v="Yes"/>
        <s v="No"/>
      </sharedItems>
    </cacheField>
    <cacheField name="Department" numFmtId="0">
      <sharedItems count="3">
        <s v="Sales"/>
        <s v="Research &amp; Development"/>
        <s v="Human Resources"/>
      </sharedItems>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Role" numFmtId="0">
      <sharedItems/>
    </cacheField>
    <cacheField name="JobSatisfaction"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SinceLastPromotion" numFmtId="0">
      <sharedItems containsSemiMixedTypes="0" containsString="0" containsNumber="1" containsInteger="1" minValue="0" maxValue="15"/>
    </cacheField>
    <cacheField name="DistanceFromHome" numFmtId="0">
      <sharedItems containsSemiMixedTypes="0" containsString="0" containsNumber="1" containsInteger="1" minValue="1" maxValue="29"/>
    </cacheField>
    <cacheField name="Overtime" numFmtId="0">
      <sharedItems/>
    </cacheField>
    <cacheField name="WorkLifeBalance" numFmtId="0">
      <sharedItems containsSemiMixedTypes="0" containsString="0" containsNumber="1" containsInteger="1" minValue="1" maxValue="4"/>
    </cacheField>
    <cacheField name="AgeRange" numFmtId="0">
      <sharedItems/>
    </cacheField>
    <cacheField name="Salary Range" numFmtId="0">
      <sharedItems count="5">
        <s v="91 or above"/>
        <s v="61-75"/>
        <s v="46-60"/>
        <s v="45 or below"/>
        <s v="76-90"/>
      </sharedItems>
    </cacheField>
    <cacheField name="Flight Risk Score" numFmtId="0">
      <sharedItems containsMixedTypes="1" containsNumber="1" containsInteger="1" minValue="0" maxValue="85"/>
    </cacheField>
    <cacheField name="Risk Level" numFmtId="0">
      <sharedItems count="5">
        <s v="NA"/>
        <s v="Very Low Risk"/>
        <s v="Low Risk"/>
        <s v="Medium Risk"/>
        <s v="High Risk"/>
      </sharedItems>
    </cacheField>
  </cacheFields>
  <extLst>
    <ext xmlns:x14="http://schemas.microsoft.com/office/spreadsheetml/2009/9/main" uri="{725AE2AE-9491-48be-B2B4-4EB974FC3084}">
      <x14:pivotCacheDefinition pivotCacheId="28347057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chit Sharma" refreshedDate="46143.647779282408" createdVersion="8" refreshedVersion="8" minRefreshableVersion="3" recordCount="15" xr:uid="{5E591973-C018-DC4B-9193-6F5A177AC1F9}">
  <cacheSource type="worksheet">
    <worksheetSource name="Table6"/>
  </cacheSource>
  <cacheFields count="5">
    <cacheField name="Department" numFmtId="0">
      <sharedItems count="3">
        <s v="Sales"/>
        <s v="Human Resources"/>
        <s v="Research &amp; Development"/>
      </sharedItems>
    </cacheField>
    <cacheField name="Salary Range" numFmtId="0">
      <sharedItems count="5">
        <s v="45 or below"/>
        <s v="46-60"/>
        <s v="61-75"/>
        <s v="76-90"/>
        <s v="91 or above"/>
      </sharedItems>
    </cacheField>
    <cacheField name="Attition Yes" numFmtId="0">
      <sharedItems containsSemiMixedTypes="0" containsString="0" containsNumber="1" containsInteger="1" minValue="1" maxValue="29"/>
    </cacheField>
    <cacheField name="Total Size" numFmtId="0">
      <sharedItems containsSemiMixedTypes="0" containsString="0" containsNumber="1" containsInteger="1" minValue="9" maxValue="218"/>
    </cacheField>
    <cacheField name="Attrition Rate" numFmtId="9">
      <sharedItems containsSemiMixedTypes="0" containsString="0" containsNumber="1" minValue="6.6666666666666666E-2" maxValue="0.3333333333333333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2"/>
    <n v="94"/>
    <s v="Sales Executive"/>
    <n v="4"/>
    <n v="6"/>
    <n v="0"/>
    <n v="1"/>
    <s v="Yes"/>
    <n v="1"/>
    <s v="41-50"/>
    <x v="0"/>
    <s v="NA"/>
    <x v="0"/>
  </r>
  <r>
    <n v="49"/>
    <x v="1"/>
    <x v="1"/>
    <n v="3"/>
    <n v="61"/>
    <s v="Research Scientist"/>
    <n v="2"/>
    <n v="10"/>
    <n v="1"/>
    <n v="8"/>
    <s v="No"/>
    <n v="3"/>
    <s v="41-50"/>
    <x v="1"/>
    <n v="15"/>
    <x v="1"/>
  </r>
  <r>
    <n v="37"/>
    <x v="0"/>
    <x v="1"/>
    <n v="4"/>
    <n v="92"/>
    <s v="Laboratory Technician"/>
    <n v="3"/>
    <n v="0"/>
    <n v="0"/>
    <n v="2"/>
    <s v="Yes"/>
    <n v="3"/>
    <s v="31-40"/>
    <x v="0"/>
    <s v="NA"/>
    <x v="0"/>
  </r>
  <r>
    <n v="33"/>
    <x v="1"/>
    <x v="1"/>
    <n v="4"/>
    <n v="56"/>
    <s v="Research Scientist"/>
    <n v="3"/>
    <n v="8"/>
    <n v="3"/>
    <n v="3"/>
    <s v="Yes"/>
    <n v="3"/>
    <s v="31-40"/>
    <x v="2"/>
    <n v="35"/>
    <x v="2"/>
  </r>
  <r>
    <n v="27"/>
    <x v="1"/>
    <x v="1"/>
    <n v="1"/>
    <n v="40"/>
    <s v="Laboratory Technician"/>
    <n v="2"/>
    <n v="2"/>
    <n v="2"/>
    <n v="2"/>
    <s v="No"/>
    <n v="3"/>
    <s v="18-30"/>
    <x v="3"/>
    <n v="30"/>
    <x v="2"/>
  </r>
  <r>
    <n v="32"/>
    <x v="1"/>
    <x v="1"/>
    <n v="4"/>
    <n v="79"/>
    <s v="Laboratory Technician"/>
    <n v="4"/>
    <n v="7"/>
    <n v="3"/>
    <n v="2"/>
    <s v="No"/>
    <n v="2"/>
    <s v="31-40"/>
    <x v="4"/>
    <n v="0"/>
    <x v="1"/>
  </r>
  <r>
    <n v="59"/>
    <x v="1"/>
    <x v="1"/>
    <n v="3"/>
    <n v="81"/>
    <s v="Laboratory Technician"/>
    <n v="1"/>
    <n v="1"/>
    <n v="0"/>
    <n v="3"/>
    <s v="Yes"/>
    <n v="2"/>
    <s v="51+"/>
    <x v="4"/>
    <n v="50"/>
    <x v="3"/>
  </r>
  <r>
    <n v="30"/>
    <x v="1"/>
    <x v="1"/>
    <n v="4"/>
    <n v="67"/>
    <s v="Laboratory Technician"/>
    <n v="3"/>
    <n v="1"/>
    <n v="0"/>
    <n v="24"/>
    <s v="No"/>
    <n v="3"/>
    <s v="18-30"/>
    <x v="1"/>
    <n v="0"/>
    <x v="1"/>
  </r>
  <r>
    <n v="38"/>
    <x v="1"/>
    <x v="1"/>
    <n v="4"/>
    <n v="44"/>
    <s v="Manufacturing Director"/>
    <n v="3"/>
    <n v="9"/>
    <n v="1"/>
    <n v="23"/>
    <s v="No"/>
    <n v="3"/>
    <s v="31-40"/>
    <x v="3"/>
    <n v="0"/>
    <x v="1"/>
  </r>
  <r>
    <n v="36"/>
    <x v="1"/>
    <x v="1"/>
    <n v="3"/>
    <n v="94"/>
    <s v="Healthcare Representative"/>
    <n v="3"/>
    <n v="7"/>
    <n v="7"/>
    <n v="27"/>
    <s v="No"/>
    <n v="2"/>
    <s v="31-40"/>
    <x v="0"/>
    <n v="0"/>
    <x v="1"/>
  </r>
  <r>
    <n v="35"/>
    <x v="1"/>
    <x v="1"/>
    <n v="1"/>
    <n v="84"/>
    <s v="Laboratory Technician"/>
    <n v="2"/>
    <n v="5"/>
    <n v="0"/>
    <n v="16"/>
    <s v="No"/>
    <n v="3"/>
    <s v="31-40"/>
    <x v="4"/>
    <n v="30"/>
    <x v="2"/>
  </r>
  <r>
    <n v="29"/>
    <x v="1"/>
    <x v="1"/>
    <n v="4"/>
    <n v="49"/>
    <s v="Laboratory Technician"/>
    <n v="3"/>
    <n v="9"/>
    <n v="0"/>
    <n v="15"/>
    <s v="Yes"/>
    <n v="3"/>
    <s v="18-30"/>
    <x v="2"/>
    <n v="35"/>
    <x v="2"/>
  </r>
  <r>
    <n v="31"/>
    <x v="1"/>
    <x v="1"/>
    <n v="1"/>
    <n v="31"/>
    <s v="Research Scientist"/>
    <n v="3"/>
    <n v="5"/>
    <n v="4"/>
    <n v="26"/>
    <s v="No"/>
    <n v="2"/>
    <s v="31-40"/>
    <x v="3"/>
    <n v="15"/>
    <x v="1"/>
  </r>
  <r>
    <n v="34"/>
    <x v="1"/>
    <x v="1"/>
    <n v="2"/>
    <n v="93"/>
    <s v="Laboratory Technician"/>
    <n v="4"/>
    <n v="2"/>
    <n v="1"/>
    <n v="19"/>
    <s v="No"/>
    <n v="3"/>
    <s v="31-40"/>
    <x v="0"/>
    <n v="15"/>
    <x v="1"/>
  </r>
  <r>
    <n v="28"/>
    <x v="0"/>
    <x v="1"/>
    <n v="3"/>
    <n v="50"/>
    <s v="Laboratory Technician"/>
    <n v="3"/>
    <n v="4"/>
    <n v="0"/>
    <n v="24"/>
    <s v="Yes"/>
    <n v="3"/>
    <s v="18-30"/>
    <x v="2"/>
    <s v="NA"/>
    <x v="0"/>
  </r>
  <r>
    <n v="29"/>
    <x v="1"/>
    <x v="1"/>
    <n v="2"/>
    <n v="51"/>
    <s v="Manufacturing Director"/>
    <n v="1"/>
    <n v="10"/>
    <n v="8"/>
    <n v="21"/>
    <s v="No"/>
    <n v="3"/>
    <s v="18-30"/>
    <x v="2"/>
    <n v="30"/>
    <x v="2"/>
  </r>
  <r>
    <n v="32"/>
    <x v="1"/>
    <x v="1"/>
    <n v="1"/>
    <n v="80"/>
    <s v="Research Scientist"/>
    <n v="2"/>
    <n v="6"/>
    <n v="0"/>
    <n v="5"/>
    <s v="Yes"/>
    <n v="2"/>
    <s v="31-40"/>
    <x v="4"/>
    <n v="65"/>
    <x v="3"/>
  </r>
  <r>
    <n v="22"/>
    <x v="1"/>
    <x v="1"/>
    <n v="4"/>
    <n v="96"/>
    <s v="Laboratory Technician"/>
    <n v="4"/>
    <n v="1"/>
    <n v="0"/>
    <n v="16"/>
    <s v="Yes"/>
    <n v="2"/>
    <s v="18-30"/>
    <x v="0"/>
    <n v="35"/>
    <x v="2"/>
  </r>
  <r>
    <n v="53"/>
    <x v="1"/>
    <x v="0"/>
    <n v="1"/>
    <n v="78"/>
    <s v="Manager"/>
    <n v="4"/>
    <n v="25"/>
    <n v="3"/>
    <n v="2"/>
    <s v="No"/>
    <n v="3"/>
    <s v="51+"/>
    <x v="4"/>
    <n v="15"/>
    <x v="1"/>
  </r>
  <r>
    <n v="38"/>
    <x v="1"/>
    <x v="1"/>
    <n v="4"/>
    <n v="45"/>
    <s v="Research Scientist"/>
    <n v="4"/>
    <n v="3"/>
    <n v="1"/>
    <n v="2"/>
    <s v="Yes"/>
    <n v="3"/>
    <s v="31-40"/>
    <x v="3"/>
    <n v="35"/>
    <x v="2"/>
  </r>
  <r>
    <n v="24"/>
    <x v="1"/>
    <x v="1"/>
    <n v="1"/>
    <n v="96"/>
    <s v="Manufacturing Director"/>
    <n v="3"/>
    <n v="4"/>
    <n v="1"/>
    <n v="11"/>
    <s v="No"/>
    <n v="2"/>
    <s v="18-30"/>
    <x v="0"/>
    <n v="15"/>
    <x v="1"/>
  </r>
  <r>
    <n v="36"/>
    <x v="0"/>
    <x v="0"/>
    <n v="3"/>
    <n v="82"/>
    <s v="Sales Representative"/>
    <n v="1"/>
    <n v="5"/>
    <n v="0"/>
    <n v="9"/>
    <s v="No"/>
    <n v="3"/>
    <s v="31-40"/>
    <x v="4"/>
    <s v="NA"/>
    <x v="0"/>
  </r>
  <r>
    <n v="34"/>
    <x v="1"/>
    <x v="1"/>
    <n v="1"/>
    <n v="53"/>
    <s v="Research Director"/>
    <n v="2"/>
    <n v="12"/>
    <n v="2"/>
    <n v="7"/>
    <s v="No"/>
    <n v="3"/>
    <s v="31-40"/>
    <x v="2"/>
    <n v="30"/>
    <x v="2"/>
  </r>
  <r>
    <n v="21"/>
    <x v="1"/>
    <x v="1"/>
    <n v="3"/>
    <n v="96"/>
    <s v="Research Scientist"/>
    <n v="4"/>
    <n v="0"/>
    <n v="0"/>
    <n v="15"/>
    <s v="No"/>
    <n v="3"/>
    <s v="18-30"/>
    <x v="0"/>
    <n v="0"/>
    <x v="1"/>
  </r>
  <r>
    <n v="34"/>
    <x v="0"/>
    <x v="1"/>
    <n v="2"/>
    <n v="83"/>
    <s v="Research Scientist"/>
    <n v="1"/>
    <n v="4"/>
    <n v="1"/>
    <n v="6"/>
    <s v="No"/>
    <n v="3"/>
    <s v="31-40"/>
    <x v="4"/>
    <s v="NA"/>
    <x v="0"/>
  </r>
  <r>
    <n v="53"/>
    <x v="1"/>
    <x v="1"/>
    <n v="3"/>
    <n v="58"/>
    <s v="Manager"/>
    <n v="3"/>
    <n v="14"/>
    <n v="4"/>
    <n v="5"/>
    <s v="No"/>
    <n v="2"/>
    <s v="51+"/>
    <x v="2"/>
    <n v="0"/>
    <x v="1"/>
  </r>
  <r>
    <n v="32"/>
    <x v="0"/>
    <x v="1"/>
    <n v="2"/>
    <n v="72"/>
    <s v="Research Scientist"/>
    <n v="1"/>
    <n v="10"/>
    <n v="6"/>
    <n v="16"/>
    <s v="Yes"/>
    <n v="3"/>
    <s v="31-40"/>
    <x v="1"/>
    <s v="NA"/>
    <x v="0"/>
  </r>
  <r>
    <n v="42"/>
    <x v="1"/>
    <x v="0"/>
    <n v="3"/>
    <n v="48"/>
    <s v="Sales Executive"/>
    <n v="2"/>
    <n v="9"/>
    <n v="4"/>
    <n v="8"/>
    <s v="No"/>
    <n v="3"/>
    <s v="41-50"/>
    <x v="2"/>
    <n v="15"/>
    <x v="1"/>
  </r>
  <r>
    <n v="44"/>
    <x v="1"/>
    <x v="1"/>
    <n v="1"/>
    <n v="42"/>
    <s v="Healthcare Representative"/>
    <n v="4"/>
    <n v="22"/>
    <n v="5"/>
    <n v="7"/>
    <s v="No"/>
    <n v="3"/>
    <s v="41-50"/>
    <x v="3"/>
    <n v="15"/>
    <x v="1"/>
  </r>
  <r>
    <n v="46"/>
    <x v="1"/>
    <x v="0"/>
    <n v="2"/>
    <n v="83"/>
    <s v="Manager"/>
    <n v="1"/>
    <n v="2"/>
    <n v="2"/>
    <n v="2"/>
    <s v="No"/>
    <n v="2"/>
    <s v="41-50"/>
    <x v="4"/>
    <n v="30"/>
    <x v="2"/>
  </r>
  <r>
    <n v="33"/>
    <x v="1"/>
    <x v="1"/>
    <n v="3"/>
    <n v="78"/>
    <s v="Laboratory Technician"/>
    <n v="4"/>
    <n v="1"/>
    <n v="0"/>
    <n v="2"/>
    <s v="No"/>
    <n v="3"/>
    <s v="31-40"/>
    <x v="4"/>
    <n v="0"/>
    <x v="1"/>
  </r>
  <r>
    <n v="44"/>
    <x v="1"/>
    <x v="1"/>
    <n v="4"/>
    <n v="41"/>
    <s v="Healthcare Representative"/>
    <n v="4"/>
    <n v="4"/>
    <n v="1"/>
    <n v="10"/>
    <s v="Yes"/>
    <n v="4"/>
    <s v="41-50"/>
    <x v="3"/>
    <n v="35"/>
    <x v="2"/>
  </r>
  <r>
    <n v="30"/>
    <x v="1"/>
    <x v="1"/>
    <n v="4"/>
    <n v="83"/>
    <s v="Laboratory Technician"/>
    <n v="3"/>
    <n v="10"/>
    <n v="1"/>
    <n v="9"/>
    <s v="No"/>
    <n v="3"/>
    <s v="18-30"/>
    <x v="4"/>
    <n v="0"/>
    <x v="1"/>
  </r>
  <r>
    <n v="39"/>
    <x v="0"/>
    <x v="0"/>
    <n v="4"/>
    <n v="56"/>
    <s v="Sales Representative"/>
    <n v="4"/>
    <n v="1"/>
    <n v="0"/>
    <n v="5"/>
    <s v="No"/>
    <n v="4"/>
    <s v="31-40"/>
    <x v="2"/>
    <s v="NA"/>
    <x v="0"/>
  </r>
  <r>
    <n v="24"/>
    <x v="0"/>
    <x v="1"/>
    <n v="2"/>
    <n v="61"/>
    <s v="Research Scientist"/>
    <n v="4"/>
    <n v="2"/>
    <n v="2"/>
    <n v="1"/>
    <s v="Yes"/>
    <n v="2"/>
    <s v="18-30"/>
    <x v="1"/>
    <s v="NA"/>
    <x v="0"/>
  </r>
  <r>
    <n v="43"/>
    <x v="1"/>
    <x v="1"/>
    <n v="4"/>
    <n v="72"/>
    <s v="Research Scientist"/>
    <n v="3"/>
    <n v="5"/>
    <n v="1"/>
    <n v="2"/>
    <s v="No"/>
    <n v="2"/>
    <s v="41-50"/>
    <x v="1"/>
    <n v="0"/>
    <x v="1"/>
  </r>
  <r>
    <n v="50"/>
    <x v="0"/>
    <x v="0"/>
    <n v="1"/>
    <n v="86"/>
    <s v="Sales Representative"/>
    <n v="3"/>
    <n v="3"/>
    <n v="0"/>
    <n v="3"/>
    <s v="Yes"/>
    <n v="3"/>
    <s v="41-50"/>
    <x v="4"/>
    <s v="NA"/>
    <x v="0"/>
  </r>
  <r>
    <n v="35"/>
    <x v="1"/>
    <x v="0"/>
    <n v="4"/>
    <n v="97"/>
    <s v="Sales Representative"/>
    <n v="4"/>
    <n v="2"/>
    <n v="2"/>
    <n v="2"/>
    <s v="No"/>
    <n v="3"/>
    <s v="31-40"/>
    <x v="0"/>
    <n v="0"/>
    <x v="1"/>
  </r>
  <r>
    <n v="36"/>
    <x v="1"/>
    <x v="1"/>
    <n v="2"/>
    <n v="82"/>
    <s v="Research Scientist"/>
    <n v="1"/>
    <n v="1"/>
    <n v="0"/>
    <n v="5"/>
    <s v="Yes"/>
    <n v="4"/>
    <s v="31-40"/>
    <x v="4"/>
    <n v="65"/>
    <x v="3"/>
  </r>
  <r>
    <n v="33"/>
    <x v="1"/>
    <x v="0"/>
    <n v="3"/>
    <n v="42"/>
    <s v="Sales Executive"/>
    <n v="1"/>
    <n v="5"/>
    <n v="1"/>
    <n v="1"/>
    <s v="No"/>
    <n v="3"/>
    <s v="31-40"/>
    <x v="3"/>
    <n v="15"/>
    <x v="1"/>
  </r>
  <r>
    <n v="35"/>
    <x v="1"/>
    <x v="1"/>
    <n v="3"/>
    <n v="75"/>
    <s v="Laboratory Technician"/>
    <n v="4"/>
    <n v="1"/>
    <n v="0"/>
    <n v="4"/>
    <s v="No"/>
    <n v="3"/>
    <s v="31-40"/>
    <x v="1"/>
    <n v="0"/>
    <x v="1"/>
  </r>
  <r>
    <n v="27"/>
    <x v="1"/>
    <x v="1"/>
    <n v="4"/>
    <n v="33"/>
    <s v="Laboratory Technician"/>
    <n v="1"/>
    <n v="1"/>
    <n v="0"/>
    <n v="2"/>
    <s v="No"/>
    <n v="3"/>
    <s v="18-30"/>
    <x v="3"/>
    <n v="15"/>
    <x v="1"/>
  </r>
  <r>
    <n v="26"/>
    <x v="0"/>
    <x v="1"/>
    <n v="1"/>
    <n v="48"/>
    <s v="Laboratory Technician"/>
    <n v="3"/>
    <n v="1"/>
    <n v="0"/>
    <n v="25"/>
    <s v="No"/>
    <n v="2"/>
    <s v="18-30"/>
    <x v="2"/>
    <s v="NA"/>
    <x v="0"/>
  </r>
  <r>
    <n v="27"/>
    <x v="1"/>
    <x v="0"/>
    <n v="4"/>
    <n v="37"/>
    <s v="Sales Executive"/>
    <n v="3"/>
    <n v="9"/>
    <n v="1"/>
    <n v="8"/>
    <s v="No"/>
    <n v="3"/>
    <s v="18-30"/>
    <x v="3"/>
    <n v="0"/>
    <x v="1"/>
  </r>
  <r>
    <n v="30"/>
    <x v="1"/>
    <x v="1"/>
    <n v="3"/>
    <n v="58"/>
    <s v="Laboratory Technician"/>
    <n v="4"/>
    <n v="12"/>
    <n v="3"/>
    <n v="1"/>
    <s v="No"/>
    <n v="3"/>
    <s v="18-30"/>
    <x v="2"/>
    <n v="0"/>
    <x v="1"/>
  </r>
  <r>
    <n v="41"/>
    <x v="0"/>
    <x v="1"/>
    <n v="2"/>
    <n v="49"/>
    <s v="Research Director"/>
    <n v="3"/>
    <n v="22"/>
    <n v="15"/>
    <n v="12"/>
    <s v="No"/>
    <n v="3"/>
    <s v="41-50"/>
    <x v="2"/>
    <s v="NA"/>
    <x v="0"/>
  </r>
  <r>
    <n v="34"/>
    <x v="1"/>
    <x v="0"/>
    <n v="2"/>
    <n v="72"/>
    <s v="Sales Executive"/>
    <n v="3"/>
    <n v="9"/>
    <n v="8"/>
    <n v="23"/>
    <s v="No"/>
    <n v="3"/>
    <s v="31-40"/>
    <x v="1"/>
    <n v="15"/>
    <x v="1"/>
  </r>
  <r>
    <n v="37"/>
    <x v="1"/>
    <x v="1"/>
    <n v="2"/>
    <n v="73"/>
    <s v="Research Scientist"/>
    <n v="2"/>
    <n v="1"/>
    <n v="0"/>
    <n v="19"/>
    <s v="No"/>
    <n v="3"/>
    <s v="31-40"/>
    <x v="1"/>
    <n v="30"/>
    <x v="2"/>
  </r>
  <r>
    <n v="46"/>
    <x v="1"/>
    <x v="0"/>
    <n v="1"/>
    <n v="98"/>
    <s v="Sales Executive"/>
    <n v="4"/>
    <n v="9"/>
    <n v="0"/>
    <n v="5"/>
    <s v="Yes"/>
    <n v="3"/>
    <s v="41-50"/>
    <x v="0"/>
    <n v="50"/>
    <x v="3"/>
  </r>
  <r>
    <n v="35"/>
    <x v="1"/>
    <x v="1"/>
    <n v="4"/>
    <n v="36"/>
    <s v="Laboratory Technician"/>
    <n v="4"/>
    <n v="1"/>
    <n v="0"/>
    <n v="8"/>
    <s v="No"/>
    <n v="3"/>
    <s v="31-40"/>
    <x v="3"/>
    <n v="0"/>
    <x v="1"/>
  </r>
  <r>
    <n v="48"/>
    <x v="0"/>
    <x v="1"/>
    <n v="1"/>
    <n v="98"/>
    <s v="Laboratory Technician"/>
    <n v="3"/>
    <n v="1"/>
    <n v="0"/>
    <n v="1"/>
    <s v="Yes"/>
    <n v="3"/>
    <s v="41-50"/>
    <x v="0"/>
    <s v="NA"/>
    <x v="0"/>
  </r>
  <r>
    <n v="28"/>
    <x v="0"/>
    <x v="1"/>
    <n v="3"/>
    <n v="50"/>
    <s v="Laboratory Technician"/>
    <n v="3"/>
    <n v="2"/>
    <n v="2"/>
    <n v="5"/>
    <s v="Yes"/>
    <n v="2"/>
    <s v="18-30"/>
    <x v="2"/>
    <s v="NA"/>
    <x v="0"/>
  </r>
  <r>
    <n v="44"/>
    <x v="1"/>
    <x v="0"/>
    <n v="2"/>
    <n v="75"/>
    <s v="Sales Executive"/>
    <n v="1"/>
    <n v="4"/>
    <n v="1"/>
    <n v="1"/>
    <s v="Yes"/>
    <n v="2"/>
    <s v="41-50"/>
    <x v="1"/>
    <n v="65"/>
    <x v="3"/>
  </r>
  <r>
    <n v="35"/>
    <x v="1"/>
    <x v="1"/>
    <n v="3"/>
    <n v="79"/>
    <s v="Healthcare Representative"/>
    <n v="1"/>
    <n v="4"/>
    <n v="2"/>
    <n v="11"/>
    <s v="Yes"/>
    <n v="3"/>
    <s v="31-40"/>
    <x v="4"/>
    <n v="50"/>
    <x v="3"/>
  </r>
  <r>
    <n v="26"/>
    <x v="1"/>
    <x v="0"/>
    <n v="3"/>
    <n v="47"/>
    <s v="Sales Executive"/>
    <n v="4"/>
    <n v="2"/>
    <n v="0"/>
    <n v="23"/>
    <s v="Yes"/>
    <n v="2"/>
    <s v="18-30"/>
    <x v="2"/>
    <n v="35"/>
    <x v="2"/>
  </r>
  <r>
    <n v="33"/>
    <x v="1"/>
    <x v="1"/>
    <n v="1"/>
    <n v="98"/>
    <s v="Research Director"/>
    <n v="4"/>
    <n v="15"/>
    <n v="8"/>
    <n v="1"/>
    <s v="Yes"/>
    <n v="3"/>
    <s v="31-40"/>
    <x v="0"/>
    <n v="50"/>
    <x v="3"/>
  </r>
  <r>
    <n v="35"/>
    <x v="1"/>
    <x v="0"/>
    <n v="2"/>
    <n v="71"/>
    <s v="Sales Executive"/>
    <n v="1"/>
    <n v="9"/>
    <n v="1"/>
    <n v="18"/>
    <s v="No"/>
    <n v="2"/>
    <s v="31-40"/>
    <x v="1"/>
    <n v="30"/>
    <x v="2"/>
  </r>
  <r>
    <n v="35"/>
    <x v="1"/>
    <x v="1"/>
    <n v="3"/>
    <n v="30"/>
    <s v="Laboratory Technician"/>
    <n v="1"/>
    <n v="2"/>
    <n v="2"/>
    <n v="23"/>
    <s v="Yes"/>
    <n v="3"/>
    <s v="31-40"/>
    <x v="3"/>
    <n v="50"/>
    <x v="3"/>
  </r>
  <r>
    <n v="31"/>
    <x v="1"/>
    <x v="1"/>
    <n v="4"/>
    <n v="48"/>
    <s v="Laboratory Technician"/>
    <n v="4"/>
    <n v="7"/>
    <n v="1"/>
    <n v="7"/>
    <s v="No"/>
    <n v="2"/>
    <s v="31-40"/>
    <x v="2"/>
    <n v="0"/>
    <x v="1"/>
  </r>
  <r>
    <n v="37"/>
    <x v="1"/>
    <x v="1"/>
    <n v="1"/>
    <n v="51"/>
    <s v="Manufacturing Director"/>
    <n v="3"/>
    <n v="7"/>
    <n v="0"/>
    <n v="1"/>
    <s v="No"/>
    <n v="4"/>
    <s v="31-40"/>
    <x v="2"/>
    <n v="15"/>
    <x v="1"/>
  </r>
  <r>
    <n v="32"/>
    <x v="1"/>
    <x v="1"/>
    <n v="1"/>
    <n v="33"/>
    <s v="Manufacturing Director"/>
    <n v="4"/>
    <n v="9"/>
    <n v="7"/>
    <n v="1"/>
    <s v="Yes"/>
    <n v="3"/>
    <s v="31-40"/>
    <x v="3"/>
    <n v="50"/>
    <x v="3"/>
  </r>
  <r>
    <n v="38"/>
    <x v="1"/>
    <x v="1"/>
    <n v="4"/>
    <n v="50"/>
    <s v="Laboratory Technician"/>
    <n v="4"/>
    <n v="10"/>
    <n v="9"/>
    <n v="29"/>
    <s v="No"/>
    <n v="3"/>
    <s v="31-40"/>
    <x v="2"/>
    <n v="0"/>
    <x v="1"/>
  </r>
  <r>
    <n v="50"/>
    <x v="1"/>
    <x v="1"/>
    <n v="2"/>
    <n v="43"/>
    <s v="Research Director"/>
    <n v="3"/>
    <n v="27"/>
    <n v="13"/>
    <n v="7"/>
    <s v="Yes"/>
    <n v="2"/>
    <s v="41-50"/>
    <x v="3"/>
    <n v="50"/>
    <x v="3"/>
  </r>
  <r>
    <n v="59"/>
    <x v="1"/>
    <x v="0"/>
    <n v="1"/>
    <n v="99"/>
    <s v="Sales Executive"/>
    <n v="1"/>
    <n v="21"/>
    <n v="7"/>
    <n v="25"/>
    <s v="No"/>
    <n v="2"/>
    <s v="51+"/>
    <x v="0"/>
    <n v="30"/>
    <x v="2"/>
  </r>
  <r>
    <n v="36"/>
    <x v="1"/>
    <x v="1"/>
    <n v="3"/>
    <n v="59"/>
    <s v="Healthcare Representative"/>
    <n v="3"/>
    <n v="17"/>
    <n v="12"/>
    <n v="8"/>
    <s v="No"/>
    <n v="3"/>
    <s v="31-40"/>
    <x v="2"/>
    <n v="0"/>
    <x v="1"/>
  </r>
  <r>
    <n v="55"/>
    <x v="1"/>
    <x v="1"/>
    <n v="4"/>
    <n v="33"/>
    <s v="Manager"/>
    <n v="3"/>
    <n v="5"/>
    <n v="0"/>
    <n v="8"/>
    <s v="Yes"/>
    <n v="3"/>
    <s v="51+"/>
    <x v="3"/>
    <n v="35"/>
    <x v="2"/>
  </r>
  <r>
    <n v="36"/>
    <x v="1"/>
    <x v="1"/>
    <n v="2"/>
    <n v="95"/>
    <s v="Manufacturing Director"/>
    <n v="2"/>
    <n v="6"/>
    <n v="0"/>
    <n v="11"/>
    <s v="No"/>
    <n v="3"/>
    <s v="31-40"/>
    <x v="0"/>
    <n v="30"/>
    <x v="2"/>
  </r>
  <r>
    <n v="45"/>
    <x v="1"/>
    <x v="1"/>
    <n v="2"/>
    <n v="59"/>
    <s v="Research Scientist"/>
    <n v="1"/>
    <n v="1"/>
    <n v="0"/>
    <n v="7"/>
    <s v="No"/>
    <n v="3"/>
    <s v="41-50"/>
    <x v="2"/>
    <n v="30"/>
    <x v="2"/>
  </r>
  <r>
    <n v="35"/>
    <x v="1"/>
    <x v="1"/>
    <n v="2"/>
    <n v="79"/>
    <s v="Research Scientist"/>
    <n v="1"/>
    <n v="3"/>
    <n v="1"/>
    <n v="1"/>
    <s v="No"/>
    <n v="2"/>
    <s v="31-40"/>
    <x v="4"/>
    <n v="30"/>
    <x v="2"/>
  </r>
  <r>
    <n v="36"/>
    <x v="0"/>
    <x v="1"/>
    <n v="4"/>
    <n v="79"/>
    <s v="Research Scientist"/>
    <n v="3"/>
    <n v="1"/>
    <n v="0"/>
    <n v="9"/>
    <s v="Yes"/>
    <n v="2"/>
    <s v="31-40"/>
    <x v="4"/>
    <s v="NA"/>
    <x v="0"/>
  </r>
  <r>
    <n v="59"/>
    <x v="1"/>
    <x v="0"/>
    <n v="1"/>
    <n v="57"/>
    <s v="Sales Executive"/>
    <n v="3"/>
    <n v="4"/>
    <n v="1"/>
    <n v="1"/>
    <s v="No"/>
    <n v="2"/>
    <s v="51+"/>
    <x v="2"/>
    <n v="15"/>
    <x v="1"/>
  </r>
  <r>
    <n v="29"/>
    <x v="1"/>
    <x v="1"/>
    <n v="3"/>
    <n v="76"/>
    <s v="Research Scientist"/>
    <n v="2"/>
    <n v="5"/>
    <n v="0"/>
    <n v="2"/>
    <s v="No"/>
    <n v="3"/>
    <s v="18-30"/>
    <x v="4"/>
    <n v="15"/>
    <x v="1"/>
  </r>
  <r>
    <n v="31"/>
    <x v="1"/>
    <x v="1"/>
    <n v="3"/>
    <n v="87"/>
    <s v="Research Scientist"/>
    <n v="2"/>
    <n v="1"/>
    <n v="1"/>
    <n v="1"/>
    <s v="No"/>
    <n v="3"/>
    <s v="31-40"/>
    <x v="4"/>
    <n v="15"/>
    <x v="1"/>
  </r>
  <r>
    <n v="32"/>
    <x v="1"/>
    <x v="1"/>
    <n v="2"/>
    <n v="66"/>
    <s v="Research Scientist"/>
    <n v="2"/>
    <n v="10"/>
    <n v="0"/>
    <n v="1"/>
    <s v="No"/>
    <n v="3"/>
    <s v="31-40"/>
    <x v="1"/>
    <n v="30"/>
    <x v="2"/>
  </r>
  <r>
    <n v="36"/>
    <x v="1"/>
    <x v="1"/>
    <n v="2"/>
    <n v="55"/>
    <s v="Laboratory Technician"/>
    <n v="4"/>
    <n v="1"/>
    <n v="0"/>
    <n v="6"/>
    <s v="No"/>
    <n v="3"/>
    <s v="31-40"/>
    <x v="2"/>
    <n v="15"/>
    <x v="1"/>
  </r>
  <r>
    <n v="31"/>
    <x v="1"/>
    <x v="1"/>
    <n v="3"/>
    <n v="61"/>
    <s v="Manufacturing Director"/>
    <n v="4"/>
    <n v="11"/>
    <n v="1"/>
    <n v="8"/>
    <s v="No"/>
    <n v="3"/>
    <s v="31-40"/>
    <x v="1"/>
    <n v="0"/>
    <x v="1"/>
  </r>
  <r>
    <n v="35"/>
    <x v="1"/>
    <x v="0"/>
    <n v="3"/>
    <n v="32"/>
    <s v="Sales Executive"/>
    <n v="1"/>
    <n v="15"/>
    <n v="2"/>
    <n v="1"/>
    <s v="No"/>
    <n v="3"/>
    <s v="31-40"/>
    <x v="3"/>
    <n v="15"/>
    <x v="1"/>
  </r>
  <r>
    <n v="45"/>
    <x v="1"/>
    <x v="1"/>
    <n v="4"/>
    <n v="52"/>
    <s v="Research Director"/>
    <n v="1"/>
    <n v="0"/>
    <n v="0"/>
    <n v="6"/>
    <s v="Yes"/>
    <n v="4"/>
    <s v="41-50"/>
    <x v="2"/>
    <n v="50"/>
    <x v="3"/>
  </r>
  <r>
    <n v="37"/>
    <x v="1"/>
    <x v="1"/>
    <n v="1"/>
    <n v="30"/>
    <s v="Research Director"/>
    <n v="3"/>
    <n v="5"/>
    <n v="0"/>
    <n v="7"/>
    <s v="No"/>
    <n v="4"/>
    <s v="31-40"/>
    <x v="3"/>
    <n v="15"/>
    <x v="1"/>
  </r>
  <r>
    <n v="46"/>
    <x v="1"/>
    <x v="2"/>
    <n v="2"/>
    <n v="80"/>
    <s v="Human Resources"/>
    <n v="2"/>
    <n v="4"/>
    <n v="0"/>
    <n v="5"/>
    <s v="Yes"/>
    <n v="3"/>
    <s v="41-50"/>
    <x v="4"/>
    <n v="65"/>
    <x v="3"/>
  </r>
  <r>
    <n v="30"/>
    <x v="1"/>
    <x v="1"/>
    <n v="4"/>
    <n v="55"/>
    <s v="Laboratory Technician"/>
    <n v="4"/>
    <n v="10"/>
    <n v="3"/>
    <n v="1"/>
    <s v="Yes"/>
    <n v="2"/>
    <s v="18-30"/>
    <x v="2"/>
    <n v="35"/>
    <x v="2"/>
  </r>
  <r>
    <n v="35"/>
    <x v="1"/>
    <x v="1"/>
    <n v="2"/>
    <n v="30"/>
    <s v="Research Scientist"/>
    <n v="3"/>
    <n v="6"/>
    <n v="0"/>
    <n v="1"/>
    <s v="No"/>
    <n v="3"/>
    <s v="31-40"/>
    <x v="3"/>
    <n v="15"/>
    <x v="1"/>
  </r>
  <r>
    <n v="55"/>
    <x v="1"/>
    <x v="0"/>
    <n v="1"/>
    <n v="70"/>
    <s v="Sales Executive"/>
    <n v="4"/>
    <n v="1"/>
    <n v="1"/>
    <n v="1"/>
    <s v="No"/>
    <n v="3"/>
    <s v="51+"/>
    <x v="1"/>
    <n v="15"/>
    <x v="1"/>
  </r>
  <r>
    <n v="38"/>
    <x v="1"/>
    <x v="1"/>
    <n v="2"/>
    <n v="79"/>
    <s v="Research Scientist"/>
    <n v="4"/>
    <n v="13"/>
    <n v="1"/>
    <n v="6"/>
    <s v="Yes"/>
    <n v="3"/>
    <s v="31-40"/>
    <x v="4"/>
    <n v="50"/>
    <x v="3"/>
  </r>
  <r>
    <n v="34"/>
    <x v="1"/>
    <x v="1"/>
    <n v="1"/>
    <n v="94"/>
    <s v="Manufacturing Director"/>
    <n v="2"/>
    <n v="5"/>
    <n v="1"/>
    <n v="1"/>
    <s v="No"/>
    <n v="3"/>
    <s v="31-40"/>
    <x v="0"/>
    <n v="30"/>
    <x v="2"/>
  </r>
  <r>
    <n v="56"/>
    <x v="1"/>
    <x v="1"/>
    <n v="4"/>
    <n v="49"/>
    <s v="Manufacturing Director"/>
    <n v="4"/>
    <n v="6"/>
    <n v="0"/>
    <n v="7"/>
    <s v="No"/>
    <n v="2"/>
    <s v="51+"/>
    <x v="2"/>
    <n v="0"/>
    <x v="1"/>
  </r>
  <r>
    <n v="23"/>
    <x v="1"/>
    <x v="0"/>
    <n v="3"/>
    <n v="62"/>
    <s v="Sales Representative"/>
    <n v="1"/>
    <n v="0"/>
    <n v="0"/>
    <n v="2"/>
    <s v="No"/>
    <n v="3"/>
    <s v="18-30"/>
    <x v="1"/>
    <n v="15"/>
    <x v="1"/>
  </r>
  <r>
    <n v="51"/>
    <x v="1"/>
    <x v="1"/>
    <n v="4"/>
    <n v="96"/>
    <s v="Laboratory Technician"/>
    <n v="4"/>
    <n v="4"/>
    <n v="0"/>
    <n v="9"/>
    <s v="No"/>
    <n v="3"/>
    <s v="51+"/>
    <x v="0"/>
    <n v="0"/>
    <x v="1"/>
  </r>
  <r>
    <n v="30"/>
    <x v="1"/>
    <x v="1"/>
    <n v="3"/>
    <n v="99"/>
    <s v="Healthcare Representative"/>
    <n v="4"/>
    <n v="11"/>
    <n v="10"/>
    <n v="2"/>
    <s v="No"/>
    <n v="3"/>
    <s v="18-30"/>
    <x v="0"/>
    <n v="0"/>
    <x v="1"/>
  </r>
  <r>
    <n v="46"/>
    <x v="0"/>
    <x v="0"/>
    <n v="3"/>
    <n v="64"/>
    <s v="Sales Executive"/>
    <n v="4"/>
    <n v="9"/>
    <n v="4"/>
    <n v="9"/>
    <s v="No"/>
    <n v="3"/>
    <s v="41-50"/>
    <x v="1"/>
    <s v="NA"/>
    <x v="0"/>
  </r>
  <r>
    <n v="40"/>
    <x v="1"/>
    <x v="1"/>
    <n v="3"/>
    <n v="78"/>
    <s v="Healthcare Representative"/>
    <n v="2"/>
    <n v="22"/>
    <n v="11"/>
    <n v="1"/>
    <s v="No"/>
    <n v="2"/>
    <s v="31-40"/>
    <x v="4"/>
    <n v="15"/>
    <x v="1"/>
  </r>
  <r>
    <n v="51"/>
    <x v="1"/>
    <x v="0"/>
    <n v="3"/>
    <n v="71"/>
    <s v="Sales Executive"/>
    <n v="4"/>
    <n v="10"/>
    <n v="1"/>
    <n v="21"/>
    <s v="Yes"/>
    <n v="1"/>
    <s v="51+"/>
    <x v="1"/>
    <n v="70"/>
    <x v="4"/>
  </r>
  <r>
    <n v="30"/>
    <x v="1"/>
    <x v="0"/>
    <n v="3"/>
    <n v="63"/>
    <s v="Sales Executive"/>
    <n v="2"/>
    <n v="11"/>
    <n v="2"/>
    <n v="4"/>
    <s v="Yes"/>
    <n v="2"/>
    <s v="18-30"/>
    <x v="1"/>
    <n v="50"/>
    <x v="3"/>
  </r>
  <r>
    <n v="46"/>
    <x v="1"/>
    <x v="1"/>
    <n v="3"/>
    <n v="40"/>
    <s v="Healthcare Representative"/>
    <n v="1"/>
    <n v="10"/>
    <n v="9"/>
    <n v="1"/>
    <s v="Yes"/>
    <n v="2"/>
    <s v="41-50"/>
    <x v="3"/>
    <n v="50"/>
    <x v="3"/>
  </r>
  <r>
    <n v="32"/>
    <x v="1"/>
    <x v="0"/>
    <n v="2"/>
    <n v="87"/>
    <s v="Sales Executive"/>
    <n v="3"/>
    <n v="11"/>
    <n v="5"/>
    <n v="6"/>
    <s v="No"/>
    <n v="3"/>
    <s v="31-40"/>
    <x v="4"/>
    <n v="15"/>
    <x v="1"/>
  </r>
  <r>
    <n v="54"/>
    <x v="1"/>
    <x v="1"/>
    <n v="1"/>
    <n v="60"/>
    <s v="Research Director"/>
    <n v="3"/>
    <n v="4"/>
    <n v="0"/>
    <n v="2"/>
    <s v="No"/>
    <n v="1"/>
    <s v="51+"/>
    <x v="2"/>
    <n v="50"/>
    <x v="3"/>
  </r>
  <r>
    <n v="24"/>
    <x v="1"/>
    <x v="0"/>
    <n v="1"/>
    <n v="33"/>
    <s v="Sales Executive"/>
    <n v="3"/>
    <n v="3"/>
    <n v="0"/>
    <n v="3"/>
    <s v="No"/>
    <n v="2"/>
    <s v="18-30"/>
    <x v="3"/>
    <n v="15"/>
    <x v="1"/>
  </r>
  <r>
    <n v="28"/>
    <x v="1"/>
    <x v="0"/>
    <n v="2"/>
    <n v="43"/>
    <s v="Sales Executive"/>
    <n v="3"/>
    <n v="5"/>
    <n v="0"/>
    <n v="4"/>
    <s v="No"/>
    <n v="4"/>
    <s v="18-30"/>
    <x v="3"/>
    <n v="15"/>
    <x v="1"/>
  </r>
  <r>
    <n v="58"/>
    <x v="1"/>
    <x v="0"/>
    <n v="4"/>
    <n v="37"/>
    <s v="Sales Executive"/>
    <n v="3"/>
    <n v="37"/>
    <n v="1"/>
    <n v="10"/>
    <s v="No"/>
    <n v="2"/>
    <s v="51+"/>
    <x v="3"/>
    <n v="0"/>
    <x v="1"/>
  </r>
  <r>
    <n v="44"/>
    <x v="1"/>
    <x v="1"/>
    <n v="2"/>
    <n v="67"/>
    <s v="Laboratory Technician"/>
    <n v="2"/>
    <n v="3"/>
    <n v="1"/>
    <n v="23"/>
    <s v="No"/>
    <n v="4"/>
    <s v="41-50"/>
    <x v="1"/>
    <n v="30"/>
    <x v="2"/>
  </r>
  <r>
    <n v="37"/>
    <x v="0"/>
    <x v="2"/>
    <n v="3"/>
    <n v="63"/>
    <s v="Human Resources"/>
    <n v="1"/>
    <n v="3"/>
    <n v="0"/>
    <n v="6"/>
    <s v="Yes"/>
    <n v="3"/>
    <s v="31-40"/>
    <x v="1"/>
    <s v="NA"/>
    <x v="0"/>
  </r>
  <r>
    <n v="32"/>
    <x v="1"/>
    <x v="1"/>
    <n v="4"/>
    <n v="71"/>
    <s v="Research Scientist"/>
    <n v="1"/>
    <n v="1"/>
    <n v="0"/>
    <n v="1"/>
    <s v="No"/>
    <n v="3"/>
    <s v="31-40"/>
    <x v="1"/>
    <n v="15"/>
    <x v="1"/>
  </r>
  <r>
    <n v="20"/>
    <x v="0"/>
    <x v="1"/>
    <n v="4"/>
    <n v="66"/>
    <s v="Laboratory Technician"/>
    <n v="4"/>
    <n v="1"/>
    <n v="1"/>
    <n v="6"/>
    <s v="Yes"/>
    <n v="3"/>
    <s v="18-30"/>
    <x v="1"/>
    <s v="NA"/>
    <x v="0"/>
  </r>
  <r>
    <n v="34"/>
    <x v="1"/>
    <x v="1"/>
    <n v="1"/>
    <n v="41"/>
    <s v="Research Scientist"/>
    <n v="3"/>
    <n v="16"/>
    <n v="2"/>
    <n v="6"/>
    <s v="No"/>
    <n v="3"/>
    <s v="31-40"/>
    <x v="3"/>
    <n v="15"/>
    <x v="1"/>
  </r>
  <r>
    <n v="37"/>
    <x v="1"/>
    <x v="1"/>
    <n v="3"/>
    <n v="100"/>
    <s v="Healthcare Representative"/>
    <n v="4"/>
    <n v="1"/>
    <n v="0"/>
    <n v="2"/>
    <s v="No"/>
    <n v="4"/>
    <s v="31-40"/>
    <x v="0"/>
    <n v="0"/>
    <x v="1"/>
  </r>
  <r>
    <n v="59"/>
    <x v="1"/>
    <x v="2"/>
    <n v="3"/>
    <n v="32"/>
    <s v="Manager"/>
    <n v="4"/>
    <n v="3"/>
    <n v="2"/>
    <n v="2"/>
    <s v="No"/>
    <n v="3"/>
    <s v="51+"/>
    <x v="3"/>
    <n v="0"/>
    <x v="1"/>
  </r>
  <r>
    <n v="50"/>
    <x v="1"/>
    <x v="1"/>
    <n v="1"/>
    <n v="73"/>
    <s v="Research Director"/>
    <n v="2"/>
    <n v="8"/>
    <n v="0"/>
    <n v="1"/>
    <s v="Yes"/>
    <n v="2"/>
    <s v="41-50"/>
    <x v="1"/>
    <n v="65"/>
    <x v="3"/>
  </r>
  <r>
    <n v="25"/>
    <x v="0"/>
    <x v="0"/>
    <n v="3"/>
    <n v="46"/>
    <s v="Sales Executive"/>
    <n v="3"/>
    <n v="6"/>
    <n v="0"/>
    <n v="5"/>
    <s v="Yes"/>
    <n v="3"/>
    <s v="18-30"/>
    <x v="2"/>
    <s v="NA"/>
    <x v="0"/>
  </r>
  <r>
    <n v="25"/>
    <x v="1"/>
    <x v="1"/>
    <n v="4"/>
    <n v="64"/>
    <s v="Research Scientist"/>
    <n v="4"/>
    <n v="2"/>
    <n v="2"/>
    <n v="7"/>
    <s v="No"/>
    <n v="3"/>
    <s v="18-30"/>
    <x v="1"/>
    <n v="0"/>
    <x v="1"/>
  </r>
  <r>
    <n v="22"/>
    <x v="1"/>
    <x v="1"/>
    <n v="2"/>
    <n v="59"/>
    <s v="Laboratory Technician"/>
    <n v="4"/>
    <n v="0"/>
    <n v="0"/>
    <n v="15"/>
    <s v="No"/>
    <n v="3"/>
    <s v="18-30"/>
    <x v="2"/>
    <n v="15"/>
    <x v="1"/>
  </r>
  <r>
    <n v="51"/>
    <x v="1"/>
    <x v="1"/>
    <n v="1"/>
    <n v="30"/>
    <s v="Healthcare Representative"/>
    <n v="1"/>
    <n v="13"/>
    <n v="12"/>
    <n v="1"/>
    <s v="No"/>
    <n v="2"/>
    <s v="51+"/>
    <x v="3"/>
    <n v="30"/>
    <x v="2"/>
  </r>
  <r>
    <n v="34"/>
    <x v="0"/>
    <x v="1"/>
    <n v="1"/>
    <n v="66"/>
    <s v="Laboratory Technician"/>
    <n v="3"/>
    <n v="9"/>
    <n v="0"/>
    <n v="7"/>
    <s v="Yes"/>
    <n v="3"/>
    <s v="31-40"/>
    <x v="1"/>
    <s v="NA"/>
    <x v="0"/>
  </r>
  <r>
    <n v="54"/>
    <x v="1"/>
    <x v="2"/>
    <n v="4"/>
    <n v="30"/>
    <s v="Manager"/>
    <n v="4"/>
    <n v="5"/>
    <n v="4"/>
    <n v="26"/>
    <s v="Yes"/>
    <n v="3"/>
    <s v="51+"/>
    <x v="3"/>
    <n v="35"/>
    <x v="2"/>
  </r>
  <r>
    <n v="24"/>
    <x v="1"/>
    <x v="1"/>
    <n v="2"/>
    <n v="52"/>
    <s v="Laboratory Technician"/>
    <n v="3"/>
    <n v="5"/>
    <n v="1"/>
    <n v="18"/>
    <s v="No"/>
    <n v="3"/>
    <s v="18-30"/>
    <x v="2"/>
    <n v="15"/>
    <x v="1"/>
  </r>
  <r>
    <n v="34"/>
    <x v="1"/>
    <x v="1"/>
    <n v="3"/>
    <n v="45"/>
    <s v="Research Scientist"/>
    <n v="2"/>
    <n v="1"/>
    <n v="0"/>
    <n v="6"/>
    <s v="No"/>
    <n v="3"/>
    <s v="31-40"/>
    <x v="3"/>
    <n v="15"/>
    <x v="1"/>
  </r>
  <r>
    <n v="37"/>
    <x v="1"/>
    <x v="0"/>
    <n v="3"/>
    <n v="87"/>
    <s v="Sales Executive"/>
    <n v="4"/>
    <n v="5"/>
    <n v="1"/>
    <n v="3"/>
    <s v="No"/>
    <n v="3"/>
    <s v="31-40"/>
    <x v="4"/>
    <n v="0"/>
    <x v="1"/>
  </r>
  <r>
    <n v="34"/>
    <x v="1"/>
    <x v="1"/>
    <n v="3"/>
    <n v="45"/>
    <s v="Manager"/>
    <n v="1"/>
    <n v="11"/>
    <n v="5"/>
    <n v="5"/>
    <s v="No"/>
    <n v="3"/>
    <s v="31-40"/>
    <x v="3"/>
    <n v="15"/>
    <x v="1"/>
  </r>
  <r>
    <n v="36"/>
    <x v="1"/>
    <x v="0"/>
    <n v="2"/>
    <n v="92"/>
    <s v="Sales Executive"/>
    <n v="4"/>
    <n v="9"/>
    <n v="2"/>
    <n v="11"/>
    <s v="No"/>
    <n v="3"/>
    <s v="31-40"/>
    <x v="0"/>
    <n v="15"/>
    <x v="1"/>
  </r>
  <r>
    <n v="36"/>
    <x v="1"/>
    <x v="1"/>
    <n v="1"/>
    <n v="39"/>
    <s v="Laboratory Technician"/>
    <n v="4"/>
    <n v="1"/>
    <n v="0"/>
    <n v="3"/>
    <s v="No"/>
    <n v="3"/>
    <s v="31-40"/>
    <x v="3"/>
    <n v="15"/>
    <x v="1"/>
  </r>
  <r>
    <n v="43"/>
    <x v="1"/>
    <x v="0"/>
    <n v="3"/>
    <n v="92"/>
    <s v="Manager"/>
    <n v="4"/>
    <n v="25"/>
    <n v="4"/>
    <n v="26"/>
    <s v="Yes"/>
    <n v="4"/>
    <s v="41-50"/>
    <x v="0"/>
    <n v="35"/>
    <x v="2"/>
  </r>
  <r>
    <n v="30"/>
    <x v="1"/>
    <x v="1"/>
    <n v="1"/>
    <n v="96"/>
    <s v="Research Scientist"/>
    <n v="3"/>
    <n v="10"/>
    <n v="0"/>
    <n v="23"/>
    <s v="No"/>
    <n v="2"/>
    <s v="18-30"/>
    <x v="0"/>
    <n v="15"/>
    <x v="1"/>
  </r>
  <r>
    <n v="33"/>
    <x v="1"/>
    <x v="0"/>
    <n v="3"/>
    <n v="95"/>
    <s v="Sales Executive"/>
    <n v="2"/>
    <n v="7"/>
    <n v="0"/>
    <n v="22"/>
    <s v="No"/>
    <n v="4"/>
    <s v="31-40"/>
    <x v="0"/>
    <n v="15"/>
    <x v="1"/>
  </r>
  <r>
    <n v="56"/>
    <x v="0"/>
    <x v="1"/>
    <n v="2"/>
    <n v="72"/>
    <s v="Research Scientist"/>
    <n v="2"/>
    <n v="5"/>
    <n v="4"/>
    <n v="14"/>
    <s v="Yes"/>
    <n v="3"/>
    <s v="51+"/>
    <x v="1"/>
    <s v="NA"/>
    <x v="0"/>
  </r>
  <r>
    <n v="51"/>
    <x v="1"/>
    <x v="1"/>
    <n v="1"/>
    <n v="51"/>
    <s v="Research Director"/>
    <n v="3"/>
    <n v="20"/>
    <n v="15"/>
    <n v="6"/>
    <s v="No"/>
    <n v="3"/>
    <s v="51+"/>
    <x v="2"/>
    <n v="15"/>
    <x v="1"/>
  </r>
  <r>
    <n v="31"/>
    <x v="0"/>
    <x v="0"/>
    <n v="2"/>
    <n v="76"/>
    <s v="Sales Executive"/>
    <n v="3"/>
    <n v="7"/>
    <n v="7"/>
    <n v="6"/>
    <s v="Yes"/>
    <n v="2"/>
    <s v="31-40"/>
    <x v="4"/>
    <s v="NA"/>
    <x v="0"/>
  </r>
  <r>
    <n v="26"/>
    <x v="1"/>
    <x v="1"/>
    <n v="3"/>
    <n v="46"/>
    <s v="Research Scientist"/>
    <n v="2"/>
    <n v="5"/>
    <n v="4"/>
    <n v="6"/>
    <s v="No"/>
    <n v="2"/>
    <s v="18-30"/>
    <x v="2"/>
    <n v="15"/>
    <x v="1"/>
  </r>
  <r>
    <n v="58"/>
    <x v="0"/>
    <x v="1"/>
    <n v="4"/>
    <n v="94"/>
    <s v="Healthcare Representative"/>
    <n v="4"/>
    <n v="40"/>
    <n v="15"/>
    <n v="23"/>
    <s v="No"/>
    <n v="2"/>
    <s v="51+"/>
    <x v="0"/>
    <s v="NA"/>
    <x v="0"/>
  </r>
  <r>
    <n v="19"/>
    <x v="0"/>
    <x v="0"/>
    <n v="4"/>
    <n v="50"/>
    <s v="Sales Representative"/>
    <n v="3"/>
    <n v="0"/>
    <n v="0"/>
    <n v="22"/>
    <s v="Yes"/>
    <n v="2"/>
    <s v="18-30"/>
    <x v="2"/>
    <s v="NA"/>
    <x v="0"/>
  </r>
  <r>
    <n v="22"/>
    <x v="1"/>
    <x v="1"/>
    <n v="3"/>
    <n v="100"/>
    <s v="Laboratory Technician"/>
    <n v="4"/>
    <n v="2"/>
    <n v="2"/>
    <n v="2"/>
    <s v="No"/>
    <n v="3"/>
    <s v="18-30"/>
    <x v="0"/>
    <n v="0"/>
    <x v="1"/>
  </r>
  <r>
    <n v="49"/>
    <x v="1"/>
    <x v="1"/>
    <n v="3"/>
    <n v="96"/>
    <s v="Manufacturing Director"/>
    <n v="1"/>
    <n v="15"/>
    <n v="5"/>
    <n v="20"/>
    <s v="No"/>
    <n v="2"/>
    <s v="41-50"/>
    <x v="0"/>
    <n v="15"/>
    <x v="1"/>
  </r>
  <r>
    <n v="43"/>
    <x v="1"/>
    <x v="1"/>
    <n v="2"/>
    <n v="72"/>
    <s v="Research Scientist"/>
    <n v="3"/>
    <n v="3"/>
    <n v="1"/>
    <n v="28"/>
    <s v="No"/>
    <n v="3"/>
    <s v="41-50"/>
    <x v="1"/>
    <n v="15"/>
    <x v="1"/>
  </r>
  <r>
    <n v="50"/>
    <x v="1"/>
    <x v="0"/>
    <n v="3"/>
    <n v="77"/>
    <s v="Sales Executive"/>
    <n v="4"/>
    <n v="2"/>
    <n v="2"/>
    <n v="12"/>
    <s v="No"/>
    <n v="3"/>
    <s v="41-50"/>
    <x v="4"/>
    <n v="0"/>
    <x v="1"/>
  </r>
  <r>
    <n v="31"/>
    <x v="0"/>
    <x v="0"/>
    <n v="2"/>
    <n v="71"/>
    <s v="Sales Executive"/>
    <n v="3"/>
    <n v="2"/>
    <n v="2"/>
    <n v="20"/>
    <s v="Yes"/>
    <n v="3"/>
    <s v="31-40"/>
    <x v="1"/>
    <s v="NA"/>
    <x v="0"/>
  </r>
  <r>
    <n v="41"/>
    <x v="1"/>
    <x v="0"/>
    <n v="3"/>
    <n v="96"/>
    <s v="Sales Executive"/>
    <n v="3"/>
    <n v="9"/>
    <n v="0"/>
    <n v="9"/>
    <s v="Yes"/>
    <n v="3"/>
    <s v="41-50"/>
    <x v="0"/>
    <n v="35"/>
    <x v="2"/>
  </r>
  <r>
    <n v="26"/>
    <x v="1"/>
    <x v="2"/>
    <n v="3"/>
    <n v="61"/>
    <s v="Human Resources"/>
    <n v="3"/>
    <n v="8"/>
    <n v="5"/>
    <n v="25"/>
    <s v="No"/>
    <n v="3"/>
    <s v="18-30"/>
    <x v="1"/>
    <n v="0"/>
    <x v="1"/>
  </r>
  <r>
    <n v="36"/>
    <x v="1"/>
    <x v="1"/>
    <n v="2"/>
    <n v="84"/>
    <s v="Manufacturing Director"/>
    <n v="2"/>
    <n v="3"/>
    <n v="0"/>
    <n v="6"/>
    <s v="No"/>
    <n v="3"/>
    <s v="31-40"/>
    <x v="4"/>
    <n v="30"/>
    <x v="2"/>
  </r>
  <r>
    <n v="51"/>
    <x v="0"/>
    <x v="1"/>
    <n v="1"/>
    <n v="53"/>
    <s v="Manufacturing Director"/>
    <n v="4"/>
    <n v="4"/>
    <n v="0"/>
    <n v="8"/>
    <s v="No"/>
    <n v="3"/>
    <s v="51+"/>
    <x v="2"/>
    <s v="NA"/>
    <x v="0"/>
  </r>
  <r>
    <n v="39"/>
    <x v="1"/>
    <x v="0"/>
    <n v="4"/>
    <n v="47"/>
    <s v="Sales Executive"/>
    <n v="3"/>
    <n v="15"/>
    <n v="5"/>
    <n v="4"/>
    <s v="No"/>
    <n v="4"/>
    <s v="31-40"/>
    <x v="2"/>
    <n v="0"/>
    <x v="1"/>
  </r>
  <r>
    <n v="25"/>
    <x v="1"/>
    <x v="0"/>
    <n v="1"/>
    <n v="41"/>
    <s v="Sales Executive"/>
    <n v="3"/>
    <n v="2"/>
    <n v="2"/>
    <n v="28"/>
    <s v="No"/>
    <n v="3"/>
    <s v="18-30"/>
    <x v="3"/>
    <n v="15"/>
    <x v="1"/>
  </r>
  <r>
    <n v="30"/>
    <x v="1"/>
    <x v="2"/>
    <n v="3"/>
    <n v="48"/>
    <s v="Human Resources"/>
    <n v="4"/>
    <n v="11"/>
    <n v="4"/>
    <n v="9"/>
    <s v="Yes"/>
    <n v="1"/>
    <s v="18-30"/>
    <x v="2"/>
    <n v="70"/>
    <x v="4"/>
  </r>
  <r>
    <n v="32"/>
    <x v="0"/>
    <x v="1"/>
    <n v="1"/>
    <n v="41"/>
    <s v="Laboratory Technician"/>
    <n v="1"/>
    <n v="5"/>
    <n v="0"/>
    <n v="9"/>
    <s v="No"/>
    <n v="4"/>
    <s v="31-40"/>
    <x v="3"/>
    <s v="NA"/>
    <x v="0"/>
  </r>
  <r>
    <n v="45"/>
    <x v="1"/>
    <x v="1"/>
    <n v="3"/>
    <n v="83"/>
    <s v="Research Scientist"/>
    <n v="4"/>
    <n v="6"/>
    <n v="0"/>
    <n v="29"/>
    <s v="No"/>
    <n v="2"/>
    <s v="41-50"/>
    <x v="4"/>
    <n v="0"/>
    <x v="1"/>
  </r>
  <r>
    <n v="38"/>
    <x v="1"/>
    <x v="1"/>
    <n v="4"/>
    <n v="32"/>
    <s v="Research Scientist"/>
    <n v="3"/>
    <n v="3"/>
    <n v="2"/>
    <n v="3"/>
    <s v="Yes"/>
    <n v="3"/>
    <s v="31-40"/>
    <x v="3"/>
    <n v="35"/>
    <x v="2"/>
  </r>
  <r>
    <n v="30"/>
    <x v="1"/>
    <x v="1"/>
    <n v="1"/>
    <n v="75"/>
    <s v="Research Scientist"/>
    <n v="3"/>
    <n v="5"/>
    <n v="0"/>
    <n v="18"/>
    <s v="No"/>
    <n v="2"/>
    <s v="18-30"/>
    <x v="1"/>
    <n v="15"/>
    <x v="1"/>
  </r>
  <r>
    <n v="32"/>
    <x v="1"/>
    <x v="0"/>
    <n v="4"/>
    <n v="35"/>
    <s v="Sales Executive"/>
    <n v="4"/>
    <n v="8"/>
    <n v="0"/>
    <n v="9"/>
    <s v="No"/>
    <n v="4"/>
    <s v="31-40"/>
    <x v="3"/>
    <n v="0"/>
    <x v="1"/>
  </r>
  <r>
    <n v="30"/>
    <x v="1"/>
    <x v="1"/>
    <n v="4"/>
    <n v="84"/>
    <s v="Research Scientist"/>
    <n v="1"/>
    <n v="3"/>
    <n v="2"/>
    <n v="5"/>
    <s v="No"/>
    <n v="3"/>
    <s v="18-30"/>
    <x v="4"/>
    <n v="15"/>
    <x v="1"/>
  </r>
  <r>
    <n v="30"/>
    <x v="1"/>
    <x v="1"/>
    <n v="2"/>
    <n v="35"/>
    <s v="Laboratory Technician"/>
    <n v="4"/>
    <n v="5"/>
    <n v="1"/>
    <n v="2"/>
    <s v="No"/>
    <n v="3"/>
    <s v="18-30"/>
    <x v="3"/>
    <n v="15"/>
    <x v="1"/>
  </r>
  <r>
    <n v="41"/>
    <x v="1"/>
    <x v="1"/>
    <n v="4"/>
    <n v="91"/>
    <s v="Manager"/>
    <n v="1"/>
    <n v="7"/>
    <n v="7"/>
    <n v="10"/>
    <s v="No"/>
    <n v="2"/>
    <s v="41-50"/>
    <x v="0"/>
    <n v="15"/>
    <x v="1"/>
  </r>
  <r>
    <n v="41"/>
    <x v="1"/>
    <x v="1"/>
    <n v="3"/>
    <n v="94"/>
    <s v="Laboratory Technician"/>
    <n v="1"/>
    <n v="5"/>
    <n v="1"/>
    <n v="9"/>
    <s v="No"/>
    <n v="3"/>
    <s v="41-50"/>
    <x v="0"/>
    <n v="15"/>
    <x v="1"/>
  </r>
  <r>
    <n v="19"/>
    <x v="1"/>
    <x v="1"/>
    <n v="2"/>
    <n v="79"/>
    <s v="Laboratory Technician"/>
    <n v="2"/>
    <n v="1"/>
    <n v="0"/>
    <n v="3"/>
    <s v="No"/>
    <n v="3"/>
    <s v="18-30"/>
    <x v="4"/>
    <n v="30"/>
    <x v="2"/>
  </r>
  <r>
    <n v="40"/>
    <x v="1"/>
    <x v="1"/>
    <n v="2"/>
    <n v="54"/>
    <s v="Research Scientist"/>
    <n v="2"/>
    <n v="20"/>
    <n v="2"/>
    <n v="26"/>
    <s v="No"/>
    <n v="3"/>
    <s v="31-40"/>
    <x v="2"/>
    <n v="30"/>
    <x v="2"/>
  </r>
  <r>
    <n v="35"/>
    <x v="1"/>
    <x v="0"/>
    <n v="3"/>
    <n v="94"/>
    <s v="Sales Executive"/>
    <n v="2"/>
    <n v="10"/>
    <n v="0"/>
    <n v="1"/>
    <s v="No"/>
    <n v="3"/>
    <s v="31-40"/>
    <x v="0"/>
    <n v="15"/>
    <x v="1"/>
  </r>
  <r>
    <n v="53"/>
    <x v="1"/>
    <x v="0"/>
    <n v="2"/>
    <n v="34"/>
    <s v="Sales Representative"/>
    <n v="3"/>
    <n v="7"/>
    <n v="4"/>
    <n v="6"/>
    <s v="Yes"/>
    <n v="1"/>
    <s v="51+"/>
    <x v="3"/>
    <n v="85"/>
    <x v="4"/>
  </r>
  <r>
    <n v="45"/>
    <x v="1"/>
    <x v="1"/>
    <n v="2"/>
    <n v="60"/>
    <s v="Laboratory Technician"/>
    <n v="2"/>
    <n v="17"/>
    <n v="0"/>
    <n v="9"/>
    <s v="No"/>
    <n v="1"/>
    <s v="41-50"/>
    <x v="2"/>
    <n v="65"/>
    <x v="3"/>
  </r>
  <r>
    <n v="32"/>
    <x v="1"/>
    <x v="0"/>
    <n v="2"/>
    <n v="43"/>
    <s v="Sales Executive"/>
    <n v="4"/>
    <n v="9"/>
    <n v="3"/>
    <n v="8"/>
    <s v="No"/>
    <n v="3"/>
    <s v="31-40"/>
    <x v="3"/>
    <n v="15"/>
    <x v="1"/>
  </r>
  <r>
    <n v="29"/>
    <x v="1"/>
    <x v="1"/>
    <n v="4"/>
    <n v="41"/>
    <s v="Manufacturing Director"/>
    <n v="3"/>
    <n v="10"/>
    <n v="0"/>
    <n v="1"/>
    <s v="No"/>
    <n v="3"/>
    <s v="18-30"/>
    <x v="3"/>
    <n v="0"/>
    <x v="1"/>
  </r>
  <r>
    <n v="51"/>
    <x v="1"/>
    <x v="1"/>
    <n v="2"/>
    <n v="34"/>
    <s v="Manufacturing Director"/>
    <n v="3"/>
    <n v="1"/>
    <n v="0"/>
    <n v="7"/>
    <s v="No"/>
    <n v="3"/>
    <s v="51+"/>
    <x v="3"/>
    <n v="15"/>
    <x v="1"/>
  </r>
  <r>
    <n v="58"/>
    <x v="1"/>
    <x v="1"/>
    <n v="2"/>
    <n v="75"/>
    <s v="Research Scientist"/>
    <n v="2"/>
    <n v="1"/>
    <n v="0"/>
    <n v="9"/>
    <s v="Yes"/>
    <n v="2"/>
    <s v="51+"/>
    <x v="1"/>
    <n v="65"/>
    <x v="3"/>
  </r>
  <r>
    <n v="40"/>
    <x v="1"/>
    <x v="0"/>
    <n v="3"/>
    <n v="67"/>
    <s v="Sales Executive"/>
    <n v="4"/>
    <n v="12"/>
    <n v="2"/>
    <n v="4"/>
    <s v="No"/>
    <n v="2"/>
    <s v="31-40"/>
    <x v="1"/>
    <n v="0"/>
    <x v="1"/>
  </r>
  <r>
    <n v="34"/>
    <x v="1"/>
    <x v="0"/>
    <n v="3"/>
    <n v="75"/>
    <s v="Sales Representative"/>
    <n v="3"/>
    <n v="4"/>
    <n v="1"/>
    <n v="2"/>
    <s v="No"/>
    <n v="3"/>
    <s v="31-40"/>
    <x v="1"/>
    <n v="0"/>
    <x v="1"/>
  </r>
  <r>
    <n v="22"/>
    <x v="1"/>
    <x v="1"/>
    <n v="3"/>
    <n v="80"/>
    <s v="Research Scientist"/>
    <n v="4"/>
    <n v="2"/>
    <n v="2"/>
    <n v="19"/>
    <s v="No"/>
    <n v="3"/>
    <s v="18-30"/>
    <x v="4"/>
    <n v="0"/>
    <x v="1"/>
  </r>
  <r>
    <n v="27"/>
    <x v="1"/>
    <x v="1"/>
    <n v="4"/>
    <n v="57"/>
    <s v="Research Scientist"/>
    <n v="2"/>
    <n v="2"/>
    <n v="2"/>
    <n v="9"/>
    <s v="No"/>
    <n v="1"/>
    <s v="18-30"/>
    <x v="2"/>
    <n v="50"/>
    <x v="3"/>
  </r>
  <r>
    <n v="28"/>
    <x v="1"/>
    <x v="1"/>
    <n v="3"/>
    <n v="42"/>
    <s v="Research Scientist"/>
    <n v="4"/>
    <n v="5"/>
    <n v="0"/>
    <n v="21"/>
    <s v="No"/>
    <n v="1"/>
    <s v="18-30"/>
    <x v="3"/>
    <n v="35"/>
    <x v="2"/>
  </r>
  <r>
    <n v="57"/>
    <x v="1"/>
    <x v="1"/>
    <n v="3"/>
    <n v="83"/>
    <s v="Healthcare Representative"/>
    <n v="4"/>
    <n v="5"/>
    <n v="1"/>
    <n v="24"/>
    <s v="Yes"/>
    <n v="1"/>
    <s v="51+"/>
    <x v="4"/>
    <n v="70"/>
    <x v="4"/>
  </r>
  <r>
    <n v="27"/>
    <x v="1"/>
    <x v="1"/>
    <n v="3"/>
    <n v="79"/>
    <s v="Research Scientist"/>
    <n v="3"/>
    <n v="1"/>
    <n v="0"/>
    <n v="3"/>
    <s v="Yes"/>
    <n v="2"/>
    <s v="18-30"/>
    <x v="4"/>
    <n v="35"/>
    <x v="2"/>
  </r>
  <r>
    <n v="50"/>
    <x v="1"/>
    <x v="1"/>
    <n v="3"/>
    <n v="53"/>
    <s v="Manager"/>
    <n v="2"/>
    <n v="5"/>
    <n v="4"/>
    <n v="11"/>
    <s v="No"/>
    <n v="3"/>
    <s v="41-50"/>
    <x v="2"/>
    <n v="15"/>
    <x v="1"/>
  </r>
  <r>
    <n v="41"/>
    <x v="1"/>
    <x v="1"/>
    <n v="1"/>
    <n v="56"/>
    <s v="Research Scientist"/>
    <n v="3"/>
    <n v="9"/>
    <n v="1"/>
    <n v="14"/>
    <s v="No"/>
    <n v="3"/>
    <s v="41-50"/>
    <x v="2"/>
    <n v="15"/>
    <x v="1"/>
  </r>
  <r>
    <n v="30"/>
    <x v="1"/>
    <x v="0"/>
    <n v="2"/>
    <n v="41"/>
    <s v="Sales Executive"/>
    <n v="4"/>
    <n v="10"/>
    <n v="7"/>
    <n v="5"/>
    <s v="No"/>
    <n v="3"/>
    <s v="18-30"/>
    <x v="3"/>
    <n v="15"/>
    <x v="1"/>
  </r>
  <r>
    <n v="38"/>
    <x v="1"/>
    <x v="0"/>
    <n v="1"/>
    <n v="59"/>
    <s v="Sales Executive"/>
    <n v="4"/>
    <n v="8"/>
    <n v="0"/>
    <n v="1"/>
    <s v="No"/>
    <n v="4"/>
    <s v="31-40"/>
    <x v="2"/>
    <n v="15"/>
    <x v="1"/>
  </r>
  <r>
    <n v="32"/>
    <x v="1"/>
    <x v="1"/>
    <n v="3"/>
    <n v="43"/>
    <s v="Research Scientist"/>
    <n v="3"/>
    <n v="5"/>
    <n v="1"/>
    <n v="6"/>
    <s v="No"/>
    <n v="3"/>
    <s v="31-40"/>
    <x v="3"/>
    <n v="0"/>
    <x v="1"/>
  </r>
  <r>
    <n v="27"/>
    <x v="1"/>
    <x v="1"/>
    <n v="3"/>
    <n v="51"/>
    <s v="Research Scientist"/>
    <n v="2"/>
    <n v="5"/>
    <n v="1"/>
    <n v="17"/>
    <s v="Yes"/>
    <n v="2"/>
    <s v="18-30"/>
    <x v="2"/>
    <n v="50"/>
    <x v="3"/>
  </r>
  <r>
    <n v="19"/>
    <x v="0"/>
    <x v="0"/>
    <n v="3"/>
    <n v="100"/>
    <s v="Sales Representative"/>
    <n v="1"/>
    <n v="0"/>
    <n v="0"/>
    <n v="1"/>
    <s v="No"/>
    <n v="4"/>
    <s v="18-30"/>
    <x v="0"/>
    <s v="NA"/>
    <x v="0"/>
  </r>
  <r>
    <n v="36"/>
    <x v="1"/>
    <x v="1"/>
    <n v="4"/>
    <n v="30"/>
    <s v="Laboratory Technician"/>
    <n v="2"/>
    <n v="8"/>
    <n v="7"/>
    <n v="3"/>
    <s v="No"/>
    <n v="2"/>
    <s v="31-40"/>
    <x v="3"/>
    <n v="15"/>
    <x v="1"/>
  </r>
  <r>
    <n v="30"/>
    <x v="1"/>
    <x v="1"/>
    <n v="3"/>
    <n v="66"/>
    <s v="Laboratory Technician"/>
    <n v="1"/>
    <n v="12"/>
    <n v="6"/>
    <n v="9"/>
    <s v="No"/>
    <n v="3"/>
    <s v="18-30"/>
    <x v="1"/>
    <n v="15"/>
    <x v="1"/>
  </r>
  <r>
    <n v="45"/>
    <x v="1"/>
    <x v="0"/>
    <n v="3"/>
    <n v="30"/>
    <s v="Sales Executive"/>
    <n v="1"/>
    <n v="5"/>
    <n v="0"/>
    <n v="4"/>
    <s v="Yes"/>
    <n v="4"/>
    <s v="41-50"/>
    <x v="3"/>
    <n v="50"/>
    <x v="3"/>
  </r>
  <r>
    <n v="56"/>
    <x v="1"/>
    <x v="1"/>
    <n v="3"/>
    <n v="67"/>
    <s v="Research Scientist"/>
    <n v="1"/>
    <n v="2"/>
    <n v="2"/>
    <n v="8"/>
    <s v="Yes"/>
    <n v="3"/>
    <s v="51+"/>
    <x v="1"/>
    <n v="50"/>
    <x v="3"/>
  </r>
  <r>
    <n v="33"/>
    <x v="1"/>
    <x v="1"/>
    <n v="3"/>
    <n v="90"/>
    <s v="Research Scientist"/>
    <n v="4"/>
    <n v="3"/>
    <n v="0"/>
    <n v="2"/>
    <s v="No"/>
    <n v="4"/>
    <s v="31-40"/>
    <x v="4"/>
    <n v="0"/>
    <x v="1"/>
  </r>
  <r>
    <n v="19"/>
    <x v="0"/>
    <x v="1"/>
    <n v="2"/>
    <n v="47"/>
    <s v="Laboratory Technician"/>
    <n v="4"/>
    <n v="1"/>
    <n v="1"/>
    <n v="2"/>
    <s v="No"/>
    <n v="2"/>
    <s v="18-30"/>
    <x v="2"/>
    <s v="NA"/>
    <x v="0"/>
  </r>
  <r>
    <n v="46"/>
    <x v="1"/>
    <x v="0"/>
    <n v="2"/>
    <n v="92"/>
    <s v="Sales Executive"/>
    <n v="1"/>
    <n v="24"/>
    <n v="15"/>
    <n v="1"/>
    <s v="No"/>
    <n v="3"/>
    <s v="41-50"/>
    <x v="0"/>
    <n v="30"/>
    <x v="2"/>
  </r>
  <r>
    <n v="38"/>
    <x v="1"/>
    <x v="1"/>
    <n v="3"/>
    <n v="75"/>
    <s v="Laboratory Technician"/>
    <n v="4"/>
    <n v="2"/>
    <n v="2"/>
    <n v="9"/>
    <s v="No"/>
    <n v="3"/>
    <s v="31-40"/>
    <x v="1"/>
    <n v="0"/>
    <x v="1"/>
  </r>
  <r>
    <n v="31"/>
    <x v="1"/>
    <x v="1"/>
    <n v="3"/>
    <n v="95"/>
    <s v="Research Scientist"/>
    <n v="4"/>
    <n v="4"/>
    <n v="0"/>
    <n v="12"/>
    <s v="Yes"/>
    <n v="3"/>
    <s v="31-40"/>
    <x v="0"/>
    <n v="35"/>
    <x v="2"/>
  </r>
  <r>
    <n v="34"/>
    <x v="1"/>
    <x v="1"/>
    <n v="4"/>
    <n v="95"/>
    <s v="Research Scientist"/>
    <n v="2"/>
    <n v="3"/>
    <n v="1"/>
    <n v="27"/>
    <s v="No"/>
    <n v="3"/>
    <s v="31-40"/>
    <x v="0"/>
    <n v="15"/>
    <x v="1"/>
  </r>
  <r>
    <n v="41"/>
    <x v="0"/>
    <x v="0"/>
    <n v="2"/>
    <n v="70"/>
    <s v="Sales Representative"/>
    <n v="2"/>
    <n v="4"/>
    <n v="0"/>
    <n v="20"/>
    <s v="Yes"/>
    <n v="2"/>
    <s v="41-50"/>
    <x v="1"/>
    <s v="NA"/>
    <x v="0"/>
  </r>
  <r>
    <n v="50"/>
    <x v="1"/>
    <x v="1"/>
    <n v="3"/>
    <n v="86"/>
    <s v="Laboratory Technician"/>
    <n v="3"/>
    <n v="3"/>
    <n v="0"/>
    <n v="1"/>
    <s v="No"/>
    <n v="2"/>
    <s v="41-50"/>
    <x v="4"/>
    <n v="0"/>
    <x v="1"/>
  </r>
  <r>
    <n v="53"/>
    <x v="1"/>
    <x v="1"/>
    <n v="4"/>
    <n v="57"/>
    <s v="Manufacturing Director"/>
    <n v="1"/>
    <n v="4"/>
    <n v="1"/>
    <n v="13"/>
    <s v="No"/>
    <n v="3"/>
    <s v="51+"/>
    <x v="2"/>
    <n v="15"/>
    <x v="1"/>
  </r>
  <r>
    <n v="33"/>
    <x v="1"/>
    <x v="1"/>
    <n v="4"/>
    <n v="72"/>
    <s v="Research Scientist"/>
    <n v="2"/>
    <n v="8"/>
    <n v="1"/>
    <n v="14"/>
    <s v="No"/>
    <n v="3"/>
    <s v="31-40"/>
    <x v="1"/>
    <n v="15"/>
    <x v="1"/>
  </r>
  <r>
    <n v="40"/>
    <x v="1"/>
    <x v="1"/>
    <n v="4"/>
    <n v="46"/>
    <s v="Manager"/>
    <n v="3"/>
    <n v="20"/>
    <n v="9"/>
    <n v="4"/>
    <s v="No"/>
    <n v="3"/>
    <s v="31-40"/>
    <x v="2"/>
    <n v="0"/>
    <x v="1"/>
  </r>
  <r>
    <n v="55"/>
    <x v="1"/>
    <x v="1"/>
    <n v="3"/>
    <n v="61"/>
    <s v="Research Director"/>
    <n v="2"/>
    <n v="24"/>
    <n v="2"/>
    <n v="14"/>
    <s v="No"/>
    <n v="3"/>
    <s v="51+"/>
    <x v="1"/>
    <n v="15"/>
    <x v="1"/>
  </r>
  <r>
    <n v="34"/>
    <x v="1"/>
    <x v="1"/>
    <n v="4"/>
    <n v="45"/>
    <s v="Manufacturing Director"/>
    <n v="3"/>
    <n v="10"/>
    <n v="1"/>
    <n v="2"/>
    <s v="No"/>
    <n v="2"/>
    <s v="31-40"/>
    <x v="3"/>
    <n v="0"/>
    <x v="1"/>
  </r>
  <r>
    <n v="51"/>
    <x v="1"/>
    <x v="1"/>
    <n v="4"/>
    <n v="98"/>
    <s v="Healthcare Representative"/>
    <n v="2"/>
    <n v="7"/>
    <n v="1"/>
    <n v="3"/>
    <s v="No"/>
    <n v="3"/>
    <s v="51+"/>
    <x v="0"/>
    <n v="15"/>
    <x v="1"/>
  </r>
  <r>
    <n v="52"/>
    <x v="1"/>
    <x v="1"/>
    <n v="3"/>
    <n v="65"/>
    <s v="Manager"/>
    <n v="3"/>
    <n v="33"/>
    <n v="11"/>
    <n v="1"/>
    <s v="No"/>
    <n v="3"/>
    <s v="51+"/>
    <x v="1"/>
    <n v="0"/>
    <x v="1"/>
  </r>
  <r>
    <n v="27"/>
    <x v="1"/>
    <x v="1"/>
    <n v="4"/>
    <n v="99"/>
    <s v="Research Scientist"/>
    <n v="2"/>
    <n v="7"/>
    <n v="0"/>
    <n v="9"/>
    <s v="No"/>
    <n v="2"/>
    <s v="18-30"/>
    <x v="0"/>
    <n v="15"/>
    <x v="1"/>
  </r>
  <r>
    <n v="35"/>
    <x v="0"/>
    <x v="1"/>
    <n v="2"/>
    <n v="50"/>
    <s v="Manufacturing Director"/>
    <n v="3"/>
    <n v="1"/>
    <n v="0"/>
    <n v="23"/>
    <s v="Yes"/>
    <n v="3"/>
    <s v="31-40"/>
    <x v="2"/>
    <s v="NA"/>
    <x v="0"/>
  </r>
  <r>
    <n v="43"/>
    <x v="1"/>
    <x v="1"/>
    <n v="4"/>
    <n v="37"/>
    <s v="Research Scientist"/>
    <n v="4"/>
    <n v="5"/>
    <n v="2"/>
    <n v="7"/>
    <s v="No"/>
    <n v="4"/>
    <s v="41-50"/>
    <x v="3"/>
    <n v="0"/>
    <x v="1"/>
  </r>
  <r>
    <n v="45"/>
    <x v="1"/>
    <x v="1"/>
    <n v="1"/>
    <n v="65"/>
    <s v="Manager"/>
    <n v="4"/>
    <n v="20"/>
    <n v="11"/>
    <n v="2"/>
    <s v="No"/>
    <n v="3"/>
    <s v="41-50"/>
    <x v="1"/>
    <n v="15"/>
    <x v="1"/>
  </r>
  <r>
    <n v="37"/>
    <x v="1"/>
    <x v="1"/>
    <n v="2"/>
    <n v="65"/>
    <s v="Research Scientist"/>
    <n v="1"/>
    <n v="8"/>
    <n v="1"/>
    <n v="21"/>
    <s v="Yes"/>
    <n v="2"/>
    <s v="31-40"/>
    <x v="1"/>
    <n v="65"/>
    <x v="3"/>
  </r>
  <r>
    <n v="35"/>
    <x v="1"/>
    <x v="1"/>
    <n v="2"/>
    <n v="37"/>
    <s v="Laboratory Technician"/>
    <n v="2"/>
    <n v="6"/>
    <n v="1"/>
    <n v="2"/>
    <s v="No"/>
    <n v="3"/>
    <s v="31-40"/>
    <x v="3"/>
    <n v="30"/>
    <x v="2"/>
  </r>
  <r>
    <n v="42"/>
    <x v="1"/>
    <x v="1"/>
    <n v="3"/>
    <n v="36"/>
    <s v="Manufacturing Director"/>
    <n v="3"/>
    <n v="5"/>
    <n v="0"/>
    <n v="21"/>
    <s v="No"/>
    <n v="3"/>
    <s v="41-50"/>
    <x v="3"/>
    <n v="0"/>
    <x v="1"/>
  </r>
  <r>
    <n v="38"/>
    <x v="1"/>
    <x v="1"/>
    <n v="4"/>
    <n v="88"/>
    <s v="Manufacturing Director"/>
    <n v="3"/>
    <n v="1"/>
    <n v="0"/>
    <n v="2"/>
    <s v="No"/>
    <n v="3"/>
    <s v="31-40"/>
    <x v="4"/>
    <n v="0"/>
    <x v="1"/>
  </r>
  <r>
    <n v="38"/>
    <x v="1"/>
    <x v="1"/>
    <n v="4"/>
    <n v="54"/>
    <s v="Manufacturing Director"/>
    <n v="4"/>
    <n v="7"/>
    <n v="1"/>
    <n v="29"/>
    <s v="No"/>
    <n v="1"/>
    <s v="31-40"/>
    <x v="2"/>
    <n v="35"/>
    <x v="2"/>
  </r>
  <r>
    <n v="27"/>
    <x v="1"/>
    <x v="1"/>
    <n v="3"/>
    <n v="60"/>
    <s v="Manufacturing Director"/>
    <n v="1"/>
    <n v="2"/>
    <n v="2"/>
    <n v="1"/>
    <s v="No"/>
    <n v="3"/>
    <s v="18-30"/>
    <x v="2"/>
    <n v="15"/>
    <x v="1"/>
  </r>
  <r>
    <n v="49"/>
    <x v="1"/>
    <x v="1"/>
    <n v="4"/>
    <n v="92"/>
    <s v="Manufacturing Director"/>
    <n v="4"/>
    <n v="7"/>
    <n v="1"/>
    <n v="18"/>
    <s v="Yes"/>
    <n v="3"/>
    <s v="41-50"/>
    <x v="0"/>
    <n v="35"/>
    <x v="2"/>
  </r>
  <r>
    <n v="34"/>
    <x v="1"/>
    <x v="1"/>
    <n v="4"/>
    <n v="43"/>
    <s v="Research Scientist"/>
    <n v="3"/>
    <n v="5"/>
    <n v="2"/>
    <n v="10"/>
    <s v="Yes"/>
    <n v="4"/>
    <s v="31-40"/>
    <x v="3"/>
    <n v="35"/>
    <x v="2"/>
  </r>
  <r>
    <n v="40"/>
    <x v="1"/>
    <x v="1"/>
    <n v="3"/>
    <n v="99"/>
    <s v="Laboratory Technician"/>
    <n v="4"/>
    <n v="7"/>
    <n v="3"/>
    <n v="19"/>
    <s v="Yes"/>
    <n v="4"/>
    <s v="31-40"/>
    <x v="0"/>
    <n v="35"/>
    <x v="2"/>
  </r>
  <r>
    <n v="38"/>
    <x v="0"/>
    <x v="1"/>
    <n v="2"/>
    <n v="70"/>
    <s v="Healthcare Representative"/>
    <n v="1"/>
    <n v="1"/>
    <n v="0"/>
    <n v="29"/>
    <s v="Yes"/>
    <n v="3"/>
    <s v="31-40"/>
    <x v="1"/>
    <s v="NA"/>
    <x v="0"/>
  </r>
  <r>
    <n v="29"/>
    <x v="0"/>
    <x v="0"/>
    <n v="2"/>
    <n v="35"/>
    <s v="Sales Executive"/>
    <n v="4"/>
    <n v="10"/>
    <n v="1"/>
    <n v="27"/>
    <s v="No"/>
    <n v="2"/>
    <s v="18-30"/>
    <x v="3"/>
    <s v="NA"/>
    <x v="0"/>
  </r>
  <r>
    <n v="22"/>
    <x v="1"/>
    <x v="1"/>
    <n v="4"/>
    <n v="60"/>
    <s v="Research Scientist"/>
    <n v="2"/>
    <n v="4"/>
    <n v="2"/>
    <n v="5"/>
    <s v="Yes"/>
    <n v="2"/>
    <s v="18-30"/>
    <x v="2"/>
    <n v="50"/>
    <x v="3"/>
  </r>
  <r>
    <n v="36"/>
    <x v="1"/>
    <x v="1"/>
    <n v="2"/>
    <n v="73"/>
    <s v="Laboratory Technician"/>
    <n v="4"/>
    <n v="8"/>
    <n v="1"/>
    <n v="18"/>
    <s v="No"/>
    <n v="3"/>
    <s v="31-40"/>
    <x v="1"/>
    <n v="15"/>
    <x v="1"/>
  </r>
  <r>
    <n v="40"/>
    <x v="1"/>
    <x v="1"/>
    <n v="4"/>
    <n v="63"/>
    <s v="Healthcare Representative"/>
    <n v="4"/>
    <n v="3"/>
    <n v="0"/>
    <n v="9"/>
    <s v="No"/>
    <n v="1"/>
    <s v="31-40"/>
    <x v="1"/>
    <n v="35"/>
    <x v="2"/>
  </r>
  <r>
    <n v="46"/>
    <x v="1"/>
    <x v="1"/>
    <n v="4"/>
    <n v="97"/>
    <s v="Healthcare Representative"/>
    <n v="1"/>
    <n v="4"/>
    <n v="0"/>
    <n v="1"/>
    <s v="No"/>
    <n v="3"/>
    <s v="41-50"/>
    <x v="0"/>
    <n v="15"/>
    <x v="1"/>
  </r>
  <r>
    <n v="32"/>
    <x v="0"/>
    <x v="0"/>
    <n v="4"/>
    <n v="32"/>
    <s v="Sales Executive"/>
    <n v="4"/>
    <n v="14"/>
    <n v="9"/>
    <n v="4"/>
    <s v="No"/>
    <n v="2"/>
    <s v="31-40"/>
    <x v="3"/>
    <s v="NA"/>
    <x v="0"/>
  </r>
  <r>
    <n v="30"/>
    <x v="1"/>
    <x v="1"/>
    <n v="3"/>
    <n v="88"/>
    <s v="Manufacturing Director"/>
    <n v="3"/>
    <n v="11"/>
    <n v="5"/>
    <n v="1"/>
    <s v="No"/>
    <n v="3"/>
    <s v="18-30"/>
    <x v="4"/>
    <n v="0"/>
    <x v="1"/>
  </r>
  <r>
    <n v="27"/>
    <x v="1"/>
    <x v="0"/>
    <n v="4"/>
    <n v="90"/>
    <s v="Sales Executive"/>
    <n v="3"/>
    <n v="7"/>
    <n v="0"/>
    <n v="20"/>
    <s v="No"/>
    <n v="3"/>
    <s v="18-30"/>
    <x v="4"/>
    <n v="0"/>
    <x v="1"/>
  </r>
  <r>
    <n v="51"/>
    <x v="1"/>
    <x v="1"/>
    <n v="2"/>
    <n v="81"/>
    <s v="Research Director"/>
    <n v="2"/>
    <n v="10"/>
    <n v="4"/>
    <n v="8"/>
    <s v="No"/>
    <n v="1"/>
    <s v="51+"/>
    <x v="4"/>
    <n v="65"/>
    <x v="3"/>
  </r>
  <r>
    <n v="30"/>
    <x v="0"/>
    <x v="1"/>
    <n v="4"/>
    <n v="88"/>
    <s v="Research Scientist"/>
    <n v="1"/>
    <n v="5"/>
    <n v="0"/>
    <n v="3"/>
    <s v="Yes"/>
    <n v="3"/>
    <s v="18-30"/>
    <x v="4"/>
    <s v="NA"/>
    <x v="0"/>
  </r>
  <r>
    <n v="41"/>
    <x v="1"/>
    <x v="0"/>
    <n v="4"/>
    <n v="75"/>
    <s v="Manager"/>
    <n v="4"/>
    <n v="1"/>
    <n v="0"/>
    <n v="6"/>
    <s v="Yes"/>
    <n v="3"/>
    <s v="41-50"/>
    <x v="1"/>
    <n v="35"/>
    <x v="2"/>
  </r>
  <r>
    <n v="30"/>
    <x v="0"/>
    <x v="0"/>
    <n v="3"/>
    <n v="52"/>
    <s v="Sales Executive"/>
    <n v="1"/>
    <n v="6"/>
    <n v="0"/>
    <n v="26"/>
    <s v="No"/>
    <n v="2"/>
    <s v="18-30"/>
    <x v="2"/>
    <s v="NA"/>
    <x v="0"/>
  </r>
  <r>
    <n v="29"/>
    <x v="0"/>
    <x v="1"/>
    <n v="3"/>
    <n v="85"/>
    <s v="Research Scientist"/>
    <n v="3"/>
    <n v="6"/>
    <n v="1"/>
    <n v="1"/>
    <s v="No"/>
    <n v="2"/>
    <s v="18-30"/>
    <x v="4"/>
    <s v="NA"/>
    <x v="0"/>
  </r>
  <r>
    <n v="45"/>
    <x v="1"/>
    <x v="0"/>
    <n v="4"/>
    <n v="57"/>
    <s v="Sales Executive"/>
    <n v="4"/>
    <n v="19"/>
    <n v="12"/>
    <n v="6"/>
    <s v="No"/>
    <n v="3"/>
    <s v="41-50"/>
    <x v="2"/>
    <n v="0"/>
    <x v="1"/>
  </r>
  <r>
    <n v="54"/>
    <x v="1"/>
    <x v="0"/>
    <n v="4"/>
    <n v="52"/>
    <s v="Sales Executive"/>
    <n v="1"/>
    <n v="6"/>
    <n v="0"/>
    <n v="3"/>
    <s v="No"/>
    <n v="3"/>
    <s v="51+"/>
    <x v="2"/>
    <n v="15"/>
    <x v="1"/>
  </r>
  <r>
    <n v="36"/>
    <x v="1"/>
    <x v="1"/>
    <n v="4"/>
    <n v="62"/>
    <s v="Laboratory Technician"/>
    <n v="2"/>
    <n v="13"/>
    <n v="3"/>
    <n v="5"/>
    <s v="No"/>
    <n v="4"/>
    <s v="31-40"/>
    <x v="1"/>
    <n v="15"/>
    <x v="1"/>
  </r>
  <r>
    <n v="33"/>
    <x v="1"/>
    <x v="1"/>
    <n v="3"/>
    <n v="47"/>
    <s v="Research Scientist"/>
    <n v="2"/>
    <n v="3"/>
    <n v="1"/>
    <n v="4"/>
    <s v="No"/>
    <n v="3"/>
    <s v="31-40"/>
    <x v="2"/>
    <n v="15"/>
    <x v="1"/>
  </r>
  <r>
    <n v="37"/>
    <x v="1"/>
    <x v="1"/>
    <n v="2"/>
    <n v="47"/>
    <s v="Research Director"/>
    <n v="4"/>
    <n v="10"/>
    <n v="0"/>
    <n v="11"/>
    <s v="Yes"/>
    <n v="3"/>
    <s v="31-40"/>
    <x v="2"/>
    <n v="50"/>
    <x v="3"/>
  </r>
  <r>
    <n v="38"/>
    <x v="1"/>
    <x v="0"/>
    <n v="1"/>
    <n v="76"/>
    <s v="Sales Executive"/>
    <n v="3"/>
    <n v="16"/>
    <n v="5"/>
    <n v="3"/>
    <s v="No"/>
    <n v="2"/>
    <s v="31-40"/>
    <x v="4"/>
    <n v="15"/>
    <x v="1"/>
  </r>
  <r>
    <n v="31"/>
    <x v="1"/>
    <x v="1"/>
    <n v="3"/>
    <n v="90"/>
    <s v="Manufacturing Director"/>
    <n v="3"/>
    <n v="5"/>
    <n v="1"/>
    <n v="1"/>
    <s v="No"/>
    <n v="3"/>
    <s v="31-40"/>
    <x v="4"/>
    <n v="0"/>
    <x v="1"/>
  </r>
  <r>
    <n v="59"/>
    <x v="1"/>
    <x v="1"/>
    <n v="3"/>
    <n v="70"/>
    <s v="Research Scientist"/>
    <n v="4"/>
    <n v="1"/>
    <n v="0"/>
    <n v="3"/>
    <s v="No"/>
    <n v="3"/>
    <s v="51+"/>
    <x v="1"/>
    <n v="0"/>
    <x v="1"/>
  </r>
  <r>
    <n v="37"/>
    <x v="1"/>
    <x v="0"/>
    <n v="1"/>
    <n v="41"/>
    <s v="Sales Representative"/>
    <n v="4"/>
    <n v="9"/>
    <n v="5"/>
    <n v="4"/>
    <s v="No"/>
    <n v="3"/>
    <s v="31-40"/>
    <x v="3"/>
    <n v="15"/>
    <x v="1"/>
  </r>
  <r>
    <n v="29"/>
    <x v="1"/>
    <x v="0"/>
    <n v="2"/>
    <n v="42"/>
    <s v="Sales Executive"/>
    <n v="4"/>
    <n v="11"/>
    <n v="4"/>
    <n v="1"/>
    <s v="No"/>
    <n v="3"/>
    <s v="18-30"/>
    <x v="3"/>
    <n v="15"/>
    <x v="1"/>
  </r>
  <r>
    <n v="35"/>
    <x v="1"/>
    <x v="0"/>
    <n v="3"/>
    <n v="92"/>
    <s v="Sales Executive"/>
    <n v="3"/>
    <n v="10"/>
    <n v="0"/>
    <n v="1"/>
    <s v="No"/>
    <n v="4"/>
    <s v="31-40"/>
    <x v="0"/>
    <n v="0"/>
    <x v="1"/>
  </r>
  <r>
    <n v="29"/>
    <x v="0"/>
    <x v="1"/>
    <n v="3"/>
    <n v="86"/>
    <s v="Research Scientist"/>
    <n v="4"/>
    <n v="4"/>
    <n v="0"/>
    <n v="18"/>
    <s v="Yes"/>
    <n v="2"/>
    <s v="18-30"/>
    <x v="4"/>
    <s v="NA"/>
    <x v="0"/>
  </r>
  <r>
    <n v="52"/>
    <x v="1"/>
    <x v="1"/>
    <n v="3"/>
    <n v="89"/>
    <s v="Laboratory Technician"/>
    <n v="4"/>
    <n v="2"/>
    <n v="2"/>
    <n v="2"/>
    <s v="No"/>
    <n v="2"/>
    <s v="51+"/>
    <x v="4"/>
    <n v="0"/>
    <x v="1"/>
  </r>
  <r>
    <n v="42"/>
    <x v="1"/>
    <x v="1"/>
    <n v="3"/>
    <n v="58"/>
    <s v="Manager"/>
    <n v="4"/>
    <n v="22"/>
    <n v="11"/>
    <n v="4"/>
    <s v="No"/>
    <n v="3"/>
    <s v="41-50"/>
    <x v="2"/>
    <n v="0"/>
    <x v="1"/>
  </r>
  <r>
    <n v="59"/>
    <x v="1"/>
    <x v="2"/>
    <n v="2"/>
    <n v="52"/>
    <s v="Human Resources"/>
    <n v="3"/>
    <n v="2"/>
    <n v="2"/>
    <n v="6"/>
    <s v="No"/>
    <n v="2"/>
    <s v="51+"/>
    <x v="2"/>
    <n v="15"/>
    <x v="1"/>
  </r>
  <r>
    <n v="50"/>
    <x v="1"/>
    <x v="0"/>
    <n v="4"/>
    <n v="68"/>
    <s v="Manager"/>
    <n v="4"/>
    <n v="7"/>
    <n v="0"/>
    <n v="1"/>
    <s v="No"/>
    <n v="2"/>
    <s v="41-50"/>
    <x v="1"/>
    <n v="0"/>
    <x v="1"/>
  </r>
  <r>
    <n v="33"/>
    <x v="0"/>
    <x v="1"/>
    <n v="3"/>
    <n v="58"/>
    <s v="Laboratory Technician"/>
    <n v="4"/>
    <n v="5"/>
    <n v="0"/>
    <n v="14"/>
    <s v="Yes"/>
    <n v="1"/>
    <s v="31-40"/>
    <x v="2"/>
    <s v="NA"/>
    <x v="0"/>
  </r>
  <r>
    <n v="43"/>
    <x v="1"/>
    <x v="0"/>
    <n v="4"/>
    <n v="80"/>
    <s v="Manager"/>
    <n v="4"/>
    <n v="17"/>
    <n v="1"/>
    <n v="16"/>
    <s v="Yes"/>
    <n v="3"/>
    <s v="41-50"/>
    <x v="4"/>
    <n v="35"/>
    <x v="2"/>
  </r>
  <r>
    <n v="33"/>
    <x v="0"/>
    <x v="1"/>
    <n v="1"/>
    <n v="39"/>
    <s v="Laboratory Technician"/>
    <n v="1"/>
    <n v="9"/>
    <n v="1"/>
    <n v="2"/>
    <s v="No"/>
    <n v="4"/>
    <s v="31-40"/>
    <x v="3"/>
    <s v="NA"/>
    <x v="0"/>
  </r>
  <r>
    <n v="52"/>
    <x v="1"/>
    <x v="0"/>
    <n v="1"/>
    <n v="79"/>
    <s v="Manager"/>
    <n v="3"/>
    <n v="33"/>
    <n v="15"/>
    <n v="2"/>
    <s v="Yes"/>
    <n v="4"/>
    <s v="51+"/>
    <x v="4"/>
    <n v="50"/>
    <x v="3"/>
  </r>
  <r>
    <n v="32"/>
    <x v="1"/>
    <x v="0"/>
    <n v="3"/>
    <n v="56"/>
    <s v="Sales Representative"/>
    <n v="2"/>
    <n v="4"/>
    <n v="1"/>
    <n v="4"/>
    <s v="No"/>
    <n v="3"/>
    <s v="31-40"/>
    <x v="2"/>
    <n v="15"/>
    <x v="1"/>
  </r>
  <r>
    <n v="32"/>
    <x v="0"/>
    <x v="1"/>
    <n v="4"/>
    <n v="62"/>
    <s v="Laboratory Technician"/>
    <n v="3"/>
    <n v="3"/>
    <n v="1"/>
    <n v="1"/>
    <s v="Yes"/>
    <n v="1"/>
    <s v="31-40"/>
    <x v="1"/>
    <s v="NA"/>
    <x v="0"/>
  </r>
  <r>
    <n v="39"/>
    <x v="1"/>
    <x v="1"/>
    <n v="3"/>
    <n v="96"/>
    <s v="Laboratory Technician"/>
    <n v="3"/>
    <n v="3"/>
    <n v="1"/>
    <n v="1"/>
    <s v="No"/>
    <n v="3"/>
    <s v="31-40"/>
    <x v="0"/>
    <n v="0"/>
    <x v="1"/>
  </r>
  <r>
    <n v="32"/>
    <x v="1"/>
    <x v="0"/>
    <n v="3"/>
    <n v="100"/>
    <s v="Sales Executive"/>
    <n v="4"/>
    <n v="3"/>
    <n v="2"/>
    <n v="26"/>
    <s v="No"/>
    <n v="3"/>
    <s v="31-40"/>
    <x v="0"/>
    <n v="0"/>
    <x v="1"/>
  </r>
  <r>
    <n v="41"/>
    <x v="1"/>
    <x v="1"/>
    <n v="3"/>
    <n v="36"/>
    <s v="Research Scientist"/>
    <n v="1"/>
    <n v="1"/>
    <n v="0"/>
    <n v="19"/>
    <s v="No"/>
    <n v="2"/>
    <s v="41-50"/>
    <x v="3"/>
    <n v="15"/>
    <x v="1"/>
  </r>
  <r>
    <n v="40"/>
    <x v="1"/>
    <x v="1"/>
    <n v="1"/>
    <n v="62"/>
    <s v="Research Scientist"/>
    <n v="4"/>
    <n v="9"/>
    <n v="4"/>
    <n v="24"/>
    <s v="No"/>
    <n v="3"/>
    <s v="31-40"/>
    <x v="1"/>
    <n v="15"/>
    <x v="1"/>
  </r>
  <r>
    <n v="45"/>
    <x v="1"/>
    <x v="1"/>
    <n v="3"/>
    <n v="70"/>
    <s v="Manager"/>
    <n v="4"/>
    <n v="24"/>
    <n v="1"/>
    <n v="1"/>
    <s v="No"/>
    <n v="3"/>
    <s v="41-50"/>
    <x v="1"/>
    <n v="0"/>
    <x v="1"/>
  </r>
  <r>
    <n v="31"/>
    <x v="1"/>
    <x v="1"/>
    <n v="2"/>
    <n v="73"/>
    <s v="Research Director"/>
    <n v="3"/>
    <n v="2"/>
    <n v="2"/>
    <n v="3"/>
    <s v="No"/>
    <n v="3"/>
    <s v="31-40"/>
    <x v="1"/>
    <n v="15"/>
    <x v="1"/>
  </r>
  <r>
    <n v="33"/>
    <x v="1"/>
    <x v="1"/>
    <n v="3"/>
    <n v="63"/>
    <s v="Research Scientist"/>
    <n v="4"/>
    <n v="2"/>
    <n v="0"/>
    <n v="5"/>
    <s v="No"/>
    <n v="2"/>
    <s v="31-40"/>
    <x v="1"/>
    <n v="0"/>
    <x v="1"/>
  </r>
  <r>
    <n v="34"/>
    <x v="1"/>
    <x v="1"/>
    <n v="4"/>
    <n v="84"/>
    <s v="Manufacturing Director"/>
    <n v="1"/>
    <n v="11"/>
    <n v="5"/>
    <n v="2"/>
    <s v="No"/>
    <n v="3"/>
    <s v="31-40"/>
    <x v="4"/>
    <n v="15"/>
    <x v="1"/>
  </r>
  <r>
    <n v="37"/>
    <x v="1"/>
    <x v="1"/>
    <n v="3"/>
    <n v="83"/>
    <s v="Research Scientist"/>
    <n v="1"/>
    <n v="3"/>
    <n v="0"/>
    <n v="1"/>
    <s v="No"/>
    <n v="2"/>
    <s v="31-40"/>
    <x v="4"/>
    <n v="15"/>
    <x v="1"/>
  </r>
  <r>
    <n v="45"/>
    <x v="1"/>
    <x v="1"/>
    <n v="1"/>
    <n v="77"/>
    <s v="Manufacturing Director"/>
    <n v="3"/>
    <n v="3"/>
    <n v="0"/>
    <n v="7"/>
    <s v="No"/>
    <n v="3"/>
    <s v="41-50"/>
    <x v="4"/>
    <n v="15"/>
    <x v="1"/>
  </r>
  <r>
    <n v="37"/>
    <x v="0"/>
    <x v="1"/>
    <n v="1"/>
    <n v="61"/>
    <s v="Manufacturing Director"/>
    <n v="3"/>
    <n v="1"/>
    <n v="0"/>
    <n v="10"/>
    <s v="No"/>
    <n v="3"/>
    <s v="31-40"/>
    <x v="1"/>
    <s v="NA"/>
    <x v="0"/>
  </r>
  <r>
    <n v="39"/>
    <x v="1"/>
    <x v="1"/>
    <n v="3"/>
    <n v="64"/>
    <s v="Healthcare Representative"/>
    <n v="3"/>
    <n v="19"/>
    <n v="11"/>
    <n v="2"/>
    <s v="No"/>
    <n v="3"/>
    <s v="31-40"/>
    <x v="1"/>
    <n v="0"/>
    <x v="1"/>
  </r>
  <r>
    <n v="29"/>
    <x v="1"/>
    <x v="1"/>
    <n v="3"/>
    <n v="60"/>
    <s v="Research Scientist"/>
    <n v="4"/>
    <n v="6"/>
    <n v="1"/>
    <n v="15"/>
    <s v="No"/>
    <n v="3"/>
    <s v="18-30"/>
    <x v="2"/>
    <n v="0"/>
    <x v="1"/>
  </r>
  <r>
    <n v="42"/>
    <x v="1"/>
    <x v="1"/>
    <n v="4"/>
    <n v="82"/>
    <s v="Research Scientist"/>
    <n v="1"/>
    <n v="3"/>
    <n v="0"/>
    <n v="17"/>
    <s v="Yes"/>
    <n v="3"/>
    <s v="41-50"/>
    <x v="4"/>
    <n v="50"/>
    <x v="3"/>
  </r>
  <r>
    <n v="29"/>
    <x v="1"/>
    <x v="0"/>
    <n v="4"/>
    <n v="45"/>
    <s v="Sales Executive"/>
    <n v="4"/>
    <n v="3"/>
    <n v="0"/>
    <n v="20"/>
    <s v="No"/>
    <n v="3"/>
    <s v="18-30"/>
    <x v="3"/>
    <n v="0"/>
    <x v="1"/>
  </r>
  <r>
    <n v="25"/>
    <x v="1"/>
    <x v="1"/>
    <n v="1"/>
    <n v="62"/>
    <s v="Manufacturing Director"/>
    <n v="3"/>
    <n v="4"/>
    <n v="1"/>
    <n v="1"/>
    <s v="No"/>
    <n v="3"/>
    <s v="18-30"/>
    <x v="1"/>
    <n v="15"/>
    <x v="1"/>
  </r>
  <r>
    <n v="42"/>
    <x v="1"/>
    <x v="1"/>
    <n v="4"/>
    <n v="56"/>
    <s v="Laboratory Technician"/>
    <n v="1"/>
    <n v="9"/>
    <n v="7"/>
    <n v="2"/>
    <s v="Yes"/>
    <n v="3"/>
    <s v="41-50"/>
    <x v="2"/>
    <n v="50"/>
    <x v="3"/>
  </r>
  <r>
    <n v="40"/>
    <x v="1"/>
    <x v="1"/>
    <n v="1"/>
    <n v="49"/>
    <s v="Research Director"/>
    <n v="3"/>
    <n v="21"/>
    <n v="3"/>
    <n v="2"/>
    <s v="No"/>
    <n v="3"/>
    <s v="31-40"/>
    <x v="2"/>
    <n v="15"/>
    <x v="1"/>
  </r>
  <r>
    <n v="51"/>
    <x v="1"/>
    <x v="1"/>
    <n v="3"/>
    <n v="96"/>
    <s v="Research Scientist"/>
    <n v="4"/>
    <n v="1"/>
    <n v="0"/>
    <n v="1"/>
    <s v="No"/>
    <n v="2"/>
    <s v="51+"/>
    <x v="0"/>
    <n v="0"/>
    <x v="1"/>
  </r>
  <r>
    <n v="31"/>
    <x v="0"/>
    <x v="1"/>
    <n v="3"/>
    <n v="71"/>
    <s v="Laboratory Technician"/>
    <n v="2"/>
    <n v="5"/>
    <n v="1"/>
    <n v="29"/>
    <s v="No"/>
    <n v="4"/>
    <s v="31-40"/>
    <x v="1"/>
    <s v="NA"/>
    <x v="0"/>
  </r>
  <r>
    <n v="32"/>
    <x v="1"/>
    <x v="1"/>
    <n v="2"/>
    <n v="100"/>
    <s v="Laboratory Technician"/>
    <n v="2"/>
    <n v="5"/>
    <n v="0"/>
    <n v="7"/>
    <s v="No"/>
    <n v="1"/>
    <s v="31-40"/>
    <x v="0"/>
    <n v="65"/>
    <x v="3"/>
  </r>
  <r>
    <n v="38"/>
    <x v="1"/>
    <x v="0"/>
    <n v="4"/>
    <n v="39"/>
    <s v="Sales Executive"/>
    <n v="4"/>
    <n v="8"/>
    <n v="7"/>
    <n v="2"/>
    <s v="No"/>
    <n v="3"/>
    <s v="31-40"/>
    <x v="3"/>
    <n v="0"/>
    <x v="1"/>
  </r>
  <r>
    <n v="32"/>
    <x v="1"/>
    <x v="1"/>
    <n v="4"/>
    <n v="84"/>
    <s v="Laboratory Technician"/>
    <n v="1"/>
    <n v="6"/>
    <n v="0"/>
    <n v="2"/>
    <s v="No"/>
    <n v="3"/>
    <s v="31-40"/>
    <x v="4"/>
    <n v="15"/>
    <x v="1"/>
  </r>
  <r>
    <n v="46"/>
    <x v="1"/>
    <x v="0"/>
    <n v="3"/>
    <n v="75"/>
    <s v="Manager"/>
    <n v="2"/>
    <n v="7"/>
    <n v="7"/>
    <n v="2"/>
    <s v="Yes"/>
    <n v="2"/>
    <s v="41-50"/>
    <x v="1"/>
    <n v="50"/>
    <x v="3"/>
  </r>
  <r>
    <n v="28"/>
    <x v="0"/>
    <x v="1"/>
    <n v="1"/>
    <n v="79"/>
    <s v="Laboratory Technician"/>
    <n v="3"/>
    <n v="0"/>
    <n v="0"/>
    <n v="2"/>
    <s v="No"/>
    <n v="1"/>
    <s v="18-30"/>
    <x v="4"/>
    <s v="NA"/>
    <x v="0"/>
  </r>
  <r>
    <n v="29"/>
    <x v="1"/>
    <x v="0"/>
    <n v="1"/>
    <n v="78"/>
    <s v="Sales Executive"/>
    <n v="2"/>
    <n v="0"/>
    <n v="0"/>
    <n v="2"/>
    <s v="No"/>
    <n v="3"/>
    <s v="18-30"/>
    <x v="4"/>
    <n v="30"/>
    <x v="2"/>
  </r>
  <r>
    <n v="31"/>
    <x v="1"/>
    <x v="1"/>
    <n v="2"/>
    <n v="64"/>
    <s v="Healthcare Representative"/>
    <n v="4"/>
    <n v="9"/>
    <n v="7"/>
    <n v="23"/>
    <s v="No"/>
    <n v="3"/>
    <s v="31-40"/>
    <x v="1"/>
    <n v="15"/>
    <x v="1"/>
  </r>
  <r>
    <n v="25"/>
    <x v="1"/>
    <x v="1"/>
    <n v="2"/>
    <n v="85"/>
    <s v="Healthcare Representative"/>
    <n v="1"/>
    <n v="6"/>
    <n v="1"/>
    <n v="5"/>
    <s v="No"/>
    <n v="3"/>
    <s v="18-30"/>
    <x v="4"/>
    <n v="30"/>
    <x v="2"/>
  </r>
  <r>
    <n v="45"/>
    <x v="1"/>
    <x v="1"/>
    <n v="3"/>
    <n v="79"/>
    <s v="Healthcare Representative"/>
    <n v="4"/>
    <n v="20"/>
    <n v="4"/>
    <n v="20"/>
    <s v="Yes"/>
    <n v="3"/>
    <s v="41-50"/>
    <x v="4"/>
    <n v="35"/>
    <x v="2"/>
  </r>
  <r>
    <n v="36"/>
    <x v="1"/>
    <x v="1"/>
    <n v="4"/>
    <n v="47"/>
    <s v="Laboratory Technician"/>
    <n v="4"/>
    <n v="15"/>
    <n v="10"/>
    <n v="6"/>
    <s v="No"/>
    <n v="3"/>
    <s v="31-40"/>
    <x v="2"/>
    <n v="0"/>
    <x v="1"/>
  </r>
  <r>
    <n v="55"/>
    <x v="1"/>
    <x v="1"/>
    <n v="4"/>
    <n v="81"/>
    <s v="Manager"/>
    <n v="1"/>
    <n v="36"/>
    <n v="4"/>
    <n v="1"/>
    <s v="Yes"/>
    <n v="3"/>
    <s v="51+"/>
    <x v="4"/>
    <n v="50"/>
    <x v="3"/>
  </r>
  <r>
    <n v="47"/>
    <x v="0"/>
    <x v="1"/>
    <n v="1"/>
    <n v="88"/>
    <s v="Manager"/>
    <n v="2"/>
    <n v="10"/>
    <n v="9"/>
    <n v="29"/>
    <s v="Yes"/>
    <n v="2"/>
    <s v="41-50"/>
    <x v="4"/>
    <s v="NA"/>
    <x v="0"/>
  </r>
  <r>
    <n v="28"/>
    <x v="1"/>
    <x v="1"/>
    <n v="4"/>
    <n v="94"/>
    <s v="Research Scientist"/>
    <n v="4"/>
    <n v="5"/>
    <n v="0"/>
    <n v="9"/>
    <s v="No"/>
    <n v="2"/>
    <s v="18-30"/>
    <x v="0"/>
    <n v="0"/>
    <x v="1"/>
  </r>
  <r>
    <n v="37"/>
    <x v="1"/>
    <x v="0"/>
    <n v="3"/>
    <n v="98"/>
    <s v="Sales Executive"/>
    <n v="4"/>
    <n v="5"/>
    <n v="0"/>
    <n v="6"/>
    <s v="No"/>
    <n v="4"/>
    <s v="31-40"/>
    <x v="0"/>
    <n v="0"/>
    <x v="1"/>
  </r>
  <r>
    <n v="21"/>
    <x v="1"/>
    <x v="1"/>
    <n v="4"/>
    <n v="100"/>
    <s v="Research Scientist"/>
    <n v="3"/>
    <n v="3"/>
    <n v="1"/>
    <n v="3"/>
    <s v="No"/>
    <n v="4"/>
    <s v="18-30"/>
    <x v="0"/>
    <n v="0"/>
    <x v="1"/>
  </r>
  <r>
    <n v="37"/>
    <x v="1"/>
    <x v="1"/>
    <n v="1"/>
    <n v="80"/>
    <s v="Research Director"/>
    <n v="4"/>
    <n v="5"/>
    <n v="0"/>
    <n v="1"/>
    <s v="Yes"/>
    <n v="3"/>
    <s v="31-40"/>
    <x v="4"/>
    <n v="50"/>
    <x v="3"/>
  </r>
  <r>
    <n v="35"/>
    <x v="1"/>
    <x v="1"/>
    <n v="2"/>
    <n v="71"/>
    <s v="Manager"/>
    <n v="2"/>
    <n v="7"/>
    <n v="6"/>
    <n v="22"/>
    <s v="No"/>
    <n v="2"/>
    <s v="31-40"/>
    <x v="1"/>
    <n v="30"/>
    <x v="2"/>
  </r>
  <r>
    <n v="38"/>
    <x v="1"/>
    <x v="0"/>
    <n v="1"/>
    <n v="44"/>
    <s v="Sales Executive"/>
    <n v="1"/>
    <n v="8"/>
    <n v="7"/>
    <n v="7"/>
    <s v="Yes"/>
    <n v="3"/>
    <s v="31-40"/>
    <x v="3"/>
    <n v="65"/>
    <x v="3"/>
  </r>
  <r>
    <n v="26"/>
    <x v="1"/>
    <x v="1"/>
    <n v="3"/>
    <n v="84"/>
    <s v="Manufacturing Director"/>
    <n v="2"/>
    <n v="6"/>
    <n v="1"/>
    <n v="1"/>
    <s v="No"/>
    <n v="1"/>
    <s v="18-30"/>
    <x v="4"/>
    <n v="50"/>
    <x v="3"/>
  </r>
  <r>
    <n v="50"/>
    <x v="1"/>
    <x v="1"/>
    <n v="1"/>
    <n v="96"/>
    <s v="Research Director"/>
    <n v="2"/>
    <n v="10"/>
    <n v="1"/>
    <n v="4"/>
    <s v="No"/>
    <n v="2"/>
    <s v="41-50"/>
    <x v="0"/>
    <n v="30"/>
    <x v="2"/>
  </r>
  <r>
    <n v="53"/>
    <x v="1"/>
    <x v="1"/>
    <n v="3"/>
    <n v="45"/>
    <s v="Research Director"/>
    <n v="3"/>
    <n v="5"/>
    <n v="1"/>
    <n v="3"/>
    <s v="Yes"/>
    <n v="2"/>
    <s v="51+"/>
    <x v="3"/>
    <n v="35"/>
    <x v="2"/>
  </r>
  <r>
    <n v="42"/>
    <x v="1"/>
    <x v="0"/>
    <n v="2"/>
    <n v="99"/>
    <s v="Sales Executive"/>
    <n v="3"/>
    <n v="20"/>
    <n v="11"/>
    <n v="1"/>
    <s v="No"/>
    <n v="3"/>
    <s v="41-50"/>
    <x v="0"/>
    <n v="15"/>
    <x v="1"/>
  </r>
  <r>
    <n v="29"/>
    <x v="1"/>
    <x v="0"/>
    <n v="2"/>
    <n v="44"/>
    <s v="Sales Executive"/>
    <n v="4"/>
    <n v="10"/>
    <n v="0"/>
    <n v="2"/>
    <s v="No"/>
    <n v="2"/>
    <s v="18-30"/>
    <x v="3"/>
    <n v="15"/>
    <x v="1"/>
  </r>
  <r>
    <n v="55"/>
    <x v="1"/>
    <x v="1"/>
    <n v="2"/>
    <n v="37"/>
    <s v="Laboratory Technician"/>
    <n v="4"/>
    <n v="10"/>
    <n v="0"/>
    <n v="20"/>
    <s v="Yes"/>
    <n v="3"/>
    <s v="51+"/>
    <x v="3"/>
    <n v="50"/>
    <x v="3"/>
  </r>
  <r>
    <n v="26"/>
    <x v="1"/>
    <x v="1"/>
    <n v="1"/>
    <n v="60"/>
    <s v="Healthcare Representative"/>
    <n v="1"/>
    <n v="5"/>
    <n v="3"/>
    <n v="11"/>
    <s v="Yes"/>
    <n v="3"/>
    <s v="18-30"/>
    <x v="2"/>
    <n v="65"/>
    <x v="3"/>
  </r>
  <r>
    <n v="37"/>
    <x v="1"/>
    <x v="1"/>
    <n v="4"/>
    <n v="42"/>
    <s v="Research Scientist"/>
    <n v="4"/>
    <n v="17"/>
    <n v="5"/>
    <n v="1"/>
    <s v="No"/>
    <n v="3"/>
    <s v="31-40"/>
    <x v="3"/>
    <n v="0"/>
    <x v="1"/>
  </r>
  <r>
    <n v="44"/>
    <x v="0"/>
    <x v="1"/>
    <n v="4"/>
    <n v="43"/>
    <s v="Laboratory Technician"/>
    <n v="3"/>
    <n v="1"/>
    <n v="0"/>
    <n v="24"/>
    <s v="Yes"/>
    <n v="1"/>
    <s v="41-50"/>
    <x v="3"/>
    <s v="NA"/>
    <x v="0"/>
  </r>
  <r>
    <n v="38"/>
    <x v="1"/>
    <x v="1"/>
    <n v="4"/>
    <n v="82"/>
    <s v="Healthcare Representative"/>
    <n v="4"/>
    <n v="2"/>
    <n v="1"/>
    <n v="23"/>
    <s v="No"/>
    <n v="3"/>
    <s v="31-40"/>
    <x v="4"/>
    <n v="0"/>
    <x v="1"/>
  </r>
  <r>
    <n v="26"/>
    <x v="0"/>
    <x v="1"/>
    <n v="1"/>
    <n v="45"/>
    <s v="Laboratory Technician"/>
    <n v="2"/>
    <n v="3"/>
    <n v="0"/>
    <n v="16"/>
    <s v="Yes"/>
    <n v="3"/>
    <s v="18-30"/>
    <x v="3"/>
    <s v="NA"/>
    <x v="0"/>
  </r>
  <r>
    <n v="28"/>
    <x v="1"/>
    <x v="1"/>
    <n v="4"/>
    <n v="66"/>
    <s v="Research Scientist"/>
    <n v="4"/>
    <n v="5"/>
    <n v="0"/>
    <n v="8"/>
    <s v="No"/>
    <n v="3"/>
    <s v="18-30"/>
    <x v="1"/>
    <n v="0"/>
    <x v="1"/>
  </r>
  <r>
    <n v="49"/>
    <x v="1"/>
    <x v="1"/>
    <n v="3"/>
    <n v="35"/>
    <s v="Research Director"/>
    <n v="1"/>
    <n v="3"/>
    <n v="1"/>
    <n v="10"/>
    <s v="Yes"/>
    <n v="3"/>
    <s v="41-50"/>
    <x v="3"/>
    <n v="50"/>
    <x v="3"/>
  </r>
  <r>
    <n v="36"/>
    <x v="1"/>
    <x v="1"/>
    <n v="3"/>
    <n v="30"/>
    <s v="Research Scientist"/>
    <n v="2"/>
    <n v="8"/>
    <n v="7"/>
    <n v="3"/>
    <s v="No"/>
    <n v="3"/>
    <s v="31-40"/>
    <x v="3"/>
    <n v="15"/>
    <x v="1"/>
  </r>
  <r>
    <n v="31"/>
    <x v="1"/>
    <x v="0"/>
    <n v="4"/>
    <n v="84"/>
    <s v="Sales Representative"/>
    <n v="2"/>
    <n v="2"/>
    <n v="2"/>
    <n v="5"/>
    <s v="No"/>
    <n v="2"/>
    <s v="31-40"/>
    <x v="4"/>
    <n v="15"/>
    <x v="1"/>
  </r>
  <r>
    <n v="26"/>
    <x v="0"/>
    <x v="0"/>
    <n v="4"/>
    <n v="48"/>
    <s v="Sales Executive"/>
    <n v="4"/>
    <n v="8"/>
    <n v="7"/>
    <n v="4"/>
    <s v="Yes"/>
    <n v="3"/>
    <s v="18-30"/>
    <x v="2"/>
    <s v="NA"/>
    <x v="0"/>
  </r>
  <r>
    <n v="37"/>
    <x v="1"/>
    <x v="1"/>
    <n v="2"/>
    <n v="53"/>
    <s v="Research Scientist"/>
    <n v="4"/>
    <n v="4"/>
    <n v="1"/>
    <n v="9"/>
    <s v="Yes"/>
    <n v="2"/>
    <s v="31-40"/>
    <x v="2"/>
    <n v="50"/>
    <x v="3"/>
  </r>
  <r>
    <n v="42"/>
    <x v="1"/>
    <x v="0"/>
    <n v="3"/>
    <n v="77"/>
    <s v="Sales Executive"/>
    <n v="2"/>
    <n v="20"/>
    <n v="4"/>
    <n v="26"/>
    <s v="No"/>
    <n v="4"/>
    <s v="41-50"/>
    <x v="4"/>
    <n v="15"/>
    <x v="1"/>
  </r>
  <r>
    <n v="18"/>
    <x v="0"/>
    <x v="1"/>
    <n v="3"/>
    <n v="54"/>
    <s v="Laboratory Technician"/>
    <n v="3"/>
    <n v="0"/>
    <n v="0"/>
    <n v="3"/>
    <s v="No"/>
    <n v="3"/>
    <s v="18-30"/>
    <x v="2"/>
    <s v="NA"/>
    <x v="0"/>
  </r>
  <r>
    <n v="35"/>
    <x v="1"/>
    <x v="0"/>
    <n v="3"/>
    <n v="96"/>
    <s v="Sales Executive"/>
    <n v="2"/>
    <n v="11"/>
    <n v="6"/>
    <n v="16"/>
    <s v="No"/>
    <n v="2"/>
    <s v="31-40"/>
    <x v="0"/>
    <n v="15"/>
    <x v="1"/>
  </r>
  <r>
    <n v="36"/>
    <x v="1"/>
    <x v="1"/>
    <n v="3"/>
    <n v="81"/>
    <s v="Laboratory Technician"/>
    <n v="4"/>
    <n v="1"/>
    <n v="0"/>
    <n v="18"/>
    <s v="No"/>
    <n v="3"/>
    <s v="31-40"/>
    <x v="4"/>
    <n v="0"/>
    <x v="1"/>
  </r>
  <r>
    <n v="51"/>
    <x v="1"/>
    <x v="1"/>
    <n v="4"/>
    <n v="84"/>
    <s v="Manufacturing Director"/>
    <n v="2"/>
    <n v="4"/>
    <n v="1"/>
    <n v="2"/>
    <s v="No"/>
    <n v="3"/>
    <s v="51+"/>
    <x v="4"/>
    <n v="15"/>
    <x v="1"/>
  </r>
  <r>
    <n v="41"/>
    <x v="1"/>
    <x v="0"/>
    <n v="4"/>
    <n v="88"/>
    <s v="Manager"/>
    <n v="2"/>
    <n v="22"/>
    <n v="0"/>
    <n v="2"/>
    <s v="No"/>
    <n v="3"/>
    <s v="41-50"/>
    <x v="4"/>
    <n v="15"/>
    <x v="1"/>
  </r>
  <r>
    <n v="18"/>
    <x v="1"/>
    <x v="0"/>
    <n v="4"/>
    <n v="69"/>
    <s v="Sales Representative"/>
    <n v="3"/>
    <n v="0"/>
    <n v="0"/>
    <n v="10"/>
    <s v="No"/>
    <n v="3"/>
    <s v="18-30"/>
    <x v="1"/>
    <n v="0"/>
    <x v="1"/>
  </r>
  <r>
    <n v="28"/>
    <x v="1"/>
    <x v="1"/>
    <n v="2"/>
    <n v="68"/>
    <s v="Healthcare Representative"/>
    <n v="1"/>
    <n v="8"/>
    <n v="0"/>
    <n v="16"/>
    <s v="No"/>
    <n v="3"/>
    <s v="18-30"/>
    <x v="1"/>
    <n v="30"/>
    <x v="2"/>
  </r>
  <r>
    <n v="31"/>
    <x v="1"/>
    <x v="0"/>
    <n v="2"/>
    <n v="100"/>
    <s v="Sales Executive"/>
    <n v="4"/>
    <n v="8"/>
    <n v="7"/>
    <n v="7"/>
    <s v="No"/>
    <n v="2"/>
    <s v="31-40"/>
    <x v="0"/>
    <n v="15"/>
    <x v="1"/>
  </r>
  <r>
    <n v="39"/>
    <x v="1"/>
    <x v="1"/>
    <n v="3"/>
    <n v="48"/>
    <s v="Healthcare Representative"/>
    <n v="4"/>
    <n v="18"/>
    <n v="3"/>
    <n v="1"/>
    <s v="No"/>
    <n v="2"/>
    <s v="31-40"/>
    <x v="2"/>
    <n v="0"/>
    <x v="1"/>
  </r>
  <r>
    <n v="36"/>
    <x v="1"/>
    <x v="1"/>
    <n v="2"/>
    <n v="47"/>
    <s v="Laboratory Technician"/>
    <n v="2"/>
    <n v="9"/>
    <n v="0"/>
    <n v="24"/>
    <s v="No"/>
    <n v="3"/>
    <s v="31-40"/>
    <x v="2"/>
    <n v="30"/>
    <x v="2"/>
  </r>
  <r>
    <n v="32"/>
    <x v="1"/>
    <x v="0"/>
    <n v="4"/>
    <n v="91"/>
    <s v="Sales Executive"/>
    <n v="3"/>
    <n v="13"/>
    <n v="4"/>
    <n v="7"/>
    <s v="No"/>
    <n v="2"/>
    <s v="31-40"/>
    <x v="0"/>
    <n v="0"/>
    <x v="1"/>
  </r>
  <r>
    <n v="38"/>
    <x v="1"/>
    <x v="1"/>
    <n v="1"/>
    <n v="81"/>
    <s v="Research Director"/>
    <n v="2"/>
    <n v="10"/>
    <n v="0"/>
    <n v="25"/>
    <s v="No"/>
    <n v="3"/>
    <s v="31-40"/>
    <x v="4"/>
    <n v="30"/>
    <x v="2"/>
  </r>
  <r>
    <n v="58"/>
    <x v="1"/>
    <x v="1"/>
    <n v="4"/>
    <n v="32"/>
    <s v="Healthcare Representative"/>
    <n v="3"/>
    <n v="5"/>
    <n v="1"/>
    <n v="1"/>
    <s v="Yes"/>
    <n v="3"/>
    <s v="51+"/>
    <x v="3"/>
    <n v="35"/>
    <x v="2"/>
  </r>
  <r>
    <n v="31"/>
    <x v="1"/>
    <x v="1"/>
    <n v="3"/>
    <n v="86"/>
    <s v="Research Scientist"/>
    <n v="4"/>
    <n v="5"/>
    <n v="0"/>
    <n v="5"/>
    <s v="Yes"/>
    <n v="3"/>
    <s v="31-40"/>
    <x v="4"/>
    <n v="35"/>
    <x v="2"/>
  </r>
  <r>
    <n v="31"/>
    <x v="1"/>
    <x v="2"/>
    <n v="1"/>
    <n v="62"/>
    <s v="Human Resources"/>
    <n v="1"/>
    <n v="2"/>
    <n v="1"/>
    <n v="2"/>
    <s v="No"/>
    <n v="3"/>
    <s v="31-40"/>
    <x v="1"/>
    <n v="30"/>
    <x v="2"/>
  </r>
  <r>
    <n v="45"/>
    <x v="1"/>
    <x v="1"/>
    <n v="1"/>
    <n v="97"/>
    <s v="Laboratory Technician"/>
    <n v="1"/>
    <n v="24"/>
    <n v="9"/>
    <n v="7"/>
    <s v="No"/>
    <n v="3"/>
    <s v="41-50"/>
    <x v="0"/>
    <n v="30"/>
    <x v="2"/>
  </r>
  <r>
    <n v="31"/>
    <x v="1"/>
    <x v="1"/>
    <n v="3"/>
    <n v="32"/>
    <s v="Research Scientist"/>
    <n v="4"/>
    <n v="2"/>
    <n v="2"/>
    <n v="2"/>
    <s v="Yes"/>
    <n v="1"/>
    <s v="31-40"/>
    <x v="3"/>
    <n v="70"/>
    <x v="4"/>
  </r>
  <r>
    <n v="33"/>
    <x v="1"/>
    <x v="1"/>
    <n v="4"/>
    <n v="74"/>
    <s v="Manager"/>
    <n v="2"/>
    <n v="10"/>
    <n v="8"/>
    <n v="5"/>
    <s v="No"/>
    <n v="3"/>
    <s v="31-40"/>
    <x v="1"/>
    <n v="15"/>
    <x v="1"/>
  </r>
  <r>
    <n v="39"/>
    <x v="1"/>
    <x v="1"/>
    <n v="3"/>
    <n v="99"/>
    <s v="Manager"/>
    <n v="1"/>
    <n v="21"/>
    <n v="11"/>
    <n v="10"/>
    <s v="Yes"/>
    <n v="3"/>
    <s v="31-40"/>
    <x v="0"/>
    <n v="50"/>
    <x v="3"/>
  </r>
  <r>
    <n v="43"/>
    <x v="1"/>
    <x v="1"/>
    <n v="3"/>
    <n v="33"/>
    <s v="Laboratory Technician"/>
    <n v="4"/>
    <n v="8"/>
    <n v="1"/>
    <n v="10"/>
    <s v="No"/>
    <n v="3"/>
    <s v="41-50"/>
    <x v="3"/>
    <n v="0"/>
    <x v="1"/>
  </r>
  <r>
    <n v="49"/>
    <x v="1"/>
    <x v="1"/>
    <n v="3"/>
    <n v="90"/>
    <s v="Healthcare Representative"/>
    <n v="3"/>
    <n v="7"/>
    <n v="0"/>
    <n v="1"/>
    <s v="Yes"/>
    <n v="3"/>
    <s v="41-50"/>
    <x v="4"/>
    <n v="35"/>
    <x v="2"/>
  </r>
  <r>
    <n v="52"/>
    <x v="0"/>
    <x v="1"/>
    <n v="3"/>
    <n v="85"/>
    <s v="Research Scientist"/>
    <n v="2"/>
    <n v="8"/>
    <n v="7"/>
    <n v="8"/>
    <s v="No"/>
    <n v="2"/>
    <s v="51+"/>
    <x v="4"/>
    <s v="NA"/>
    <x v="0"/>
  </r>
  <r>
    <n v="27"/>
    <x v="1"/>
    <x v="1"/>
    <n v="3"/>
    <n v="85"/>
    <s v="Research Scientist"/>
    <n v="2"/>
    <n v="4"/>
    <n v="1"/>
    <n v="5"/>
    <s v="Yes"/>
    <n v="2"/>
    <s v="18-30"/>
    <x v="4"/>
    <n v="50"/>
    <x v="3"/>
  </r>
  <r>
    <n v="32"/>
    <x v="1"/>
    <x v="0"/>
    <n v="3"/>
    <n v="65"/>
    <s v="Sales Executive"/>
    <n v="2"/>
    <n v="13"/>
    <n v="11"/>
    <n v="8"/>
    <s v="Yes"/>
    <n v="3"/>
    <s v="31-40"/>
    <x v="1"/>
    <n v="50"/>
    <x v="3"/>
  </r>
  <r>
    <n v="27"/>
    <x v="1"/>
    <x v="0"/>
    <n v="4"/>
    <n v="74"/>
    <s v="Sales Executive"/>
    <n v="3"/>
    <n v="5"/>
    <n v="0"/>
    <n v="2"/>
    <s v="Yes"/>
    <n v="3"/>
    <s v="18-30"/>
    <x v="1"/>
    <n v="35"/>
    <x v="2"/>
  </r>
  <r>
    <n v="31"/>
    <x v="1"/>
    <x v="0"/>
    <n v="4"/>
    <n v="73"/>
    <s v="Sales Executive"/>
    <n v="4"/>
    <n v="7"/>
    <n v="1"/>
    <n v="7"/>
    <s v="No"/>
    <n v="3"/>
    <s v="31-40"/>
    <x v="1"/>
    <n v="0"/>
    <x v="1"/>
  </r>
  <r>
    <n v="32"/>
    <x v="1"/>
    <x v="1"/>
    <n v="1"/>
    <n v="74"/>
    <s v="Research Scientist"/>
    <n v="4"/>
    <n v="7"/>
    <n v="0"/>
    <n v="2"/>
    <s v="No"/>
    <n v="2"/>
    <s v="31-40"/>
    <x v="1"/>
    <n v="15"/>
    <x v="1"/>
  </r>
  <r>
    <n v="28"/>
    <x v="0"/>
    <x v="1"/>
    <n v="1"/>
    <n v="84"/>
    <s v="Research Scientist"/>
    <n v="4"/>
    <n v="3"/>
    <n v="2"/>
    <n v="2"/>
    <s v="Yes"/>
    <n v="2"/>
    <s v="18-30"/>
    <x v="4"/>
    <s v="NA"/>
    <x v="0"/>
  </r>
  <r>
    <n v="30"/>
    <x v="1"/>
    <x v="1"/>
    <n v="4"/>
    <n v="64"/>
    <s v="Research Scientist"/>
    <n v="4"/>
    <n v="10"/>
    <n v="1"/>
    <n v="28"/>
    <s v="No"/>
    <n v="3"/>
    <s v="18-30"/>
    <x v="1"/>
    <n v="0"/>
    <x v="1"/>
  </r>
  <r>
    <n v="31"/>
    <x v="1"/>
    <x v="1"/>
    <n v="3"/>
    <n v="48"/>
    <s v="Manufacturing Director"/>
    <n v="3"/>
    <n v="10"/>
    <n v="8"/>
    <n v="7"/>
    <s v="No"/>
    <n v="3"/>
    <s v="31-40"/>
    <x v="2"/>
    <n v="0"/>
    <x v="1"/>
  </r>
  <r>
    <n v="39"/>
    <x v="1"/>
    <x v="1"/>
    <n v="3"/>
    <n v="54"/>
    <s v="Manager"/>
    <n v="4"/>
    <n v="21"/>
    <n v="13"/>
    <n v="7"/>
    <s v="No"/>
    <n v="3"/>
    <s v="31-40"/>
    <x v="2"/>
    <n v="0"/>
    <x v="1"/>
  </r>
  <r>
    <n v="39"/>
    <x v="0"/>
    <x v="0"/>
    <n v="4"/>
    <n v="41"/>
    <s v="Sales Executive"/>
    <n v="3"/>
    <n v="1"/>
    <n v="0"/>
    <n v="3"/>
    <s v="Yes"/>
    <n v="2"/>
    <s v="31-40"/>
    <x v="3"/>
    <s v="NA"/>
    <x v="0"/>
  </r>
  <r>
    <n v="33"/>
    <x v="1"/>
    <x v="0"/>
    <n v="2"/>
    <n v="46"/>
    <s v="Sales Executive"/>
    <n v="4"/>
    <n v="7"/>
    <n v="0"/>
    <n v="10"/>
    <s v="No"/>
    <n v="2"/>
    <s v="31-40"/>
    <x v="2"/>
    <n v="15"/>
    <x v="1"/>
  </r>
  <r>
    <n v="47"/>
    <x v="1"/>
    <x v="1"/>
    <n v="4"/>
    <n v="42"/>
    <s v="Research Director"/>
    <n v="3"/>
    <n v="3"/>
    <n v="1"/>
    <n v="5"/>
    <s v="No"/>
    <n v="3"/>
    <s v="41-50"/>
    <x v="3"/>
    <n v="0"/>
    <x v="1"/>
  </r>
  <r>
    <n v="43"/>
    <x v="1"/>
    <x v="1"/>
    <n v="3"/>
    <n v="82"/>
    <s v="Laboratory Technician"/>
    <n v="3"/>
    <n v="9"/>
    <n v="0"/>
    <n v="10"/>
    <s v="No"/>
    <n v="4"/>
    <s v="41-50"/>
    <x v="4"/>
    <n v="0"/>
    <x v="1"/>
  </r>
  <r>
    <n v="27"/>
    <x v="1"/>
    <x v="0"/>
    <n v="3"/>
    <n v="73"/>
    <s v="Sales Executive"/>
    <n v="2"/>
    <n v="5"/>
    <n v="1"/>
    <n v="1"/>
    <s v="Yes"/>
    <n v="3"/>
    <s v="18-30"/>
    <x v="1"/>
    <n v="50"/>
    <x v="3"/>
  </r>
  <r>
    <n v="54"/>
    <x v="1"/>
    <x v="1"/>
    <n v="4"/>
    <n v="31"/>
    <s v="Research Scientist"/>
    <n v="3"/>
    <n v="4"/>
    <n v="0"/>
    <n v="20"/>
    <s v="No"/>
    <n v="2"/>
    <s v="51+"/>
    <x v="3"/>
    <n v="0"/>
    <x v="1"/>
  </r>
  <r>
    <n v="43"/>
    <x v="1"/>
    <x v="1"/>
    <n v="3"/>
    <n v="43"/>
    <s v="Healthcare Representative"/>
    <n v="1"/>
    <n v="1"/>
    <n v="0"/>
    <n v="7"/>
    <s v="No"/>
    <n v="2"/>
    <s v="41-50"/>
    <x v="3"/>
    <n v="15"/>
    <x v="1"/>
  </r>
  <r>
    <n v="45"/>
    <x v="1"/>
    <x v="1"/>
    <n v="4"/>
    <n v="75"/>
    <s v="Research Scientist"/>
    <n v="4"/>
    <n v="10"/>
    <n v="9"/>
    <n v="8"/>
    <s v="No"/>
    <n v="3"/>
    <s v="41-50"/>
    <x v="1"/>
    <n v="0"/>
    <x v="1"/>
  </r>
  <r>
    <n v="40"/>
    <x v="1"/>
    <x v="0"/>
    <n v="2"/>
    <n v="57"/>
    <s v="Sales Executive"/>
    <n v="4"/>
    <n v="4"/>
    <n v="0"/>
    <n v="1"/>
    <s v="Yes"/>
    <n v="2"/>
    <s v="31-40"/>
    <x v="2"/>
    <n v="50"/>
    <x v="3"/>
  </r>
  <r>
    <n v="29"/>
    <x v="0"/>
    <x v="1"/>
    <n v="2"/>
    <n v="77"/>
    <s v="Laboratory Technician"/>
    <n v="1"/>
    <n v="7"/>
    <n v="0"/>
    <n v="8"/>
    <s v="Yes"/>
    <n v="2"/>
    <s v="18-30"/>
    <x v="4"/>
    <s v="NA"/>
    <x v="0"/>
  </r>
  <r>
    <n v="29"/>
    <x v="1"/>
    <x v="1"/>
    <n v="2"/>
    <n v="30"/>
    <s v="Laboratory Technician"/>
    <n v="4"/>
    <n v="3"/>
    <n v="2"/>
    <n v="9"/>
    <s v="No"/>
    <n v="3"/>
    <s v="18-30"/>
    <x v="3"/>
    <n v="15"/>
    <x v="1"/>
  </r>
  <r>
    <n v="30"/>
    <x v="1"/>
    <x v="0"/>
    <n v="4"/>
    <n v="30"/>
    <s v="Sales Executive"/>
    <n v="3"/>
    <n v="10"/>
    <n v="1"/>
    <n v="5"/>
    <s v="No"/>
    <n v="3"/>
    <s v="18-30"/>
    <x v="3"/>
    <n v="0"/>
    <x v="1"/>
  </r>
  <r>
    <n v="27"/>
    <x v="1"/>
    <x v="0"/>
    <n v="2"/>
    <n v="56"/>
    <s v="Sales Executive"/>
    <n v="2"/>
    <n v="8"/>
    <n v="0"/>
    <n v="8"/>
    <s v="No"/>
    <n v="3"/>
    <s v="18-30"/>
    <x v="2"/>
    <n v="30"/>
    <x v="2"/>
  </r>
  <r>
    <n v="37"/>
    <x v="1"/>
    <x v="1"/>
    <n v="4"/>
    <n v="61"/>
    <s v="Manufacturing Director"/>
    <n v="4"/>
    <n v="6"/>
    <n v="0"/>
    <n v="5"/>
    <s v="No"/>
    <n v="2"/>
    <s v="31-40"/>
    <x v="1"/>
    <n v="0"/>
    <x v="1"/>
  </r>
  <r>
    <n v="38"/>
    <x v="1"/>
    <x v="1"/>
    <n v="3"/>
    <n v="92"/>
    <s v="Research Director"/>
    <n v="4"/>
    <n v="11"/>
    <n v="2"/>
    <n v="15"/>
    <s v="Yes"/>
    <n v="3"/>
    <s v="31-40"/>
    <x v="0"/>
    <n v="35"/>
    <x v="2"/>
  </r>
  <r>
    <n v="31"/>
    <x v="1"/>
    <x v="1"/>
    <n v="3"/>
    <n v="39"/>
    <s v="Manufacturing Director"/>
    <n v="4"/>
    <n v="11"/>
    <n v="4"/>
    <n v="7"/>
    <s v="Yes"/>
    <n v="2"/>
    <s v="31-40"/>
    <x v="3"/>
    <n v="35"/>
    <x v="2"/>
  </r>
  <r>
    <n v="29"/>
    <x v="1"/>
    <x v="0"/>
    <n v="4"/>
    <n v="39"/>
    <s v="Sales Executive"/>
    <n v="2"/>
    <n v="7"/>
    <n v="1"/>
    <n v="10"/>
    <s v="Yes"/>
    <n v="3"/>
    <s v="18-30"/>
    <x v="3"/>
    <n v="50"/>
    <x v="3"/>
  </r>
  <r>
    <n v="35"/>
    <x v="1"/>
    <x v="1"/>
    <n v="3"/>
    <n v="62"/>
    <s v="Manufacturing Director"/>
    <n v="2"/>
    <n v="16"/>
    <n v="0"/>
    <n v="5"/>
    <s v="No"/>
    <n v="3"/>
    <s v="31-40"/>
    <x v="1"/>
    <n v="15"/>
    <x v="1"/>
  </r>
  <r>
    <n v="23"/>
    <x v="1"/>
    <x v="1"/>
    <n v="3"/>
    <n v="83"/>
    <s v="Research Scientist"/>
    <n v="4"/>
    <n v="4"/>
    <n v="0"/>
    <n v="26"/>
    <s v="No"/>
    <n v="2"/>
    <s v="18-30"/>
    <x v="4"/>
    <n v="0"/>
    <x v="1"/>
  </r>
  <r>
    <n v="41"/>
    <x v="1"/>
    <x v="1"/>
    <n v="4"/>
    <n v="95"/>
    <s v="Manufacturing Director"/>
    <n v="2"/>
    <n v="5"/>
    <n v="1"/>
    <n v="6"/>
    <s v="Yes"/>
    <n v="3"/>
    <s v="41-50"/>
    <x v="0"/>
    <n v="50"/>
    <x v="3"/>
  </r>
  <r>
    <n v="47"/>
    <x v="1"/>
    <x v="0"/>
    <n v="2"/>
    <n v="99"/>
    <s v="Sales Representative"/>
    <n v="3"/>
    <n v="0"/>
    <n v="0"/>
    <n v="4"/>
    <s v="No"/>
    <n v="3"/>
    <s v="41-50"/>
    <x v="0"/>
    <n v="15"/>
    <x v="1"/>
  </r>
  <r>
    <n v="42"/>
    <x v="1"/>
    <x v="1"/>
    <n v="1"/>
    <n v="44"/>
    <s v="Research Director"/>
    <n v="4"/>
    <n v="1"/>
    <n v="0"/>
    <n v="23"/>
    <s v="No"/>
    <n v="3"/>
    <s v="41-50"/>
    <x v="3"/>
    <n v="15"/>
    <x v="1"/>
  </r>
  <r>
    <n v="29"/>
    <x v="1"/>
    <x v="0"/>
    <n v="4"/>
    <n v="61"/>
    <s v="Sales Executive"/>
    <n v="3"/>
    <n v="4"/>
    <n v="0"/>
    <n v="2"/>
    <s v="No"/>
    <n v="2"/>
    <s v="18-30"/>
    <x v="1"/>
    <n v="0"/>
    <x v="1"/>
  </r>
  <r>
    <n v="42"/>
    <x v="1"/>
    <x v="2"/>
    <n v="3"/>
    <n v="52"/>
    <s v="Human Resources"/>
    <n v="3"/>
    <n v="3"/>
    <n v="1"/>
    <n v="2"/>
    <s v="Yes"/>
    <n v="3"/>
    <s v="41-50"/>
    <x v="2"/>
    <n v="35"/>
    <x v="2"/>
  </r>
  <r>
    <n v="32"/>
    <x v="1"/>
    <x v="1"/>
    <n v="3"/>
    <n v="75"/>
    <s v="Laboratory Technician"/>
    <n v="2"/>
    <n v="8"/>
    <n v="0"/>
    <n v="2"/>
    <s v="No"/>
    <n v="3"/>
    <s v="31-40"/>
    <x v="1"/>
    <n v="15"/>
    <x v="1"/>
  </r>
  <r>
    <n v="48"/>
    <x v="1"/>
    <x v="0"/>
    <n v="1"/>
    <n v="91"/>
    <s v="Manager"/>
    <n v="3"/>
    <n v="0"/>
    <n v="0"/>
    <n v="29"/>
    <s v="No"/>
    <n v="1"/>
    <s v="41-50"/>
    <x v="0"/>
    <n v="50"/>
    <x v="3"/>
  </r>
  <r>
    <n v="37"/>
    <x v="1"/>
    <x v="1"/>
    <n v="3"/>
    <n v="51"/>
    <s v="Research Scientist"/>
    <n v="1"/>
    <n v="7"/>
    <n v="6"/>
    <n v="6"/>
    <s v="Yes"/>
    <n v="3"/>
    <s v="31-40"/>
    <x v="2"/>
    <n v="50"/>
    <x v="3"/>
  </r>
  <r>
    <n v="30"/>
    <x v="1"/>
    <x v="0"/>
    <n v="4"/>
    <n v="85"/>
    <s v="Sales Executive"/>
    <n v="3"/>
    <n v="2"/>
    <n v="2"/>
    <n v="25"/>
    <s v="Yes"/>
    <n v="4"/>
    <s v="18-30"/>
    <x v="4"/>
    <n v="35"/>
    <x v="2"/>
  </r>
  <r>
    <n v="26"/>
    <x v="1"/>
    <x v="0"/>
    <n v="3"/>
    <n v="57"/>
    <s v="Sales Executive"/>
    <n v="3"/>
    <n v="8"/>
    <n v="7"/>
    <n v="1"/>
    <s v="No"/>
    <n v="3"/>
    <s v="18-30"/>
    <x v="2"/>
    <n v="0"/>
    <x v="1"/>
  </r>
  <r>
    <n v="42"/>
    <x v="1"/>
    <x v="1"/>
    <n v="1"/>
    <n v="98"/>
    <s v="Healthcare Representative"/>
    <n v="4"/>
    <n v="1"/>
    <n v="0"/>
    <n v="2"/>
    <s v="No"/>
    <n v="3"/>
    <s v="41-50"/>
    <x v="0"/>
    <n v="15"/>
    <x v="1"/>
  </r>
  <r>
    <n v="21"/>
    <x v="0"/>
    <x v="0"/>
    <n v="1"/>
    <n v="99"/>
    <s v="Sales Representative"/>
    <n v="2"/>
    <n v="3"/>
    <n v="1"/>
    <n v="1"/>
    <s v="Yes"/>
    <n v="3"/>
    <s v="18-30"/>
    <x v="0"/>
    <s v="NA"/>
    <x v="0"/>
  </r>
  <r>
    <n v="36"/>
    <x v="1"/>
    <x v="0"/>
    <n v="4"/>
    <n v="45"/>
    <s v="Sales Executive"/>
    <n v="4"/>
    <n v="1"/>
    <n v="0"/>
    <n v="1"/>
    <s v="No"/>
    <n v="3"/>
    <s v="31-40"/>
    <x v="3"/>
    <n v="0"/>
    <x v="1"/>
  </r>
  <r>
    <n v="36"/>
    <x v="1"/>
    <x v="0"/>
    <n v="1"/>
    <n v="48"/>
    <s v="Sales Executive"/>
    <n v="4"/>
    <n v="13"/>
    <n v="1"/>
    <n v="3"/>
    <s v="No"/>
    <n v="3"/>
    <s v="31-40"/>
    <x v="2"/>
    <n v="15"/>
    <x v="1"/>
  </r>
  <r>
    <n v="57"/>
    <x v="1"/>
    <x v="1"/>
    <n v="4"/>
    <n v="88"/>
    <s v="Healthcare Representative"/>
    <n v="3"/>
    <n v="3"/>
    <n v="1"/>
    <n v="1"/>
    <s v="No"/>
    <n v="3"/>
    <s v="51+"/>
    <x v="4"/>
    <n v="0"/>
    <x v="1"/>
  </r>
  <r>
    <n v="40"/>
    <x v="1"/>
    <x v="1"/>
    <n v="4"/>
    <n v="46"/>
    <s v="Laboratory Technician"/>
    <n v="3"/>
    <n v="7"/>
    <n v="1"/>
    <n v="10"/>
    <s v="Yes"/>
    <n v="3"/>
    <s v="31-40"/>
    <x v="2"/>
    <n v="35"/>
    <x v="2"/>
  </r>
  <r>
    <n v="21"/>
    <x v="1"/>
    <x v="0"/>
    <n v="1"/>
    <n v="39"/>
    <s v="Sales Representative"/>
    <n v="4"/>
    <n v="3"/>
    <n v="2"/>
    <n v="9"/>
    <s v="No"/>
    <n v="2"/>
    <s v="18-30"/>
    <x v="3"/>
    <n v="15"/>
    <x v="1"/>
  </r>
  <r>
    <n v="33"/>
    <x v="0"/>
    <x v="0"/>
    <n v="4"/>
    <n v="34"/>
    <s v="Sales Representative"/>
    <n v="3"/>
    <n v="1"/>
    <n v="0"/>
    <n v="5"/>
    <s v="Yes"/>
    <n v="3"/>
    <s v="31-40"/>
    <x v="3"/>
    <s v="NA"/>
    <x v="0"/>
  </r>
  <r>
    <n v="37"/>
    <x v="1"/>
    <x v="1"/>
    <n v="3"/>
    <n v="98"/>
    <s v="Laboratory Technician"/>
    <n v="1"/>
    <n v="5"/>
    <n v="0"/>
    <n v="10"/>
    <s v="No"/>
    <n v="3"/>
    <s v="31-40"/>
    <x v="0"/>
    <n v="15"/>
    <x v="1"/>
  </r>
  <r>
    <n v="46"/>
    <x v="1"/>
    <x v="1"/>
    <n v="3"/>
    <n v="30"/>
    <s v="Manufacturing Director"/>
    <n v="3"/>
    <n v="1"/>
    <n v="0"/>
    <n v="7"/>
    <s v="No"/>
    <n v="4"/>
    <s v="41-50"/>
    <x v="3"/>
    <n v="0"/>
    <x v="1"/>
  </r>
  <r>
    <n v="41"/>
    <x v="0"/>
    <x v="0"/>
    <n v="1"/>
    <n v="56"/>
    <s v="Sales Executive"/>
    <n v="2"/>
    <n v="8"/>
    <n v="7"/>
    <n v="4"/>
    <s v="No"/>
    <n v="3"/>
    <s v="41-50"/>
    <x v="2"/>
    <s v="NA"/>
    <x v="0"/>
  </r>
  <r>
    <n v="50"/>
    <x v="1"/>
    <x v="1"/>
    <n v="4"/>
    <n v="100"/>
    <s v="Healthcare Representative"/>
    <n v="4"/>
    <n v="4"/>
    <n v="1"/>
    <n v="10"/>
    <s v="No"/>
    <n v="3"/>
    <s v="41-50"/>
    <x v="0"/>
    <n v="0"/>
    <x v="1"/>
  </r>
  <r>
    <n v="40"/>
    <x v="0"/>
    <x v="0"/>
    <n v="3"/>
    <n v="68"/>
    <s v="Sales Executive"/>
    <n v="3"/>
    <n v="6"/>
    <n v="1"/>
    <n v="22"/>
    <s v="Yes"/>
    <n v="3"/>
    <s v="31-40"/>
    <x v="1"/>
    <s v="NA"/>
    <x v="0"/>
  </r>
  <r>
    <n v="31"/>
    <x v="1"/>
    <x v="1"/>
    <n v="3"/>
    <n v="42"/>
    <s v="Research Scientist"/>
    <n v="2"/>
    <n v="2"/>
    <n v="2"/>
    <n v="9"/>
    <s v="Yes"/>
    <n v="3"/>
    <s v="31-40"/>
    <x v="3"/>
    <n v="50"/>
    <x v="3"/>
  </r>
  <r>
    <n v="21"/>
    <x v="0"/>
    <x v="0"/>
    <n v="3"/>
    <n v="90"/>
    <s v="Sales Representative"/>
    <n v="2"/>
    <n v="1"/>
    <n v="0"/>
    <n v="12"/>
    <s v="No"/>
    <n v="3"/>
    <s v="18-30"/>
    <x v="4"/>
    <s v="NA"/>
    <x v="0"/>
  </r>
  <r>
    <n v="29"/>
    <x v="1"/>
    <x v="1"/>
    <n v="4"/>
    <n v="54"/>
    <s v="Research Scientist"/>
    <n v="4"/>
    <n v="3"/>
    <n v="1"/>
    <n v="23"/>
    <s v="No"/>
    <n v="3"/>
    <s v="18-30"/>
    <x v="2"/>
    <n v="0"/>
    <x v="1"/>
  </r>
  <r>
    <n v="35"/>
    <x v="1"/>
    <x v="1"/>
    <n v="3"/>
    <n v="97"/>
    <s v="Healthcare Representative"/>
    <n v="2"/>
    <n v="1"/>
    <n v="0"/>
    <n v="9"/>
    <s v="No"/>
    <n v="3"/>
    <s v="31-40"/>
    <x v="0"/>
    <n v="15"/>
    <x v="1"/>
  </r>
  <r>
    <n v="27"/>
    <x v="1"/>
    <x v="1"/>
    <n v="4"/>
    <n v="82"/>
    <s v="Laboratory Technician"/>
    <n v="2"/>
    <n v="5"/>
    <n v="0"/>
    <n v="1"/>
    <s v="No"/>
    <n v="3"/>
    <s v="18-30"/>
    <x v="4"/>
    <n v="15"/>
    <x v="1"/>
  </r>
  <r>
    <n v="28"/>
    <x v="1"/>
    <x v="0"/>
    <n v="2"/>
    <n v="92"/>
    <s v="Sales Executive"/>
    <n v="4"/>
    <n v="7"/>
    <n v="0"/>
    <n v="9"/>
    <s v="No"/>
    <n v="3"/>
    <s v="18-30"/>
    <x v="0"/>
    <n v="15"/>
    <x v="1"/>
  </r>
  <r>
    <n v="49"/>
    <x v="1"/>
    <x v="1"/>
    <n v="2"/>
    <n v="31"/>
    <s v="Healthcare Representative"/>
    <n v="3"/>
    <n v="5"/>
    <n v="0"/>
    <n v="7"/>
    <s v="No"/>
    <n v="3"/>
    <s v="41-50"/>
    <x v="3"/>
    <n v="15"/>
    <x v="1"/>
  </r>
  <r>
    <n v="51"/>
    <x v="1"/>
    <x v="0"/>
    <n v="3"/>
    <n v="87"/>
    <s v="Sales Executive"/>
    <n v="4"/>
    <n v="7"/>
    <n v="0"/>
    <n v="14"/>
    <s v="No"/>
    <n v="2"/>
    <s v="51+"/>
    <x v="4"/>
    <n v="0"/>
    <x v="1"/>
  </r>
  <r>
    <n v="36"/>
    <x v="1"/>
    <x v="1"/>
    <n v="4"/>
    <n v="96"/>
    <s v="Research Scientist"/>
    <n v="3"/>
    <n v="2"/>
    <n v="2"/>
    <n v="2"/>
    <s v="No"/>
    <n v="3"/>
    <s v="31-40"/>
    <x v="0"/>
    <n v="0"/>
    <x v="1"/>
  </r>
  <r>
    <n v="34"/>
    <x v="0"/>
    <x v="0"/>
    <n v="1"/>
    <n v="67"/>
    <s v="Sales Executive"/>
    <n v="4"/>
    <n v="5"/>
    <n v="0"/>
    <n v="19"/>
    <s v="Yes"/>
    <n v="2"/>
    <s v="31-40"/>
    <x v="1"/>
    <s v="NA"/>
    <x v="0"/>
  </r>
  <r>
    <n v="55"/>
    <x v="1"/>
    <x v="1"/>
    <n v="3"/>
    <n v="97"/>
    <s v="Manager"/>
    <n v="4"/>
    <n v="5"/>
    <n v="1"/>
    <n v="2"/>
    <s v="Yes"/>
    <n v="3"/>
    <s v="51+"/>
    <x v="0"/>
    <n v="35"/>
    <x v="2"/>
  </r>
  <r>
    <n v="24"/>
    <x v="1"/>
    <x v="0"/>
    <n v="4"/>
    <n v="77"/>
    <s v="Sales Executive"/>
    <n v="3"/>
    <n v="5"/>
    <n v="0"/>
    <n v="10"/>
    <s v="Yes"/>
    <n v="4"/>
    <s v="18-30"/>
    <x v="4"/>
    <n v="35"/>
    <x v="2"/>
  </r>
  <r>
    <n v="30"/>
    <x v="1"/>
    <x v="0"/>
    <n v="3"/>
    <n v="72"/>
    <s v="Sales Representative"/>
    <n v="2"/>
    <n v="1"/>
    <n v="0"/>
    <n v="2"/>
    <s v="No"/>
    <n v="3"/>
    <s v="18-30"/>
    <x v="1"/>
    <n v="15"/>
    <x v="1"/>
  </r>
  <r>
    <n v="26"/>
    <x v="0"/>
    <x v="1"/>
    <n v="3"/>
    <n v="73"/>
    <s v="Research Scientist"/>
    <n v="1"/>
    <n v="6"/>
    <n v="0"/>
    <n v="3"/>
    <s v="No"/>
    <n v="3"/>
    <s v="18-30"/>
    <x v="1"/>
    <s v="NA"/>
    <x v="0"/>
  </r>
  <r>
    <n v="22"/>
    <x v="1"/>
    <x v="1"/>
    <n v="1"/>
    <n v="43"/>
    <s v="Research Scientist"/>
    <n v="2"/>
    <n v="2"/>
    <n v="1"/>
    <n v="11"/>
    <s v="No"/>
    <n v="3"/>
    <s v="18-30"/>
    <x v="3"/>
    <n v="30"/>
    <x v="2"/>
  </r>
  <r>
    <n v="36"/>
    <x v="1"/>
    <x v="0"/>
    <n v="2"/>
    <n v="61"/>
    <s v="Sales Executive"/>
    <n v="3"/>
    <n v="10"/>
    <n v="9"/>
    <n v="2"/>
    <s v="No"/>
    <n v="3"/>
    <s v="31-40"/>
    <x v="1"/>
    <n v="15"/>
    <x v="1"/>
  </r>
  <r>
    <n v="30"/>
    <x v="0"/>
    <x v="1"/>
    <n v="3"/>
    <n v="40"/>
    <s v="Research Scientist"/>
    <n v="4"/>
    <n v="1"/>
    <n v="0"/>
    <n v="4"/>
    <s v="Yes"/>
    <n v="3"/>
    <s v="18-30"/>
    <x v="3"/>
    <s v="NA"/>
    <x v="0"/>
  </r>
  <r>
    <n v="37"/>
    <x v="1"/>
    <x v="1"/>
    <n v="4"/>
    <n v="95"/>
    <s v="Laboratory Technician"/>
    <n v="1"/>
    <n v="18"/>
    <n v="12"/>
    <n v="14"/>
    <s v="No"/>
    <n v="2"/>
    <s v="31-40"/>
    <x v="0"/>
    <n v="15"/>
    <x v="1"/>
  </r>
  <r>
    <n v="40"/>
    <x v="1"/>
    <x v="0"/>
    <n v="4"/>
    <n v="46"/>
    <s v="Sales Executive"/>
    <n v="2"/>
    <n v="5"/>
    <n v="1"/>
    <n v="2"/>
    <s v="No"/>
    <n v="3"/>
    <s v="31-40"/>
    <x v="2"/>
    <n v="15"/>
    <x v="1"/>
  </r>
  <r>
    <n v="42"/>
    <x v="1"/>
    <x v="1"/>
    <n v="2"/>
    <n v="95"/>
    <s v="Laboratory Technician"/>
    <n v="1"/>
    <n v="5"/>
    <n v="1"/>
    <n v="1"/>
    <s v="No"/>
    <n v="3"/>
    <s v="41-50"/>
    <x v="0"/>
    <n v="30"/>
    <x v="2"/>
  </r>
  <r>
    <n v="37"/>
    <x v="1"/>
    <x v="1"/>
    <n v="3"/>
    <n v="49"/>
    <s v="Manufacturing Director"/>
    <n v="2"/>
    <n v="1"/>
    <n v="0"/>
    <n v="10"/>
    <s v="Yes"/>
    <n v="2"/>
    <s v="31-40"/>
    <x v="2"/>
    <n v="50"/>
    <x v="3"/>
  </r>
  <r>
    <n v="43"/>
    <x v="1"/>
    <x v="1"/>
    <n v="1"/>
    <n v="59"/>
    <s v="Research Director"/>
    <n v="2"/>
    <n v="25"/>
    <n v="3"/>
    <n v="12"/>
    <s v="No"/>
    <n v="3"/>
    <s v="41-50"/>
    <x v="2"/>
    <n v="30"/>
    <x v="2"/>
  </r>
  <r>
    <n v="40"/>
    <x v="1"/>
    <x v="1"/>
    <n v="2"/>
    <n v="78"/>
    <s v="Laboratory Technician"/>
    <n v="3"/>
    <n v="1"/>
    <n v="0"/>
    <n v="2"/>
    <s v="No"/>
    <n v="3"/>
    <s v="31-40"/>
    <x v="4"/>
    <n v="15"/>
    <x v="1"/>
  </r>
  <r>
    <n v="54"/>
    <x v="1"/>
    <x v="1"/>
    <n v="1"/>
    <n v="86"/>
    <s v="Research Director"/>
    <n v="1"/>
    <n v="4"/>
    <n v="1"/>
    <n v="5"/>
    <s v="No"/>
    <n v="2"/>
    <s v="51+"/>
    <x v="4"/>
    <n v="30"/>
    <x v="2"/>
  </r>
  <r>
    <n v="34"/>
    <x v="1"/>
    <x v="0"/>
    <n v="3"/>
    <n v="72"/>
    <s v="Sales Executive"/>
    <n v="3"/>
    <n v="3"/>
    <n v="1"/>
    <n v="4"/>
    <s v="No"/>
    <n v="3"/>
    <s v="31-40"/>
    <x v="1"/>
    <n v="0"/>
    <x v="1"/>
  </r>
  <r>
    <n v="31"/>
    <x v="1"/>
    <x v="1"/>
    <n v="2"/>
    <n v="31"/>
    <s v="Manufacturing Director"/>
    <n v="1"/>
    <n v="13"/>
    <n v="3"/>
    <n v="7"/>
    <s v="No"/>
    <n v="1"/>
    <s v="31-40"/>
    <x v="3"/>
    <n v="65"/>
    <x v="3"/>
  </r>
  <r>
    <n v="43"/>
    <x v="1"/>
    <x v="1"/>
    <n v="4"/>
    <n v="61"/>
    <s v="Laboratory Technician"/>
    <n v="4"/>
    <n v="3"/>
    <n v="1"/>
    <n v="21"/>
    <s v="No"/>
    <n v="3"/>
    <s v="41-50"/>
    <x v="1"/>
    <n v="0"/>
    <x v="1"/>
  </r>
  <r>
    <n v="43"/>
    <x v="1"/>
    <x v="1"/>
    <n v="3"/>
    <n v="74"/>
    <s v="Healthcare Representative"/>
    <n v="3"/>
    <n v="5"/>
    <n v="0"/>
    <n v="8"/>
    <s v="Yes"/>
    <n v="3"/>
    <s v="41-50"/>
    <x v="1"/>
    <n v="35"/>
    <x v="2"/>
  </r>
  <r>
    <n v="25"/>
    <x v="1"/>
    <x v="0"/>
    <n v="2"/>
    <n v="99"/>
    <s v="Sales Executive"/>
    <n v="4"/>
    <n v="5"/>
    <n v="1"/>
    <n v="4"/>
    <s v="Yes"/>
    <n v="3"/>
    <s v="18-30"/>
    <x v="0"/>
    <n v="50"/>
    <x v="3"/>
  </r>
  <r>
    <n v="37"/>
    <x v="1"/>
    <x v="1"/>
    <n v="2"/>
    <n v="72"/>
    <s v="Research Scientist"/>
    <n v="3"/>
    <n v="13"/>
    <n v="10"/>
    <n v="25"/>
    <s v="Yes"/>
    <n v="3"/>
    <s v="31-40"/>
    <x v="1"/>
    <n v="50"/>
    <x v="3"/>
  </r>
  <r>
    <n v="31"/>
    <x v="1"/>
    <x v="1"/>
    <n v="4"/>
    <n v="98"/>
    <s v="Laboratory Technician"/>
    <n v="1"/>
    <n v="4"/>
    <n v="3"/>
    <n v="1"/>
    <s v="No"/>
    <n v="3"/>
    <s v="31-40"/>
    <x v="0"/>
    <n v="15"/>
    <x v="1"/>
  </r>
  <r>
    <n v="39"/>
    <x v="1"/>
    <x v="1"/>
    <n v="2"/>
    <n v="52"/>
    <s v="Manager"/>
    <n v="3"/>
    <n v="21"/>
    <n v="1"/>
    <n v="1"/>
    <s v="Yes"/>
    <n v="3"/>
    <s v="31-40"/>
    <x v="2"/>
    <n v="50"/>
    <x v="3"/>
  </r>
  <r>
    <n v="56"/>
    <x v="1"/>
    <x v="0"/>
    <n v="3"/>
    <n v="86"/>
    <s v="Sales Executive"/>
    <n v="1"/>
    <n v="7"/>
    <n v="7"/>
    <n v="6"/>
    <s v="No"/>
    <n v="2"/>
    <s v="51+"/>
    <x v="4"/>
    <n v="15"/>
    <x v="1"/>
  </r>
  <r>
    <n v="30"/>
    <x v="1"/>
    <x v="0"/>
    <n v="2"/>
    <n v="83"/>
    <s v="Sales Executive"/>
    <n v="3"/>
    <n v="5"/>
    <n v="4"/>
    <n v="12"/>
    <s v="No"/>
    <n v="3"/>
    <s v="18-30"/>
    <x v="4"/>
    <n v="15"/>
    <x v="1"/>
  </r>
  <r>
    <n v="41"/>
    <x v="1"/>
    <x v="0"/>
    <n v="2"/>
    <n v="49"/>
    <s v="Sales Executive"/>
    <n v="1"/>
    <n v="10"/>
    <n v="0"/>
    <n v="1"/>
    <s v="No"/>
    <n v="3"/>
    <s v="41-50"/>
    <x v="2"/>
    <n v="30"/>
    <x v="2"/>
  </r>
  <r>
    <n v="28"/>
    <x v="1"/>
    <x v="1"/>
    <n v="3"/>
    <n v="79"/>
    <s v="Laboratory Technician"/>
    <n v="1"/>
    <n v="10"/>
    <n v="1"/>
    <n v="17"/>
    <s v="No"/>
    <n v="3"/>
    <s v="18-30"/>
    <x v="4"/>
    <n v="15"/>
    <x v="1"/>
  </r>
  <r>
    <n v="25"/>
    <x v="0"/>
    <x v="1"/>
    <n v="1"/>
    <n v="91"/>
    <s v="Laboratory Technician"/>
    <n v="1"/>
    <n v="2"/>
    <n v="0"/>
    <n v="3"/>
    <s v="No"/>
    <n v="3"/>
    <s v="18-30"/>
    <x v="0"/>
    <s v="NA"/>
    <x v="0"/>
  </r>
  <r>
    <n v="52"/>
    <x v="1"/>
    <x v="1"/>
    <n v="4"/>
    <n v="39"/>
    <s v="Manufacturing Director"/>
    <n v="3"/>
    <n v="5"/>
    <n v="0"/>
    <n v="3"/>
    <s v="Yes"/>
    <n v="3"/>
    <s v="51+"/>
    <x v="3"/>
    <n v="35"/>
    <x v="2"/>
  </r>
  <r>
    <n v="45"/>
    <x v="1"/>
    <x v="1"/>
    <n v="1"/>
    <n v="69"/>
    <s v="Research Scientist"/>
    <n v="4"/>
    <n v="2"/>
    <n v="0"/>
    <n v="10"/>
    <s v="No"/>
    <n v="2"/>
    <s v="41-50"/>
    <x v="1"/>
    <n v="15"/>
    <x v="1"/>
  </r>
  <r>
    <n v="52"/>
    <x v="1"/>
    <x v="1"/>
    <n v="4"/>
    <n v="30"/>
    <s v="Manager"/>
    <n v="4"/>
    <n v="5"/>
    <n v="1"/>
    <n v="4"/>
    <s v="No"/>
    <n v="1"/>
    <s v="51+"/>
    <x v="3"/>
    <n v="35"/>
    <x v="2"/>
  </r>
  <r>
    <n v="42"/>
    <x v="1"/>
    <x v="1"/>
    <n v="1"/>
    <n v="92"/>
    <s v="Research Scientist"/>
    <n v="3"/>
    <n v="5"/>
    <n v="0"/>
    <n v="29"/>
    <s v="No"/>
    <n v="3"/>
    <s v="41-50"/>
    <x v="0"/>
    <n v="15"/>
    <x v="1"/>
  </r>
  <r>
    <n v="30"/>
    <x v="1"/>
    <x v="1"/>
    <n v="3"/>
    <n v="43"/>
    <s v="Manufacturing Director"/>
    <n v="4"/>
    <n v="5"/>
    <n v="0"/>
    <n v="2"/>
    <s v="No"/>
    <n v="3"/>
    <s v="18-30"/>
    <x v="3"/>
    <n v="0"/>
    <x v="1"/>
  </r>
  <r>
    <n v="60"/>
    <x v="1"/>
    <x v="1"/>
    <n v="1"/>
    <n v="41"/>
    <s v="Manager"/>
    <n v="1"/>
    <n v="29"/>
    <n v="11"/>
    <n v="7"/>
    <s v="No"/>
    <n v="1"/>
    <s v="51+"/>
    <x v="3"/>
    <n v="65"/>
    <x v="3"/>
  </r>
  <r>
    <n v="46"/>
    <x v="1"/>
    <x v="1"/>
    <n v="3"/>
    <n v="87"/>
    <s v="Manufacturing Director"/>
    <n v="3"/>
    <n v="10"/>
    <n v="0"/>
    <n v="18"/>
    <s v="No"/>
    <n v="2"/>
    <s v="41-50"/>
    <x v="4"/>
    <n v="0"/>
    <x v="1"/>
  </r>
  <r>
    <n v="42"/>
    <x v="1"/>
    <x v="1"/>
    <n v="4"/>
    <n v="88"/>
    <s v="Healthcare Representative"/>
    <n v="4"/>
    <n v="6"/>
    <n v="0"/>
    <n v="28"/>
    <s v="No"/>
    <n v="4"/>
    <s v="41-50"/>
    <x v="4"/>
    <n v="0"/>
    <x v="1"/>
  </r>
  <r>
    <n v="24"/>
    <x v="0"/>
    <x v="0"/>
    <n v="1"/>
    <n v="62"/>
    <s v="Sales Representative"/>
    <n v="2"/>
    <n v="5"/>
    <n v="1"/>
    <n v="1"/>
    <s v="Yes"/>
    <n v="3"/>
    <s v="18-30"/>
    <x v="1"/>
    <s v="NA"/>
    <x v="0"/>
  </r>
  <r>
    <n v="34"/>
    <x v="0"/>
    <x v="0"/>
    <n v="4"/>
    <n v="33"/>
    <s v="Sales Representative"/>
    <n v="3"/>
    <n v="2"/>
    <n v="1"/>
    <n v="6"/>
    <s v="No"/>
    <n v="2"/>
    <s v="31-40"/>
    <x v="3"/>
    <s v="NA"/>
    <x v="0"/>
  </r>
  <r>
    <n v="38"/>
    <x v="1"/>
    <x v="1"/>
    <n v="4"/>
    <n v="42"/>
    <s v="Laboratory Technician"/>
    <n v="4"/>
    <n v="1"/>
    <n v="0"/>
    <n v="2"/>
    <s v="Yes"/>
    <n v="3"/>
    <s v="31-40"/>
    <x v="3"/>
    <n v="35"/>
    <x v="2"/>
  </r>
  <r>
    <n v="40"/>
    <x v="1"/>
    <x v="0"/>
    <n v="3"/>
    <n v="79"/>
    <s v="Manager"/>
    <n v="3"/>
    <n v="20"/>
    <n v="1"/>
    <n v="2"/>
    <s v="No"/>
    <n v="3"/>
    <s v="31-40"/>
    <x v="4"/>
    <n v="0"/>
    <x v="1"/>
  </r>
  <r>
    <n v="26"/>
    <x v="1"/>
    <x v="1"/>
    <n v="1"/>
    <n v="90"/>
    <s v="Research Scientist"/>
    <n v="4"/>
    <n v="3"/>
    <n v="0"/>
    <n v="23"/>
    <s v="No"/>
    <n v="1"/>
    <s v="18-30"/>
    <x v="4"/>
    <n v="50"/>
    <x v="3"/>
  </r>
  <r>
    <n v="30"/>
    <x v="1"/>
    <x v="1"/>
    <n v="3"/>
    <n v="53"/>
    <s v="Laboratory Technician"/>
    <n v="4"/>
    <n v="5"/>
    <n v="1"/>
    <n v="3"/>
    <s v="No"/>
    <n v="1"/>
    <s v="18-30"/>
    <x v="2"/>
    <n v="35"/>
    <x v="2"/>
  </r>
  <r>
    <n v="29"/>
    <x v="1"/>
    <x v="1"/>
    <n v="2"/>
    <n v="93"/>
    <s v="Research Director"/>
    <n v="3"/>
    <n v="10"/>
    <n v="0"/>
    <n v="3"/>
    <s v="No"/>
    <n v="3"/>
    <s v="18-30"/>
    <x v="0"/>
    <n v="15"/>
    <x v="1"/>
  </r>
  <r>
    <n v="29"/>
    <x v="0"/>
    <x v="1"/>
    <n v="3"/>
    <n v="71"/>
    <s v="Research Scientist"/>
    <n v="2"/>
    <n v="2"/>
    <n v="1"/>
    <n v="25"/>
    <s v="No"/>
    <n v="4"/>
    <s v="18-30"/>
    <x v="1"/>
    <s v="NA"/>
    <x v="0"/>
  </r>
  <r>
    <n v="19"/>
    <x v="0"/>
    <x v="2"/>
    <n v="1"/>
    <n v="52"/>
    <s v="Human Resources"/>
    <n v="4"/>
    <n v="1"/>
    <n v="0"/>
    <n v="2"/>
    <s v="No"/>
    <n v="4"/>
    <s v="18-30"/>
    <x v="2"/>
    <s v="NA"/>
    <x v="0"/>
  </r>
  <r>
    <n v="30"/>
    <x v="1"/>
    <x v="0"/>
    <n v="3"/>
    <n v="69"/>
    <s v="Sales Executive"/>
    <n v="1"/>
    <n v="9"/>
    <n v="7"/>
    <n v="22"/>
    <s v="No"/>
    <n v="3"/>
    <s v="18-30"/>
    <x v="1"/>
    <n v="15"/>
    <x v="1"/>
  </r>
  <r>
    <n v="57"/>
    <x v="1"/>
    <x v="0"/>
    <n v="1"/>
    <n v="56"/>
    <s v="Manager"/>
    <n v="4"/>
    <n v="1"/>
    <n v="0"/>
    <n v="29"/>
    <s v="No"/>
    <n v="2"/>
    <s v="51+"/>
    <x v="2"/>
    <n v="15"/>
    <x v="1"/>
  </r>
  <r>
    <n v="50"/>
    <x v="1"/>
    <x v="1"/>
    <n v="2"/>
    <n v="88"/>
    <s v="Manager"/>
    <n v="3"/>
    <n v="27"/>
    <n v="15"/>
    <n v="29"/>
    <s v="No"/>
    <n v="3"/>
    <s v="41-50"/>
    <x v="4"/>
    <n v="15"/>
    <x v="1"/>
  </r>
  <r>
    <n v="30"/>
    <x v="1"/>
    <x v="1"/>
    <n v="3"/>
    <n v="49"/>
    <s v="Laboratory Technician"/>
    <n v="4"/>
    <n v="11"/>
    <n v="6"/>
    <n v="2"/>
    <s v="No"/>
    <n v="2"/>
    <s v="18-30"/>
    <x v="2"/>
    <n v="0"/>
    <x v="1"/>
  </r>
  <r>
    <n v="60"/>
    <x v="1"/>
    <x v="0"/>
    <n v="3"/>
    <n v="80"/>
    <s v="Sales Executive"/>
    <n v="1"/>
    <n v="18"/>
    <n v="13"/>
    <n v="28"/>
    <s v="No"/>
    <n v="4"/>
    <s v="51+"/>
    <x v="4"/>
    <n v="15"/>
    <x v="1"/>
  </r>
  <r>
    <n v="47"/>
    <x v="1"/>
    <x v="1"/>
    <n v="1"/>
    <n v="65"/>
    <s v="Manufacturing Director"/>
    <n v="4"/>
    <n v="5"/>
    <n v="0"/>
    <n v="2"/>
    <s v="No"/>
    <n v="3"/>
    <s v="41-50"/>
    <x v="1"/>
    <n v="15"/>
    <x v="1"/>
  </r>
  <r>
    <n v="46"/>
    <x v="1"/>
    <x v="1"/>
    <n v="1"/>
    <n v="51"/>
    <s v="Research Director"/>
    <n v="3"/>
    <n v="3"/>
    <n v="0"/>
    <n v="2"/>
    <s v="No"/>
    <n v="1"/>
    <s v="41-50"/>
    <x v="2"/>
    <n v="50"/>
    <x v="3"/>
  </r>
  <r>
    <n v="35"/>
    <x v="1"/>
    <x v="1"/>
    <n v="4"/>
    <n v="46"/>
    <s v="Laboratory Technician"/>
    <n v="3"/>
    <n v="5"/>
    <n v="4"/>
    <n v="22"/>
    <s v="No"/>
    <n v="3"/>
    <s v="31-40"/>
    <x v="2"/>
    <n v="0"/>
    <x v="1"/>
  </r>
  <r>
    <n v="54"/>
    <x v="1"/>
    <x v="1"/>
    <n v="3"/>
    <n v="42"/>
    <s v="Laboratory Technician"/>
    <n v="3"/>
    <n v="1"/>
    <n v="0"/>
    <n v="8"/>
    <s v="No"/>
    <n v="3"/>
    <s v="51+"/>
    <x v="3"/>
    <n v="0"/>
    <x v="1"/>
  </r>
  <r>
    <n v="34"/>
    <x v="1"/>
    <x v="1"/>
    <n v="4"/>
    <n v="62"/>
    <s v="Research Scientist"/>
    <n v="3"/>
    <n v="7"/>
    <n v="5"/>
    <n v="2"/>
    <s v="No"/>
    <n v="3"/>
    <s v="31-40"/>
    <x v="1"/>
    <n v="0"/>
    <x v="1"/>
  </r>
  <r>
    <n v="46"/>
    <x v="1"/>
    <x v="0"/>
    <n v="3"/>
    <n v="94"/>
    <s v="Sales Executive"/>
    <n v="4"/>
    <n v="3"/>
    <n v="1"/>
    <n v="10"/>
    <s v="Yes"/>
    <n v="3"/>
    <s v="41-50"/>
    <x v="0"/>
    <n v="35"/>
    <x v="2"/>
  </r>
  <r>
    <n v="31"/>
    <x v="1"/>
    <x v="1"/>
    <n v="3"/>
    <n v="33"/>
    <s v="Manufacturing Director"/>
    <n v="2"/>
    <n v="13"/>
    <n v="0"/>
    <n v="9"/>
    <s v="No"/>
    <n v="4"/>
    <s v="31-40"/>
    <x v="3"/>
    <n v="15"/>
    <x v="1"/>
  </r>
  <r>
    <n v="33"/>
    <x v="0"/>
    <x v="1"/>
    <n v="2"/>
    <n v="56"/>
    <s v="Manager"/>
    <n v="3"/>
    <n v="7"/>
    <n v="7"/>
    <n v="15"/>
    <s v="Yes"/>
    <n v="4"/>
    <s v="31-40"/>
    <x v="2"/>
    <s v="NA"/>
    <x v="0"/>
  </r>
  <r>
    <n v="33"/>
    <x v="0"/>
    <x v="1"/>
    <n v="1"/>
    <n v="38"/>
    <s v="Laboratory Technician"/>
    <n v="4"/>
    <n v="4"/>
    <n v="1"/>
    <n v="10"/>
    <s v="No"/>
    <n v="3"/>
    <s v="31-40"/>
    <x v="3"/>
    <s v="NA"/>
    <x v="0"/>
  </r>
  <r>
    <n v="30"/>
    <x v="1"/>
    <x v="0"/>
    <n v="4"/>
    <n v="57"/>
    <s v="Sales Representative"/>
    <n v="2"/>
    <n v="3"/>
    <n v="1"/>
    <n v="7"/>
    <s v="No"/>
    <n v="3"/>
    <s v="18-30"/>
    <x v="2"/>
    <n v="15"/>
    <x v="1"/>
  </r>
  <r>
    <n v="35"/>
    <x v="1"/>
    <x v="1"/>
    <n v="4"/>
    <n v="72"/>
    <s v="Healthcare Representative"/>
    <n v="3"/>
    <n v="8"/>
    <n v="0"/>
    <n v="16"/>
    <s v="Yes"/>
    <n v="3"/>
    <s v="31-40"/>
    <x v="1"/>
    <n v="35"/>
    <x v="2"/>
  </r>
  <r>
    <n v="31"/>
    <x v="0"/>
    <x v="1"/>
    <n v="1"/>
    <n v="66"/>
    <s v="Healthcare Representative"/>
    <n v="3"/>
    <n v="1"/>
    <n v="0"/>
    <n v="20"/>
    <s v="No"/>
    <n v="3"/>
    <s v="31-40"/>
    <x v="1"/>
    <s v="NA"/>
    <x v="0"/>
  </r>
  <r>
    <n v="34"/>
    <x v="0"/>
    <x v="2"/>
    <n v="2"/>
    <n v="43"/>
    <s v="Human Resources"/>
    <n v="1"/>
    <n v="3"/>
    <n v="0"/>
    <n v="23"/>
    <s v="Yes"/>
    <n v="3"/>
    <s v="31-40"/>
    <x v="3"/>
    <s v="NA"/>
    <x v="0"/>
  </r>
  <r>
    <n v="42"/>
    <x v="1"/>
    <x v="1"/>
    <n v="2"/>
    <n v="97"/>
    <s v="Laboratory Technician"/>
    <n v="3"/>
    <n v="2"/>
    <n v="2"/>
    <n v="5"/>
    <s v="No"/>
    <n v="3"/>
    <s v="41-50"/>
    <x v="0"/>
    <n v="15"/>
    <x v="1"/>
  </r>
  <r>
    <n v="36"/>
    <x v="1"/>
    <x v="0"/>
    <n v="2"/>
    <n v="32"/>
    <s v="Sales Executive"/>
    <n v="4"/>
    <n v="10"/>
    <n v="9"/>
    <n v="10"/>
    <s v="No"/>
    <n v="2"/>
    <s v="31-40"/>
    <x v="3"/>
    <n v="15"/>
    <x v="1"/>
  </r>
  <r>
    <n v="22"/>
    <x v="0"/>
    <x v="1"/>
    <n v="3"/>
    <n v="99"/>
    <s v="Laboratory Technician"/>
    <n v="3"/>
    <n v="2"/>
    <n v="1"/>
    <n v="4"/>
    <s v="No"/>
    <n v="3"/>
    <s v="18-30"/>
    <x v="0"/>
    <s v="NA"/>
    <x v="0"/>
  </r>
  <r>
    <n v="48"/>
    <x v="1"/>
    <x v="0"/>
    <n v="2"/>
    <n v="37"/>
    <s v="Sales Executive"/>
    <n v="4"/>
    <n v="9"/>
    <n v="6"/>
    <n v="2"/>
    <s v="No"/>
    <n v="3"/>
    <s v="41-50"/>
    <x v="3"/>
    <n v="15"/>
    <x v="1"/>
  </r>
  <r>
    <n v="55"/>
    <x v="1"/>
    <x v="0"/>
    <n v="1"/>
    <n v="83"/>
    <s v="Manager"/>
    <n v="2"/>
    <n v="10"/>
    <n v="7"/>
    <n v="18"/>
    <s v="No"/>
    <n v="3"/>
    <s v="51+"/>
    <x v="4"/>
    <n v="30"/>
    <x v="2"/>
  </r>
  <r>
    <n v="41"/>
    <x v="1"/>
    <x v="0"/>
    <n v="4"/>
    <n v="56"/>
    <s v="Sales Executive"/>
    <n v="4"/>
    <n v="14"/>
    <n v="1"/>
    <n v="10"/>
    <s v="No"/>
    <n v="3"/>
    <s v="41-50"/>
    <x v="2"/>
    <n v="0"/>
    <x v="1"/>
  </r>
  <r>
    <n v="35"/>
    <x v="1"/>
    <x v="0"/>
    <n v="2"/>
    <n v="85"/>
    <s v="Sales Executive"/>
    <n v="3"/>
    <n v="11"/>
    <n v="6"/>
    <n v="1"/>
    <s v="No"/>
    <n v="3"/>
    <s v="31-40"/>
    <x v="4"/>
    <n v="15"/>
    <x v="1"/>
  </r>
  <r>
    <n v="40"/>
    <x v="1"/>
    <x v="1"/>
    <n v="2"/>
    <n v="75"/>
    <s v="Manufacturing Director"/>
    <n v="3"/>
    <n v="20"/>
    <n v="5"/>
    <n v="6"/>
    <s v="No"/>
    <n v="3"/>
    <s v="31-40"/>
    <x v="1"/>
    <n v="15"/>
    <x v="1"/>
  </r>
  <r>
    <n v="39"/>
    <x v="1"/>
    <x v="1"/>
    <n v="3"/>
    <n v="48"/>
    <s v="Laboratory Technician"/>
    <n v="3"/>
    <n v="8"/>
    <n v="0"/>
    <n v="8"/>
    <s v="No"/>
    <n v="3"/>
    <s v="31-40"/>
    <x v="2"/>
    <n v="0"/>
    <x v="1"/>
  </r>
  <r>
    <n v="31"/>
    <x v="1"/>
    <x v="0"/>
    <n v="2"/>
    <n v="77"/>
    <s v="Sales Executive"/>
    <n v="4"/>
    <n v="6"/>
    <n v="0"/>
    <n v="2"/>
    <s v="Yes"/>
    <n v="4"/>
    <s v="31-40"/>
    <x v="4"/>
    <n v="50"/>
    <x v="3"/>
  </r>
  <r>
    <n v="42"/>
    <x v="1"/>
    <x v="1"/>
    <n v="4"/>
    <n v="56"/>
    <s v="Manufacturing Director"/>
    <n v="1"/>
    <n v="10"/>
    <n v="5"/>
    <n v="24"/>
    <s v="Yes"/>
    <n v="2"/>
    <s v="41-50"/>
    <x v="2"/>
    <n v="50"/>
    <x v="3"/>
  </r>
  <r>
    <n v="45"/>
    <x v="1"/>
    <x v="0"/>
    <n v="4"/>
    <n v="61"/>
    <s v="Sales Executive"/>
    <n v="2"/>
    <n v="8"/>
    <n v="3"/>
    <n v="2"/>
    <s v="No"/>
    <n v="4"/>
    <s v="41-50"/>
    <x v="1"/>
    <n v="15"/>
    <x v="1"/>
  </r>
  <r>
    <n v="26"/>
    <x v="0"/>
    <x v="2"/>
    <n v="2"/>
    <n v="58"/>
    <s v="Human Resources"/>
    <n v="3"/>
    <n v="7"/>
    <n v="1"/>
    <n v="17"/>
    <s v="Yes"/>
    <n v="2"/>
    <s v="18-30"/>
    <x v="2"/>
    <s v="NA"/>
    <x v="0"/>
  </r>
  <r>
    <n v="29"/>
    <x v="1"/>
    <x v="1"/>
    <n v="4"/>
    <n v="34"/>
    <s v="Manufacturing Director"/>
    <n v="4"/>
    <n v="3"/>
    <n v="1"/>
    <n v="19"/>
    <s v="No"/>
    <n v="4"/>
    <s v="18-30"/>
    <x v="3"/>
    <n v="0"/>
    <x v="1"/>
  </r>
  <r>
    <n v="33"/>
    <x v="1"/>
    <x v="1"/>
    <n v="1"/>
    <n v="95"/>
    <s v="Research Director"/>
    <n v="3"/>
    <n v="6"/>
    <n v="0"/>
    <n v="1"/>
    <s v="No"/>
    <n v="3"/>
    <s v="31-40"/>
    <x v="0"/>
    <n v="15"/>
    <x v="1"/>
  </r>
  <r>
    <n v="31"/>
    <x v="1"/>
    <x v="0"/>
    <n v="3"/>
    <n v="44"/>
    <s v="Manager"/>
    <n v="4"/>
    <n v="5"/>
    <n v="0"/>
    <n v="7"/>
    <s v="No"/>
    <n v="2"/>
    <s v="31-40"/>
    <x v="3"/>
    <n v="0"/>
    <x v="1"/>
  </r>
  <r>
    <n v="18"/>
    <x v="0"/>
    <x v="0"/>
    <n v="2"/>
    <n v="69"/>
    <s v="Sales Representative"/>
    <n v="2"/>
    <n v="0"/>
    <n v="0"/>
    <n v="5"/>
    <s v="Yes"/>
    <n v="3"/>
    <s v="18-30"/>
    <x v="1"/>
    <s v="NA"/>
    <x v="0"/>
  </r>
  <r>
    <n v="40"/>
    <x v="1"/>
    <x v="0"/>
    <n v="3"/>
    <n v="58"/>
    <s v="Sales Executive"/>
    <n v="1"/>
    <n v="1"/>
    <n v="0"/>
    <n v="28"/>
    <s v="No"/>
    <n v="3"/>
    <s v="31-40"/>
    <x v="2"/>
    <n v="15"/>
    <x v="1"/>
  </r>
  <r>
    <n v="41"/>
    <x v="1"/>
    <x v="1"/>
    <n v="1"/>
    <n v="62"/>
    <s v="Healthcare Representative"/>
    <n v="3"/>
    <n v="8"/>
    <n v="0"/>
    <n v="2"/>
    <s v="Yes"/>
    <n v="3"/>
    <s v="41-50"/>
    <x v="1"/>
    <n v="50"/>
    <x v="3"/>
  </r>
  <r>
    <n v="26"/>
    <x v="1"/>
    <x v="0"/>
    <n v="1"/>
    <n v="45"/>
    <s v="Sales Executive"/>
    <n v="3"/>
    <n v="0"/>
    <n v="0"/>
    <n v="29"/>
    <s v="No"/>
    <n v="3"/>
    <s v="18-30"/>
    <x v="3"/>
    <n v="15"/>
    <x v="1"/>
  </r>
  <r>
    <n v="35"/>
    <x v="1"/>
    <x v="0"/>
    <n v="1"/>
    <n v="80"/>
    <s v="Sales Executive"/>
    <n v="3"/>
    <n v="5"/>
    <n v="0"/>
    <n v="1"/>
    <s v="No"/>
    <n v="3"/>
    <s v="31-40"/>
    <x v="4"/>
    <n v="15"/>
    <x v="1"/>
  </r>
  <r>
    <n v="34"/>
    <x v="1"/>
    <x v="0"/>
    <n v="4"/>
    <n v="74"/>
    <s v="Sales Executive"/>
    <n v="4"/>
    <n v="10"/>
    <n v="5"/>
    <n v="21"/>
    <s v="No"/>
    <n v="3"/>
    <s v="31-40"/>
    <x v="1"/>
    <n v="0"/>
    <x v="1"/>
  </r>
  <r>
    <n v="26"/>
    <x v="0"/>
    <x v="1"/>
    <n v="3"/>
    <n v="66"/>
    <s v="Laboratory Technician"/>
    <n v="4"/>
    <n v="1"/>
    <n v="0"/>
    <n v="24"/>
    <s v="Yes"/>
    <n v="1"/>
    <s v="18-30"/>
    <x v="1"/>
    <s v="NA"/>
    <x v="0"/>
  </r>
  <r>
    <n v="37"/>
    <x v="1"/>
    <x v="1"/>
    <n v="2"/>
    <n v="59"/>
    <s v="Manufacturing Director"/>
    <n v="4"/>
    <n v="6"/>
    <n v="1"/>
    <n v="1"/>
    <s v="No"/>
    <n v="4"/>
    <s v="31-40"/>
    <x v="2"/>
    <n v="15"/>
    <x v="1"/>
  </r>
  <r>
    <n v="46"/>
    <x v="1"/>
    <x v="1"/>
    <n v="1"/>
    <n v="86"/>
    <s v="Healthcare Representative"/>
    <n v="3"/>
    <n v="2"/>
    <n v="1"/>
    <n v="18"/>
    <s v="No"/>
    <n v="2"/>
    <s v="41-50"/>
    <x v="4"/>
    <n v="15"/>
    <x v="1"/>
  </r>
  <r>
    <n v="41"/>
    <x v="1"/>
    <x v="0"/>
    <n v="2"/>
    <n v="91"/>
    <s v="Manager"/>
    <n v="1"/>
    <n v="18"/>
    <n v="11"/>
    <n v="2"/>
    <s v="No"/>
    <n v="3"/>
    <s v="41-50"/>
    <x v="0"/>
    <n v="30"/>
    <x v="2"/>
  </r>
  <r>
    <n v="37"/>
    <x v="1"/>
    <x v="0"/>
    <n v="1"/>
    <n v="69"/>
    <s v="Sales Executive"/>
    <n v="2"/>
    <n v="9"/>
    <n v="7"/>
    <n v="9"/>
    <s v="No"/>
    <n v="3"/>
    <s v="31-40"/>
    <x v="1"/>
    <n v="30"/>
    <x v="2"/>
  </r>
  <r>
    <n v="52"/>
    <x v="1"/>
    <x v="1"/>
    <n v="4"/>
    <n v="78"/>
    <s v="Research Scientist"/>
    <n v="1"/>
    <n v="10"/>
    <n v="6"/>
    <n v="6"/>
    <s v="Yes"/>
    <n v="3"/>
    <s v="51+"/>
    <x v="4"/>
    <n v="50"/>
    <x v="3"/>
  </r>
  <r>
    <n v="32"/>
    <x v="0"/>
    <x v="0"/>
    <n v="4"/>
    <n v="60"/>
    <s v="Sales Executive"/>
    <n v="3"/>
    <n v="4"/>
    <n v="1"/>
    <n v="11"/>
    <s v="No"/>
    <n v="3"/>
    <s v="31-40"/>
    <x v="2"/>
    <s v="NA"/>
    <x v="0"/>
  </r>
  <r>
    <n v="24"/>
    <x v="1"/>
    <x v="0"/>
    <n v="4"/>
    <n v="38"/>
    <s v="Sales Representative"/>
    <n v="4"/>
    <n v="2"/>
    <n v="2"/>
    <n v="24"/>
    <s v="No"/>
    <n v="3"/>
    <s v="18-30"/>
    <x v="3"/>
    <n v="0"/>
    <x v="1"/>
  </r>
  <r>
    <n v="38"/>
    <x v="1"/>
    <x v="1"/>
    <n v="3"/>
    <n v="76"/>
    <s v="Healthcare Representative"/>
    <n v="3"/>
    <n v="1"/>
    <n v="0"/>
    <n v="10"/>
    <s v="No"/>
    <n v="3"/>
    <s v="31-40"/>
    <x v="4"/>
    <n v="0"/>
    <x v="1"/>
  </r>
  <r>
    <n v="37"/>
    <x v="1"/>
    <x v="1"/>
    <n v="2"/>
    <n v="65"/>
    <s v="Manufacturing Director"/>
    <n v="2"/>
    <n v="6"/>
    <n v="4"/>
    <n v="1"/>
    <s v="No"/>
    <n v="2"/>
    <s v="31-40"/>
    <x v="1"/>
    <n v="30"/>
    <x v="2"/>
  </r>
  <r>
    <n v="49"/>
    <x v="1"/>
    <x v="1"/>
    <n v="4"/>
    <n v="58"/>
    <s v="Research Director"/>
    <n v="3"/>
    <n v="31"/>
    <n v="0"/>
    <n v="18"/>
    <s v="Yes"/>
    <n v="3"/>
    <s v="41-50"/>
    <x v="2"/>
    <n v="35"/>
    <x v="2"/>
  </r>
  <r>
    <n v="24"/>
    <x v="1"/>
    <x v="1"/>
    <n v="2"/>
    <n v="89"/>
    <s v="Research Scientist"/>
    <n v="4"/>
    <n v="6"/>
    <n v="1"/>
    <n v="23"/>
    <s v="Yes"/>
    <n v="3"/>
    <s v="18-30"/>
    <x v="4"/>
    <n v="50"/>
    <x v="3"/>
  </r>
  <r>
    <n v="26"/>
    <x v="1"/>
    <x v="0"/>
    <n v="1"/>
    <n v="66"/>
    <s v="Sales Executive"/>
    <n v="2"/>
    <n v="5"/>
    <n v="1"/>
    <n v="28"/>
    <s v="No"/>
    <n v="4"/>
    <s v="18-30"/>
    <x v="1"/>
    <n v="30"/>
    <x v="2"/>
  </r>
  <r>
    <n v="24"/>
    <x v="1"/>
    <x v="1"/>
    <n v="4"/>
    <n v="94"/>
    <s v="Laboratory Technician"/>
    <n v="2"/>
    <n v="1"/>
    <n v="0"/>
    <n v="17"/>
    <s v="No"/>
    <n v="3"/>
    <s v="18-30"/>
    <x v="0"/>
    <n v="15"/>
    <x v="1"/>
  </r>
  <r>
    <n v="50"/>
    <x v="1"/>
    <x v="2"/>
    <n v="1"/>
    <n v="99"/>
    <s v="Manager"/>
    <n v="2"/>
    <n v="32"/>
    <n v="10"/>
    <n v="3"/>
    <s v="No"/>
    <n v="3"/>
    <s v="41-50"/>
    <x v="0"/>
    <n v="30"/>
    <x v="2"/>
  </r>
  <r>
    <n v="25"/>
    <x v="1"/>
    <x v="0"/>
    <n v="2"/>
    <n v="40"/>
    <s v="Sales Representative"/>
    <n v="3"/>
    <n v="7"/>
    <n v="0"/>
    <n v="13"/>
    <s v="No"/>
    <n v="3"/>
    <s v="18-30"/>
    <x v="3"/>
    <n v="15"/>
    <x v="1"/>
  </r>
  <r>
    <n v="24"/>
    <x v="0"/>
    <x v="1"/>
    <n v="1"/>
    <n v="55"/>
    <s v="Laboratory Technician"/>
    <n v="3"/>
    <n v="6"/>
    <n v="1"/>
    <n v="7"/>
    <s v="Yes"/>
    <n v="3"/>
    <s v="18-30"/>
    <x v="2"/>
    <s v="NA"/>
    <x v="0"/>
  </r>
  <r>
    <n v="30"/>
    <x v="0"/>
    <x v="0"/>
    <n v="2"/>
    <n v="74"/>
    <s v="Sales Representative"/>
    <n v="1"/>
    <n v="1"/>
    <n v="0"/>
    <n v="12"/>
    <s v="No"/>
    <n v="4"/>
    <s v="18-30"/>
    <x v="1"/>
    <s v="NA"/>
    <x v="0"/>
  </r>
  <r>
    <n v="34"/>
    <x v="1"/>
    <x v="1"/>
    <n v="2"/>
    <n v="83"/>
    <s v="Research Scientist"/>
    <n v="4"/>
    <n v="6"/>
    <n v="1"/>
    <n v="1"/>
    <s v="Yes"/>
    <n v="3"/>
    <s v="31-40"/>
    <x v="4"/>
    <n v="50"/>
    <x v="3"/>
  </r>
  <r>
    <n v="31"/>
    <x v="0"/>
    <x v="0"/>
    <n v="2"/>
    <n v="46"/>
    <s v="Sales Executive"/>
    <n v="1"/>
    <n v="3"/>
    <n v="1"/>
    <n v="13"/>
    <s v="No"/>
    <n v="1"/>
    <s v="31-40"/>
    <x v="2"/>
    <s v="NA"/>
    <x v="0"/>
  </r>
  <r>
    <n v="35"/>
    <x v="1"/>
    <x v="1"/>
    <n v="1"/>
    <n v="54"/>
    <s v="Laboratory Technician"/>
    <n v="4"/>
    <n v="3"/>
    <n v="0"/>
    <n v="25"/>
    <s v="No"/>
    <n v="3"/>
    <s v="31-40"/>
    <x v="2"/>
    <n v="15"/>
    <x v="1"/>
  </r>
  <r>
    <n v="31"/>
    <x v="1"/>
    <x v="0"/>
    <n v="1"/>
    <n v="66"/>
    <s v="Sales Executive"/>
    <n v="4"/>
    <n v="7"/>
    <n v="5"/>
    <n v="6"/>
    <s v="No"/>
    <n v="4"/>
    <s v="31-40"/>
    <x v="1"/>
    <n v="15"/>
    <x v="1"/>
  </r>
  <r>
    <n v="27"/>
    <x v="1"/>
    <x v="1"/>
    <n v="1"/>
    <n v="66"/>
    <s v="Research Scientist"/>
    <n v="3"/>
    <n v="5"/>
    <n v="0"/>
    <n v="6"/>
    <s v="No"/>
    <n v="2"/>
    <s v="18-30"/>
    <x v="1"/>
    <n v="15"/>
    <x v="1"/>
  </r>
  <r>
    <n v="37"/>
    <x v="1"/>
    <x v="0"/>
    <n v="4"/>
    <n v="75"/>
    <s v="Sales Executive"/>
    <n v="3"/>
    <n v="3"/>
    <n v="1"/>
    <n v="2"/>
    <s v="Yes"/>
    <n v="2"/>
    <s v="31-40"/>
    <x v="1"/>
    <n v="35"/>
    <x v="2"/>
  </r>
  <r>
    <n v="20"/>
    <x v="1"/>
    <x v="1"/>
    <n v="4"/>
    <n v="83"/>
    <s v="Research Scientist"/>
    <n v="2"/>
    <n v="1"/>
    <n v="0"/>
    <n v="1"/>
    <s v="No"/>
    <n v="4"/>
    <s v="18-30"/>
    <x v="4"/>
    <n v="15"/>
    <x v="1"/>
  </r>
  <r>
    <n v="42"/>
    <x v="1"/>
    <x v="1"/>
    <n v="3"/>
    <n v="81"/>
    <s v="Healthcare Representative"/>
    <n v="4"/>
    <n v="10"/>
    <n v="2"/>
    <n v="2"/>
    <s v="No"/>
    <n v="3"/>
    <s v="41-50"/>
    <x v="4"/>
    <n v="0"/>
    <x v="1"/>
  </r>
  <r>
    <n v="43"/>
    <x v="1"/>
    <x v="1"/>
    <n v="2"/>
    <n v="50"/>
    <s v="Research Director"/>
    <n v="4"/>
    <n v="1"/>
    <n v="0"/>
    <n v="6"/>
    <s v="Yes"/>
    <n v="2"/>
    <s v="41-50"/>
    <x v="2"/>
    <n v="50"/>
    <x v="3"/>
  </r>
  <r>
    <n v="38"/>
    <x v="1"/>
    <x v="1"/>
    <n v="3"/>
    <n v="43"/>
    <s v="Research Scientist"/>
    <n v="1"/>
    <n v="0"/>
    <n v="0"/>
    <n v="1"/>
    <s v="No"/>
    <n v="2"/>
    <s v="31-40"/>
    <x v="3"/>
    <n v="15"/>
    <x v="1"/>
  </r>
  <r>
    <n v="43"/>
    <x v="1"/>
    <x v="1"/>
    <n v="4"/>
    <n v="72"/>
    <s v="Laboratory Technician"/>
    <n v="3"/>
    <n v="8"/>
    <n v="4"/>
    <n v="9"/>
    <s v="Yes"/>
    <n v="3"/>
    <s v="41-50"/>
    <x v="1"/>
    <n v="35"/>
    <x v="2"/>
  </r>
  <r>
    <n v="48"/>
    <x v="1"/>
    <x v="1"/>
    <n v="4"/>
    <n v="40"/>
    <s v="Manager"/>
    <n v="1"/>
    <n v="3"/>
    <n v="0"/>
    <n v="1"/>
    <s v="No"/>
    <n v="1"/>
    <s v="41-50"/>
    <x v="3"/>
    <n v="50"/>
    <x v="3"/>
  </r>
  <r>
    <n v="44"/>
    <x v="1"/>
    <x v="2"/>
    <n v="1"/>
    <n v="50"/>
    <s v="Human Resources"/>
    <n v="3"/>
    <n v="2"/>
    <n v="0"/>
    <n v="1"/>
    <s v="No"/>
    <n v="4"/>
    <s v="41-50"/>
    <x v="2"/>
    <n v="15"/>
    <x v="1"/>
  </r>
  <r>
    <n v="34"/>
    <x v="1"/>
    <x v="0"/>
    <n v="3"/>
    <n v="31"/>
    <s v="Sales Representative"/>
    <n v="3"/>
    <n v="8"/>
    <n v="0"/>
    <n v="14"/>
    <s v="Yes"/>
    <n v="3"/>
    <s v="31-40"/>
    <x v="3"/>
    <n v="35"/>
    <x v="2"/>
  </r>
  <r>
    <n v="27"/>
    <x v="0"/>
    <x v="0"/>
    <n v="3"/>
    <n v="85"/>
    <s v="Sales Representative"/>
    <n v="1"/>
    <n v="4"/>
    <n v="0"/>
    <n v="2"/>
    <s v="No"/>
    <n v="3"/>
    <s v="18-30"/>
    <x v="4"/>
    <s v="NA"/>
    <x v="0"/>
  </r>
  <r>
    <n v="21"/>
    <x v="1"/>
    <x v="0"/>
    <n v="3"/>
    <n v="49"/>
    <s v="Sales Representative"/>
    <n v="3"/>
    <n v="3"/>
    <n v="1"/>
    <n v="22"/>
    <s v="No"/>
    <n v="3"/>
    <s v="18-30"/>
    <x v="2"/>
    <n v="0"/>
    <x v="1"/>
  </r>
  <r>
    <n v="44"/>
    <x v="1"/>
    <x v="1"/>
    <n v="4"/>
    <n v="35"/>
    <s v="Manager"/>
    <n v="4"/>
    <n v="2"/>
    <n v="0"/>
    <n v="3"/>
    <s v="Yes"/>
    <n v="4"/>
    <s v="41-50"/>
    <x v="3"/>
    <n v="35"/>
    <x v="2"/>
  </r>
  <r>
    <n v="22"/>
    <x v="1"/>
    <x v="1"/>
    <n v="1"/>
    <n v="69"/>
    <s v="Research Scientist"/>
    <n v="3"/>
    <n v="2"/>
    <n v="2"/>
    <n v="6"/>
    <s v="No"/>
    <n v="3"/>
    <s v="18-30"/>
    <x v="1"/>
    <n v="15"/>
    <x v="1"/>
  </r>
  <r>
    <n v="33"/>
    <x v="1"/>
    <x v="0"/>
    <n v="3"/>
    <n v="39"/>
    <s v="Sales Executive"/>
    <n v="3"/>
    <n v="5"/>
    <n v="1"/>
    <n v="8"/>
    <s v="No"/>
    <n v="3"/>
    <s v="31-40"/>
    <x v="3"/>
    <n v="0"/>
    <x v="1"/>
  </r>
  <r>
    <n v="32"/>
    <x v="1"/>
    <x v="1"/>
    <n v="1"/>
    <n v="92"/>
    <s v="Research Scientist"/>
    <n v="4"/>
    <n v="6"/>
    <n v="0"/>
    <n v="9"/>
    <s v="Yes"/>
    <n v="2"/>
    <s v="31-40"/>
    <x v="0"/>
    <n v="50"/>
    <x v="3"/>
  </r>
  <r>
    <n v="30"/>
    <x v="1"/>
    <x v="1"/>
    <n v="3"/>
    <n v="71"/>
    <s v="Research Scientist"/>
    <n v="3"/>
    <n v="1"/>
    <n v="0"/>
    <n v="3"/>
    <s v="No"/>
    <n v="3"/>
    <s v="18-30"/>
    <x v="1"/>
    <n v="0"/>
    <x v="1"/>
  </r>
  <r>
    <n v="53"/>
    <x v="1"/>
    <x v="0"/>
    <n v="4"/>
    <n v="34"/>
    <s v="Sales Executive"/>
    <n v="1"/>
    <n v="14"/>
    <n v="8"/>
    <n v="1"/>
    <s v="No"/>
    <n v="4"/>
    <s v="51+"/>
    <x v="3"/>
    <n v="15"/>
    <x v="1"/>
  </r>
  <r>
    <n v="34"/>
    <x v="1"/>
    <x v="1"/>
    <n v="2"/>
    <n v="42"/>
    <s v="Research Scientist"/>
    <n v="4"/>
    <n v="10"/>
    <n v="8"/>
    <n v="1"/>
    <s v="No"/>
    <n v="2"/>
    <s v="31-40"/>
    <x v="3"/>
    <n v="15"/>
    <x v="1"/>
  </r>
  <r>
    <n v="45"/>
    <x v="0"/>
    <x v="0"/>
    <n v="1"/>
    <n v="100"/>
    <s v="Sales Executive"/>
    <n v="1"/>
    <n v="1"/>
    <n v="0"/>
    <n v="26"/>
    <s v="No"/>
    <n v="3"/>
    <s v="41-50"/>
    <x v="0"/>
    <s v="NA"/>
    <x v="0"/>
  </r>
  <r>
    <n v="26"/>
    <x v="1"/>
    <x v="1"/>
    <n v="3"/>
    <n v="71"/>
    <s v="Laboratory Technician"/>
    <n v="4"/>
    <n v="3"/>
    <n v="0"/>
    <n v="6"/>
    <s v="Yes"/>
    <n v="3"/>
    <s v="18-30"/>
    <x v="1"/>
    <n v="35"/>
    <x v="2"/>
  </r>
  <r>
    <n v="37"/>
    <x v="1"/>
    <x v="1"/>
    <n v="3"/>
    <n v="36"/>
    <s v="Manufacturing Director"/>
    <n v="3"/>
    <n v="10"/>
    <n v="7"/>
    <n v="3"/>
    <s v="No"/>
    <n v="3"/>
    <s v="31-40"/>
    <x v="3"/>
    <n v="0"/>
    <x v="1"/>
  </r>
  <r>
    <n v="29"/>
    <x v="1"/>
    <x v="0"/>
    <n v="2"/>
    <n v="62"/>
    <s v="Sales Executive"/>
    <n v="3"/>
    <n v="6"/>
    <n v="1"/>
    <n v="3"/>
    <s v="No"/>
    <n v="2"/>
    <s v="18-30"/>
    <x v="1"/>
    <n v="15"/>
    <x v="1"/>
  </r>
  <r>
    <n v="35"/>
    <x v="1"/>
    <x v="1"/>
    <n v="2"/>
    <n v="82"/>
    <s v="Research Scientist"/>
    <n v="4"/>
    <n v="17"/>
    <n v="11"/>
    <n v="6"/>
    <s v="No"/>
    <n v="3"/>
    <s v="31-40"/>
    <x v="4"/>
    <n v="15"/>
    <x v="1"/>
  </r>
  <r>
    <n v="33"/>
    <x v="1"/>
    <x v="1"/>
    <n v="3"/>
    <n v="30"/>
    <s v="Healthcare Representative"/>
    <n v="4"/>
    <n v="13"/>
    <n v="4"/>
    <n v="6"/>
    <s v="No"/>
    <n v="1"/>
    <s v="31-40"/>
    <x v="3"/>
    <n v="35"/>
    <x v="2"/>
  </r>
  <r>
    <n v="54"/>
    <x v="1"/>
    <x v="2"/>
    <n v="3"/>
    <n v="88"/>
    <s v="Human Resources"/>
    <n v="2"/>
    <n v="9"/>
    <n v="7"/>
    <n v="19"/>
    <s v="No"/>
    <n v="4"/>
    <s v="51+"/>
    <x v="4"/>
    <n v="15"/>
    <x v="1"/>
  </r>
  <r>
    <n v="36"/>
    <x v="1"/>
    <x v="1"/>
    <n v="2"/>
    <n v="48"/>
    <s v="Manufacturing Director"/>
    <n v="2"/>
    <n v="3"/>
    <n v="0"/>
    <n v="9"/>
    <s v="Yes"/>
    <n v="3"/>
    <s v="31-40"/>
    <x v="2"/>
    <n v="65"/>
    <x v="3"/>
  </r>
  <r>
    <n v="27"/>
    <x v="1"/>
    <x v="1"/>
    <n v="1"/>
    <n v="54"/>
    <s v="Research Scientist"/>
    <n v="4"/>
    <n v="4"/>
    <n v="1"/>
    <n v="3"/>
    <s v="No"/>
    <n v="3"/>
    <s v="18-30"/>
    <x v="2"/>
    <n v="15"/>
    <x v="1"/>
  </r>
  <r>
    <n v="20"/>
    <x v="0"/>
    <x v="1"/>
    <n v="4"/>
    <n v="32"/>
    <s v="Research Scientist"/>
    <n v="3"/>
    <n v="1"/>
    <n v="1"/>
    <n v="10"/>
    <s v="Yes"/>
    <n v="3"/>
    <s v="18-30"/>
    <x v="3"/>
    <s v="NA"/>
    <x v="0"/>
  </r>
  <r>
    <n v="33"/>
    <x v="0"/>
    <x v="1"/>
    <n v="1"/>
    <n v="70"/>
    <s v="Research Scientist"/>
    <n v="1"/>
    <n v="10"/>
    <n v="9"/>
    <n v="3"/>
    <s v="Yes"/>
    <n v="3"/>
    <s v="31-40"/>
    <x v="1"/>
    <s v="NA"/>
    <x v="0"/>
  </r>
  <r>
    <n v="35"/>
    <x v="1"/>
    <x v="1"/>
    <n v="3"/>
    <n v="41"/>
    <s v="Laboratory Technician"/>
    <n v="3"/>
    <n v="1"/>
    <n v="0"/>
    <n v="3"/>
    <s v="No"/>
    <n v="3"/>
    <s v="31-40"/>
    <x v="3"/>
    <n v="0"/>
    <x v="1"/>
  </r>
  <r>
    <n v="23"/>
    <x v="1"/>
    <x v="1"/>
    <n v="1"/>
    <n v="58"/>
    <s v="Research Scientist"/>
    <n v="1"/>
    <n v="3"/>
    <n v="0"/>
    <n v="4"/>
    <s v="No"/>
    <n v="4"/>
    <s v="18-30"/>
    <x v="2"/>
    <n v="30"/>
    <x v="2"/>
  </r>
  <r>
    <n v="25"/>
    <x v="1"/>
    <x v="0"/>
    <n v="4"/>
    <n v="57"/>
    <s v="Sales Executive"/>
    <n v="2"/>
    <n v="3"/>
    <n v="1"/>
    <n v="8"/>
    <s v="No"/>
    <n v="3"/>
    <s v="18-30"/>
    <x v="2"/>
    <n v="15"/>
    <x v="1"/>
  </r>
  <r>
    <n v="38"/>
    <x v="1"/>
    <x v="0"/>
    <n v="4"/>
    <n v="46"/>
    <s v="Sales Executive"/>
    <n v="4"/>
    <n v="7"/>
    <n v="0"/>
    <n v="7"/>
    <s v="No"/>
    <n v="3"/>
    <s v="31-40"/>
    <x v="2"/>
    <n v="0"/>
    <x v="1"/>
  </r>
  <r>
    <n v="29"/>
    <x v="1"/>
    <x v="1"/>
    <n v="2"/>
    <n v="76"/>
    <s v="Research Scientist"/>
    <n v="4"/>
    <n v="10"/>
    <n v="2"/>
    <n v="1"/>
    <s v="No"/>
    <n v="3"/>
    <s v="18-30"/>
    <x v="4"/>
    <n v="15"/>
    <x v="1"/>
  </r>
  <r>
    <n v="48"/>
    <x v="1"/>
    <x v="0"/>
    <n v="2"/>
    <n v="56"/>
    <s v="Sales Executive"/>
    <n v="2"/>
    <n v="2"/>
    <n v="2"/>
    <n v="2"/>
    <s v="No"/>
    <n v="3"/>
    <s v="41-50"/>
    <x v="2"/>
    <n v="30"/>
    <x v="2"/>
  </r>
  <r>
    <n v="27"/>
    <x v="1"/>
    <x v="0"/>
    <n v="4"/>
    <n v="71"/>
    <s v="Sales Executive"/>
    <n v="4"/>
    <n v="6"/>
    <n v="0"/>
    <n v="3"/>
    <s v="Yes"/>
    <n v="3"/>
    <s v="18-30"/>
    <x v="1"/>
    <n v="35"/>
    <x v="2"/>
  </r>
  <r>
    <n v="37"/>
    <x v="1"/>
    <x v="1"/>
    <n v="4"/>
    <n v="80"/>
    <s v="Research Scientist"/>
    <n v="4"/>
    <n v="1"/>
    <n v="0"/>
    <n v="10"/>
    <s v="No"/>
    <n v="3"/>
    <s v="31-40"/>
    <x v="4"/>
    <n v="0"/>
    <x v="1"/>
  </r>
  <r>
    <n v="50"/>
    <x v="1"/>
    <x v="1"/>
    <n v="4"/>
    <n v="74"/>
    <s v="Laboratory Technician"/>
    <n v="3"/>
    <n v="20"/>
    <n v="3"/>
    <n v="28"/>
    <s v="Yes"/>
    <n v="3"/>
    <s v="41-50"/>
    <x v="1"/>
    <n v="35"/>
    <x v="2"/>
  </r>
  <r>
    <n v="34"/>
    <x v="1"/>
    <x v="1"/>
    <n v="4"/>
    <n v="46"/>
    <s v="Healthcare Representative"/>
    <n v="2"/>
    <n v="8"/>
    <n v="7"/>
    <n v="9"/>
    <s v="No"/>
    <n v="4"/>
    <s v="31-40"/>
    <x v="2"/>
    <n v="15"/>
    <x v="1"/>
  </r>
  <r>
    <n v="24"/>
    <x v="0"/>
    <x v="0"/>
    <n v="1"/>
    <n v="65"/>
    <s v="Sales Executive"/>
    <n v="3"/>
    <n v="2"/>
    <n v="2"/>
    <n v="3"/>
    <s v="No"/>
    <n v="3"/>
    <s v="18-30"/>
    <x v="1"/>
    <s v="NA"/>
    <x v="0"/>
  </r>
  <r>
    <n v="39"/>
    <x v="1"/>
    <x v="1"/>
    <n v="4"/>
    <n v="80"/>
    <s v="Healthcare Representative"/>
    <n v="3"/>
    <n v="20"/>
    <n v="11"/>
    <n v="2"/>
    <s v="No"/>
    <n v="3"/>
    <s v="31-40"/>
    <x v="4"/>
    <n v="0"/>
    <x v="1"/>
  </r>
  <r>
    <n v="32"/>
    <x v="1"/>
    <x v="0"/>
    <n v="4"/>
    <n v="55"/>
    <s v="Sales Executive"/>
    <n v="4"/>
    <n v="10"/>
    <n v="0"/>
    <n v="10"/>
    <s v="No"/>
    <n v="2"/>
    <s v="31-40"/>
    <x v="2"/>
    <n v="0"/>
    <x v="1"/>
  </r>
  <r>
    <n v="50"/>
    <x v="0"/>
    <x v="0"/>
    <n v="2"/>
    <n v="50"/>
    <s v="Sales Executive"/>
    <n v="3"/>
    <n v="4"/>
    <n v="1"/>
    <n v="8"/>
    <s v="Yes"/>
    <n v="3"/>
    <s v="41-50"/>
    <x v="2"/>
    <s v="NA"/>
    <x v="0"/>
  </r>
  <r>
    <n v="38"/>
    <x v="1"/>
    <x v="1"/>
    <n v="2"/>
    <n v="33"/>
    <s v="Healthcare Representative"/>
    <n v="4"/>
    <n v="9"/>
    <n v="1"/>
    <n v="1"/>
    <s v="No"/>
    <n v="2"/>
    <s v="31-40"/>
    <x v="3"/>
    <n v="15"/>
    <x v="1"/>
  </r>
  <r>
    <n v="27"/>
    <x v="1"/>
    <x v="1"/>
    <n v="3"/>
    <n v="68"/>
    <s v="Manufacturing Director"/>
    <n v="1"/>
    <n v="9"/>
    <n v="0"/>
    <n v="1"/>
    <s v="No"/>
    <n v="3"/>
    <s v="18-30"/>
    <x v="1"/>
    <n v="15"/>
    <x v="1"/>
  </r>
  <r>
    <n v="32"/>
    <x v="1"/>
    <x v="1"/>
    <n v="3"/>
    <n v="39"/>
    <s v="Research Director"/>
    <n v="4"/>
    <n v="7"/>
    <n v="7"/>
    <n v="3"/>
    <s v="No"/>
    <n v="3"/>
    <s v="31-40"/>
    <x v="3"/>
    <n v="0"/>
    <x v="1"/>
  </r>
  <r>
    <n v="47"/>
    <x v="1"/>
    <x v="0"/>
    <n v="4"/>
    <n v="42"/>
    <s v="Sales Executive"/>
    <n v="1"/>
    <n v="7"/>
    <n v="1"/>
    <n v="14"/>
    <s v="No"/>
    <n v="3"/>
    <s v="41-50"/>
    <x v="3"/>
    <n v="15"/>
    <x v="1"/>
  </r>
  <r>
    <n v="40"/>
    <x v="1"/>
    <x v="0"/>
    <n v="4"/>
    <n v="48"/>
    <s v="Sales Executive"/>
    <n v="1"/>
    <n v="18"/>
    <n v="1"/>
    <n v="5"/>
    <s v="Yes"/>
    <n v="3"/>
    <s v="31-40"/>
    <x v="2"/>
    <n v="50"/>
    <x v="3"/>
  </r>
  <r>
    <n v="53"/>
    <x v="1"/>
    <x v="1"/>
    <n v="3"/>
    <n v="59"/>
    <s v="Research Director"/>
    <n v="3"/>
    <n v="5"/>
    <n v="1"/>
    <n v="7"/>
    <s v="No"/>
    <n v="3"/>
    <s v="51+"/>
    <x v="2"/>
    <n v="0"/>
    <x v="1"/>
  </r>
  <r>
    <n v="41"/>
    <x v="1"/>
    <x v="2"/>
    <n v="2"/>
    <n v="73"/>
    <s v="Manager"/>
    <n v="4"/>
    <n v="21"/>
    <n v="12"/>
    <n v="10"/>
    <s v="No"/>
    <n v="2"/>
    <s v="41-50"/>
    <x v="1"/>
    <n v="15"/>
    <x v="1"/>
  </r>
  <r>
    <n v="60"/>
    <x v="1"/>
    <x v="0"/>
    <n v="1"/>
    <n v="84"/>
    <s v="Sales Executive"/>
    <n v="1"/>
    <n v="2"/>
    <n v="2"/>
    <n v="16"/>
    <s v="No"/>
    <n v="3"/>
    <s v="51+"/>
    <x v="4"/>
    <n v="30"/>
    <x v="2"/>
  </r>
  <r>
    <n v="27"/>
    <x v="1"/>
    <x v="1"/>
    <n v="4"/>
    <n v="32"/>
    <s v="Manufacturing Director"/>
    <n v="1"/>
    <n v="9"/>
    <n v="1"/>
    <n v="10"/>
    <s v="No"/>
    <n v="2"/>
    <s v="18-30"/>
    <x v="3"/>
    <n v="15"/>
    <x v="1"/>
  </r>
  <r>
    <n v="41"/>
    <x v="1"/>
    <x v="2"/>
    <n v="4"/>
    <n v="59"/>
    <s v="Manager"/>
    <n v="3"/>
    <n v="22"/>
    <n v="2"/>
    <n v="1"/>
    <s v="No"/>
    <n v="3"/>
    <s v="41-50"/>
    <x v="2"/>
    <n v="0"/>
    <x v="1"/>
  </r>
  <r>
    <n v="50"/>
    <x v="1"/>
    <x v="0"/>
    <n v="4"/>
    <n v="54"/>
    <s v="Sales Representative"/>
    <n v="2"/>
    <n v="2"/>
    <n v="2"/>
    <n v="8"/>
    <s v="No"/>
    <n v="3"/>
    <s v="41-50"/>
    <x v="2"/>
    <n v="15"/>
    <x v="1"/>
  </r>
  <r>
    <n v="28"/>
    <x v="0"/>
    <x v="1"/>
    <n v="1"/>
    <n v="67"/>
    <s v="Research Scientist"/>
    <n v="2"/>
    <n v="7"/>
    <n v="3"/>
    <n v="1"/>
    <s v="Yes"/>
    <n v="3"/>
    <s v="18-30"/>
    <x v="1"/>
    <s v="NA"/>
    <x v="0"/>
  </r>
  <r>
    <n v="36"/>
    <x v="1"/>
    <x v="1"/>
    <n v="1"/>
    <n v="63"/>
    <s v="Research Director"/>
    <n v="1"/>
    <n v="8"/>
    <n v="0"/>
    <n v="8"/>
    <s v="No"/>
    <n v="3"/>
    <s v="31-40"/>
    <x v="1"/>
    <n v="30"/>
    <x v="2"/>
  </r>
  <r>
    <n v="38"/>
    <x v="1"/>
    <x v="1"/>
    <n v="3"/>
    <n v="81"/>
    <s v="Manufacturing Director"/>
    <n v="3"/>
    <n v="1"/>
    <n v="0"/>
    <n v="1"/>
    <s v="Yes"/>
    <n v="4"/>
    <s v="31-40"/>
    <x v="4"/>
    <n v="35"/>
    <x v="2"/>
  </r>
  <r>
    <n v="44"/>
    <x v="1"/>
    <x v="1"/>
    <n v="1"/>
    <n v="49"/>
    <s v="Laboratory Technician"/>
    <n v="3"/>
    <n v="5"/>
    <n v="1"/>
    <n v="24"/>
    <s v="No"/>
    <n v="3"/>
    <s v="41-50"/>
    <x v="2"/>
    <n v="15"/>
    <x v="1"/>
  </r>
  <r>
    <n v="47"/>
    <x v="1"/>
    <x v="0"/>
    <n v="4"/>
    <n v="49"/>
    <s v="Sales Executive"/>
    <n v="3"/>
    <n v="22"/>
    <n v="11"/>
    <n v="3"/>
    <s v="Yes"/>
    <n v="2"/>
    <s v="41-50"/>
    <x v="2"/>
    <n v="35"/>
    <x v="2"/>
  </r>
  <r>
    <n v="30"/>
    <x v="1"/>
    <x v="0"/>
    <n v="3"/>
    <n v="99"/>
    <s v="Sales Executive"/>
    <n v="4"/>
    <n v="8"/>
    <n v="7"/>
    <n v="27"/>
    <s v="No"/>
    <n v="2"/>
    <s v="18-30"/>
    <x v="0"/>
    <n v="0"/>
    <x v="1"/>
  </r>
  <r>
    <n v="29"/>
    <x v="1"/>
    <x v="0"/>
    <n v="3"/>
    <n v="99"/>
    <s v="Sales Representative"/>
    <n v="3"/>
    <n v="1"/>
    <n v="0"/>
    <n v="10"/>
    <s v="No"/>
    <n v="3"/>
    <s v="18-30"/>
    <x v="0"/>
    <n v="0"/>
    <x v="1"/>
  </r>
  <r>
    <n v="42"/>
    <x v="0"/>
    <x v="1"/>
    <n v="3"/>
    <n v="57"/>
    <s v="Research Scientist"/>
    <n v="3"/>
    <n v="2"/>
    <n v="2"/>
    <n v="19"/>
    <s v="Yes"/>
    <n v="3"/>
    <s v="41-50"/>
    <x v="2"/>
    <s v="NA"/>
    <x v="0"/>
  </r>
  <r>
    <n v="43"/>
    <x v="1"/>
    <x v="0"/>
    <n v="4"/>
    <n v="47"/>
    <s v="Sales Executive"/>
    <n v="4"/>
    <n v="2"/>
    <n v="2"/>
    <n v="15"/>
    <s v="No"/>
    <n v="3"/>
    <s v="41-50"/>
    <x v="2"/>
    <n v="0"/>
    <x v="1"/>
  </r>
  <r>
    <n v="34"/>
    <x v="1"/>
    <x v="1"/>
    <n v="2"/>
    <n v="96"/>
    <s v="Healthcare Representative"/>
    <n v="3"/>
    <n v="5"/>
    <n v="4"/>
    <n v="8"/>
    <s v="No"/>
    <n v="3"/>
    <s v="31-40"/>
    <x v="0"/>
    <n v="15"/>
    <x v="1"/>
  </r>
  <r>
    <n v="23"/>
    <x v="1"/>
    <x v="1"/>
    <n v="2"/>
    <n v="37"/>
    <s v="Laboratory Technician"/>
    <n v="1"/>
    <n v="4"/>
    <n v="0"/>
    <n v="9"/>
    <s v="No"/>
    <n v="4"/>
    <s v="18-30"/>
    <x v="3"/>
    <n v="30"/>
    <x v="2"/>
  </r>
  <r>
    <n v="39"/>
    <x v="1"/>
    <x v="2"/>
    <n v="3"/>
    <n v="44"/>
    <s v="Human Resources"/>
    <n v="2"/>
    <n v="8"/>
    <n v="3"/>
    <n v="3"/>
    <s v="No"/>
    <n v="1"/>
    <s v="31-40"/>
    <x v="3"/>
    <n v="50"/>
    <x v="3"/>
  </r>
  <r>
    <n v="56"/>
    <x v="1"/>
    <x v="1"/>
    <n v="3"/>
    <n v="81"/>
    <s v="Healthcare Representative"/>
    <n v="4"/>
    <n v="10"/>
    <n v="1"/>
    <n v="9"/>
    <s v="No"/>
    <n v="2"/>
    <s v="51+"/>
    <x v="4"/>
    <n v="0"/>
    <x v="1"/>
  </r>
  <r>
    <n v="40"/>
    <x v="1"/>
    <x v="1"/>
    <n v="4"/>
    <n v="86"/>
    <s v="Research Scientist"/>
    <n v="4"/>
    <n v="4"/>
    <n v="2"/>
    <n v="2"/>
    <s v="Yes"/>
    <n v="2"/>
    <s v="31-40"/>
    <x v="4"/>
    <n v="35"/>
    <x v="2"/>
  </r>
  <r>
    <n v="27"/>
    <x v="1"/>
    <x v="1"/>
    <n v="4"/>
    <n v="55"/>
    <s v="Healthcare Representative"/>
    <n v="1"/>
    <n v="7"/>
    <n v="0"/>
    <n v="7"/>
    <s v="No"/>
    <n v="1"/>
    <s v="18-30"/>
    <x v="2"/>
    <n v="50"/>
    <x v="3"/>
  </r>
  <r>
    <n v="29"/>
    <x v="1"/>
    <x v="0"/>
    <n v="4"/>
    <n v="83"/>
    <s v="Sales Representative"/>
    <n v="2"/>
    <n v="2"/>
    <n v="2"/>
    <n v="10"/>
    <s v="No"/>
    <n v="3"/>
    <s v="18-30"/>
    <x v="4"/>
    <n v="15"/>
    <x v="1"/>
  </r>
  <r>
    <n v="53"/>
    <x v="1"/>
    <x v="1"/>
    <n v="4"/>
    <n v="86"/>
    <s v="Laboratory Technician"/>
    <n v="4"/>
    <n v="2"/>
    <n v="2"/>
    <n v="6"/>
    <s v="No"/>
    <n v="3"/>
    <s v="51+"/>
    <x v="4"/>
    <n v="0"/>
    <x v="1"/>
  </r>
  <r>
    <n v="35"/>
    <x v="1"/>
    <x v="1"/>
    <n v="4"/>
    <n v="61"/>
    <s v="Healthcare Representative"/>
    <n v="1"/>
    <n v="1"/>
    <n v="0"/>
    <n v="2"/>
    <s v="No"/>
    <n v="4"/>
    <s v="31-40"/>
    <x v="1"/>
    <n v="15"/>
    <x v="1"/>
  </r>
  <r>
    <n v="32"/>
    <x v="1"/>
    <x v="1"/>
    <n v="1"/>
    <n v="80"/>
    <s v="Laboratory Technician"/>
    <n v="4"/>
    <n v="10"/>
    <n v="4"/>
    <n v="24"/>
    <s v="No"/>
    <n v="3"/>
    <s v="31-40"/>
    <x v="4"/>
    <n v="15"/>
    <x v="1"/>
  </r>
  <r>
    <n v="38"/>
    <x v="1"/>
    <x v="1"/>
    <n v="4"/>
    <n v="92"/>
    <s v="Research Scientist"/>
    <n v="3"/>
    <n v="1"/>
    <n v="0"/>
    <n v="2"/>
    <s v="Yes"/>
    <n v="1"/>
    <s v="31-40"/>
    <x v="0"/>
    <n v="70"/>
    <x v="4"/>
  </r>
  <r>
    <n v="34"/>
    <x v="1"/>
    <x v="1"/>
    <n v="2"/>
    <n v="32"/>
    <s v="Manufacturing Director"/>
    <n v="1"/>
    <n v="0"/>
    <n v="0"/>
    <n v="8"/>
    <s v="No"/>
    <n v="3"/>
    <s v="31-40"/>
    <x v="3"/>
    <n v="30"/>
    <x v="2"/>
  </r>
  <r>
    <n v="52"/>
    <x v="1"/>
    <x v="0"/>
    <n v="3"/>
    <n v="31"/>
    <s v="Manager"/>
    <n v="1"/>
    <n v="34"/>
    <n v="1"/>
    <n v="3"/>
    <s v="No"/>
    <n v="4"/>
    <s v="51+"/>
    <x v="3"/>
    <n v="15"/>
    <x v="1"/>
  </r>
  <r>
    <n v="33"/>
    <x v="0"/>
    <x v="1"/>
    <n v="4"/>
    <n v="63"/>
    <s v="Research Scientist"/>
    <n v="4"/>
    <n v="10"/>
    <n v="7"/>
    <n v="1"/>
    <s v="Yes"/>
    <n v="2"/>
    <s v="31-40"/>
    <x v="1"/>
    <s v="NA"/>
    <x v="0"/>
  </r>
  <r>
    <n v="25"/>
    <x v="1"/>
    <x v="0"/>
    <n v="3"/>
    <n v="32"/>
    <s v="Sales Executive"/>
    <n v="4"/>
    <n v="6"/>
    <n v="1"/>
    <n v="26"/>
    <s v="No"/>
    <n v="2"/>
    <s v="18-30"/>
    <x v="3"/>
    <n v="0"/>
    <x v="1"/>
  </r>
  <r>
    <n v="45"/>
    <x v="1"/>
    <x v="0"/>
    <n v="2"/>
    <n v="46"/>
    <s v="Sales Representative"/>
    <n v="3"/>
    <n v="8"/>
    <n v="3"/>
    <n v="2"/>
    <s v="No"/>
    <n v="3"/>
    <s v="41-50"/>
    <x v="2"/>
    <n v="15"/>
    <x v="1"/>
  </r>
  <r>
    <n v="23"/>
    <x v="1"/>
    <x v="1"/>
    <n v="1"/>
    <n v="79"/>
    <s v="Research Scientist"/>
    <n v="3"/>
    <n v="2"/>
    <n v="0"/>
    <n v="10"/>
    <s v="No"/>
    <n v="3"/>
    <s v="18-30"/>
    <x v="4"/>
    <n v="15"/>
    <x v="1"/>
  </r>
  <r>
    <n v="47"/>
    <x v="0"/>
    <x v="0"/>
    <n v="2"/>
    <n v="77"/>
    <s v="Sales Executive"/>
    <n v="3"/>
    <n v="5"/>
    <n v="1"/>
    <n v="27"/>
    <s v="Yes"/>
    <n v="3"/>
    <s v="41-50"/>
    <x v="4"/>
    <s v="NA"/>
    <x v="0"/>
  </r>
  <r>
    <n v="34"/>
    <x v="1"/>
    <x v="0"/>
    <n v="4"/>
    <n v="60"/>
    <s v="Sales Executive"/>
    <n v="4"/>
    <n v="6"/>
    <n v="1"/>
    <n v="2"/>
    <s v="No"/>
    <n v="3"/>
    <s v="31-40"/>
    <x v="2"/>
    <n v="0"/>
    <x v="1"/>
  </r>
  <r>
    <n v="55"/>
    <x v="0"/>
    <x v="1"/>
    <n v="4"/>
    <n v="78"/>
    <s v="Manager"/>
    <n v="1"/>
    <n v="5"/>
    <n v="1"/>
    <n v="2"/>
    <s v="Yes"/>
    <n v="3"/>
    <s v="51+"/>
    <x v="4"/>
    <s v="NA"/>
    <x v="0"/>
  </r>
  <r>
    <n v="36"/>
    <x v="1"/>
    <x v="0"/>
    <n v="1"/>
    <n v="76"/>
    <s v="Sales Executive"/>
    <n v="1"/>
    <n v="10"/>
    <n v="0"/>
    <n v="8"/>
    <s v="No"/>
    <n v="3"/>
    <s v="31-40"/>
    <x v="4"/>
    <n v="30"/>
    <x v="2"/>
  </r>
  <r>
    <n v="52"/>
    <x v="1"/>
    <x v="1"/>
    <n v="4"/>
    <n v="41"/>
    <s v="Research Scientist"/>
    <n v="4"/>
    <n v="4"/>
    <n v="1"/>
    <n v="19"/>
    <s v="No"/>
    <n v="3"/>
    <s v="51+"/>
    <x v="3"/>
    <n v="0"/>
    <x v="1"/>
  </r>
  <r>
    <n v="26"/>
    <x v="1"/>
    <x v="1"/>
    <n v="1"/>
    <n v="71"/>
    <s v="Laboratory Technician"/>
    <n v="4"/>
    <n v="2"/>
    <n v="2"/>
    <n v="1"/>
    <s v="No"/>
    <n v="3"/>
    <s v="18-30"/>
    <x v="1"/>
    <n v="15"/>
    <x v="1"/>
  </r>
  <r>
    <n v="29"/>
    <x v="1"/>
    <x v="1"/>
    <n v="2"/>
    <n v="66"/>
    <s v="Healthcare Representative"/>
    <n v="3"/>
    <n v="8"/>
    <n v="1"/>
    <n v="27"/>
    <s v="No"/>
    <n v="2"/>
    <s v="18-30"/>
    <x v="1"/>
    <n v="15"/>
    <x v="1"/>
  </r>
  <r>
    <n v="26"/>
    <x v="0"/>
    <x v="0"/>
    <n v="4"/>
    <n v="38"/>
    <s v="Sales Executive"/>
    <n v="1"/>
    <n v="4"/>
    <n v="1"/>
    <n v="8"/>
    <s v="No"/>
    <n v="2"/>
    <s v="18-30"/>
    <x v="3"/>
    <s v="NA"/>
    <x v="0"/>
  </r>
  <r>
    <n v="34"/>
    <x v="1"/>
    <x v="1"/>
    <n v="2"/>
    <n v="72"/>
    <s v="Research Scientist"/>
    <n v="4"/>
    <n v="4"/>
    <n v="1"/>
    <n v="1"/>
    <s v="No"/>
    <n v="3"/>
    <s v="31-40"/>
    <x v="1"/>
    <n v="15"/>
    <x v="1"/>
  </r>
  <r>
    <n v="54"/>
    <x v="1"/>
    <x v="1"/>
    <n v="4"/>
    <n v="95"/>
    <s v="Manufacturing Director"/>
    <n v="1"/>
    <n v="5"/>
    <n v="1"/>
    <n v="19"/>
    <s v="Yes"/>
    <n v="3"/>
    <s v="51+"/>
    <x v="0"/>
    <n v="50"/>
    <x v="3"/>
  </r>
  <r>
    <n v="27"/>
    <x v="1"/>
    <x v="0"/>
    <n v="3"/>
    <n v="84"/>
    <s v="Sales Executive"/>
    <n v="4"/>
    <n v="4"/>
    <n v="1"/>
    <n v="8"/>
    <s v="No"/>
    <n v="3"/>
    <s v="18-30"/>
    <x v="4"/>
    <n v="0"/>
    <x v="1"/>
  </r>
  <r>
    <n v="37"/>
    <x v="1"/>
    <x v="1"/>
    <n v="4"/>
    <n v="82"/>
    <s v="Research Scientist"/>
    <n v="1"/>
    <n v="5"/>
    <n v="4"/>
    <n v="10"/>
    <s v="Yes"/>
    <n v="2"/>
    <s v="31-40"/>
    <x v="4"/>
    <n v="50"/>
    <x v="3"/>
  </r>
  <r>
    <n v="38"/>
    <x v="1"/>
    <x v="1"/>
    <n v="1"/>
    <n v="75"/>
    <s v="Manufacturing Director"/>
    <n v="1"/>
    <n v="15"/>
    <n v="4"/>
    <n v="2"/>
    <s v="Yes"/>
    <n v="3"/>
    <s v="31-40"/>
    <x v="1"/>
    <n v="65"/>
    <x v="3"/>
  </r>
  <r>
    <n v="34"/>
    <x v="1"/>
    <x v="1"/>
    <n v="3"/>
    <n v="86"/>
    <s v="Research Scientist"/>
    <n v="1"/>
    <n v="6"/>
    <n v="1"/>
    <n v="2"/>
    <s v="No"/>
    <n v="3"/>
    <s v="31-40"/>
    <x v="4"/>
    <n v="15"/>
    <x v="1"/>
  </r>
  <r>
    <n v="35"/>
    <x v="1"/>
    <x v="0"/>
    <n v="1"/>
    <n v="72"/>
    <s v="Sales Representative"/>
    <n v="4"/>
    <n v="3"/>
    <n v="0"/>
    <n v="8"/>
    <s v="No"/>
    <n v="2"/>
    <s v="31-40"/>
    <x v="1"/>
    <n v="15"/>
    <x v="1"/>
  </r>
  <r>
    <n v="30"/>
    <x v="1"/>
    <x v="1"/>
    <n v="4"/>
    <n v="38"/>
    <s v="Laboratory Technician"/>
    <n v="3"/>
    <n v="2"/>
    <n v="0"/>
    <n v="1"/>
    <s v="No"/>
    <n v="3"/>
    <s v="18-30"/>
    <x v="3"/>
    <n v="0"/>
    <x v="1"/>
  </r>
  <r>
    <n v="40"/>
    <x v="1"/>
    <x v="1"/>
    <n v="3"/>
    <n v="38"/>
    <s v="Healthcare Representative"/>
    <n v="2"/>
    <n v="8"/>
    <n v="3"/>
    <n v="2"/>
    <s v="No"/>
    <n v="3"/>
    <s v="31-40"/>
    <x v="3"/>
    <n v="15"/>
    <x v="1"/>
  </r>
  <r>
    <n v="34"/>
    <x v="1"/>
    <x v="0"/>
    <n v="3"/>
    <n v="93"/>
    <s v="Sales Executive"/>
    <n v="1"/>
    <n v="3"/>
    <n v="1"/>
    <n v="8"/>
    <s v="No"/>
    <n v="3"/>
    <s v="31-40"/>
    <x v="0"/>
    <n v="15"/>
    <x v="1"/>
  </r>
  <r>
    <n v="42"/>
    <x v="1"/>
    <x v="1"/>
    <n v="2"/>
    <n v="66"/>
    <s v="Manager"/>
    <n v="4"/>
    <n v="24"/>
    <n v="14"/>
    <n v="8"/>
    <s v="No"/>
    <n v="2"/>
    <s v="41-50"/>
    <x v="1"/>
    <n v="15"/>
    <x v="1"/>
  </r>
  <r>
    <n v="23"/>
    <x v="0"/>
    <x v="1"/>
    <n v="3"/>
    <n v="63"/>
    <s v="Laboratory Technician"/>
    <n v="1"/>
    <n v="0"/>
    <n v="0"/>
    <n v="6"/>
    <s v="Yes"/>
    <n v="3"/>
    <s v="18-30"/>
    <x v="1"/>
    <s v="NA"/>
    <x v="0"/>
  </r>
  <r>
    <n v="24"/>
    <x v="1"/>
    <x v="1"/>
    <n v="3"/>
    <n v="60"/>
    <s v="Laboratory Technician"/>
    <n v="2"/>
    <n v="1"/>
    <n v="0"/>
    <n v="9"/>
    <s v="No"/>
    <n v="3"/>
    <s v="18-30"/>
    <x v="2"/>
    <n v="15"/>
    <x v="1"/>
  </r>
  <r>
    <n v="52"/>
    <x v="1"/>
    <x v="1"/>
    <n v="4"/>
    <n v="82"/>
    <s v="Laboratory Technician"/>
    <n v="3"/>
    <n v="5"/>
    <n v="1"/>
    <n v="11"/>
    <s v="No"/>
    <n v="3"/>
    <s v="51+"/>
    <x v="4"/>
    <n v="0"/>
    <x v="1"/>
  </r>
  <r>
    <n v="50"/>
    <x v="1"/>
    <x v="1"/>
    <n v="3"/>
    <n v="64"/>
    <s v="Research Director"/>
    <n v="3"/>
    <n v="4"/>
    <n v="0"/>
    <n v="2"/>
    <s v="No"/>
    <n v="3"/>
    <s v="41-50"/>
    <x v="1"/>
    <n v="0"/>
    <x v="1"/>
  </r>
  <r>
    <n v="29"/>
    <x v="0"/>
    <x v="1"/>
    <n v="2"/>
    <n v="36"/>
    <s v="Laboratory Technician"/>
    <n v="1"/>
    <n v="1"/>
    <n v="0"/>
    <n v="1"/>
    <s v="Yes"/>
    <n v="3"/>
    <s v="18-30"/>
    <x v="3"/>
    <s v="NA"/>
    <x v="0"/>
  </r>
  <r>
    <n v="33"/>
    <x v="1"/>
    <x v="1"/>
    <n v="3"/>
    <n v="49"/>
    <s v="Research Director"/>
    <n v="3"/>
    <n v="13"/>
    <n v="3"/>
    <n v="7"/>
    <s v="No"/>
    <n v="4"/>
    <s v="31-40"/>
    <x v="2"/>
    <n v="0"/>
    <x v="1"/>
  </r>
  <r>
    <n v="33"/>
    <x v="0"/>
    <x v="0"/>
    <n v="1"/>
    <n v="69"/>
    <s v="Sales Executive"/>
    <n v="1"/>
    <n v="3"/>
    <n v="0"/>
    <n v="16"/>
    <s v="No"/>
    <n v="3"/>
    <s v="31-40"/>
    <x v="1"/>
    <s v="NA"/>
    <x v="0"/>
  </r>
  <r>
    <n v="47"/>
    <x v="1"/>
    <x v="1"/>
    <n v="3"/>
    <n v="33"/>
    <s v="Manager"/>
    <n v="4"/>
    <n v="26"/>
    <n v="3"/>
    <n v="2"/>
    <s v="Yes"/>
    <n v="2"/>
    <s v="41-50"/>
    <x v="3"/>
    <n v="35"/>
    <x v="2"/>
  </r>
  <r>
    <n v="36"/>
    <x v="1"/>
    <x v="1"/>
    <n v="3"/>
    <n v="35"/>
    <s v="Manufacturing Director"/>
    <n v="2"/>
    <n v="9"/>
    <n v="0"/>
    <n v="1"/>
    <s v="No"/>
    <n v="3"/>
    <s v="31-40"/>
    <x v="3"/>
    <n v="15"/>
    <x v="1"/>
  </r>
  <r>
    <n v="29"/>
    <x v="1"/>
    <x v="1"/>
    <n v="3"/>
    <n v="81"/>
    <s v="Research Scientist"/>
    <n v="3"/>
    <n v="10"/>
    <n v="0"/>
    <n v="23"/>
    <s v="No"/>
    <n v="3"/>
    <s v="18-30"/>
    <x v="4"/>
    <n v="0"/>
    <x v="1"/>
  </r>
  <r>
    <n v="58"/>
    <x v="0"/>
    <x v="1"/>
    <n v="4"/>
    <n v="31"/>
    <s v="Research Director"/>
    <n v="2"/>
    <n v="31"/>
    <n v="13"/>
    <n v="2"/>
    <s v="Yes"/>
    <n v="3"/>
    <s v="51+"/>
    <x v="3"/>
    <s v="NA"/>
    <x v="0"/>
  </r>
  <r>
    <n v="35"/>
    <x v="1"/>
    <x v="1"/>
    <n v="4"/>
    <n v="40"/>
    <s v="Research Scientist"/>
    <n v="3"/>
    <n v="2"/>
    <n v="2"/>
    <n v="1"/>
    <s v="No"/>
    <n v="3"/>
    <s v="31-40"/>
    <x v="3"/>
    <n v="0"/>
    <x v="1"/>
  </r>
  <r>
    <n v="42"/>
    <x v="1"/>
    <x v="1"/>
    <n v="4"/>
    <n v="43"/>
    <s v="Manufacturing Director"/>
    <n v="4"/>
    <n v="4"/>
    <n v="0"/>
    <n v="1"/>
    <s v="Yes"/>
    <n v="3"/>
    <s v="41-50"/>
    <x v="3"/>
    <n v="35"/>
    <x v="2"/>
  </r>
  <r>
    <n v="28"/>
    <x v="0"/>
    <x v="1"/>
    <n v="3"/>
    <n v="46"/>
    <s v="Research Scientist"/>
    <n v="3"/>
    <n v="2"/>
    <n v="2"/>
    <n v="2"/>
    <s v="No"/>
    <n v="2"/>
    <s v="18-30"/>
    <x v="2"/>
    <s v="NA"/>
    <x v="0"/>
  </r>
  <r>
    <n v="36"/>
    <x v="1"/>
    <x v="2"/>
    <n v="3"/>
    <n v="36"/>
    <s v="Human Resources"/>
    <n v="2"/>
    <n v="5"/>
    <n v="0"/>
    <n v="13"/>
    <s v="No"/>
    <n v="3"/>
    <s v="31-40"/>
    <x v="3"/>
    <n v="15"/>
    <x v="1"/>
  </r>
  <r>
    <n v="32"/>
    <x v="1"/>
    <x v="1"/>
    <n v="3"/>
    <n v="98"/>
    <s v="Manufacturing Director"/>
    <n v="3"/>
    <n v="14"/>
    <n v="6"/>
    <n v="4"/>
    <s v="No"/>
    <n v="3"/>
    <s v="31-40"/>
    <x v="0"/>
    <n v="0"/>
    <x v="1"/>
  </r>
  <r>
    <n v="40"/>
    <x v="1"/>
    <x v="1"/>
    <n v="1"/>
    <n v="51"/>
    <s v="Laboratory Technician"/>
    <n v="3"/>
    <n v="1"/>
    <n v="0"/>
    <n v="16"/>
    <s v="No"/>
    <n v="3"/>
    <s v="31-40"/>
    <x v="2"/>
    <n v="15"/>
    <x v="1"/>
  </r>
  <r>
    <n v="30"/>
    <x v="1"/>
    <x v="1"/>
    <n v="3"/>
    <n v="52"/>
    <s v="Manufacturing Director"/>
    <n v="4"/>
    <n v="0"/>
    <n v="0"/>
    <n v="2"/>
    <s v="Yes"/>
    <n v="2"/>
    <s v="18-30"/>
    <x v="2"/>
    <n v="35"/>
    <x v="2"/>
  </r>
  <r>
    <n v="45"/>
    <x v="1"/>
    <x v="1"/>
    <n v="2"/>
    <n v="95"/>
    <s v="Research Scientist"/>
    <n v="3"/>
    <n v="1"/>
    <n v="0"/>
    <n v="2"/>
    <s v="No"/>
    <n v="3"/>
    <s v="41-50"/>
    <x v="0"/>
    <n v="15"/>
    <x v="1"/>
  </r>
  <r>
    <n v="42"/>
    <x v="1"/>
    <x v="1"/>
    <n v="2"/>
    <n v="98"/>
    <s v="Manufacturing Director"/>
    <n v="2"/>
    <n v="9"/>
    <n v="7"/>
    <n v="29"/>
    <s v="No"/>
    <n v="2"/>
    <s v="41-50"/>
    <x v="0"/>
    <n v="30"/>
    <x v="2"/>
  </r>
  <r>
    <n v="38"/>
    <x v="1"/>
    <x v="1"/>
    <n v="1"/>
    <n v="45"/>
    <s v="Healthcare Representative"/>
    <n v="1"/>
    <n v="4"/>
    <n v="1"/>
    <n v="12"/>
    <s v="No"/>
    <n v="2"/>
    <s v="31-40"/>
    <x v="3"/>
    <n v="30"/>
    <x v="2"/>
  </r>
  <r>
    <n v="34"/>
    <x v="1"/>
    <x v="1"/>
    <n v="3"/>
    <n v="100"/>
    <s v="Research Scientist"/>
    <n v="4"/>
    <n v="5"/>
    <n v="1"/>
    <n v="16"/>
    <s v="No"/>
    <n v="3"/>
    <s v="31-40"/>
    <x v="0"/>
    <n v="0"/>
    <x v="1"/>
  </r>
  <r>
    <n v="49"/>
    <x v="0"/>
    <x v="0"/>
    <n v="3"/>
    <n v="43"/>
    <s v="Sales Executive"/>
    <n v="4"/>
    <n v="9"/>
    <n v="7"/>
    <n v="11"/>
    <s v="No"/>
    <n v="4"/>
    <s v="41-50"/>
    <x v="3"/>
    <s v="NA"/>
    <x v="0"/>
  </r>
  <r>
    <n v="55"/>
    <x v="0"/>
    <x v="0"/>
    <n v="3"/>
    <n v="37"/>
    <s v="Sales Executive"/>
    <n v="4"/>
    <n v="9"/>
    <n v="7"/>
    <n v="2"/>
    <s v="No"/>
    <n v="2"/>
    <s v="51+"/>
    <x v="3"/>
    <s v="NA"/>
    <x v="0"/>
  </r>
  <r>
    <n v="43"/>
    <x v="1"/>
    <x v="1"/>
    <n v="2"/>
    <n v="94"/>
    <s v="Research Director"/>
    <n v="1"/>
    <n v="4"/>
    <n v="1"/>
    <n v="14"/>
    <s v="No"/>
    <n v="3"/>
    <s v="41-50"/>
    <x v="0"/>
    <n v="30"/>
    <x v="2"/>
  </r>
  <r>
    <n v="27"/>
    <x v="1"/>
    <x v="1"/>
    <n v="3"/>
    <n v="42"/>
    <s v="Research Director"/>
    <n v="4"/>
    <n v="9"/>
    <n v="0"/>
    <n v="5"/>
    <s v="Yes"/>
    <n v="3"/>
    <s v="18-30"/>
    <x v="3"/>
    <n v="35"/>
    <x v="2"/>
  </r>
  <r>
    <n v="35"/>
    <x v="1"/>
    <x v="1"/>
    <n v="3"/>
    <n v="59"/>
    <s v="Manufacturing Director"/>
    <n v="3"/>
    <n v="8"/>
    <n v="1"/>
    <n v="7"/>
    <s v="No"/>
    <n v="4"/>
    <s v="31-40"/>
    <x v="2"/>
    <n v="0"/>
    <x v="1"/>
  </r>
  <r>
    <n v="28"/>
    <x v="1"/>
    <x v="0"/>
    <n v="2"/>
    <n v="81"/>
    <s v="Sales Executive"/>
    <n v="2"/>
    <n v="8"/>
    <n v="7"/>
    <n v="2"/>
    <s v="Yes"/>
    <n v="3"/>
    <s v="18-30"/>
    <x v="4"/>
    <n v="65"/>
    <x v="3"/>
  </r>
  <r>
    <n v="34"/>
    <x v="1"/>
    <x v="2"/>
    <n v="3"/>
    <n v="88"/>
    <s v="Human Resources"/>
    <n v="4"/>
    <n v="3"/>
    <n v="0"/>
    <n v="3"/>
    <s v="No"/>
    <n v="1"/>
    <s v="31-40"/>
    <x v="4"/>
    <n v="35"/>
    <x v="2"/>
  </r>
  <r>
    <n v="26"/>
    <x v="0"/>
    <x v="1"/>
    <n v="3"/>
    <n v="88"/>
    <s v="Research Scientist"/>
    <n v="3"/>
    <n v="8"/>
    <n v="1"/>
    <n v="5"/>
    <s v="Yes"/>
    <n v="3"/>
    <s v="18-30"/>
    <x v="4"/>
    <s v="NA"/>
    <x v="0"/>
  </r>
  <r>
    <n v="27"/>
    <x v="1"/>
    <x v="1"/>
    <n v="4"/>
    <n v="50"/>
    <s v="Research Scientist"/>
    <n v="4"/>
    <n v="0"/>
    <n v="0"/>
    <n v="3"/>
    <s v="No"/>
    <n v="2"/>
    <s v="18-30"/>
    <x v="2"/>
    <n v="0"/>
    <x v="1"/>
  </r>
  <r>
    <n v="51"/>
    <x v="1"/>
    <x v="0"/>
    <n v="1"/>
    <n v="66"/>
    <s v="Manager"/>
    <n v="3"/>
    <n v="20"/>
    <n v="4"/>
    <n v="26"/>
    <s v="No"/>
    <n v="2"/>
    <s v="51+"/>
    <x v="1"/>
    <n v="15"/>
    <x v="1"/>
  </r>
  <r>
    <n v="44"/>
    <x v="1"/>
    <x v="1"/>
    <n v="4"/>
    <n v="50"/>
    <s v="Healthcare Representative"/>
    <n v="2"/>
    <n v="5"/>
    <n v="2"/>
    <n v="4"/>
    <s v="No"/>
    <n v="2"/>
    <s v="41-50"/>
    <x v="2"/>
    <n v="15"/>
    <x v="1"/>
  </r>
  <r>
    <n v="25"/>
    <x v="1"/>
    <x v="1"/>
    <n v="1"/>
    <n v="65"/>
    <s v="Research Scientist"/>
    <n v="1"/>
    <n v="4"/>
    <n v="0"/>
    <n v="2"/>
    <s v="No"/>
    <n v="2"/>
    <s v="18-30"/>
    <x v="1"/>
    <n v="30"/>
    <x v="2"/>
  </r>
  <r>
    <n v="33"/>
    <x v="1"/>
    <x v="0"/>
    <n v="1"/>
    <n v="48"/>
    <s v="Sales Executive"/>
    <n v="1"/>
    <n v="9"/>
    <n v="0"/>
    <n v="1"/>
    <s v="No"/>
    <n v="3"/>
    <s v="31-40"/>
    <x v="2"/>
    <n v="30"/>
    <x v="2"/>
  </r>
  <r>
    <n v="35"/>
    <x v="1"/>
    <x v="1"/>
    <n v="3"/>
    <n v="53"/>
    <s v="Research Scientist"/>
    <n v="1"/>
    <n v="6"/>
    <n v="1"/>
    <n v="27"/>
    <s v="No"/>
    <n v="2"/>
    <s v="31-40"/>
    <x v="2"/>
    <n v="15"/>
    <x v="1"/>
  </r>
  <r>
    <n v="36"/>
    <x v="1"/>
    <x v="0"/>
    <n v="2"/>
    <n v="56"/>
    <s v="Sales Executive"/>
    <n v="4"/>
    <n v="18"/>
    <n v="4"/>
    <n v="1"/>
    <s v="Yes"/>
    <n v="2"/>
    <s v="31-40"/>
    <x v="2"/>
    <n v="50"/>
    <x v="3"/>
  </r>
  <r>
    <n v="32"/>
    <x v="1"/>
    <x v="0"/>
    <n v="2"/>
    <n v="73"/>
    <s v="Sales Executive"/>
    <n v="4"/>
    <n v="5"/>
    <n v="0"/>
    <n v="13"/>
    <s v="No"/>
    <n v="2"/>
    <s v="31-40"/>
    <x v="1"/>
    <n v="15"/>
    <x v="1"/>
  </r>
  <r>
    <n v="30"/>
    <x v="1"/>
    <x v="1"/>
    <n v="2"/>
    <n v="75"/>
    <s v="Research Scientist"/>
    <n v="4"/>
    <n v="5"/>
    <n v="0"/>
    <n v="5"/>
    <s v="No"/>
    <n v="2"/>
    <s v="18-30"/>
    <x v="1"/>
    <n v="15"/>
    <x v="1"/>
  </r>
  <r>
    <n v="53"/>
    <x v="1"/>
    <x v="0"/>
    <n v="1"/>
    <n v="78"/>
    <s v="Sales Executive"/>
    <n v="4"/>
    <n v="5"/>
    <n v="0"/>
    <n v="7"/>
    <s v="Yes"/>
    <n v="3"/>
    <s v="51+"/>
    <x v="4"/>
    <n v="50"/>
    <x v="3"/>
  </r>
  <r>
    <n v="45"/>
    <x v="1"/>
    <x v="0"/>
    <n v="4"/>
    <n v="74"/>
    <s v="Sales Executive"/>
    <n v="1"/>
    <n v="5"/>
    <n v="0"/>
    <n v="9"/>
    <s v="Yes"/>
    <n v="3"/>
    <s v="41-50"/>
    <x v="1"/>
    <n v="50"/>
    <x v="3"/>
  </r>
  <r>
    <n v="32"/>
    <x v="1"/>
    <x v="1"/>
    <n v="3"/>
    <n v="91"/>
    <s v="Research Scientist"/>
    <n v="3"/>
    <n v="5"/>
    <n v="1"/>
    <n v="8"/>
    <s v="No"/>
    <n v="2"/>
    <s v="31-40"/>
    <x v="0"/>
    <n v="0"/>
    <x v="1"/>
  </r>
  <r>
    <n v="52"/>
    <x v="1"/>
    <x v="1"/>
    <n v="3"/>
    <n v="81"/>
    <s v="Manufacturing Director"/>
    <n v="4"/>
    <n v="9"/>
    <n v="0"/>
    <n v="25"/>
    <s v="No"/>
    <n v="3"/>
    <s v="51+"/>
    <x v="4"/>
    <n v="0"/>
    <x v="1"/>
  </r>
  <r>
    <n v="37"/>
    <x v="1"/>
    <x v="0"/>
    <n v="4"/>
    <n v="66"/>
    <s v="Sales Executive"/>
    <n v="3"/>
    <n v="1"/>
    <n v="0"/>
    <n v="16"/>
    <s v="No"/>
    <n v="3"/>
    <s v="31-40"/>
    <x v="1"/>
    <n v="0"/>
    <x v="1"/>
  </r>
  <r>
    <n v="28"/>
    <x v="1"/>
    <x v="2"/>
    <n v="2"/>
    <n v="63"/>
    <s v="Human Resources"/>
    <n v="4"/>
    <n v="5"/>
    <n v="0"/>
    <n v="8"/>
    <s v="No"/>
    <n v="3"/>
    <s v="18-30"/>
    <x v="1"/>
    <n v="15"/>
    <x v="1"/>
  </r>
  <r>
    <n v="22"/>
    <x v="1"/>
    <x v="1"/>
    <n v="4"/>
    <n v="33"/>
    <s v="Manufacturing Director"/>
    <n v="4"/>
    <n v="2"/>
    <n v="2"/>
    <n v="1"/>
    <s v="No"/>
    <n v="1"/>
    <s v="18-30"/>
    <x v="3"/>
    <n v="35"/>
    <x v="2"/>
  </r>
  <r>
    <n v="44"/>
    <x v="1"/>
    <x v="1"/>
    <n v="1"/>
    <n v="62"/>
    <s v="Laboratory Technician"/>
    <n v="4"/>
    <n v="3"/>
    <n v="0"/>
    <n v="8"/>
    <s v="Yes"/>
    <n v="2"/>
    <s v="41-50"/>
    <x v="1"/>
    <n v="50"/>
    <x v="3"/>
  </r>
  <r>
    <n v="42"/>
    <x v="1"/>
    <x v="1"/>
    <n v="2"/>
    <n v="35"/>
    <s v="Research Scientist"/>
    <n v="4"/>
    <n v="2"/>
    <n v="2"/>
    <n v="2"/>
    <s v="Yes"/>
    <n v="3"/>
    <s v="41-50"/>
    <x v="3"/>
    <n v="50"/>
    <x v="3"/>
  </r>
  <r>
    <n v="36"/>
    <x v="1"/>
    <x v="2"/>
    <n v="1"/>
    <n v="77"/>
    <s v="Human Resources"/>
    <n v="1"/>
    <n v="5"/>
    <n v="0"/>
    <n v="8"/>
    <s v="No"/>
    <n v="3"/>
    <s v="31-40"/>
    <x v="4"/>
    <n v="30"/>
    <x v="2"/>
  </r>
  <r>
    <n v="25"/>
    <x v="1"/>
    <x v="0"/>
    <n v="3"/>
    <n v="98"/>
    <s v="Sales Executive"/>
    <n v="1"/>
    <n v="5"/>
    <n v="0"/>
    <n v="3"/>
    <s v="Yes"/>
    <n v="3"/>
    <s v="18-30"/>
    <x v="0"/>
    <n v="50"/>
    <x v="3"/>
  </r>
  <r>
    <n v="35"/>
    <x v="1"/>
    <x v="1"/>
    <n v="4"/>
    <n v="66"/>
    <s v="Manufacturing Director"/>
    <n v="3"/>
    <n v="17"/>
    <n v="5"/>
    <n v="9"/>
    <s v="Yes"/>
    <n v="3"/>
    <s v="31-40"/>
    <x v="1"/>
    <n v="35"/>
    <x v="2"/>
  </r>
  <r>
    <n v="35"/>
    <x v="0"/>
    <x v="1"/>
    <n v="4"/>
    <n v="96"/>
    <s v="Research Scientist"/>
    <n v="2"/>
    <n v="10"/>
    <n v="7"/>
    <n v="25"/>
    <s v="Yes"/>
    <n v="2"/>
    <s v="31-40"/>
    <x v="0"/>
    <s v="NA"/>
    <x v="0"/>
  </r>
  <r>
    <n v="32"/>
    <x v="1"/>
    <x v="1"/>
    <n v="4"/>
    <n v="61"/>
    <s v="Laboratory Technician"/>
    <n v="4"/>
    <n v="3"/>
    <n v="0"/>
    <n v="1"/>
    <s v="No"/>
    <n v="3"/>
    <s v="31-40"/>
    <x v="1"/>
    <n v="0"/>
    <x v="1"/>
  </r>
  <r>
    <n v="25"/>
    <x v="1"/>
    <x v="0"/>
    <n v="3"/>
    <n v="87"/>
    <s v="Sales Executive"/>
    <n v="1"/>
    <n v="5"/>
    <n v="0"/>
    <n v="4"/>
    <s v="No"/>
    <n v="4"/>
    <s v="18-30"/>
    <x v="4"/>
    <n v="15"/>
    <x v="1"/>
  </r>
  <r>
    <n v="49"/>
    <x v="1"/>
    <x v="1"/>
    <n v="3"/>
    <n v="36"/>
    <s v="Research Scientist"/>
    <n v="1"/>
    <n v="4"/>
    <n v="0"/>
    <n v="1"/>
    <s v="No"/>
    <n v="3"/>
    <s v="41-50"/>
    <x v="3"/>
    <n v="15"/>
    <x v="1"/>
  </r>
  <r>
    <n v="24"/>
    <x v="1"/>
    <x v="1"/>
    <n v="1"/>
    <n v="46"/>
    <s v="Laboratory Technician"/>
    <n v="4"/>
    <n v="5"/>
    <n v="3"/>
    <n v="4"/>
    <s v="No"/>
    <n v="2"/>
    <s v="18-30"/>
    <x v="2"/>
    <n v="15"/>
    <x v="1"/>
  </r>
  <r>
    <n v="32"/>
    <x v="1"/>
    <x v="0"/>
    <n v="2"/>
    <n v="48"/>
    <s v="Sales Executive"/>
    <n v="2"/>
    <n v="10"/>
    <n v="5"/>
    <n v="5"/>
    <s v="No"/>
    <n v="3"/>
    <s v="31-40"/>
    <x v="2"/>
    <n v="30"/>
    <x v="2"/>
  </r>
  <r>
    <n v="38"/>
    <x v="1"/>
    <x v="0"/>
    <n v="2"/>
    <n v="98"/>
    <s v="Sales Representative"/>
    <n v="2"/>
    <n v="2"/>
    <n v="1"/>
    <n v="9"/>
    <s v="No"/>
    <n v="3"/>
    <s v="31-40"/>
    <x v="0"/>
    <n v="30"/>
    <x v="2"/>
  </r>
  <r>
    <n v="42"/>
    <x v="1"/>
    <x v="1"/>
    <n v="3"/>
    <n v="95"/>
    <s v="Laboratory Technician"/>
    <n v="4"/>
    <n v="5"/>
    <n v="1"/>
    <n v="3"/>
    <s v="Yes"/>
    <n v="2"/>
    <s v="41-50"/>
    <x v="0"/>
    <n v="35"/>
    <x v="2"/>
  </r>
  <r>
    <n v="31"/>
    <x v="1"/>
    <x v="1"/>
    <n v="4"/>
    <n v="48"/>
    <s v="Research Scientist"/>
    <n v="4"/>
    <n v="6"/>
    <n v="0"/>
    <n v="11"/>
    <s v="Yes"/>
    <n v="3"/>
    <s v="31-40"/>
    <x v="2"/>
    <n v="35"/>
    <x v="2"/>
  </r>
  <r>
    <n v="29"/>
    <x v="0"/>
    <x v="0"/>
    <n v="2"/>
    <n v="48"/>
    <s v="Sales Representative"/>
    <n v="3"/>
    <n v="3"/>
    <n v="0"/>
    <n v="1"/>
    <s v="Yes"/>
    <n v="3"/>
    <s v="18-30"/>
    <x v="2"/>
    <s v="NA"/>
    <x v="0"/>
  </r>
  <r>
    <n v="53"/>
    <x v="1"/>
    <x v="0"/>
    <n v="1"/>
    <n v="73"/>
    <s v="Sales Executive"/>
    <n v="4"/>
    <n v="2"/>
    <n v="2"/>
    <n v="8"/>
    <s v="No"/>
    <n v="3"/>
    <s v="51+"/>
    <x v="1"/>
    <n v="15"/>
    <x v="1"/>
  </r>
  <r>
    <n v="35"/>
    <x v="1"/>
    <x v="1"/>
    <n v="4"/>
    <n v="78"/>
    <s v="Manufacturing Director"/>
    <n v="2"/>
    <n v="13"/>
    <n v="4"/>
    <n v="25"/>
    <s v="No"/>
    <n v="3"/>
    <s v="31-40"/>
    <x v="4"/>
    <n v="15"/>
    <x v="1"/>
  </r>
  <r>
    <n v="37"/>
    <x v="1"/>
    <x v="0"/>
    <n v="3"/>
    <n v="54"/>
    <s v="Sales Representative"/>
    <n v="4"/>
    <n v="5"/>
    <n v="0"/>
    <n v="21"/>
    <s v="No"/>
    <n v="3"/>
    <s v="31-40"/>
    <x v="2"/>
    <n v="0"/>
    <x v="1"/>
  </r>
  <r>
    <n v="53"/>
    <x v="1"/>
    <x v="1"/>
    <n v="4"/>
    <n v="72"/>
    <s v="Research Director"/>
    <n v="4"/>
    <n v="12"/>
    <n v="3"/>
    <n v="23"/>
    <s v="No"/>
    <n v="3"/>
    <s v="51+"/>
    <x v="1"/>
    <n v="0"/>
    <x v="1"/>
  </r>
  <r>
    <n v="43"/>
    <x v="1"/>
    <x v="1"/>
    <n v="4"/>
    <n v="33"/>
    <s v="Healthcare Representative"/>
    <n v="4"/>
    <n v="5"/>
    <n v="2"/>
    <n v="1"/>
    <s v="No"/>
    <n v="2"/>
    <s v="41-50"/>
    <x v="3"/>
    <n v="0"/>
    <x v="1"/>
  </r>
  <r>
    <n v="47"/>
    <x v="1"/>
    <x v="0"/>
    <n v="3"/>
    <n v="35"/>
    <s v="Sales Executive"/>
    <n v="4"/>
    <n v="7"/>
    <n v="7"/>
    <n v="2"/>
    <s v="Yes"/>
    <n v="3"/>
    <s v="41-50"/>
    <x v="3"/>
    <n v="35"/>
    <x v="2"/>
  </r>
  <r>
    <n v="37"/>
    <x v="1"/>
    <x v="0"/>
    <n v="1"/>
    <n v="32"/>
    <s v="Sales Executive"/>
    <n v="2"/>
    <n v="10"/>
    <n v="0"/>
    <n v="19"/>
    <s v="Yes"/>
    <n v="3"/>
    <s v="31-40"/>
    <x v="3"/>
    <n v="65"/>
    <x v="3"/>
  </r>
  <r>
    <n v="50"/>
    <x v="1"/>
    <x v="1"/>
    <n v="1"/>
    <n v="98"/>
    <s v="Manager"/>
    <n v="1"/>
    <n v="31"/>
    <n v="14"/>
    <n v="2"/>
    <s v="No"/>
    <n v="3"/>
    <s v="41-50"/>
    <x v="0"/>
    <n v="30"/>
    <x v="2"/>
  </r>
  <r>
    <n v="39"/>
    <x v="1"/>
    <x v="2"/>
    <n v="4"/>
    <n v="42"/>
    <s v="Human Resources"/>
    <n v="4"/>
    <n v="5"/>
    <n v="0"/>
    <n v="2"/>
    <s v="No"/>
    <n v="3"/>
    <s v="31-40"/>
    <x v="3"/>
    <n v="0"/>
    <x v="1"/>
  </r>
  <r>
    <n v="33"/>
    <x v="1"/>
    <x v="2"/>
    <n v="4"/>
    <n v="57"/>
    <s v="Human Resources"/>
    <n v="2"/>
    <n v="4"/>
    <n v="0"/>
    <n v="3"/>
    <s v="Yes"/>
    <n v="4"/>
    <s v="31-40"/>
    <x v="2"/>
    <n v="50"/>
    <x v="3"/>
  </r>
  <r>
    <n v="32"/>
    <x v="0"/>
    <x v="1"/>
    <n v="1"/>
    <n v="87"/>
    <s v="Laboratory Technician"/>
    <n v="4"/>
    <n v="1"/>
    <n v="0"/>
    <n v="25"/>
    <s v="Yes"/>
    <n v="1"/>
    <s v="31-40"/>
    <x v="4"/>
    <s v="NA"/>
    <x v="0"/>
  </r>
  <r>
    <n v="29"/>
    <x v="1"/>
    <x v="1"/>
    <n v="1"/>
    <n v="62"/>
    <s v="Laboratory Technician"/>
    <n v="4"/>
    <n v="4"/>
    <n v="0"/>
    <n v="7"/>
    <s v="No"/>
    <n v="3"/>
    <s v="18-30"/>
    <x v="1"/>
    <n v="15"/>
    <x v="1"/>
  </r>
  <r>
    <n v="44"/>
    <x v="1"/>
    <x v="1"/>
    <n v="2"/>
    <n v="61"/>
    <s v="Research Scientist"/>
    <n v="1"/>
    <n v="8"/>
    <n v="7"/>
    <n v="9"/>
    <s v="Yes"/>
    <n v="3"/>
    <s v="41-50"/>
    <x v="1"/>
    <n v="65"/>
    <x v="3"/>
  </r>
  <r>
    <n v="28"/>
    <x v="1"/>
    <x v="0"/>
    <n v="1"/>
    <n v="98"/>
    <s v="Sales Executive"/>
    <n v="4"/>
    <n v="4"/>
    <n v="0"/>
    <n v="5"/>
    <s v="No"/>
    <n v="3"/>
    <s v="18-30"/>
    <x v="0"/>
    <n v="15"/>
    <x v="1"/>
  </r>
  <r>
    <n v="58"/>
    <x v="0"/>
    <x v="1"/>
    <n v="4"/>
    <n v="57"/>
    <s v="Laboratory Technician"/>
    <n v="4"/>
    <n v="1"/>
    <n v="0"/>
    <n v="2"/>
    <s v="Yes"/>
    <n v="2"/>
    <s v="51+"/>
    <x v="2"/>
    <s v="NA"/>
    <x v="0"/>
  </r>
  <r>
    <n v="43"/>
    <x v="1"/>
    <x v="1"/>
    <n v="1"/>
    <n v="55"/>
    <s v="Manufacturing Director"/>
    <n v="2"/>
    <n v="1"/>
    <n v="0"/>
    <n v="8"/>
    <s v="No"/>
    <n v="4"/>
    <s v="41-50"/>
    <x v="2"/>
    <n v="30"/>
    <x v="2"/>
  </r>
  <r>
    <n v="20"/>
    <x v="0"/>
    <x v="0"/>
    <n v="3"/>
    <n v="49"/>
    <s v="Sales Representative"/>
    <n v="3"/>
    <n v="2"/>
    <n v="0"/>
    <n v="2"/>
    <s v="No"/>
    <n v="2"/>
    <s v="18-30"/>
    <x v="2"/>
    <s v="NA"/>
    <x v="0"/>
  </r>
  <r>
    <n v="21"/>
    <x v="0"/>
    <x v="1"/>
    <n v="4"/>
    <n v="65"/>
    <s v="Research Scientist"/>
    <n v="4"/>
    <n v="1"/>
    <n v="0"/>
    <n v="18"/>
    <s v="No"/>
    <n v="2"/>
    <s v="18-30"/>
    <x v="1"/>
    <s v="NA"/>
    <x v="0"/>
  </r>
  <r>
    <n v="36"/>
    <x v="1"/>
    <x v="1"/>
    <n v="3"/>
    <n v="68"/>
    <s v="Healthcare Representative"/>
    <n v="4"/>
    <n v="16"/>
    <n v="4"/>
    <n v="14"/>
    <s v="Yes"/>
    <n v="2"/>
    <s v="31-40"/>
    <x v="1"/>
    <n v="35"/>
    <x v="2"/>
  </r>
  <r>
    <n v="47"/>
    <x v="1"/>
    <x v="0"/>
    <n v="4"/>
    <n v="65"/>
    <s v="Sales Representative"/>
    <n v="4"/>
    <n v="3"/>
    <n v="1"/>
    <n v="2"/>
    <s v="Yes"/>
    <n v="2"/>
    <s v="41-50"/>
    <x v="1"/>
    <n v="35"/>
    <x v="2"/>
  </r>
  <r>
    <n v="22"/>
    <x v="0"/>
    <x v="1"/>
    <n v="2"/>
    <n v="34"/>
    <s v="Manufacturing Director"/>
    <n v="3"/>
    <n v="3"/>
    <n v="0"/>
    <n v="3"/>
    <s v="Yes"/>
    <n v="4"/>
    <s v="18-30"/>
    <x v="3"/>
    <s v="NA"/>
    <x v="0"/>
  </r>
  <r>
    <n v="41"/>
    <x v="0"/>
    <x v="1"/>
    <n v="2"/>
    <n v="57"/>
    <s v="Laboratory Technician"/>
    <n v="4"/>
    <n v="7"/>
    <n v="1"/>
    <n v="2"/>
    <s v="Yes"/>
    <n v="2"/>
    <s v="41-50"/>
    <x v="2"/>
    <s v="NA"/>
    <x v="0"/>
  </r>
  <r>
    <n v="28"/>
    <x v="1"/>
    <x v="1"/>
    <n v="3"/>
    <n v="77"/>
    <s v="Research Scientist"/>
    <n v="3"/>
    <n v="2"/>
    <n v="2"/>
    <n v="9"/>
    <s v="No"/>
    <n v="3"/>
    <s v="18-30"/>
    <x v="4"/>
    <n v="0"/>
    <x v="1"/>
  </r>
  <r>
    <n v="39"/>
    <x v="0"/>
    <x v="1"/>
    <n v="4"/>
    <n v="70"/>
    <s v="Laboratory Technician"/>
    <n v="1"/>
    <n v="2"/>
    <n v="2"/>
    <n v="6"/>
    <s v="Yes"/>
    <n v="1"/>
    <s v="31-40"/>
    <x v="1"/>
    <s v="NA"/>
    <x v="0"/>
  </r>
  <r>
    <n v="27"/>
    <x v="1"/>
    <x v="1"/>
    <n v="2"/>
    <n v="76"/>
    <s v="Research Scientist"/>
    <n v="3"/>
    <n v="1"/>
    <n v="0"/>
    <n v="4"/>
    <s v="No"/>
    <n v="3"/>
    <s v="18-30"/>
    <x v="4"/>
    <n v="15"/>
    <x v="1"/>
  </r>
  <r>
    <n v="34"/>
    <x v="1"/>
    <x v="1"/>
    <n v="2"/>
    <n v="83"/>
    <s v="Laboratory Technician"/>
    <n v="2"/>
    <n v="1"/>
    <n v="1"/>
    <n v="10"/>
    <s v="No"/>
    <n v="3"/>
    <s v="31-40"/>
    <x v="4"/>
    <n v="30"/>
    <x v="2"/>
  </r>
  <r>
    <n v="42"/>
    <x v="1"/>
    <x v="0"/>
    <n v="3"/>
    <n v="68"/>
    <s v="Sales Executive"/>
    <n v="3"/>
    <n v="5"/>
    <n v="0"/>
    <n v="14"/>
    <s v="No"/>
    <n v="3"/>
    <s v="41-50"/>
    <x v="1"/>
    <n v="0"/>
    <x v="1"/>
  </r>
  <r>
    <n v="33"/>
    <x v="1"/>
    <x v="1"/>
    <n v="3"/>
    <n v="100"/>
    <s v="Research Scientist"/>
    <n v="1"/>
    <n v="3"/>
    <n v="0"/>
    <n v="1"/>
    <s v="Yes"/>
    <n v="3"/>
    <s v="31-40"/>
    <x v="0"/>
    <n v="50"/>
    <x v="3"/>
  </r>
  <r>
    <n v="58"/>
    <x v="1"/>
    <x v="1"/>
    <n v="3"/>
    <n v="37"/>
    <s v="Healthcare Representative"/>
    <n v="2"/>
    <n v="6"/>
    <n v="0"/>
    <n v="5"/>
    <s v="Yes"/>
    <n v="3"/>
    <s v="51+"/>
    <x v="3"/>
    <n v="50"/>
    <x v="3"/>
  </r>
  <r>
    <n v="31"/>
    <x v="1"/>
    <x v="0"/>
    <n v="2"/>
    <n v="41"/>
    <s v="Sales Representative"/>
    <n v="3"/>
    <n v="7"/>
    <n v="5"/>
    <n v="7"/>
    <s v="No"/>
    <n v="4"/>
    <s v="31-40"/>
    <x v="3"/>
    <n v="15"/>
    <x v="1"/>
  </r>
  <r>
    <n v="35"/>
    <x v="1"/>
    <x v="1"/>
    <n v="4"/>
    <n v="51"/>
    <s v="Healthcare Representative"/>
    <n v="4"/>
    <n v="10"/>
    <n v="0"/>
    <n v="21"/>
    <s v="Yes"/>
    <n v="1"/>
    <s v="31-40"/>
    <x v="2"/>
    <n v="70"/>
    <x v="4"/>
  </r>
  <r>
    <n v="49"/>
    <x v="1"/>
    <x v="1"/>
    <n v="1"/>
    <n v="51"/>
    <s v="Laboratory Technician"/>
    <n v="2"/>
    <n v="26"/>
    <n v="1"/>
    <n v="8"/>
    <s v="No"/>
    <n v="2"/>
    <s v="41-50"/>
    <x v="2"/>
    <n v="30"/>
    <x v="2"/>
  </r>
  <r>
    <n v="48"/>
    <x v="1"/>
    <x v="1"/>
    <n v="4"/>
    <n v="51"/>
    <s v="Research Scientist"/>
    <n v="3"/>
    <n v="0"/>
    <n v="0"/>
    <n v="20"/>
    <s v="No"/>
    <n v="2"/>
    <s v="41-50"/>
    <x v="2"/>
    <n v="0"/>
    <x v="1"/>
  </r>
  <r>
    <n v="31"/>
    <x v="1"/>
    <x v="0"/>
    <n v="4"/>
    <n v="45"/>
    <s v="Sales Executive"/>
    <n v="3"/>
    <n v="9"/>
    <n v="0"/>
    <n v="20"/>
    <s v="No"/>
    <n v="2"/>
    <s v="31-40"/>
    <x v="3"/>
    <n v="0"/>
    <x v="1"/>
  </r>
  <r>
    <n v="36"/>
    <x v="1"/>
    <x v="1"/>
    <n v="2"/>
    <n v="65"/>
    <s v="Research Scientist"/>
    <n v="4"/>
    <n v="6"/>
    <n v="0"/>
    <n v="7"/>
    <s v="No"/>
    <n v="3"/>
    <s v="31-40"/>
    <x v="1"/>
    <n v="15"/>
    <x v="1"/>
  </r>
  <r>
    <n v="38"/>
    <x v="1"/>
    <x v="1"/>
    <n v="4"/>
    <n v="80"/>
    <s v="Research Director"/>
    <n v="1"/>
    <n v="15"/>
    <n v="5"/>
    <n v="1"/>
    <s v="No"/>
    <n v="3"/>
    <s v="31-40"/>
    <x v="4"/>
    <n v="15"/>
    <x v="1"/>
  </r>
  <r>
    <n v="32"/>
    <x v="1"/>
    <x v="1"/>
    <n v="3"/>
    <n v="70"/>
    <s v="Laboratory Technician"/>
    <n v="2"/>
    <n v="3"/>
    <n v="0"/>
    <n v="1"/>
    <s v="No"/>
    <n v="3"/>
    <s v="31-40"/>
    <x v="1"/>
    <n v="15"/>
    <x v="1"/>
  </r>
  <r>
    <n v="25"/>
    <x v="0"/>
    <x v="0"/>
    <n v="3"/>
    <n v="36"/>
    <s v="Sales Representative"/>
    <n v="2"/>
    <n v="1"/>
    <n v="0"/>
    <n v="19"/>
    <s v="Yes"/>
    <n v="3"/>
    <s v="18-30"/>
    <x v="3"/>
    <s v="NA"/>
    <x v="0"/>
  </r>
  <r>
    <n v="40"/>
    <x v="1"/>
    <x v="0"/>
    <n v="1"/>
    <n v="67"/>
    <s v="Sales Executive"/>
    <n v="2"/>
    <n v="1"/>
    <n v="0"/>
    <n v="10"/>
    <s v="No"/>
    <n v="2"/>
    <s v="31-40"/>
    <x v="1"/>
    <n v="30"/>
    <x v="2"/>
  </r>
  <r>
    <n v="26"/>
    <x v="1"/>
    <x v="0"/>
    <n v="3"/>
    <n v="52"/>
    <s v="Sales Executive"/>
    <n v="1"/>
    <n v="7"/>
    <n v="0"/>
    <n v="1"/>
    <s v="No"/>
    <n v="3"/>
    <s v="18-30"/>
    <x v="2"/>
    <n v="15"/>
    <x v="1"/>
  </r>
  <r>
    <n v="41"/>
    <x v="1"/>
    <x v="1"/>
    <n v="4"/>
    <n v="59"/>
    <s v="Laboratory Technician"/>
    <n v="1"/>
    <n v="18"/>
    <n v="2"/>
    <n v="6"/>
    <s v="Yes"/>
    <n v="3"/>
    <s v="41-50"/>
    <x v="2"/>
    <n v="50"/>
    <x v="3"/>
  </r>
  <r>
    <n v="36"/>
    <x v="1"/>
    <x v="1"/>
    <n v="3"/>
    <n v="79"/>
    <s v="Laboratory Technician"/>
    <n v="3"/>
    <n v="11"/>
    <n v="3"/>
    <n v="2"/>
    <s v="No"/>
    <n v="3"/>
    <s v="31-40"/>
    <x v="4"/>
    <n v="0"/>
    <x v="1"/>
  </r>
  <r>
    <n v="19"/>
    <x v="0"/>
    <x v="0"/>
    <n v="4"/>
    <n v="37"/>
    <s v="Sales Representative"/>
    <n v="2"/>
    <n v="1"/>
    <n v="0"/>
    <n v="21"/>
    <s v="Yes"/>
    <n v="4"/>
    <s v="18-30"/>
    <x v="3"/>
    <s v="NA"/>
    <x v="0"/>
  </r>
  <r>
    <n v="20"/>
    <x v="0"/>
    <x v="1"/>
    <n v="1"/>
    <n v="84"/>
    <s v="Laboratory Technician"/>
    <n v="1"/>
    <n v="1"/>
    <n v="0"/>
    <n v="4"/>
    <s v="No"/>
    <n v="3"/>
    <s v="18-30"/>
    <x v="4"/>
    <s v="NA"/>
    <x v="0"/>
  </r>
  <r>
    <n v="31"/>
    <x v="1"/>
    <x v="1"/>
    <n v="4"/>
    <n v="41"/>
    <s v="Healthcare Representative"/>
    <n v="4"/>
    <n v="9"/>
    <n v="8"/>
    <n v="12"/>
    <s v="Yes"/>
    <n v="1"/>
    <s v="31-40"/>
    <x v="3"/>
    <n v="70"/>
    <x v="4"/>
  </r>
  <r>
    <n v="40"/>
    <x v="1"/>
    <x v="1"/>
    <n v="4"/>
    <n v="35"/>
    <s v="Research Scientist"/>
    <n v="2"/>
    <n v="1"/>
    <n v="0"/>
    <n v="9"/>
    <s v="Yes"/>
    <n v="3"/>
    <s v="31-40"/>
    <x v="3"/>
    <n v="50"/>
    <x v="3"/>
  </r>
  <r>
    <n v="32"/>
    <x v="1"/>
    <x v="1"/>
    <n v="3"/>
    <n v="93"/>
    <s v="Manufacturing Director"/>
    <n v="1"/>
    <n v="8"/>
    <n v="6"/>
    <n v="3"/>
    <s v="No"/>
    <n v="4"/>
    <s v="31-40"/>
    <x v="0"/>
    <n v="15"/>
    <x v="1"/>
  </r>
  <r>
    <n v="36"/>
    <x v="0"/>
    <x v="0"/>
    <n v="3"/>
    <n v="51"/>
    <s v="Sales Executive"/>
    <n v="4"/>
    <n v="16"/>
    <n v="3"/>
    <n v="3"/>
    <s v="Yes"/>
    <n v="3"/>
    <s v="31-40"/>
    <x v="2"/>
    <s v="NA"/>
    <x v="0"/>
  </r>
  <r>
    <n v="33"/>
    <x v="1"/>
    <x v="1"/>
    <n v="2"/>
    <n v="42"/>
    <s v="Healthcare Representative"/>
    <n v="4"/>
    <n v="5"/>
    <n v="1"/>
    <n v="1"/>
    <s v="No"/>
    <n v="3"/>
    <s v="31-40"/>
    <x v="3"/>
    <n v="15"/>
    <x v="1"/>
  </r>
  <r>
    <n v="37"/>
    <x v="0"/>
    <x v="0"/>
    <n v="1"/>
    <n v="46"/>
    <s v="Sales Executive"/>
    <n v="3"/>
    <n v="14"/>
    <n v="11"/>
    <n v="1"/>
    <s v="No"/>
    <n v="1"/>
    <s v="31-40"/>
    <x v="2"/>
    <s v="NA"/>
    <x v="0"/>
  </r>
  <r>
    <n v="45"/>
    <x v="1"/>
    <x v="1"/>
    <n v="3"/>
    <n v="57"/>
    <s v="Laboratory Technician"/>
    <n v="2"/>
    <n v="9"/>
    <n v="0"/>
    <n v="4"/>
    <s v="No"/>
    <n v="2"/>
    <s v="41-50"/>
    <x v="2"/>
    <n v="15"/>
    <x v="1"/>
  </r>
  <r>
    <n v="29"/>
    <x v="1"/>
    <x v="0"/>
    <n v="3"/>
    <n v="84"/>
    <s v="Sales Representative"/>
    <n v="4"/>
    <n v="3"/>
    <n v="0"/>
    <n v="20"/>
    <s v="No"/>
    <n v="3"/>
    <s v="18-30"/>
    <x v="4"/>
    <n v="0"/>
    <x v="1"/>
  </r>
  <r>
    <n v="35"/>
    <x v="1"/>
    <x v="0"/>
    <n v="3"/>
    <n v="86"/>
    <s v="Sales Executive"/>
    <n v="3"/>
    <n v="5"/>
    <n v="1"/>
    <n v="18"/>
    <s v="No"/>
    <n v="3"/>
    <s v="31-40"/>
    <x v="4"/>
    <n v="0"/>
    <x v="1"/>
  </r>
  <r>
    <n v="52"/>
    <x v="1"/>
    <x v="1"/>
    <n v="4"/>
    <n v="70"/>
    <s v="Manager"/>
    <n v="4"/>
    <n v="9"/>
    <n v="7"/>
    <n v="1"/>
    <s v="No"/>
    <n v="2"/>
    <s v="51+"/>
    <x v="1"/>
    <n v="0"/>
    <x v="1"/>
  </r>
  <r>
    <n v="58"/>
    <x v="0"/>
    <x v="1"/>
    <n v="4"/>
    <n v="51"/>
    <s v="Research Scientist"/>
    <n v="3"/>
    <n v="1"/>
    <n v="0"/>
    <n v="2"/>
    <s v="No"/>
    <n v="3"/>
    <s v="51+"/>
    <x v="2"/>
    <s v="NA"/>
    <x v="0"/>
  </r>
  <r>
    <n v="53"/>
    <x v="1"/>
    <x v="0"/>
    <n v="3"/>
    <n v="45"/>
    <s v="Manager"/>
    <n v="3"/>
    <n v="17"/>
    <n v="15"/>
    <n v="2"/>
    <s v="No"/>
    <n v="4"/>
    <s v="51+"/>
    <x v="3"/>
    <n v="0"/>
    <x v="1"/>
  </r>
  <r>
    <n v="30"/>
    <x v="1"/>
    <x v="0"/>
    <n v="3"/>
    <n v="62"/>
    <s v="Sales Executive"/>
    <n v="3"/>
    <n v="8"/>
    <n v="7"/>
    <n v="8"/>
    <s v="No"/>
    <n v="4"/>
    <s v="18-30"/>
    <x v="1"/>
    <n v="0"/>
    <x v="1"/>
  </r>
  <r>
    <n v="38"/>
    <x v="1"/>
    <x v="0"/>
    <n v="3"/>
    <n v="85"/>
    <s v="Sales Executive"/>
    <n v="4"/>
    <n v="5"/>
    <n v="1"/>
    <n v="10"/>
    <s v="Yes"/>
    <n v="3"/>
    <s v="31-40"/>
    <x v="4"/>
    <n v="35"/>
    <x v="2"/>
  </r>
  <r>
    <n v="35"/>
    <x v="1"/>
    <x v="0"/>
    <n v="4"/>
    <n v="92"/>
    <s v="Sales Executive"/>
    <n v="4"/>
    <n v="10"/>
    <n v="0"/>
    <n v="3"/>
    <s v="No"/>
    <n v="3"/>
    <s v="31-40"/>
    <x v="0"/>
    <n v="0"/>
    <x v="1"/>
  </r>
  <r>
    <n v="39"/>
    <x v="1"/>
    <x v="0"/>
    <n v="1"/>
    <n v="41"/>
    <s v="Sales Executive"/>
    <n v="3"/>
    <n v="8"/>
    <n v="0"/>
    <n v="2"/>
    <s v="No"/>
    <n v="3"/>
    <s v="31-40"/>
    <x v="3"/>
    <n v="15"/>
    <x v="1"/>
  </r>
  <r>
    <n v="40"/>
    <x v="0"/>
    <x v="0"/>
    <n v="2"/>
    <n v="100"/>
    <s v="Sales Executive"/>
    <n v="2"/>
    <n v="1"/>
    <n v="0"/>
    <n v="24"/>
    <s v="Yes"/>
    <n v="2"/>
    <s v="31-40"/>
    <x v="0"/>
    <s v="NA"/>
    <x v="0"/>
  </r>
  <r>
    <n v="47"/>
    <x v="1"/>
    <x v="1"/>
    <n v="3"/>
    <n v="64"/>
    <s v="Manufacturing Director"/>
    <n v="3"/>
    <n v="19"/>
    <n v="2"/>
    <n v="16"/>
    <s v="Yes"/>
    <n v="4"/>
    <s v="41-50"/>
    <x v="1"/>
    <n v="35"/>
    <x v="2"/>
  </r>
  <r>
    <n v="36"/>
    <x v="1"/>
    <x v="0"/>
    <n v="1"/>
    <n v="84"/>
    <s v="Sales Executive"/>
    <n v="4"/>
    <n v="7"/>
    <n v="0"/>
    <n v="8"/>
    <s v="No"/>
    <n v="3"/>
    <s v="31-40"/>
    <x v="4"/>
    <n v="15"/>
    <x v="1"/>
  </r>
  <r>
    <n v="31"/>
    <x v="0"/>
    <x v="1"/>
    <n v="3"/>
    <n v="46"/>
    <s v="Research Scientist"/>
    <n v="1"/>
    <n v="3"/>
    <n v="1"/>
    <n v="9"/>
    <s v="Yes"/>
    <n v="3"/>
    <s v="31-40"/>
    <x v="2"/>
    <s v="NA"/>
    <x v="0"/>
  </r>
  <r>
    <n v="33"/>
    <x v="1"/>
    <x v="0"/>
    <n v="4"/>
    <n v="38"/>
    <s v="Manager"/>
    <n v="3"/>
    <n v="10"/>
    <n v="6"/>
    <n v="17"/>
    <s v="No"/>
    <n v="3"/>
    <s v="31-40"/>
    <x v="3"/>
    <n v="0"/>
    <x v="1"/>
  </r>
  <r>
    <n v="29"/>
    <x v="0"/>
    <x v="1"/>
    <n v="4"/>
    <n v="92"/>
    <s v="Research Scientist"/>
    <n v="1"/>
    <n v="0"/>
    <n v="0"/>
    <n v="10"/>
    <s v="Yes"/>
    <n v="3"/>
    <s v="18-30"/>
    <x v="0"/>
    <s v="NA"/>
    <x v="0"/>
  </r>
  <r>
    <n v="33"/>
    <x v="1"/>
    <x v="1"/>
    <n v="2"/>
    <n v="53"/>
    <s v="Research Scientist"/>
    <n v="4"/>
    <n v="3"/>
    <n v="0"/>
    <n v="13"/>
    <s v="No"/>
    <n v="3"/>
    <s v="31-40"/>
    <x v="2"/>
    <n v="15"/>
    <x v="1"/>
  </r>
  <r>
    <n v="45"/>
    <x v="1"/>
    <x v="1"/>
    <n v="4"/>
    <n v="91"/>
    <s v="Laboratory Technician"/>
    <n v="4"/>
    <n v="5"/>
    <n v="0"/>
    <n v="1"/>
    <s v="No"/>
    <n v="3"/>
    <s v="41-50"/>
    <x v="0"/>
    <n v="0"/>
    <x v="1"/>
  </r>
  <r>
    <n v="50"/>
    <x v="1"/>
    <x v="1"/>
    <n v="4"/>
    <n v="66"/>
    <s v="Research Director"/>
    <n v="4"/>
    <n v="5"/>
    <n v="1"/>
    <n v="1"/>
    <s v="No"/>
    <n v="2"/>
    <s v="41-50"/>
    <x v="1"/>
    <n v="0"/>
    <x v="1"/>
  </r>
  <r>
    <n v="33"/>
    <x v="1"/>
    <x v="1"/>
    <n v="3"/>
    <n v="84"/>
    <s v="Healthcare Representative"/>
    <n v="2"/>
    <n v="6"/>
    <n v="1"/>
    <n v="1"/>
    <s v="Yes"/>
    <n v="3"/>
    <s v="31-40"/>
    <x v="4"/>
    <n v="50"/>
    <x v="3"/>
  </r>
  <r>
    <n v="41"/>
    <x v="1"/>
    <x v="1"/>
    <n v="1"/>
    <n v="64"/>
    <s v="Research Director"/>
    <n v="3"/>
    <n v="18"/>
    <n v="0"/>
    <n v="9"/>
    <s v="No"/>
    <n v="4"/>
    <s v="41-50"/>
    <x v="1"/>
    <n v="15"/>
    <x v="1"/>
  </r>
  <r>
    <n v="27"/>
    <x v="1"/>
    <x v="1"/>
    <n v="3"/>
    <n v="37"/>
    <s v="Laboratory Technician"/>
    <n v="2"/>
    <n v="2"/>
    <n v="2"/>
    <n v="16"/>
    <s v="No"/>
    <n v="3"/>
    <s v="18-30"/>
    <x v="3"/>
    <n v="15"/>
    <x v="1"/>
  </r>
  <r>
    <n v="45"/>
    <x v="1"/>
    <x v="1"/>
    <n v="4"/>
    <n v="42"/>
    <s v="Laboratory Technician"/>
    <n v="1"/>
    <n v="9"/>
    <n v="0"/>
    <n v="23"/>
    <s v="Yes"/>
    <n v="3"/>
    <s v="41-50"/>
    <x v="3"/>
    <n v="50"/>
    <x v="3"/>
  </r>
  <r>
    <n v="47"/>
    <x v="1"/>
    <x v="0"/>
    <n v="4"/>
    <n v="83"/>
    <s v="Sales Executive"/>
    <n v="4"/>
    <n v="9"/>
    <n v="0"/>
    <n v="4"/>
    <s v="Yes"/>
    <n v="3"/>
    <s v="41-50"/>
    <x v="4"/>
    <n v="35"/>
    <x v="2"/>
  </r>
  <r>
    <n v="30"/>
    <x v="0"/>
    <x v="1"/>
    <n v="1"/>
    <n v="48"/>
    <s v="Research Scientist"/>
    <n v="3"/>
    <n v="5"/>
    <n v="0"/>
    <n v="22"/>
    <s v="Yes"/>
    <n v="3"/>
    <s v="18-30"/>
    <x v="2"/>
    <s v="NA"/>
    <x v="0"/>
  </r>
  <r>
    <n v="50"/>
    <x v="1"/>
    <x v="1"/>
    <n v="4"/>
    <n v="95"/>
    <s v="Manufacturing Director"/>
    <n v="3"/>
    <n v="12"/>
    <n v="1"/>
    <n v="24"/>
    <s v="Yes"/>
    <n v="3"/>
    <s v="41-50"/>
    <x v="0"/>
    <n v="35"/>
    <x v="2"/>
  </r>
  <r>
    <n v="38"/>
    <x v="1"/>
    <x v="1"/>
    <n v="3"/>
    <n v="66"/>
    <s v="Research Scientist"/>
    <n v="3"/>
    <n v="2"/>
    <n v="0"/>
    <n v="10"/>
    <s v="No"/>
    <n v="2"/>
    <s v="31-40"/>
    <x v="1"/>
    <n v="0"/>
    <x v="1"/>
  </r>
  <r>
    <n v="46"/>
    <x v="1"/>
    <x v="1"/>
    <n v="4"/>
    <n v="75"/>
    <s v="Manufacturing Director"/>
    <n v="3"/>
    <n v="8"/>
    <n v="0"/>
    <n v="7"/>
    <s v="No"/>
    <n v="3"/>
    <s v="41-50"/>
    <x v="1"/>
    <n v="0"/>
    <x v="1"/>
  </r>
  <r>
    <n v="24"/>
    <x v="1"/>
    <x v="1"/>
    <n v="4"/>
    <n v="41"/>
    <s v="Manufacturing Director"/>
    <n v="3"/>
    <n v="4"/>
    <n v="3"/>
    <n v="17"/>
    <s v="No"/>
    <n v="3"/>
    <s v="18-30"/>
    <x v="3"/>
    <n v="0"/>
    <x v="1"/>
  </r>
  <r>
    <n v="35"/>
    <x v="0"/>
    <x v="1"/>
    <n v="3"/>
    <n v="39"/>
    <s v="Laboratory Technician"/>
    <n v="2"/>
    <n v="4"/>
    <n v="0"/>
    <n v="14"/>
    <s v="Yes"/>
    <n v="1"/>
    <s v="31-40"/>
    <x v="3"/>
    <s v="NA"/>
    <x v="0"/>
  </r>
  <r>
    <n v="31"/>
    <x v="1"/>
    <x v="1"/>
    <n v="3"/>
    <n v="96"/>
    <s v="Manufacturing Director"/>
    <n v="1"/>
    <n v="4"/>
    <n v="0"/>
    <n v="1"/>
    <s v="No"/>
    <n v="3"/>
    <s v="31-40"/>
    <x v="0"/>
    <n v="15"/>
    <x v="1"/>
  </r>
  <r>
    <n v="18"/>
    <x v="1"/>
    <x v="1"/>
    <n v="2"/>
    <n v="73"/>
    <s v="Research Scientist"/>
    <n v="4"/>
    <n v="0"/>
    <n v="0"/>
    <n v="5"/>
    <s v="No"/>
    <n v="3"/>
    <s v="18-30"/>
    <x v="1"/>
    <n v="15"/>
    <x v="1"/>
  </r>
  <r>
    <n v="54"/>
    <x v="1"/>
    <x v="1"/>
    <n v="3"/>
    <n v="56"/>
    <s v="Manufacturing Director"/>
    <n v="3"/>
    <n v="10"/>
    <n v="0"/>
    <n v="17"/>
    <s v="No"/>
    <n v="3"/>
    <s v="51+"/>
    <x v="2"/>
    <n v="0"/>
    <x v="1"/>
  </r>
  <r>
    <n v="35"/>
    <x v="1"/>
    <x v="1"/>
    <n v="3"/>
    <n v="57"/>
    <s v="Healthcare Representative"/>
    <n v="3"/>
    <n v="16"/>
    <n v="10"/>
    <n v="25"/>
    <s v="Yes"/>
    <n v="2"/>
    <s v="31-40"/>
    <x v="2"/>
    <n v="35"/>
    <x v="2"/>
  </r>
  <r>
    <n v="30"/>
    <x v="1"/>
    <x v="1"/>
    <n v="2"/>
    <n v="73"/>
    <s v="Research Director"/>
    <n v="1"/>
    <n v="8"/>
    <n v="1"/>
    <n v="8"/>
    <s v="Yes"/>
    <n v="2"/>
    <s v="18-30"/>
    <x v="1"/>
    <n v="65"/>
    <x v="3"/>
  </r>
  <r>
    <n v="20"/>
    <x v="0"/>
    <x v="1"/>
    <n v="4"/>
    <n v="98"/>
    <s v="Research Scientist"/>
    <n v="1"/>
    <n v="1"/>
    <n v="0"/>
    <n v="11"/>
    <s v="Yes"/>
    <n v="3"/>
    <s v="18-30"/>
    <x v="0"/>
    <s v="NA"/>
    <x v="0"/>
  </r>
  <r>
    <n v="30"/>
    <x v="0"/>
    <x v="1"/>
    <n v="2"/>
    <n v="60"/>
    <s v="Laboratory Technician"/>
    <n v="2"/>
    <n v="3"/>
    <n v="1"/>
    <n v="5"/>
    <s v="No"/>
    <n v="3"/>
    <s v="18-30"/>
    <x v="2"/>
    <s v="NA"/>
    <x v="0"/>
  </r>
  <r>
    <n v="26"/>
    <x v="1"/>
    <x v="1"/>
    <n v="4"/>
    <n v="32"/>
    <s v="Manufacturing Director"/>
    <n v="4"/>
    <n v="8"/>
    <n v="1"/>
    <n v="2"/>
    <s v="No"/>
    <n v="3"/>
    <s v="18-30"/>
    <x v="3"/>
    <n v="0"/>
    <x v="1"/>
  </r>
  <r>
    <n v="22"/>
    <x v="1"/>
    <x v="1"/>
    <n v="2"/>
    <n v="94"/>
    <s v="Laboratory Technician"/>
    <n v="1"/>
    <n v="4"/>
    <n v="1"/>
    <n v="8"/>
    <s v="No"/>
    <n v="2"/>
    <s v="18-30"/>
    <x v="0"/>
    <n v="30"/>
    <x v="2"/>
  </r>
  <r>
    <n v="48"/>
    <x v="1"/>
    <x v="1"/>
    <n v="1"/>
    <n v="97"/>
    <s v="Healthcare Representative"/>
    <n v="3"/>
    <n v="2"/>
    <n v="2"/>
    <n v="6"/>
    <s v="No"/>
    <n v="3"/>
    <s v="41-50"/>
    <x v="0"/>
    <n v="15"/>
    <x v="1"/>
  </r>
  <r>
    <n v="48"/>
    <x v="1"/>
    <x v="1"/>
    <n v="3"/>
    <n v="78"/>
    <s v="Healthcare Representative"/>
    <n v="3"/>
    <n v="15"/>
    <n v="4"/>
    <n v="4"/>
    <s v="No"/>
    <n v="3"/>
    <s v="41-50"/>
    <x v="4"/>
    <n v="0"/>
    <x v="1"/>
  </r>
  <r>
    <n v="41"/>
    <x v="1"/>
    <x v="1"/>
    <n v="4"/>
    <n v="42"/>
    <s v="Manufacturing Director"/>
    <n v="3"/>
    <n v="2"/>
    <n v="2"/>
    <n v="7"/>
    <s v="No"/>
    <n v="3"/>
    <s v="41-50"/>
    <x v="3"/>
    <n v="0"/>
    <x v="1"/>
  </r>
  <r>
    <n v="39"/>
    <x v="1"/>
    <x v="1"/>
    <n v="4"/>
    <n v="65"/>
    <s v="Manufacturing Director"/>
    <n v="4"/>
    <n v="21"/>
    <n v="11"/>
    <n v="1"/>
    <s v="No"/>
    <n v="3"/>
    <s v="31-40"/>
    <x v="1"/>
    <n v="0"/>
    <x v="1"/>
  </r>
  <r>
    <n v="27"/>
    <x v="1"/>
    <x v="1"/>
    <n v="1"/>
    <n v="47"/>
    <s v="Manufacturing Director"/>
    <n v="4"/>
    <n v="3"/>
    <n v="2"/>
    <n v="2"/>
    <s v="No"/>
    <n v="3"/>
    <s v="18-30"/>
    <x v="2"/>
    <n v="15"/>
    <x v="1"/>
  </r>
  <r>
    <n v="35"/>
    <x v="1"/>
    <x v="1"/>
    <n v="2"/>
    <n v="45"/>
    <s v="Laboratory Technician"/>
    <n v="4"/>
    <n v="3"/>
    <n v="1"/>
    <n v="10"/>
    <s v="No"/>
    <n v="2"/>
    <s v="31-40"/>
    <x v="3"/>
    <n v="15"/>
    <x v="1"/>
  </r>
  <r>
    <n v="42"/>
    <x v="1"/>
    <x v="0"/>
    <n v="4"/>
    <n v="90"/>
    <s v="Manager"/>
    <n v="3"/>
    <n v="1"/>
    <n v="0"/>
    <n v="5"/>
    <s v="No"/>
    <n v="4"/>
    <s v="41-50"/>
    <x v="4"/>
    <n v="0"/>
    <x v="1"/>
  </r>
  <r>
    <n v="50"/>
    <x v="1"/>
    <x v="1"/>
    <n v="1"/>
    <n v="64"/>
    <s v="Laboratory Technician"/>
    <n v="4"/>
    <n v="1"/>
    <n v="0"/>
    <n v="9"/>
    <s v="No"/>
    <n v="3"/>
    <s v="41-50"/>
    <x v="1"/>
    <n v="15"/>
    <x v="1"/>
  </r>
  <r>
    <n v="59"/>
    <x v="1"/>
    <x v="1"/>
    <n v="3"/>
    <n v="69"/>
    <s v="Manufacturing Director"/>
    <n v="4"/>
    <n v="5"/>
    <n v="4"/>
    <n v="2"/>
    <s v="Yes"/>
    <n v="3"/>
    <s v="51+"/>
    <x v="1"/>
    <n v="35"/>
    <x v="2"/>
  </r>
  <r>
    <n v="37"/>
    <x v="0"/>
    <x v="1"/>
    <n v="1"/>
    <n v="61"/>
    <s v="Healthcare Representative"/>
    <n v="2"/>
    <n v="1"/>
    <n v="0"/>
    <n v="11"/>
    <s v="No"/>
    <n v="1"/>
    <s v="31-40"/>
    <x v="1"/>
    <s v="NA"/>
    <x v="0"/>
  </r>
  <r>
    <n v="55"/>
    <x v="1"/>
    <x v="1"/>
    <n v="3"/>
    <n v="62"/>
    <s v="Healthcare Representative"/>
    <n v="2"/>
    <n v="8"/>
    <n v="6"/>
    <n v="18"/>
    <s v="Yes"/>
    <n v="3"/>
    <s v="51+"/>
    <x v="1"/>
    <n v="50"/>
    <x v="3"/>
  </r>
  <r>
    <n v="41"/>
    <x v="1"/>
    <x v="1"/>
    <n v="2"/>
    <n v="55"/>
    <s v="Research Director"/>
    <n v="3"/>
    <n v="21"/>
    <n v="5"/>
    <n v="7"/>
    <s v="No"/>
    <n v="3"/>
    <s v="41-50"/>
    <x v="2"/>
    <n v="15"/>
    <x v="1"/>
  </r>
  <r>
    <n v="38"/>
    <x v="1"/>
    <x v="0"/>
    <n v="2"/>
    <n v="42"/>
    <s v="Sales Executive"/>
    <n v="4"/>
    <n v="1"/>
    <n v="0"/>
    <n v="3"/>
    <s v="Yes"/>
    <n v="3"/>
    <s v="31-40"/>
    <x v="3"/>
    <n v="50"/>
    <x v="3"/>
  </r>
  <r>
    <n v="26"/>
    <x v="0"/>
    <x v="0"/>
    <n v="2"/>
    <n v="79"/>
    <s v="Sales Executive"/>
    <n v="1"/>
    <n v="2"/>
    <n v="2"/>
    <n v="29"/>
    <s v="No"/>
    <n v="3"/>
    <s v="18-30"/>
    <x v="4"/>
    <s v="NA"/>
    <x v="0"/>
  </r>
  <r>
    <n v="52"/>
    <x v="0"/>
    <x v="0"/>
    <n v="1"/>
    <n v="57"/>
    <s v="Manager"/>
    <n v="4"/>
    <n v="32"/>
    <n v="6"/>
    <n v="2"/>
    <s v="No"/>
    <n v="3"/>
    <s v="51+"/>
    <x v="2"/>
    <s v="NA"/>
    <x v="0"/>
  </r>
  <r>
    <n v="44"/>
    <x v="1"/>
    <x v="0"/>
    <n v="4"/>
    <n v="53"/>
    <s v="Sales Executive"/>
    <n v="4"/>
    <n v="12"/>
    <n v="11"/>
    <n v="28"/>
    <s v="Yes"/>
    <n v="3"/>
    <s v="41-50"/>
    <x v="2"/>
    <n v="35"/>
    <x v="2"/>
  </r>
  <r>
    <n v="50"/>
    <x v="1"/>
    <x v="0"/>
    <n v="4"/>
    <n v="95"/>
    <s v="Sales Executive"/>
    <n v="3"/>
    <n v="18"/>
    <n v="0"/>
    <n v="1"/>
    <s v="No"/>
    <n v="3"/>
    <s v="41-50"/>
    <x v="0"/>
    <n v="0"/>
    <x v="1"/>
  </r>
  <r>
    <n v="36"/>
    <x v="0"/>
    <x v="1"/>
    <n v="3"/>
    <n v="43"/>
    <s v="Laboratory Technician"/>
    <n v="1"/>
    <n v="17"/>
    <n v="15"/>
    <n v="16"/>
    <s v="No"/>
    <n v="3"/>
    <s v="31-40"/>
    <x v="3"/>
    <s v="NA"/>
    <x v="0"/>
  </r>
  <r>
    <n v="39"/>
    <x v="1"/>
    <x v="1"/>
    <n v="4"/>
    <n v="82"/>
    <s v="Manufacturing Director"/>
    <n v="1"/>
    <n v="21"/>
    <n v="2"/>
    <n v="22"/>
    <s v="Yes"/>
    <n v="3"/>
    <s v="31-40"/>
    <x v="4"/>
    <n v="50"/>
    <x v="3"/>
  </r>
  <r>
    <n v="33"/>
    <x v="1"/>
    <x v="0"/>
    <n v="2"/>
    <n v="88"/>
    <s v="Sales Representative"/>
    <n v="4"/>
    <n v="2"/>
    <n v="2"/>
    <n v="8"/>
    <s v="No"/>
    <n v="2"/>
    <s v="31-40"/>
    <x v="4"/>
    <n v="15"/>
    <x v="1"/>
  </r>
  <r>
    <n v="45"/>
    <x v="1"/>
    <x v="0"/>
    <n v="4"/>
    <n v="90"/>
    <s v="Manager"/>
    <n v="4"/>
    <n v="9"/>
    <n v="1"/>
    <n v="11"/>
    <s v="No"/>
    <n v="4"/>
    <s v="41-50"/>
    <x v="4"/>
    <n v="0"/>
    <x v="1"/>
  </r>
  <r>
    <n v="32"/>
    <x v="1"/>
    <x v="1"/>
    <n v="4"/>
    <n v="69"/>
    <s v="Laboratory Technician"/>
    <n v="3"/>
    <n v="8"/>
    <n v="7"/>
    <n v="29"/>
    <s v="No"/>
    <n v="3"/>
    <s v="31-40"/>
    <x v="1"/>
    <n v="0"/>
    <x v="1"/>
  </r>
  <r>
    <n v="34"/>
    <x v="1"/>
    <x v="0"/>
    <n v="2"/>
    <n v="75"/>
    <s v="Sales Executive"/>
    <n v="4"/>
    <n v="15"/>
    <n v="0"/>
    <n v="1"/>
    <s v="No"/>
    <n v="2"/>
    <s v="31-40"/>
    <x v="1"/>
    <n v="15"/>
    <x v="1"/>
  </r>
  <r>
    <n v="59"/>
    <x v="1"/>
    <x v="0"/>
    <n v="2"/>
    <n v="66"/>
    <s v="Manager"/>
    <n v="4"/>
    <n v="6"/>
    <n v="0"/>
    <n v="1"/>
    <s v="Yes"/>
    <n v="1"/>
    <s v="51+"/>
    <x v="1"/>
    <n v="85"/>
    <x v="4"/>
  </r>
  <r>
    <n v="45"/>
    <x v="1"/>
    <x v="2"/>
    <n v="2"/>
    <n v="36"/>
    <s v="Human Resources"/>
    <n v="2"/>
    <n v="6"/>
    <n v="0"/>
    <n v="24"/>
    <s v="No"/>
    <n v="3"/>
    <s v="41-50"/>
    <x v="3"/>
    <n v="30"/>
    <x v="2"/>
  </r>
  <r>
    <n v="53"/>
    <x v="1"/>
    <x v="0"/>
    <n v="3"/>
    <n v="38"/>
    <s v="Sales Executive"/>
    <n v="2"/>
    <n v="15"/>
    <n v="6"/>
    <n v="2"/>
    <s v="No"/>
    <n v="3"/>
    <s v="51+"/>
    <x v="3"/>
    <n v="15"/>
    <x v="1"/>
  </r>
  <r>
    <n v="36"/>
    <x v="0"/>
    <x v="1"/>
    <n v="1"/>
    <n v="81"/>
    <s v="Laboratory Technician"/>
    <n v="3"/>
    <n v="1"/>
    <n v="0"/>
    <n v="15"/>
    <s v="No"/>
    <n v="2"/>
    <s v="31-40"/>
    <x v="4"/>
    <s v="NA"/>
    <x v="0"/>
  </r>
  <r>
    <n v="26"/>
    <x v="0"/>
    <x v="1"/>
    <n v="1"/>
    <n v="57"/>
    <s v="Research Scientist"/>
    <n v="1"/>
    <n v="3"/>
    <n v="1"/>
    <n v="2"/>
    <s v="Yes"/>
    <n v="3"/>
    <s v="18-30"/>
    <x v="2"/>
    <s v="NA"/>
    <x v="0"/>
  </r>
  <r>
    <n v="34"/>
    <x v="1"/>
    <x v="0"/>
    <n v="3"/>
    <n v="87"/>
    <s v="Sales Representative"/>
    <n v="3"/>
    <n v="1"/>
    <n v="0"/>
    <n v="10"/>
    <s v="Yes"/>
    <n v="3"/>
    <s v="31-40"/>
    <x v="4"/>
    <n v="35"/>
    <x v="2"/>
  </r>
  <r>
    <n v="28"/>
    <x v="1"/>
    <x v="0"/>
    <n v="4"/>
    <n v="74"/>
    <s v="Sales Representative"/>
    <n v="2"/>
    <n v="1"/>
    <n v="0"/>
    <n v="10"/>
    <s v="No"/>
    <n v="3"/>
    <s v="18-30"/>
    <x v="1"/>
    <n v="15"/>
    <x v="1"/>
  </r>
  <r>
    <n v="38"/>
    <x v="1"/>
    <x v="1"/>
    <n v="3"/>
    <n v="44"/>
    <s v="Research Scientist"/>
    <n v="3"/>
    <n v="2"/>
    <n v="2"/>
    <n v="3"/>
    <s v="No"/>
    <n v="3"/>
    <s v="31-40"/>
    <x v="3"/>
    <n v="0"/>
    <x v="1"/>
  </r>
  <r>
    <n v="50"/>
    <x v="1"/>
    <x v="1"/>
    <n v="2"/>
    <n v="62"/>
    <s v="Research Director"/>
    <n v="3"/>
    <n v="8"/>
    <n v="7"/>
    <n v="2"/>
    <s v="Yes"/>
    <n v="2"/>
    <s v="41-50"/>
    <x v="1"/>
    <n v="50"/>
    <x v="3"/>
  </r>
  <r>
    <n v="37"/>
    <x v="1"/>
    <x v="1"/>
    <n v="4"/>
    <n v="35"/>
    <s v="Healthcare Representative"/>
    <n v="2"/>
    <n v="4"/>
    <n v="0"/>
    <n v="3"/>
    <s v="No"/>
    <n v="2"/>
    <s v="31-40"/>
    <x v="3"/>
    <n v="15"/>
    <x v="1"/>
  </r>
  <r>
    <n v="40"/>
    <x v="1"/>
    <x v="0"/>
    <n v="3"/>
    <n v="74"/>
    <s v="Sales Executive"/>
    <n v="1"/>
    <n v="7"/>
    <n v="7"/>
    <n v="26"/>
    <s v="No"/>
    <n v="2"/>
    <s v="31-40"/>
    <x v="1"/>
    <n v="15"/>
    <x v="1"/>
  </r>
  <r>
    <n v="26"/>
    <x v="1"/>
    <x v="1"/>
    <n v="1"/>
    <n v="66"/>
    <s v="Research Scientist"/>
    <n v="3"/>
    <n v="5"/>
    <n v="1"/>
    <n v="1"/>
    <s v="No"/>
    <n v="3"/>
    <s v="18-30"/>
    <x v="1"/>
    <n v="15"/>
    <x v="1"/>
  </r>
  <r>
    <n v="46"/>
    <x v="1"/>
    <x v="1"/>
    <n v="4"/>
    <n v="40"/>
    <s v="Research Director"/>
    <n v="4"/>
    <n v="2"/>
    <n v="2"/>
    <n v="1"/>
    <s v="No"/>
    <n v="3"/>
    <s v="41-50"/>
    <x v="3"/>
    <n v="0"/>
    <x v="1"/>
  </r>
  <r>
    <n v="54"/>
    <x v="1"/>
    <x v="0"/>
    <n v="3"/>
    <n v="41"/>
    <s v="Sales Executive"/>
    <n v="3"/>
    <n v="9"/>
    <n v="7"/>
    <n v="2"/>
    <s v="No"/>
    <n v="3"/>
    <s v="51+"/>
    <x v="3"/>
    <n v="0"/>
    <x v="1"/>
  </r>
  <r>
    <n v="56"/>
    <x v="1"/>
    <x v="1"/>
    <n v="1"/>
    <n v="63"/>
    <s v="Research Scientist"/>
    <n v="3"/>
    <n v="5"/>
    <n v="0"/>
    <n v="9"/>
    <s v="No"/>
    <n v="3"/>
    <s v="51+"/>
    <x v="1"/>
    <n v="15"/>
    <x v="1"/>
  </r>
  <r>
    <n v="36"/>
    <x v="1"/>
    <x v="1"/>
    <n v="4"/>
    <n v="51"/>
    <s v="Manufacturing Director"/>
    <n v="4"/>
    <n v="14"/>
    <n v="7"/>
    <n v="12"/>
    <s v="No"/>
    <n v="2"/>
    <s v="31-40"/>
    <x v="2"/>
    <n v="0"/>
    <x v="1"/>
  </r>
  <r>
    <n v="55"/>
    <x v="1"/>
    <x v="1"/>
    <n v="3"/>
    <n v="40"/>
    <s v="Manager"/>
    <n v="1"/>
    <n v="9"/>
    <n v="6"/>
    <n v="2"/>
    <s v="No"/>
    <n v="4"/>
    <s v="51+"/>
    <x v="3"/>
    <n v="15"/>
    <x v="1"/>
  </r>
  <r>
    <n v="43"/>
    <x v="1"/>
    <x v="0"/>
    <n v="3"/>
    <n v="79"/>
    <s v="Sales Executive"/>
    <n v="4"/>
    <n v="1"/>
    <n v="0"/>
    <n v="25"/>
    <s v="No"/>
    <n v="3"/>
    <s v="41-50"/>
    <x v="4"/>
    <n v="0"/>
    <x v="1"/>
  </r>
  <r>
    <n v="20"/>
    <x v="0"/>
    <x v="0"/>
    <n v="4"/>
    <n v="54"/>
    <s v="Sales Representative"/>
    <n v="4"/>
    <n v="2"/>
    <n v="0"/>
    <n v="9"/>
    <s v="Yes"/>
    <n v="3"/>
    <s v="18-30"/>
    <x v="2"/>
    <s v="NA"/>
    <x v="0"/>
  </r>
  <r>
    <n v="21"/>
    <x v="0"/>
    <x v="1"/>
    <n v="3"/>
    <n v="36"/>
    <s v="Laboratory Technician"/>
    <n v="1"/>
    <n v="1"/>
    <n v="1"/>
    <n v="10"/>
    <s v="No"/>
    <n v="2"/>
    <s v="18-30"/>
    <x v="3"/>
    <s v="NA"/>
    <x v="0"/>
  </r>
  <r>
    <n v="46"/>
    <x v="1"/>
    <x v="1"/>
    <n v="4"/>
    <n v="74"/>
    <s v="Research Scientist"/>
    <n v="1"/>
    <n v="16"/>
    <n v="1"/>
    <n v="8"/>
    <s v="Yes"/>
    <n v="3"/>
    <s v="41-50"/>
    <x v="1"/>
    <n v="50"/>
    <x v="3"/>
  </r>
  <r>
    <n v="51"/>
    <x v="0"/>
    <x v="1"/>
    <n v="1"/>
    <n v="34"/>
    <s v="Research Scientist"/>
    <n v="3"/>
    <n v="10"/>
    <n v="2"/>
    <n v="4"/>
    <s v="Yes"/>
    <n v="4"/>
    <s v="51+"/>
    <x v="3"/>
    <s v="NA"/>
    <x v="0"/>
  </r>
  <r>
    <n v="28"/>
    <x v="0"/>
    <x v="1"/>
    <n v="2"/>
    <n v="72"/>
    <s v="Healthcare Representative"/>
    <n v="1"/>
    <n v="10"/>
    <n v="1"/>
    <n v="24"/>
    <s v="No"/>
    <n v="2"/>
    <s v="18-30"/>
    <x v="1"/>
    <s v="NA"/>
    <x v="0"/>
  </r>
  <r>
    <n v="26"/>
    <x v="1"/>
    <x v="1"/>
    <n v="1"/>
    <n v="59"/>
    <s v="Laboratory Technician"/>
    <n v="1"/>
    <n v="5"/>
    <n v="1"/>
    <n v="1"/>
    <s v="No"/>
    <n v="3"/>
    <s v="18-30"/>
    <x v="2"/>
    <n v="30"/>
    <x v="2"/>
  </r>
  <r>
    <n v="30"/>
    <x v="1"/>
    <x v="1"/>
    <n v="3"/>
    <n v="85"/>
    <s v="Manufacturing Director"/>
    <n v="1"/>
    <n v="6"/>
    <n v="0"/>
    <n v="20"/>
    <s v="No"/>
    <n v="2"/>
    <s v="18-30"/>
    <x v="4"/>
    <n v="15"/>
    <x v="1"/>
  </r>
  <r>
    <n v="41"/>
    <x v="1"/>
    <x v="1"/>
    <n v="2"/>
    <n v="43"/>
    <s v="Research Scientist"/>
    <n v="3"/>
    <n v="10"/>
    <n v="0"/>
    <n v="7"/>
    <s v="No"/>
    <n v="3"/>
    <s v="41-50"/>
    <x v="3"/>
    <n v="15"/>
    <x v="1"/>
  </r>
  <r>
    <n v="38"/>
    <x v="1"/>
    <x v="1"/>
    <n v="3"/>
    <n v="65"/>
    <s v="Healthcare Representative"/>
    <n v="3"/>
    <n v="19"/>
    <n v="1"/>
    <n v="17"/>
    <s v="No"/>
    <n v="2"/>
    <s v="31-40"/>
    <x v="1"/>
    <n v="0"/>
    <x v="1"/>
  </r>
  <r>
    <n v="40"/>
    <x v="1"/>
    <x v="1"/>
    <n v="1"/>
    <n v="61"/>
    <s v="Healthcare Representative"/>
    <n v="4"/>
    <n v="11"/>
    <n v="11"/>
    <n v="20"/>
    <s v="No"/>
    <n v="3"/>
    <s v="31-40"/>
    <x v="1"/>
    <n v="15"/>
    <x v="1"/>
  </r>
  <r>
    <n v="27"/>
    <x v="1"/>
    <x v="1"/>
    <n v="1"/>
    <n v="87"/>
    <s v="Laboratory Technician"/>
    <n v="3"/>
    <n v="3"/>
    <n v="1"/>
    <n v="8"/>
    <s v="No"/>
    <n v="3"/>
    <s v="18-30"/>
    <x v="4"/>
    <n v="15"/>
    <x v="1"/>
  </r>
  <r>
    <n v="55"/>
    <x v="1"/>
    <x v="1"/>
    <n v="4"/>
    <n v="65"/>
    <s v="Manufacturing Director"/>
    <n v="2"/>
    <n v="3"/>
    <n v="1"/>
    <n v="2"/>
    <s v="No"/>
    <n v="3"/>
    <s v="51+"/>
    <x v="1"/>
    <n v="15"/>
    <x v="1"/>
  </r>
  <r>
    <n v="28"/>
    <x v="1"/>
    <x v="1"/>
    <n v="3"/>
    <n v="59"/>
    <s v="Research Scientist"/>
    <n v="3"/>
    <n v="8"/>
    <n v="1"/>
    <n v="10"/>
    <s v="No"/>
    <n v="4"/>
    <s v="18-30"/>
    <x v="2"/>
    <n v="0"/>
    <x v="1"/>
  </r>
  <r>
    <n v="44"/>
    <x v="0"/>
    <x v="2"/>
    <n v="2"/>
    <n v="91"/>
    <s v="Human Resources"/>
    <n v="1"/>
    <n v="20"/>
    <n v="3"/>
    <n v="1"/>
    <s v="No"/>
    <n v="3"/>
    <s v="41-50"/>
    <x v="0"/>
    <s v="NA"/>
    <x v="0"/>
  </r>
  <r>
    <n v="33"/>
    <x v="1"/>
    <x v="1"/>
    <n v="4"/>
    <n v="34"/>
    <s v="Healthcare Representative"/>
    <n v="4"/>
    <n v="3"/>
    <n v="1"/>
    <n v="5"/>
    <s v="No"/>
    <n v="3"/>
    <s v="31-40"/>
    <x v="3"/>
    <n v="0"/>
    <x v="1"/>
  </r>
  <r>
    <n v="35"/>
    <x v="0"/>
    <x v="0"/>
    <n v="4"/>
    <n v="86"/>
    <s v="Sales Executive"/>
    <n v="1"/>
    <n v="8"/>
    <n v="4"/>
    <n v="4"/>
    <s v="Yes"/>
    <n v="3"/>
    <s v="31-40"/>
    <x v="4"/>
    <s v="NA"/>
    <x v="0"/>
  </r>
  <r>
    <n v="33"/>
    <x v="0"/>
    <x v="1"/>
    <n v="1"/>
    <n v="54"/>
    <s v="Research Scientist"/>
    <n v="3"/>
    <n v="13"/>
    <n v="3"/>
    <n v="29"/>
    <s v="No"/>
    <n v="3"/>
    <s v="31-40"/>
    <x v="2"/>
    <s v="NA"/>
    <x v="0"/>
  </r>
  <r>
    <n v="28"/>
    <x v="1"/>
    <x v="1"/>
    <n v="1"/>
    <n v="50"/>
    <s v="Laboratory Technician"/>
    <n v="3"/>
    <n v="4"/>
    <n v="2"/>
    <n v="15"/>
    <s v="No"/>
    <n v="2"/>
    <s v="18-30"/>
    <x v="2"/>
    <n v="15"/>
    <x v="1"/>
  </r>
  <r>
    <n v="34"/>
    <x v="1"/>
    <x v="1"/>
    <n v="1"/>
    <n v="45"/>
    <s v="Healthcare Representative"/>
    <n v="4"/>
    <n v="6"/>
    <n v="0"/>
    <n v="3"/>
    <s v="No"/>
    <n v="2"/>
    <s v="31-40"/>
    <x v="3"/>
    <n v="15"/>
    <x v="1"/>
  </r>
  <r>
    <n v="37"/>
    <x v="1"/>
    <x v="0"/>
    <n v="4"/>
    <n v="88"/>
    <s v="Sales Executive"/>
    <n v="4"/>
    <n v="1"/>
    <n v="0"/>
    <n v="10"/>
    <s v="Yes"/>
    <n v="3"/>
    <s v="31-40"/>
    <x v="4"/>
    <n v="35"/>
    <x v="2"/>
  </r>
  <r>
    <n v="25"/>
    <x v="0"/>
    <x v="1"/>
    <n v="4"/>
    <n v="32"/>
    <s v="Laboratory Technician"/>
    <n v="4"/>
    <n v="7"/>
    <n v="5"/>
    <n v="4"/>
    <s v="Yes"/>
    <n v="4"/>
    <s v="18-30"/>
    <x v="3"/>
    <s v="NA"/>
    <x v="0"/>
  </r>
  <r>
    <n v="26"/>
    <x v="0"/>
    <x v="1"/>
    <n v="1"/>
    <n v="37"/>
    <s v="Laboratory Technician"/>
    <n v="3"/>
    <n v="1"/>
    <n v="0"/>
    <n v="21"/>
    <s v="No"/>
    <n v="2"/>
    <s v="18-30"/>
    <x v="3"/>
    <s v="NA"/>
    <x v="0"/>
  </r>
  <r>
    <n v="33"/>
    <x v="0"/>
    <x v="1"/>
    <n v="1"/>
    <n v="55"/>
    <s v="Research Scientist"/>
    <n v="2"/>
    <n v="2"/>
    <n v="2"/>
    <n v="25"/>
    <s v="Yes"/>
    <n v="3"/>
    <s v="31-40"/>
    <x v="2"/>
    <s v="NA"/>
    <x v="0"/>
  </r>
  <r>
    <n v="42"/>
    <x v="1"/>
    <x v="1"/>
    <n v="4"/>
    <n v="35"/>
    <s v="Manager"/>
    <n v="1"/>
    <n v="22"/>
    <n v="13"/>
    <n v="2"/>
    <s v="No"/>
    <n v="3"/>
    <s v="41-50"/>
    <x v="3"/>
    <n v="15"/>
    <x v="1"/>
  </r>
  <r>
    <n v="28"/>
    <x v="0"/>
    <x v="1"/>
    <n v="1"/>
    <n v="45"/>
    <s v="Laboratory Technician"/>
    <n v="2"/>
    <n v="1"/>
    <n v="0"/>
    <n v="1"/>
    <s v="No"/>
    <n v="3"/>
    <s v="18-30"/>
    <x v="3"/>
    <s v="NA"/>
    <x v="0"/>
  </r>
  <r>
    <n v="50"/>
    <x v="0"/>
    <x v="0"/>
    <n v="4"/>
    <n v="81"/>
    <s v="Sales Executive"/>
    <n v="3"/>
    <n v="0"/>
    <n v="0"/>
    <n v="1"/>
    <s v="Yes"/>
    <n v="3"/>
    <s v="41-50"/>
    <x v="4"/>
    <s v="NA"/>
    <x v="0"/>
  </r>
  <r>
    <n v="33"/>
    <x v="1"/>
    <x v="0"/>
    <n v="4"/>
    <n v="30"/>
    <s v="Sales Executive"/>
    <n v="2"/>
    <n v="3"/>
    <n v="0"/>
    <n v="7"/>
    <s v="No"/>
    <n v="3"/>
    <s v="31-40"/>
    <x v="3"/>
    <n v="15"/>
    <x v="1"/>
  </r>
  <r>
    <n v="34"/>
    <x v="1"/>
    <x v="1"/>
    <n v="3"/>
    <n v="40"/>
    <s v="Research Scientist"/>
    <n v="4"/>
    <n v="0"/>
    <n v="0"/>
    <n v="3"/>
    <s v="No"/>
    <n v="3"/>
    <s v="31-40"/>
    <x v="3"/>
    <n v="0"/>
    <x v="1"/>
  </r>
  <r>
    <n v="48"/>
    <x v="1"/>
    <x v="1"/>
    <n v="1"/>
    <n v="35"/>
    <s v="Manager"/>
    <n v="4"/>
    <n v="5"/>
    <n v="2"/>
    <n v="1"/>
    <s v="No"/>
    <n v="2"/>
    <s v="41-50"/>
    <x v="3"/>
    <n v="15"/>
    <x v="1"/>
  </r>
  <r>
    <n v="45"/>
    <x v="1"/>
    <x v="0"/>
    <n v="2"/>
    <n v="65"/>
    <s v="Sales Executive"/>
    <n v="3"/>
    <n v="15"/>
    <n v="4"/>
    <n v="9"/>
    <s v="No"/>
    <n v="3"/>
    <s v="41-50"/>
    <x v="1"/>
    <n v="15"/>
    <x v="1"/>
  </r>
  <r>
    <n v="52"/>
    <x v="1"/>
    <x v="1"/>
    <n v="2"/>
    <n v="87"/>
    <s v="Healthcare Representative"/>
    <n v="2"/>
    <n v="8"/>
    <n v="4"/>
    <n v="7"/>
    <s v="No"/>
    <n v="3"/>
    <s v="51+"/>
    <x v="4"/>
    <n v="30"/>
    <x v="2"/>
  </r>
  <r>
    <n v="38"/>
    <x v="1"/>
    <x v="0"/>
    <n v="3"/>
    <n v="73"/>
    <s v="Sales Executive"/>
    <n v="3"/>
    <n v="8"/>
    <n v="2"/>
    <n v="10"/>
    <s v="Yes"/>
    <n v="3"/>
    <s v="31-40"/>
    <x v="1"/>
    <n v="35"/>
    <x v="2"/>
  </r>
  <r>
    <n v="29"/>
    <x v="1"/>
    <x v="1"/>
    <n v="3"/>
    <n v="93"/>
    <s v="Research Scientist"/>
    <n v="4"/>
    <n v="7"/>
    <n v="1"/>
    <n v="28"/>
    <s v="No"/>
    <n v="3"/>
    <s v="18-30"/>
    <x v="0"/>
    <n v="0"/>
    <x v="1"/>
  </r>
  <r>
    <n v="28"/>
    <x v="1"/>
    <x v="1"/>
    <n v="4"/>
    <n v="93"/>
    <s v="Manufacturing Director"/>
    <n v="2"/>
    <n v="9"/>
    <n v="1"/>
    <n v="3"/>
    <s v="No"/>
    <n v="2"/>
    <s v="18-30"/>
    <x v="0"/>
    <n v="15"/>
    <x v="1"/>
  </r>
  <r>
    <n v="46"/>
    <x v="1"/>
    <x v="0"/>
    <n v="1"/>
    <n v="52"/>
    <s v="Manager"/>
    <n v="3"/>
    <n v="12"/>
    <n v="4"/>
    <n v="3"/>
    <s v="No"/>
    <n v="3"/>
    <s v="41-50"/>
    <x v="2"/>
    <n v="15"/>
    <x v="1"/>
  </r>
  <r>
    <n v="38"/>
    <x v="1"/>
    <x v="0"/>
    <n v="4"/>
    <n v="32"/>
    <s v="Sales Executive"/>
    <n v="2"/>
    <n v="1"/>
    <n v="0"/>
    <n v="2"/>
    <s v="No"/>
    <n v="3"/>
    <s v="31-40"/>
    <x v="3"/>
    <n v="15"/>
    <x v="1"/>
  </r>
  <r>
    <n v="43"/>
    <x v="1"/>
    <x v="1"/>
    <n v="3"/>
    <n v="83"/>
    <s v="Manufacturing Director"/>
    <n v="1"/>
    <n v="8"/>
    <n v="0"/>
    <n v="27"/>
    <s v="No"/>
    <n v="3"/>
    <s v="41-50"/>
    <x v="4"/>
    <n v="15"/>
    <x v="1"/>
  </r>
  <r>
    <n v="39"/>
    <x v="0"/>
    <x v="1"/>
    <n v="1"/>
    <n v="84"/>
    <s v="Healthcare Representative"/>
    <n v="4"/>
    <n v="18"/>
    <n v="11"/>
    <n v="2"/>
    <s v="No"/>
    <n v="3"/>
    <s v="31-40"/>
    <x v="4"/>
    <s v="NA"/>
    <x v="0"/>
  </r>
  <r>
    <n v="40"/>
    <x v="1"/>
    <x v="1"/>
    <n v="3"/>
    <n v="44"/>
    <s v="Research Director"/>
    <n v="3"/>
    <n v="20"/>
    <n v="4"/>
    <n v="14"/>
    <s v="No"/>
    <n v="4"/>
    <s v="31-40"/>
    <x v="3"/>
    <n v="0"/>
    <x v="1"/>
  </r>
  <r>
    <n v="21"/>
    <x v="1"/>
    <x v="1"/>
    <n v="4"/>
    <n v="70"/>
    <s v="Research Scientist"/>
    <n v="2"/>
    <n v="2"/>
    <n v="2"/>
    <n v="1"/>
    <s v="Yes"/>
    <n v="4"/>
    <s v="18-30"/>
    <x v="1"/>
    <n v="50"/>
    <x v="3"/>
  </r>
  <r>
    <n v="39"/>
    <x v="1"/>
    <x v="1"/>
    <n v="3"/>
    <n v="70"/>
    <s v="Laboratory Technician"/>
    <n v="2"/>
    <n v="5"/>
    <n v="0"/>
    <n v="9"/>
    <s v="No"/>
    <n v="2"/>
    <s v="31-40"/>
    <x v="1"/>
    <n v="15"/>
    <x v="1"/>
  </r>
  <r>
    <n v="36"/>
    <x v="1"/>
    <x v="1"/>
    <n v="1"/>
    <n v="78"/>
    <s v="Manufacturing Director"/>
    <n v="4"/>
    <n v="11"/>
    <n v="0"/>
    <n v="18"/>
    <s v="No"/>
    <n v="3"/>
    <s v="31-40"/>
    <x v="4"/>
    <n v="15"/>
    <x v="1"/>
  </r>
  <r>
    <n v="31"/>
    <x v="1"/>
    <x v="0"/>
    <n v="3"/>
    <n v="67"/>
    <s v="Sales Representative"/>
    <n v="4"/>
    <n v="2"/>
    <n v="2"/>
    <n v="20"/>
    <s v="No"/>
    <n v="3"/>
    <s v="31-40"/>
    <x v="1"/>
    <n v="0"/>
    <x v="1"/>
  </r>
  <r>
    <n v="28"/>
    <x v="1"/>
    <x v="1"/>
    <n v="1"/>
    <n v="67"/>
    <s v="Research Scientist"/>
    <n v="2"/>
    <n v="5"/>
    <n v="0"/>
    <n v="2"/>
    <s v="No"/>
    <n v="1"/>
    <s v="18-30"/>
    <x v="1"/>
    <n v="65"/>
    <x v="3"/>
  </r>
  <r>
    <n v="35"/>
    <x v="1"/>
    <x v="0"/>
    <n v="4"/>
    <n v="54"/>
    <s v="Sales Executive"/>
    <n v="4"/>
    <n v="5"/>
    <n v="0"/>
    <n v="11"/>
    <s v="No"/>
    <n v="3"/>
    <s v="31-40"/>
    <x v="2"/>
    <n v="0"/>
    <x v="1"/>
  </r>
  <r>
    <n v="49"/>
    <x v="1"/>
    <x v="0"/>
    <n v="4"/>
    <n v="56"/>
    <s v="Sales Executive"/>
    <n v="2"/>
    <n v="9"/>
    <n v="2"/>
    <n v="8"/>
    <s v="No"/>
    <n v="3"/>
    <s v="41-50"/>
    <x v="2"/>
    <n v="15"/>
    <x v="1"/>
  </r>
  <r>
    <n v="34"/>
    <x v="1"/>
    <x v="1"/>
    <n v="4"/>
    <n v="95"/>
    <s v="Manufacturing Director"/>
    <n v="3"/>
    <n v="3"/>
    <n v="0"/>
    <n v="2"/>
    <s v="No"/>
    <n v="2"/>
    <s v="31-40"/>
    <x v="0"/>
    <n v="0"/>
    <x v="1"/>
  </r>
  <r>
    <n v="29"/>
    <x v="1"/>
    <x v="1"/>
    <n v="4"/>
    <n v="61"/>
    <s v="Research Scientist"/>
    <n v="2"/>
    <n v="7"/>
    <n v="1"/>
    <n v="10"/>
    <s v="No"/>
    <n v="2"/>
    <s v="18-30"/>
    <x v="1"/>
    <n v="15"/>
    <x v="1"/>
  </r>
  <r>
    <n v="42"/>
    <x v="1"/>
    <x v="1"/>
    <n v="2"/>
    <n v="56"/>
    <s v="Laboratory Technician"/>
    <n v="4"/>
    <n v="1"/>
    <n v="0"/>
    <n v="29"/>
    <s v="No"/>
    <n v="3"/>
    <s v="41-50"/>
    <x v="2"/>
    <n v="15"/>
    <x v="1"/>
  </r>
  <r>
    <n v="29"/>
    <x v="1"/>
    <x v="1"/>
    <n v="2"/>
    <n v="79"/>
    <s v="Manufacturing Director"/>
    <n v="4"/>
    <n v="10"/>
    <n v="1"/>
    <n v="8"/>
    <s v="Yes"/>
    <n v="2"/>
    <s v="18-30"/>
    <x v="4"/>
    <n v="50"/>
    <x v="3"/>
  </r>
  <r>
    <n v="38"/>
    <x v="1"/>
    <x v="2"/>
    <n v="3"/>
    <n v="37"/>
    <s v="Human Resources"/>
    <n v="3"/>
    <n v="7"/>
    <n v="5"/>
    <n v="1"/>
    <s v="No"/>
    <n v="4"/>
    <s v="31-40"/>
    <x v="3"/>
    <n v="0"/>
    <x v="1"/>
  </r>
  <r>
    <n v="28"/>
    <x v="1"/>
    <x v="1"/>
    <n v="3"/>
    <n v="39"/>
    <s v="Research Scientist"/>
    <n v="3"/>
    <n v="3"/>
    <n v="0"/>
    <n v="6"/>
    <s v="Yes"/>
    <n v="3"/>
    <s v="18-30"/>
    <x v="3"/>
    <n v="35"/>
    <x v="2"/>
  </r>
  <r>
    <n v="18"/>
    <x v="0"/>
    <x v="1"/>
    <n v="3"/>
    <n v="80"/>
    <s v="Laboratory Technician"/>
    <n v="3"/>
    <n v="0"/>
    <n v="0"/>
    <n v="8"/>
    <s v="No"/>
    <n v="3"/>
    <s v="18-30"/>
    <x v="4"/>
    <s v="NA"/>
    <x v="0"/>
  </r>
  <r>
    <n v="33"/>
    <x v="0"/>
    <x v="0"/>
    <n v="1"/>
    <n v="77"/>
    <s v="Sales Executive"/>
    <n v="1"/>
    <n v="5"/>
    <n v="0"/>
    <n v="9"/>
    <s v="Yes"/>
    <n v="3"/>
    <s v="31-40"/>
    <x v="4"/>
    <s v="NA"/>
    <x v="0"/>
  </r>
  <r>
    <n v="41"/>
    <x v="1"/>
    <x v="1"/>
    <n v="2"/>
    <n v="46"/>
    <s v="Laboratory Technician"/>
    <n v="4"/>
    <n v="1"/>
    <n v="0"/>
    <n v="12"/>
    <s v="Yes"/>
    <n v="3"/>
    <s v="41-50"/>
    <x v="2"/>
    <n v="50"/>
    <x v="3"/>
  </r>
  <r>
    <n v="31"/>
    <x v="0"/>
    <x v="1"/>
    <n v="3"/>
    <n v="72"/>
    <s v="Laboratory Technician"/>
    <n v="3"/>
    <n v="2"/>
    <n v="2"/>
    <n v="15"/>
    <s v="No"/>
    <n v="2"/>
    <s v="31-40"/>
    <x v="1"/>
    <s v="NA"/>
    <x v="0"/>
  </r>
  <r>
    <n v="37"/>
    <x v="1"/>
    <x v="1"/>
    <n v="3"/>
    <n v="52"/>
    <s v="Healthcare Representative"/>
    <n v="4"/>
    <n v="6"/>
    <n v="1"/>
    <n v="25"/>
    <s v="No"/>
    <n v="3"/>
    <s v="31-40"/>
    <x v="2"/>
    <n v="0"/>
    <x v="1"/>
  </r>
  <r>
    <n v="27"/>
    <x v="1"/>
    <x v="1"/>
    <n v="4"/>
    <n v="55"/>
    <s v="Research Scientist"/>
    <n v="3"/>
    <n v="4"/>
    <n v="2"/>
    <n v="6"/>
    <s v="No"/>
    <n v="3"/>
    <s v="18-30"/>
    <x v="2"/>
    <n v="0"/>
    <x v="1"/>
  </r>
  <r>
    <n v="34"/>
    <x v="1"/>
    <x v="0"/>
    <n v="2"/>
    <n v="70"/>
    <s v="Sales Executive"/>
    <n v="3"/>
    <n v="6"/>
    <n v="1"/>
    <n v="9"/>
    <s v="No"/>
    <n v="2"/>
    <s v="31-40"/>
    <x v="1"/>
    <n v="15"/>
    <x v="1"/>
  </r>
  <r>
    <n v="35"/>
    <x v="1"/>
    <x v="2"/>
    <n v="3"/>
    <n v="100"/>
    <s v="Human Resources"/>
    <n v="3"/>
    <n v="5"/>
    <n v="1"/>
    <n v="8"/>
    <s v="No"/>
    <n v="1"/>
    <s v="31-40"/>
    <x v="0"/>
    <n v="35"/>
    <x v="2"/>
  </r>
  <r>
    <n v="29"/>
    <x v="0"/>
    <x v="0"/>
    <n v="4"/>
    <n v="45"/>
    <s v="Sales Executive"/>
    <n v="1"/>
    <n v="11"/>
    <n v="3"/>
    <n v="23"/>
    <s v="No"/>
    <n v="1"/>
    <s v="18-30"/>
    <x v="3"/>
    <s v="NA"/>
    <x v="0"/>
  </r>
  <r>
    <n v="40"/>
    <x v="1"/>
    <x v="1"/>
    <n v="2"/>
    <n v="88"/>
    <s v="Research Director"/>
    <n v="3"/>
    <n v="18"/>
    <n v="2"/>
    <n v="9"/>
    <s v="No"/>
    <n v="2"/>
    <s v="31-40"/>
    <x v="4"/>
    <n v="15"/>
    <x v="1"/>
  </r>
  <r>
    <n v="42"/>
    <x v="0"/>
    <x v="0"/>
    <n v="3"/>
    <n v="44"/>
    <s v="Sales Executive"/>
    <n v="1"/>
    <n v="21"/>
    <n v="13"/>
    <n v="12"/>
    <s v="Yes"/>
    <n v="2"/>
    <s v="41-50"/>
    <x v="3"/>
    <s v="NA"/>
    <x v="0"/>
  </r>
  <r>
    <n v="42"/>
    <x v="1"/>
    <x v="0"/>
    <n v="2"/>
    <n v="45"/>
    <s v="Sales Executive"/>
    <n v="1"/>
    <n v="6"/>
    <n v="1"/>
    <n v="4"/>
    <s v="No"/>
    <n v="4"/>
    <s v="41-50"/>
    <x v="3"/>
    <n v="30"/>
    <x v="2"/>
  </r>
  <r>
    <n v="35"/>
    <x v="1"/>
    <x v="1"/>
    <n v="4"/>
    <n v="58"/>
    <s v="Laboratory Technician"/>
    <n v="3"/>
    <n v="8"/>
    <n v="1"/>
    <n v="1"/>
    <s v="No"/>
    <n v="3"/>
    <s v="31-40"/>
    <x v="2"/>
    <n v="0"/>
    <x v="1"/>
  </r>
  <r>
    <n v="24"/>
    <x v="1"/>
    <x v="1"/>
    <n v="4"/>
    <n v="49"/>
    <s v="Laboratory Technician"/>
    <n v="2"/>
    <n v="4"/>
    <n v="1"/>
    <n v="24"/>
    <s v="No"/>
    <n v="3"/>
    <s v="18-30"/>
    <x v="2"/>
    <n v="15"/>
    <x v="1"/>
  </r>
  <r>
    <n v="28"/>
    <x v="0"/>
    <x v="1"/>
    <n v="3"/>
    <n v="79"/>
    <s v="Laboratory Technician"/>
    <n v="4"/>
    <n v="1"/>
    <n v="0"/>
    <n v="12"/>
    <s v="Yes"/>
    <n v="2"/>
    <s v="18-30"/>
    <x v="4"/>
    <s v="NA"/>
    <x v="0"/>
  </r>
  <r>
    <n v="26"/>
    <x v="1"/>
    <x v="1"/>
    <n v="1"/>
    <n v="82"/>
    <s v="Laboratory Technician"/>
    <n v="4"/>
    <n v="8"/>
    <n v="0"/>
    <n v="3"/>
    <s v="No"/>
    <n v="3"/>
    <s v="18-30"/>
    <x v="4"/>
    <n v="15"/>
    <x v="1"/>
  </r>
  <r>
    <n v="30"/>
    <x v="1"/>
    <x v="0"/>
    <n v="3"/>
    <n v="72"/>
    <s v="Sales Executive"/>
    <n v="3"/>
    <n v="10"/>
    <n v="1"/>
    <n v="10"/>
    <s v="No"/>
    <n v="3"/>
    <s v="18-30"/>
    <x v="1"/>
    <n v="0"/>
    <x v="1"/>
  </r>
  <r>
    <n v="40"/>
    <x v="1"/>
    <x v="1"/>
    <n v="3"/>
    <n v="92"/>
    <s v="Research Scientist"/>
    <n v="4"/>
    <n v="1"/>
    <n v="0"/>
    <n v="26"/>
    <s v="Yes"/>
    <n v="1"/>
    <s v="31-40"/>
    <x v="0"/>
    <n v="70"/>
    <x v="4"/>
  </r>
  <r>
    <n v="35"/>
    <x v="1"/>
    <x v="1"/>
    <n v="3"/>
    <n v="44"/>
    <s v="Manufacturing Director"/>
    <n v="2"/>
    <n v="7"/>
    <n v="6"/>
    <n v="2"/>
    <s v="No"/>
    <n v="4"/>
    <s v="31-40"/>
    <x v="3"/>
    <n v="15"/>
    <x v="1"/>
  </r>
  <r>
    <n v="34"/>
    <x v="1"/>
    <x v="1"/>
    <n v="4"/>
    <n v="97"/>
    <s v="Healthcare Representative"/>
    <n v="1"/>
    <n v="13"/>
    <n v="4"/>
    <n v="1"/>
    <s v="No"/>
    <n v="3"/>
    <s v="31-40"/>
    <x v="0"/>
    <n v="15"/>
    <x v="1"/>
  </r>
  <r>
    <n v="35"/>
    <x v="1"/>
    <x v="1"/>
    <n v="4"/>
    <n v="47"/>
    <s v="Laboratory Technician"/>
    <n v="4"/>
    <n v="2"/>
    <n v="2"/>
    <n v="4"/>
    <s v="No"/>
    <n v="4"/>
    <s v="31-40"/>
    <x v="2"/>
    <n v="0"/>
    <x v="1"/>
  </r>
  <r>
    <n v="43"/>
    <x v="0"/>
    <x v="0"/>
    <n v="1"/>
    <n v="85"/>
    <s v="Sales Executive"/>
    <n v="3"/>
    <n v="4"/>
    <n v="1"/>
    <n v="9"/>
    <s v="No"/>
    <n v="2"/>
    <s v="41-50"/>
    <x v="4"/>
    <s v="NA"/>
    <x v="0"/>
  </r>
  <r>
    <n v="32"/>
    <x v="1"/>
    <x v="0"/>
    <n v="3"/>
    <n v="76"/>
    <s v="Sales Representative"/>
    <n v="1"/>
    <n v="1"/>
    <n v="0"/>
    <n v="2"/>
    <s v="No"/>
    <n v="3"/>
    <s v="31-40"/>
    <x v="4"/>
    <n v="15"/>
    <x v="1"/>
  </r>
  <r>
    <n v="56"/>
    <x v="1"/>
    <x v="1"/>
    <n v="4"/>
    <n v="92"/>
    <s v="Manager"/>
    <n v="1"/>
    <n v="5"/>
    <n v="4"/>
    <n v="4"/>
    <s v="No"/>
    <n v="3"/>
    <s v="51+"/>
    <x v="0"/>
    <n v="15"/>
    <x v="1"/>
  </r>
  <r>
    <n v="29"/>
    <x v="1"/>
    <x v="1"/>
    <n v="2"/>
    <n v="54"/>
    <s v="Laboratory Technician"/>
    <n v="4"/>
    <n v="10"/>
    <n v="0"/>
    <n v="6"/>
    <s v="No"/>
    <n v="3"/>
    <s v="18-30"/>
    <x v="2"/>
    <n v="15"/>
    <x v="1"/>
  </r>
  <r>
    <n v="19"/>
    <x v="1"/>
    <x v="1"/>
    <n v="3"/>
    <n v="54"/>
    <s v="Research Scientist"/>
    <n v="1"/>
    <n v="1"/>
    <n v="0"/>
    <n v="9"/>
    <s v="No"/>
    <n v="3"/>
    <s v="18-30"/>
    <x v="2"/>
    <n v="15"/>
    <x v="1"/>
  </r>
  <r>
    <n v="45"/>
    <x v="1"/>
    <x v="1"/>
    <n v="1"/>
    <n v="83"/>
    <s v="Research Scientist"/>
    <n v="3"/>
    <n v="3"/>
    <n v="0"/>
    <n v="7"/>
    <s v="Yes"/>
    <n v="2"/>
    <s v="41-50"/>
    <x v="4"/>
    <n v="50"/>
    <x v="3"/>
  </r>
  <r>
    <n v="37"/>
    <x v="1"/>
    <x v="1"/>
    <n v="4"/>
    <n v="56"/>
    <s v="Manufacturing Director"/>
    <n v="4"/>
    <n v="14"/>
    <n v="3"/>
    <n v="1"/>
    <s v="No"/>
    <n v="2"/>
    <s v="31-40"/>
    <x v="2"/>
    <n v="0"/>
    <x v="1"/>
  </r>
  <r>
    <n v="20"/>
    <x v="1"/>
    <x v="1"/>
    <n v="1"/>
    <n v="87"/>
    <s v="Laboratory Technician"/>
    <n v="3"/>
    <n v="2"/>
    <n v="1"/>
    <n v="3"/>
    <s v="No"/>
    <n v="2"/>
    <s v="18-30"/>
    <x v="4"/>
    <n v="15"/>
    <x v="1"/>
  </r>
  <r>
    <n v="44"/>
    <x v="0"/>
    <x v="1"/>
    <n v="3"/>
    <n v="96"/>
    <s v="Research Scientist"/>
    <n v="3"/>
    <n v="6"/>
    <n v="0"/>
    <n v="10"/>
    <s v="Yes"/>
    <n v="3"/>
    <s v="41-50"/>
    <x v="0"/>
    <s v="NA"/>
    <x v="0"/>
  </r>
  <r>
    <n v="53"/>
    <x v="1"/>
    <x v="1"/>
    <n v="4"/>
    <n v="50"/>
    <s v="Manager"/>
    <n v="3"/>
    <n v="7"/>
    <n v="4"/>
    <n v="7"/>
    <s v="No"/>
    <n v="3"/>
    <s v="51+"/>
    <x v="2"/>
    <n v="0"/>
    <x v="1"/>
  </r>
  <r>
    <n v="29"/>
    <x v="1"/>
    <x v="1"/>
    <n v="2"/>
    <n v="69"/>
    <s v="Research Scientist"/>
    <n v="4"/>
    <n v="5"/>
    <n v="1"/>
    <n v="15"/>
    <s v="Yes"/>
    <n v="2"/>
    <s v="18-30"/>
    <x v="1"/>
    <n v="50"/>
    <x v="3"/>
  </r>
  <r>
    <n v="22"/>
    <x v="0"/>
    <x v="1"/>
    <n v="3"/>
    <n v="48"/>
    <s v="Research Scientist"/>
    <n v="4"/>
    <n v="0"/>
    <n v="0"/>
    <n v="3"/>
    <s v="Yes"/>
    <n v="3"/>
    <s v="18-30"/>
    <x v="2"/>
    <s v="NA"/>
    <x v="0"/>
  </r>
  <r>
    <n v="46"/>
    <x v="1"/>
    <x v="0"/>
    <n v="3"/>
    <n v="69"/>
    <s v="Manager"/>
    <n v="1"/>
    <n v="26"/>
    <n v="15"/>
    <n v="2"/>
    <s v="No"/>
    <n v="3"/>
    <s v="41-50"/>
    <x v="1"/>
    <n v="15"/>
    <x v="1"/>
  </r>
  <r>
    <n v="44"/>
    <x v="1"/>
    <x v="1"/>
    <n v="4"/>
    <n v="74"/>
    <s v="Research Scientist"/>
    <n v="3"/>
    <n v="0"/>
    <n v="0"/>
    <n v="17"/>
    <s v="No"/>
    <n v="3"/>
    <s v="41-50"/>
    <x v="1"/>
    <n v="0"/>
    <x v="1"/>
  </r>
  <r>
    <n v="33"/>
    <x v="1"/>
    <x v="2"/>
    <n v="2"/>
    <n v="99"/>
    <s v="Human Resources"/>
    <n v="3"/>
    <n v="5"/>
    <n v="1"/>
    <n v="2"/>
    <s v="No"/>
    <n v="3"/>
    <s v="31-40"/>
    <x v="0"/>
    <n v="15"/>
    <x v="1"/>
  </r>
  <r>
    <n v="41"/>
    <x v="0"/>
    <x v="1"/>
    <n v="1"/>
    <n v="95"/>
    <s v="Research Scientist"/>
    <n v="1"/>
    <n v="1"/>
    <n v="0"/>
    <n v="5"/>
    <s v="No"/>
    <n v="1"/>
    <s v="41-50"/>
    <x v="0"/>
    <s v="NA"/>
    <x v="0"/>
  </r>
  <r>
    <n v="30"/>
    <x v="1"/>
    <x v="0"/>
    <n v="3"/>
    <n v="61"/>
    <s v="Sales Executive"/>
    <n v="1"/>
    <n v="4"/>
    <n v="0"/>
    <n v="29"/>
    <s v="No"/>
    <n v="3"/>
    <s v="18-30"/>
    <x v="1"/>
    <n v="15"/>
    <x v="1"/>
  </r>
  <r>
    <n v="40"/>
    <x v="1"/>
    <x v="0"/>
    <n v="2"/>
    <n v="62"/>
    <s v="Sales Executive"/>
    <n v="2"/>
    <n v="0"/>
    <n v="0"/>
    <n v="2"/>
    <s v="No"/>
    <n v="3"/>
    <s v="31-40"/>
    <x v="1"/>
    <n v="30"/>
    <x v="2"/>
  </r>
  <r>
    <n v="50"/>
    <x v="1"/>
    <x v="1"/>
    <n v="4"/>
    <n v="30"/>
    <s v="Manager"/>
    <n v="1"/>
    <n v="2"/>
    <n v="2"/>
    <n v="2"/>
    <s v="No"/>
    <n v="3"/>
    <s v="41-50"/>
    <x v="3"/>
    <n v="15"/>
    <x v="1"/>
  </r>
  <r>
    <n v="28"/>
    <x v="1"/>
    <x v="1"/>
    <n v="4"/>
    <n v="78"/>
    <s v="Laboratory Technician"/>
    <n v="1"/>
    <n v="6"/>
    <n v="3"/>
    <n v="19"/>
    <s v="No"/>
    <n v="3"/>
    <s v="18-30"/>
    <x v="4"/>
    <n v="15"/>
    <x v="1"/>
  </r>
  <r>
    <n v="46"/>
    <x v="1"/>
    <x v="1"/>
    <n v="4"/>
    <n v="52"/>
    <s v="Research Director"/>
    <n v="2"/>
    <n v="4"/>
    <n v="0"/>
    <n v="15"/>
    <s v="No"/>
    <n v="3"/>
    <s v="41-50"/>
    <x v="2"/>
    <n v="15"/>
    <x v="1"/>
  </r>
  <r>
    <n v="35"/>
    <x v="1"/>
    <x v="0"/>
    <n v="3"/>
    <n v="94"/>
    <s v="Sales Executive"/>
    <n v="1"/>
    <n v="7"/>
    <n v="1"/>
    <n v="17"/>
    <s v="Yes"/>
    <n v="3"/>
    <s v="31-40"/>
    <x v="0"/>
    <n v="50"/>
    <x v="3"/>
  </r>
  <r>
    <n v="24"/>
    <x v="0"/>
    <x v="1"/>
    <n v="4"/>
    <n v="97"/>
    <s v="Laboratory Technician"/>
    <n v="2"/>
    <n v="1"/>
    <n v="0"/>
    <n v="17"/>
    <s v="No"/>
    <n v="1"/>
    <s v="18-30"/>
    <x v="0"/>
    <s v="NA"/>
    <x v="0"/>
  </r>
  <r>
    <n v="33"/>
    <x v="1"/>
    <x v="0"/>
    <n v="2"/>
    <n v="82"/>
    <s v="Sales Executive"/>
    <n v="3"/>
    <n v="10"/>
    <n v="0"/>
    <n v="25"/>
    <s v="No"/>
    <n v="2"/>
    <s v="31-40"/>
    <x v="4"/>
    <n v="15"/>
    <x v="1"/>
  </r>
  <r>
    <n v="36"/>
    <x v="1"/>
    <x v="1"/>
    <n v="3"/>
    <n v="60"/>
    <s v="Laboratory Technician"/>
    <n v="3"/>
    <n v="7"/>
    <n v="1"/>
    <n v="6"/>
    <s v="No"/>
    <n v="3"/>
    <s v="31-40"/>
    <x v="2"/>
    <n v="0"/>
    <x v="1"/>
  </r>
  <r>
    <n v="30"/>
    <x v="1"/>
    <x v="1"/>
    <n v="3"/>
    <n v="49"/>
    <s v="Laboratory Technician"/>
    <n v="3"/>
    <n v="10"/>
    <n v="8"/>
    <n v="7"/>
    <s v="No"/>
    <n v="2"/>
    <s v="18-30"/>
    <x v="2"/>
    <n v="0"/>
    <x v="1"/>
  </r>
  <r>
    <n v="44"/>
    <x v="1"/>
    <x v="1"/>
    <n v="4"/>
    <n v="32"/>
    <s v="Research Scientist"/>
    <n v="4"/>
    <n v="20"/>
    <n v="13"/>
    <n v="29"/>
    <s v="No"/>
    <n v="3"/>
    <s v="41-50"/>
    <x v="3"/>
    <n v="0"/>
    <x v="1"/>
  </r>
  <r>
    <n v="20"/>
    <x v="1"/>
    <x v="0"/>
    <n v="3"/>
    <n v="43"/>
    <s v="Sales Representative"/>
    <n v="4"/>
    <n v="2"/>
    <n v="2"/>
    <n v="21"/>
    <s v="No"/>
    <n v="3"/>
    <s v="18-30"/>
    <x v="3"/>
    <n v="0"/>
    <x v="1"/>
  </r>
  <r>
    <n v="46"/>
    <x v="1"/>
    <x v="1"/>
    <n v="4"/>
    <n v="60"/>
    <s v="Manufacturing Director"/>
    <n v="4"/>
    <n v="6"/>
    <n v="1"/>
    <n v="2"/>
    <s v="No"/>
    <n v="2"/>
    <s v="41-50"/>
    <x v="2"/>
    <n v="0"/>
    <x v="1"/>
  </r>
  <r>
    <n v="42"/>
    <x v="1"/>
    <x v="2"/>
    <n v="4"/>
    <n v="79"/>
    <s v="Human Resources"/>
    <n v="1"/>
    <n v="4"/>
    <n v="0"/>
    <n v="2"/>
    <s v="No"/>
    <n v="4"/>
    <s v="41-50"/>
    <x v="4"/>
    <n v="15"/>
    <x v="1"/>
  </r>
  <r>
    <n v="60"/>
    <x v="1"/>
    <x v="0"/>
    <n v="2"/>
    <n v="52"/>
    <s v="Sales Executive"/>
    <n v="4"/>
    <n v="11"/>
    <n v="1"/>
    <n v="7"/>
    <s v="Yes"/>
    <n v="3"/>
    <s v="51+"/>
    <x v="2"/>
    <n v="50"/>
    <x v="3"/>
  </r>
  <r>
    <n v="32"/>
    <x v="1"/>
    <x v="1"/>
    <n v="3"/>
    <n v="77"/>
    <s v="Laboratory Technician"/>
    <n v="2"/>
    <n v="2"/>
    <n v="2"/>
    <n v="13"/>
    <s v="No"/>
    <n v="3"/>
    <s v="31-40"/>
    <x v="4"/>
    <n v="15"/>
    <x v="1"/>
  </r>
  <r>
    <n v="32"/>
    <x v="1"/>
    <x v="1"/>
    <n v="4"/>
    <n v="38"/>
    <s v="Research Scientist"/>
    <n v="3"/>
    <n v="8"/>
    <n v="0"/>
    <n v="2"/>
    <s v="Yes"/>
    <n v="3"/>
    <s v="31-40"/>
    <x v="3"/>
    <n v="35"/>
    <x v="2"/>
  </r>
  <r>
    <n v="36"/>
    <x v="1"/>
    <x v="1"/>
    <n v="3"/>
    <n v="77"/>
    <s v="Manufacturing Director"/>
    <n v="1"/>
    <n v="7"/>
    <n v="7"/>
    <n v="1"/>
    <s v="Yes"/>
    <n v="3"/>
    <s v="31-40"/>
    <x v="4"/>
    <n v="50"/>
    <x v="3"/>
  </r>
  <r>
    <n v="33"/>
    <x v="1"/>
    <x v="1"/>
    <n v="1"/>
    <n v="60"/>
    <s v="Research Scientist"/>
    <n v="4"/>
    <n v="14"/>
    <n v="4"/>
    <n v="9"/>
    <s v="No"/>
    <n v="3"/>
    <s v="31-40"/>
    <x v="2"/>
    <n v="15"/>
    <x v="1"/>
  </r>
  <r>
    <n v="40"/>
    <x v="1"/>
    <x v="0"/>
    <n v="2"/>
    <n v="84"/>
    <s v="Sales Executive"/>
    <n v="2"/>
    <n v="5"/>
    <n v="1"/>
    <n v="10"/>
    <s v="No"/>
    <n v="4"/>
    <s v="31-40"/>
    <x v="4"/>
    <n v="30"/>
    <x v="2"/>
  </r>
  <r>
    <n v="25"/>
    <x v="1"/>
    <x v="0"/>
    <n v="3"/>
    <n v="57"/>
    <s v="Sales Executive"/>
    <n v="4"/>
    <n v="4"/>
    <n v="1"/>
    <n v="10"/>
    <s v="No"/>
    <n v="3"/>
    <s v="18-30"/>
    <x v="2"/>
    <n v="0"/>
    <x v="1"/>
  </r>
  <r>
    <n v="30"/>
    <x v="1"/>
    <x v="1"/>
    <n v="4"/>
    <n v="63"/>
    <s v="Research Scientist"/>
    <n v="2"/>
    <n v="11"/>
    <n v="5"/>
    <n v="1"/>
    <s v="Yes"/>
    <n v="3"/>
    <s v="18-30"/>
    <x v="1"/>
    <n v="50"/>
    <x v="3"/>
  </r>
  <r>
    <n v="42"/>
    <x v="1"/>
    <x v="1"/>
    <n v="1"/>
    <n v="60"/>
    <s v="Research Director"/>
    <n v="1"/>
    <n v="1"/>
    <n v="0"/>
    <n v="26"/>
    <s v="Yes"/>
    <n v="3"/>
    <s v="41-50"/>
    <x v="2"/>
    <n v="65"/>
    <x v="3"/>
  </r>
  <r>
    <n v="35"/>
    <x v="1"/>
    <x v="0"/>
    <n v="3"/>
    <n v="78"/>
    <s v="Sales Executive"/>
    <n v="4"/>
    <n v="13"/>
    <n v="4"/>
    <n v="8"/>
    <s v="Yes"/>
    <n v="2"/>
    <s v="31-40"/>
    <x v="4"/>
    <n v="35"/>
    <x v="2"/>
  </r>
  <r>
    <n v="27"/>
    <x v="1"/>
    <x v="1"/>
    <n v="1"/>
    <n v="42"/>
    <s v="Research Scientist"/>
    <n v="1"/>
    <n v="9"/>
    <n v="6"/>
    <n v="14"/>
    <s v="Yes"/>
    <n v="2"/>
    <s v="18-30"/>
    <x v="3"/>
    <n v="65"/>
    <x v="3"/>
  </r>
  <r>
    <n v="54"/>
    <x v="1"/>
    <x v="1"/>
    <n v="4"/>
    <n v="53"/>
    <s v="Manufacturing Director"/>
    <n v="3"/>
    <n v="5"/>
    <n v="1"/>
    <n v="1"/>
    <s v="No"/>
    <n v="1"/>
    <s v="51+"/>
    <x v="2"/>
    <n v="35"/>
    <x v="2"/>
  </r>
  <r>
    <n v="44"/>
    <x v="1"/>
    <x v="1"/>
    <n v="1"/>
    <n v="72"/>
    <s v="Research Scientist"/>
    <n v="4"/>
    <n v="10"/>
    <n v="7"/>
    <n v="2"/>
    <s v="No"/>
    <n v="3"/>
    <s v="41-50"/>
    <x v="1"/>
    <n v="15"/>
    <x v="1"/>
  </r>
  <r>
    <n v="19"/>
    <x v="0"/>
    <x v="1"/>
    <n v="1"/>
    <n v="96"/>
    <s v="Research Scientist"/>
    <n v="2"/>
    <n v="1"/>
    <n v="0"/>
    <n v="10"/>
    <s v="Yes"/>
    <n v="4"/>
    <s v="18-30"/>
    <x v="0"/>
    <s v="NA"/>
    <x v="0"/>
  </r>
  <r>
    <n v="29"/>
    <x v="1"/>
    <x v="1"/>
    <n v="1"/>
    <n v="97"/>
    <s v="Research Scientist"/>
    <n v="4"/>
    <n v="3"/>
    <n v="1"/>
    <n v="1"/>
    <s v="No"/>
    <n v="3"/>
    <s v="18-30"/>
    <x v="0"/>
    <n v="15"/>
    <x v="1"/>
  </r>
  <r>
    <n v="54"/>
    <x v="1"/>
    <x v="1"/>
    <n v="4"/>
    <n v="85"/>
    <s v="Research Director"/>
    <n v="4"/>
    <n v="10"/>
    <n v="0"/>
    <n v="3"/>
    <s v="No"/>
    <n v="3"/>
    <s v="51+"/>
    <x v="4"/>
    <n v="0"/>
    <x v="1"/>
  </r>
  <r>
    <n v="31"/>
    <x v="1"/>
    <x v="1"/>
    <n v="3"/>
    <n v="80"/>
    <s v="Healthcare Representative"/>
    <n v="1"/>
    <n v="6"/>
    <n v="0"/>
    <n v="11"/>
    <s v="Yes"/>
    <n v="2"/>
    <s v="31-40"/>
    <x v="4"/>
    <n v="50"/>
    <x v="3"/>
  </r>
  <r>
    <n v="31"/>
    <x v="1"/>
    <x v="1"/>
    <n v="3"/>
    <n v="96"/>
    <s v="Healthcare Representative"/>
    <n v="1"/>
    <n v="10"/>
    <n v="1"/>
    <n v="24"/>
    <s v="No"/>
    <n v="3"/>
    <s v="31-40"/>
    <x v="0"/>
    <n v="15"/>
    <x v="1"/>
  </r>
  <r>
    <n v="59"/>
    <x v="1"/>
    <x v="0"/>
    <n v="3"/>
    <n v="48"/>
    <s v="Sales Executive"/>
    <n v="4"/>
    <n v="6"/>
    <n v="0"/>
    <n v="3"/>
    <s v="No"/>
    <n v="3"/>
    <s v="51+"/>
    <x v="2"/>
    <n v="0"/>
    <x v="1"/>
  </r>
  <r>
    <n v="43"/>
    <x v="1"/>
    <x v="1"/>
    <n v="3"/>
    <n v="96"/>
    <s v="Research Director"/>
    <n v="4"/>
    <n v="8"/>
    <n v="0"/>
    <n v="3"/>
    <s v="No"/>
    <n v="3"/>
    <s v="41-50"/>
    <x v="0"/>
    <n v="0"/>
    <x v="1"/>
  </r>
  <r>
    <n v="49"/>
    <x v="1"/>
    <x v="1"/>
    <n v="1"/>
    <n v="85"/>
    <s v="Manager"/>
    <n v="3"/>
    <n v="1"/>
    <n v="0"/>
    <n v="4"/>
    <s v="No"/>
    <n v="4"/>
    <s v="41-50"/>
    <x v="4"/>
    <n v="15"/>
    <x v="1"/>
  </r>
  <r>
    <n v="36"/>
    <x v="1"/>
    <x v="1"/>
    <n v="3"/>
    <n v="46"/>
    <s v="Research Scientist"/>
    <n v="2"/>
    <n v="11"/>
    <n v="0"/>
    <n v="3"/>
    <s v="No"/>
    <n v="2"/>
    <s v="31-40"/>
    <x v="2"/>
    <n v="15"/>
    <x v="1"/>
  </r>
  <r>
    <n v="48"/>
    <x v="1"/>
    <x v="1"/>
    <n v="4"/>
    <n v="76"/>
    <s v="Laboratory Technician"/>
    <n v="2"/>
    <n v="1"/>
    <n v="0"/>
    <n v="2"/>
    <s v="No"/>
    <n v="2"/>
    <s v="41-50"/>
    <x v="4"/>
    <n v="15"/>
    <x v="1"/>
  </r>
  <r>
    <n v="27"/>
    <x v="1"/>
    <x v="1"/>
    <n v="1"/>
    <n v="76"/>
    <s v="Research Scientist"/>
    <n v="3"/>
    <n v="5"/>
    <n v="0"/>
    <n v="4"/>
    <s v="No"/>
    <n v="3"/>
    <s v="18-30"/>
    <x v="4"/>
    <n v="15"/>
    <x v="1"/>
  </r>
  <r>
    <n v="29"/>
    <x v="1"/>
    <x v="1"/>
    <n v="3"/>
    <n v="82"/>
    <s v="Healthcare Representative"/>
    <n v="4"/>
    <n v="6"/>
    <n v="1"/>
    <n v="7"/>
    <s v="Yes"/>
    <n v="3"/>
    <s v="18-30"/>
    <x v="4"/>
    <n v="35"/>
    <x v="2"/>
  </r>
  <r>
    <n v="48"/>
    <x v="1"/>
    <x v="1"/>
    <n v="4"/>
    <n v="76"/>
    <s v="Research Director"/>
    <n v="4"/>
    <n v="1"/>
    <n v="0"/>
    <n v="1"/>
    <s v="No"/>
    <n v="4"/>
    <s v="41-50"/>
    <x v="4"/>
    <n v="0"/>
    <x v="1"/>
  </r>
  <r>
    <n v="29"/>
    <x v="1"/>
    <x v="1"/>
    <n v="4"/>
    <n v="87"/>
    <s v="Research Director"/>
    <n v="4"/>
    <n v="7"/>
    <n v="1"/>
    <n v="1"/>
    <s v="No"/>
    <n v="2"/>
    <s v="18-30"/>
    <x v="4"/>
    <n v="0"/>
    <x v="1"/>
  </r>
  <r>
    <n v="34"/>
    <x v="1"/>
    <x v="1"/>
    <n v="3"/>
    <n v="89"/>
    <s v="Research Scientist"/>
    <n v="3"/>
    <n v="1"/>
    <n v="0"/>
    <n v="20"/>
    <s v="No"/>
    <n v="2"/>
    <s v="31-40"/>
    <x v="4"/>
    <n v="0"/>
    <x v="1"/>
  </r>
  <r>
    <n v="44"/>
    <x v="1"/>
    <x v="0"/>
    <n v="2"/>
    <n v="88"/>
    <s v="Manager"/>
    <n v="2"/>
    <n v="22"/>
    <n v="3"/>
    <n v="5"/>
    <s v="No"/>
    <n v="3"/>
    <s v="41-50"/>
    <x v="4"/>
    <n v="30"/>
    <x v="2"/>
  </r>
  <r>
    <n v="33"/>
    <x v="1"/>
    <x v="0"/>
    <n v="4"/>
    <n v="82"/>
    <s v="Sales Executive"/>
    <n v="3"/>
    <n v="9"/>
    <n v="0"/>
    <n v="10"/>
    <s v="Yes"/>
    <n v="3"/>
    <s v="31-40"/>
    <x v="4"/>
    <n v="35"/>
    <x v="2"/>
  </r>
  <r>
    <n v="19"/>
    <x v="1"/>
    <x v="1"/>
    <n v="2"/>
    <n v="57"/>
    <s v="Research Scientist"/>
    <n v="4"/>
    <n v="1"/>
    <n v="0"/>
    <n v="25"/>
    <s v="Yes"/>
    <n v="3"/>
    <s v="18-30"/>
    <x v="2"/>
    <n v="50"/>
    <x v="3"/>
  </r>
  <r>
    <n v="23"/>
    <x v="1"/>
    <x v="1"/>
    <n v="4"/>
    <n v="47"/>
    <s v="Research Scientist"/>
    <n v="3"/>
    <n v="1"/>
    <n v="0"/>
    <n v="1"/>
    <s v="No"/>
    <n v="3"/>
    <s v="18-30"/>
    <x v="2"/>
    <n v="0"/>
    <x v="1"/>
  </r>
  <r>
    <n v="25"/>
    <x v="0"/>
    <x v="0"/>
    <n v="3"/>
    <n v="73"/>
    <s v="Sales Representative"/>
    <n v="4"/>
    <n v="1"/>
    <n v="1"/>
    <n v="24"/>
    <s v="Yes"/>
    <n v="3"/>
    <s v="18-30"/>
    <x v="1"/>
    <s v="NA"/>
    <x v="0"/>
  </r>
  <r>
    <n v="26"/>
    <x v="1"/>
    <x v="1"/>
    <n v="3"/>
    <n v="53"/>
    <s v="Research Scientist"/>
    <n v="4"/>
    <n v="8"/>
    <n v="2"/>
    <n v="4"/>
    <s v="Yes"/>
    <n v="2"/>
    <s v="18-30"/>
    <x v="2"/>
    <n v="35"/>
    <x v="2"/>
  </r>
  <r>
    <n v="45"/>
    <x v="0"/>
    <x v="0"/>
    <n v="1"/>
    <n v="94"/>
    <s v="Manager"/>
    <n v="2"/>
    <n v="24"/>
    <n v="1"/>
    <n v="2"/>
    <s v="Yes"/>
    <n v="3"/>
    <s v="41-50"/>
    <x v="0"/>
    <s v="NA"/>
    <x v="0"/>
  </r>
  <r>
    <n v="55"/>
    <x v="1"/>
    <x v="1"/>
    <n v="4"/>
    <n v="37"/>
    <s v="Healthcare Representative"/>
    <n v="2"/>
    <n v="33"/>
    <n v="15"/>
    <n v="8"/>
    <s v="Yes"/>
    <n v="3"/>
    <s v="51+"/>
    <x v="3"/>
    <n v="50"/>
    <x v="3"/>
  </r>
  <r>
    <n v="21"/>
    <x v="0"/>
    <x v="1"/>
    <n v="1"/>
    <n v="45"/>
    <s v="Laboratory Technician"/>
    <n v="3"/>
    <n v="2"/>
    <n v="2"/>
    <n v="10"/>
    <s v="No"/>
    <n v="1"/>
    <s v="18-30"/>
    <x v="3"/>
    <s v="NA"/>
    <x v="0"/>
  </r>
  <r>
    <n v="46"/>
    <x v="1"/>
    <x v="0"/>
    <n v="4"/>
    <n v="33"/>
    <s v="Manager"/>
    <n v="2"/>
    <n v="11"/>
    <n v="0"/>
    <n v="4"/>
    <s v="No"/>
    <n v="3"/>
    <s v="41-50"/>
    <x v="3"/>
    <n v="15"/>
    <x v="1"/>
  </r>
  <r>
    <n v="34"/>
    <x v="1"/>
    <x v="0"/>
    <n v="3"/>
    <n v="86"/>
    <s v="Sales Executive"/>
    <n v="1"/>
    <n v="3"/>
    <n v="0"/>
    <n v="2"/>
    <s v="Yes"/>
    <n v="3"/>
    <s v="31-40"/>
    <x v="4"/>
    <n v="50"/>
    <x v="3"/>
  </r>
  <r>
    <n v="51"/>
    <x v="1"/>
    <x v="0"/>
    <n v="4"/>
    <n v="83"/>
    <s v="Manager"/>
    <n v="2"/>
    <n v="29"/>
    <n v="11"/>
    <n v="9"/>
    <s v="Yes"/>
    <n v="2"/>
    <s v="51+"/>
    <x v="4"/>
    <n v="50"/>
    <x v="3"/>
  </r>
  <r>
    <n v="59"/>
    <x v="1"/>
    <x v="1"/>
    <n v="4"/>
    <n v="67"/>
    <s v="Manufacturing Director"/>
    <n v="4"/>
    <n v="9"/>
    <n v="5"/>
    <n v="18"/>
    <s v="No"/>
    <n v="2"/>
    <s v="51+"/>
    <x v="1"/>
    <n v="0"/>
    <x v="1"/>
  </r>
  <r>
    <n v="34"/>
    <x v="1"/>
    <x v="1"/>
    <n v="3"/>
    <n v="46"/>
    <s v="Laboratory Technician"/>
    <n v="2"/>
    <n v="11"/>
    <n v="5"/>
    <n v="19"/>
    <s v="No"/>
    <n v="4"/>
    <s v="31-40"/>
    <x v="2"/>
    <n v="15"/>
    <x v="1"/>
  </r>
  <r>
    <n v="28"/>
    <x v="1"/>
    <x v="1"/>
    <n v="4"/>
    <n v="44"/>
    <s v="Laboratory Technician"/>
    <n v="3"/>
    <n v="4"/>
    <n v="0"/>
    <n v="1"/>
    <s v="Yes"/>
    <n v="2"/>
    <s v="18-30"/>
    <x v="3"/>
    <n v="35"/>
    <x v="2"/>
  </r>
  <r>
    <n v="44"/>
    <x v="1"/>
    <x v="1"/>
    <n v="3"/>
    <n v="92"/>
    <s v="Manager"/>
    <n v="1"/>
    <n v="25"/>
    <n v="14"/>
    <n v="4"/>
    <s v="No"/>
    <n v="2"/>
    <s v="41-50"/>
    <x v="0"/>
    <n v="15"/>
    <x v="1"/>
  </r>
  <r>
    <n v="34"/>
    <x v="1"/>
    <x v="2"/>
    <n v="3"/>
    <n v="56"/>
    <s v="Human Resources"/>
    <n v="2"/>
    <n v="10"/>
    <n v="1"/>
    <n v="11"/>
    <s v="No"/>
    <n v="4"/>
    <s v="31-40"/>
    <x v="2"/>
    <n v="15"/>
    <x v="1"/>
  </r>
  <r>
    <n v="35"/>
    <x v="1"/>
    <x v="1"/>
    <n v="3"/>
    <n v="66"/>
    <s v="Research Scientist"/>
    <n v="3"/>
    <n v="3"/>
    <n v="2"/>
    <n v="6"/>
    <s v="Yes"/>
    <n v="3"/>
    <s v="31-40"/>
    <x v="1"/>
    <n v="35"/>
    <x v="2"/>
  </r>
  <r>
    <n v="42"/>
    <x v="1"/>
    <x v="1"/>
    <n v="2"/>
    <n v="78"/>
    <s v="Research Scientist"/>
    <n v="2"/>
    <n v="1"/>
    <n v="0"/>
    <n v="7"/>
    <s v="Yes"/>
    <n v="3"/>
    <s v="41-50"/>
    <x v="4"/>
    <n v="65"/>
    <x v="3"/>
  </r>
  <r>
    <n v="43"/>
    <x v="1"/>
    <x v="0"/>
    <n v="4"/>
    <n v="56"/>
    <s v="Sales Executive"/>
    <n v="4"/>
    <n v="21"/>
    <n v="15"/>
    <n v="4"/>
    <s v="No"/>
    <n v="4"/>
    <s v="41-50"/>
    <x v="2"/>
    <n v="0"/>
    <x v="1"/>
  </r>
  <r>
    <n v="36"/>
    <x v="1"/>
    <x v="1"/>
    <n v="3"/>
    <n v="53"/>
    <s v="Manufacturing Director"/>
    <n v="2"/>
    <n v="16"/>
    <n v="5"/>
    <n v="2"/>
    <s v="Yes"/>
    <n v="3"/>
    <s v="31-40"/>
    <x v="2"/>
    <n v="50"/>
    <x v="3"/>
  </r>
  <r>
    <n v="44"/>
    <x v="0"/>
    <x v="1"/>
    <n v="1"/>
    <n v="73"/>
    <s v="Healthcare Representative"/>
    <n v="4"/>
    <n v="10"/>
    <n v="0"/>
    <n v="15"/>
    <s v="No"/>
    <n v="3"/>
    <s v="41-50"/>
    <x v="1"/>
    <s v="NA"/>
    <x v="0"/>
  </r>
  <r>
    <n v="28"/>
    <x v="1"/>
    <x v="1"/>
    <n v="4"/>
    <n v="52"/>
    <s v="Laboratory Technician"/>
    <n v="4"/>
    <n v="2"/>
    <n v="2"/>
    <n v="2"/>
    <s v="Yes"/>
    <n v="3"/>
    <s v="18-30"/>
    <x v="2"/>
    <n v="35"/>
    <x v="2"/>
  </r>
  <r>
    <n v="51"/>
    <x v="1"/>
    <x v="1"/>
    <n v="2"/>
    <n v="40"/>
    <s v="Laboratory Technician"/>
    <n v="3"/>
    <n v="7"/>
    <n v="7"/>
    <n v="6"/>
    <s v="No"/>
    <n v="2"/>
    <s v="51+"/>
    <x v="3"/>
    <n v="15"/>
    <x v="1"/>
  </r>
  <r>
    <n v="30"/>
    <x v="1"/>
    <x v="1"/>
    <n v="3"/>
    <n v="72"/>
    <s v="Manufacturing Director"/>
    <n v="3"/>
    <n v="8"/>
    <n v="1"/>
    <n v="9"/>
    <s v="Yes"/>
    <n v="3"/>
    <s v="18-30"/>
    <x v="1"/>
    <n v="35"/>
    <x v="2"/>
  </r>
  <r>
    <n v="29"/>
    <x v="0"/>
    <x v="1"/>
    <n v="2"/>
    <n v="39"/>
    <s v="Laboratory Technician"/>
    <n v="3"/>
    <n v="7"/>
    <n v="7"/>
    <n v="7"/>
    <s v="Yes"/>
    <n v="3"/>
    <s v="18-30"/>
    <x v="3"/>
    <s v="NA"/>
    <x v="0"/>
  </r>
  <r>
    <n v="28"/>
    <x v="1"/>
    <x v="1"/>
    <n v="4"/>
    <n v="84"/>
    <s v="Research Scientist"/>
    <n v="1"/>
    <n v="3"/>
    <n v="1"/>
    <n v="1"/>
    <s v="No"/>
    <n v="2"/>
    <s v="18-30"/>
    <x v="4"/>
    <n v="15"/>
    <x v="1"/>
  </r>
  <r>
    <n v="25"/>
    <x v="1"/>
    <x v="1"/>
    <n v="4"/>
    <n v="40"/>
    <s v="Research Scientist"/>
    <n v="2"/>
    <n v="2"/>
    <n v="2"/>
    <n v="1"/>
    <s v="No"/>
    <n v="2"/>
    <s v="18-30"/>
    <x v="3"/>
    <n v="15"/>
    <x v="1"/>
  </r>
  <r>
    <n v="32"/>
    <x v="1"/>
    <x v="0"/>
    <n v="3"/>
    <n v="56"/>
    <s v="Sales Executive"/>
    <n v="4"/>
    <n v="10"/>
    <n v="0"/>
    <n v="8"/>
    <s v="No"/>
    <n v="4"/>
    <s v="31-40"/>
    <x v="2"/>
    <n v="0"/>
    <x v="1"/>
  </r>
  <r>
    <n v="45"/>
    <x v="1"/>
    <x v="1"/>
    <n v="2"/>
    <n v="83"/>
    <s v="Manager"/>
    <n v="2"/>
    <n v="0"/>
    <n v="0"/>
    <n v="25"/>
    <s v="No"/>
    <n v="3"/>
    <s v="41-50"/>
    <x v="4"/>
    <n v="30"/>
    <x v="2"/>
  </r>
  <r>
    <n v="39"/>
    <x v="1"/>
    <x v="1"/>
    <n v="3"/>
    <n v="94"/>
    <s v="Manager"/>
    <n v="2"/>
    <n v="19"/>
    <n v="15"/>
    <n v="13"/>
    <s v="Yes"/>
    <n v="3"/>
    <s v="31-40"/>
    <x v="0"/>
    <n v="50"/>
    <x v="3"/>
  </r>
  <r>
    <n v="58"/>
    <x v="1"/>
    <x v="1"/>
    <n v="1"/>
    <n v="88"/>
    <s v="Research Scientist"/>
    <n v="3"/>
    <n v="2"/>
    <n v="2"/>
    <n v="23"/>
    <s v="No"/>
    <n v="3"/>
    <s v="51+"/>
    <x v="4"/>
    <n v="15"/>
    <x v="1"/>
  </r>
  <r>
    <n v="32"/>
    <x v="0"/>
    <x v="1"/>
    <n v="4"/>
    <n v="79"/>
    <s v="Laboratory Technician"/>
    <n v="3"/>
    <n v="10"/>
    <n v="1"/>
    <n v="7"/>
    <s v="No"/>
    <n v="3"/>
    <s v="31-40"/>
    <x v="4"/>
    <s v="NA"/>
    <x v="0"/>
  </r>
  <r>
    <n v="39"/>
    <x v="0"/>
    <x v="1"/>
    <n v="3"/>
    <n v="93"/>
    <s v="Research Scientist"/>
    <n v="1"/>
    <n v="5"/>
    <n v="0"/>
    <n v="23"/>
    <s v="No"/>
    <n v="3"/>
    <s v="31-40"/>
    <x v="0"/>
    <s v="NA"/>
    <x v="0"/>
  </r>
  <r>
    <n v="30"/>
    <x v="1"/>
    <x v="1"/>
    <n v="1"/>
    <n v="48"/>
    <s v="Laboratory Technician"/>
    <n v="4"/>
    <n v="9"/>
    <n v="6"/>
    <n v="6"/>
    <s v="No"/>
    <n v="3"/>
    <s v="18-30"/>
    <x v="2"/>
    <n v="15"/>
    <x v="1"/>
  </r>
  <r>
    <n v="36"/>
    <x v="1"/>
    <x v="1"/>
    <n v="4"/>
    <n v="63"/>
    <s v="Healthcare Representative"/>
    <n v="3"/>
    <n v="7"/>
    <n v="1"/>
    <n v="10"/>
    <s v="No"/>
    <n v="3"/>
    <s v="31-40"/>
    <x v="1"/>
    <n v="0"/>
    <x v="1"/>
  </r>
  <r>
    <n v="46"/>
    <x v="1"/>
    <x v="2"/>
    <n v="4"/>
    <n v="44"/>
    <s v="Human Resources"/>
    <n v="1"/>
    <n v="7"/>
    <n v="5"/>
    <n v="1"/>
    <s v="No"/>
    <n v="4"/>
    <s v="41-50"/>
    <x v="3"/>
    <n v="15"/>
    <x v="1"/>
  </r>
  <r>
    <n v="28"/>
    <x v="1"/>
    <x v="1"/>
    <n v="3"/>
    <n v="55"/>
    <s v="Laboratory Technician"/>
    <n v="4"/>
    <n v="9"/>
    <n v="7"/>
    <n v="1"/>
    <s v="No"/>
    <n v="3"/>
    <s v="18-30"/>
    <x v="2"/>
    <n v="0"/>
    <x v="1"/>
  </r>
  <r>
    <n v="50"/>
    <x v="1"/>
    <x v="1"/>
    <n v="4"/>
    <n v="43"/>
    <s v="Research Director"/>
    <n v="1"/>
    <n v="3"/>
    <n v="1"/>
    <n v="28"/>
    <s v="Yes"/>
    <n v="3"/>
    <s v="41-50"/>
    <x v="3"/>
    <n v="50"/>
    <x v="3"/>
  </r>
  <r>
    <n v="40"/>
    <x v="0"/>
    <x v="0"/>
    <n v="4"/>
    <n v="57"/>
    <s v="Sales Executive"/>
    <n v="2"/>
    <n v="5"/>
    <n v="1"/>
    <n v="25"/>
    <s v="Yes"/>
    <n v="3"/>
    <s v="31-40"/>
    <x v="2"/>
    <s v="NA"/>
    <x v="0"/>
  </r>
  <r>
    <n v="52"/>
    <x v="0"/>
    <x v="0"/>
    <n v="2"/>
    <n v="64"/>
    <s v="Sales Executive"/>
    <n v="2"/>
    <n v="8"/>
    <n v="7"/>
    <n v="5"/>
    <s v="Yes"/>
    <n v="2"/>
    <s v="51+"/>
    <x v="1"/>
    <s v="NA"/>
    <x v="0"/>
  </r>
  <r>
    <n v="30"/>
    <x v="1"/>
    <x v="1"/>
    <n v="2"/>
    <n v="95"/>
    <s v="Manager"/>
    <n v="1"/>
    <n v="9"/>
    <n v="0"/>
    <n v="17"/>
    <s v="Yes"/>
    <n v="3"/>
    <s v="18-30"/>
    <x v="0"/>
    <n v="65"/>
    <x v="3"/>
  </r>
  <r>
    <n v="39"/>
    <x v="1"/>
    <x v="1"/>
    <n v="1"/>
    <n v="32"/>
    <s v="Manufacturing Director"/>
    <n v="3"/>
    <n v="8"/>
    <n v="1"/>
    <n v="18"/>
    <s v="No"/>
    <n v="3"/>
    <s v="31-40"/>
    <x v="3"/>
    <n v="15"/>
    <x v="1"/>
  </r>
  <r>
    <n v="31"/>
    <x v="1"/>
    <x v="0"/>
    <n v="4"/>
    <n v="57"/>
    <s v="Sales Executive"/>
    <n v="3"/>
    <n v="10"/>
    <n v="9"/>
    <n v="2"/>
    <s v="Yes"/>
    <n v="2"/>
    <s v="31-40"/>
    <x v="2"/>
    <n v="35"/>
    <x v="2"/>
  </r>
  <r>
    <n v="41"/>
    <x v="1"/>
    <x v="0"/>
    <n v="3"/>
    <n v="40"/>
    <s v="Sales Executive"/>
    <n v="2"/>
    <n v="19"/>
    <n v="11"/>
    <n v="10"/>
    <s v="No"/>
    <n v="3"/>
    <s v="41-50"/>
    <x v="3"/>
    <n v="15"/>
    <x v="1"/>
  </r>
  <r>
    <n v="31"/>
    <x v="0"/>
    <x v="0"/>
    <n v="4"/>
    <n v="54"/>
    <s v="Sales Representative"/>
    <n v="2"/>
    <n v="3"/>
    <n v="2"/>
    <n v="1"/>
    <s v="Yes"/>
    <n v="4"/>
    <s v="31-40"/>
    <x v="2"/>
    <s v="NA"/>
    <x v="0"/>
  </r>
  <r>
    <n v="44"/>
    <x v="0"/>
    <x v="1"/>
    <n v="1"/>
    <n v="89"/>
    <s v="Laboratory Technician"/>
    <n v="1"/>
    <n v="3"/>
    <n v="1"/>
    <n v="3"/>
    <s v="No"/>
    <n v="4"/>
    <s v="41-50"/>
    <x v="4"/>
    <s v="NA"/>
    <x v="0"/>
  </r>
  <r>
    <n v="42"/>
    <x v="1"/>
    <x v="1"/>
    <n v="3"/>
    <n v="37"/>
    <s v="Manager"/>
    <n v="3"/>
    <n v="20"/>
    <n v="2"/>
    <n v="2"/>
    <s v="Yes"/>
    <n v="2"/>
    <s v="41-50"/>
    <x v="3"/>
    <n v="35"/>
    <x v="2"/>
  </r>
  <r>
    <n v="55"/>
    <x v="1"/>
    <x v="1"/>
    <n v="4"/>
    <n v="58"/>
    <s v="Manager"/>
    <n v="3"/>
    <n v="19"/>
    <n v="9"/>
    <n v="2"/>
    <s v="No"/>
    <n v="3"/>
    <s v="51+"/>
    <x v="2"/>
    <n v="0"/>
    <x v="1"/>
  </r>
  <r>
    <n v="56"/>
    <x v="1"/>
    <x v="2"/>
    <n v="4"/>
    <n v="99"/>
    <s v="Manager"/>
    <n v="2"/>
    <n v="7"/>
    <n v="7"/>
    <n v="8"/>
    <s v="No"/>
    <n v="3"/>
    <s v="51+"/>
    <x v="0"/>
    <n v="15"/>
    <x v="1"/>
  </r>
  <r>
    <n v="40"/>
    <x v="1"/>
    <x v="1"/>
    <n v="3"/>
    <n v="74"/>
    <s v="Research Scientist"/>
    <n v="3"/>
    <n v="4"/>
    <n v="0"/>
    <n v="16"/>
    <s v="No"/>
    <n v="3"/>
    <s v="31-40"/>
    <x v="1"/>
    <n v="0"/>
    <x v="1"/>
  </r>
  <r>
    <n v="34"/>
    <x v="1"/>
    <x v="1"/>
    <n v="4"/>
    <n v="86"/>
    <s v="Healthcare Representative"/>
    <n v="4"/>
    <n v="9"/>
    <n v="1"/>
    <n v="9"/>
    <s v="No"/>
    <n v="2"/>
    <s v="31-40"/>
    <x v="4"/>
    <n v="0"/>
    <x v="1"/>
  </r>
  <r>
    <n v="40"/>
    <x v="1"/>
    <x v="1"/>
    <n v="3"/>
    <n v="98"/>
    <s v="Research Scientist"/>
    <n v="4"/>
    <n v="9"/>
    <n v="8"/>
    <n v="2"/>
    <s v="No"/>
    <n v="3"/>
    <s v="31-40"/>
    <x v="0"/>
    <n v="0"/>
    <x v="1"/>
  </r>
  <r>
    <n v="41"/>
    <x v="1"/>
    <x v="0"/>
    <n v="3"/>
    <n v="66"/>
    <s v="Sales Executive"/>
    <n v="1"/>
    <n v="9"/>
    <n v="1"/>
    <n v="1"/>
    <s v="No"/>
    <n v="3"/>
    <s v="41-50"/>
    <x v="1"/>
    <n v="15"/>
    <x v="1"/>
  </r>
  <r>
    <n v="35"/>
    <x v="1"/>
    <x v="1"/>
    <n v="3"/>
    <n v="87"/>
    <s v="Research Scientist"/>
    <n v="3"/>
    <n v="9"/>
    <n v="1"/>
    <n v="4"/>
    <s v="Yes"/>
    <n v="3"/>
    <s v="31-40"/>
    <x v="4"/>
    <n v="35"/>
    <x v="2"/>
  </r>
  <r>
    <n v="51"/>
    <x v="1"/>
    <x v="2"/>
    <n v="3"/>
    <n v="84"/>
    <s v="Manager"/>
    <n v="2"/>
    <n v="33"/>
    <n v="0"/>
    <n v="5"/>
    <s v="Yes"/>
    <n v="3"/>
    <s v="51+"/>
    <x v="4"/>
    <n v="50"/>
    <x v="3"/>
  </r>
  <r>
    <n v="38"/>
    <x v="1"/>
    <x v="0"/>
    <n v="2"/>
    <n v="31"/>
    <s v="Sales Executive"/>
    <n v="1"/>
    <n v="7"/>
    <n v="1"/>
    <n v="2"/>
    <s v="No"/>
    <n v="3"/>
    <s v="31-40"/>
    <x v="3"/>
    <n v="30"/>
    <x v="2"/>
  </r>
  <r>
    <n v="34"/>
    <x v="1"/>
    <x v="0"/>
    <n v="3"/>
    <n v="66"/>
    <s v="Sales Executive"/>
    <n v="1"/>
    <n v="10"/>
    <n v="9"/>
    <n v="15"/>
    <s v="No"/>
    <n v="4"/>
    <s v="31-40"/>
    <x v="1"/>
    <n v="15"/>
    <x v="1"/>
  </r>
  <r>
    <n v="25"/>
    <x v="1"/>
    <x v="1"/>
    <n v="4"/>
    <n v="67"/>
    <s v="Laboratory Technician"/>
    <n v="4"/>
    <n v="3"/>
    <n v="1"/>
    <n v="19"/>
    <s v="No"/>
    <n v="2"/>
    <s v="18-30"/>
    <x v="1"/>
    <n v="0"/>
    <x v="1"/>
  </r>
  <r>
    <n v="58"/>
    <x v="0"/>
    <x v="1"/>
    <n v="3"/>
    <n v="53"/>
    <s v="Manufacturing Director"/>
    <n v="1"/>
    <n v="10"/>
    <n v="5"/>
    <n v="7"/>
    <s v="Yes"/>
    <n v="2"/>
    <s v="51+"/>
    <x v="2"/>
    <s v="NA"/>
    <x v="0"/>
  </r>
  <r>
    <n v="40"/>
    <x v="1"/>
    <x v="1"/>
    <n v="2"/>
    <n v="88"/>
    <s v="Laboratory Technician"/>
    <n v="2"/>
    <n v="4"/>
    <n v="0"/>
    <n v="1"/>
    <s v="No"/>
    <n v="3"/>
    <s v="31-40"/>
    <x v="4"/>
    <n v="30"/>
    <x v="2"/>
  </r>
  <r>
    <n v="36"/>
    <x v="1"/>
    <x v="0"/>
    <n v="1"/>
    <n v="83"/>
    <s v="Sales Executive"/>
    <n v="1"/>
    <n v="15"/>
    <n v="6"/>
    <n v="7"/>
    <s v="No"/>
    <n v="2"/>
    <s v="31-40"/>
    <x v="4"/>
    <n v="30"/>
    <x v="2"/>
  </r>
  <r>
    <n v="48"/>
    <x v="1"/>
    <x v="1"/>
    <n v="4"/>
    <n v="54"/>
    <s v="Manufacturing Director"/>
    <n v="4"/>
    <n v="10"/>
    <n v="0"/>
    <n v="4"/>
    <s v="No"/>
    <n v="3"/>
    <s v="41-50"/>
    <x v="2"/>
    <n v="0"/>
    <x v="1"/>
  </r>
  <r>
    <n v="27"/>
    <x v="1"/>
    <x v="0"/>
    <n v="3"/>
    <n v="98"/>
    <s v="Sales Representative"/>
    <n v="4"/>
    <n v="1"/>
    <n v="0"/>
    <n v="11"/>
    <s v="No"/>
    <n v="3"/>
    <s v="18-30"/>
    <x v="0"/>
    <n v="0"/>
    <x v="1"/>
  </r>
  <r>
    <n v="51"/>
    <x v="1"/>
    <x v="1"/>
    <n v="4"/>
    <n v="82"/>
    <s v="Manufacturing Director"/>
    <n v="2"/>
    <n v="5"/>
    <n v="0"/>
    <n v="11"/>
    <s v="No"/>
    <n v="2"/>
    <s v="51+"/>
    <x v="4"/>
    <n v="15"/>
    <x v="1"/>
  </r>
  <r>
    <n v="18"/>
    <x v="1"/>
    <x v="1"/>
    <n v="4"/>
    <n v="97"/>
    <s v="Laboratory Technician"/>
    <n v="4"/>
    <n v="0"/>
    <n v="0"/>
    <n v="1"/>
    <s v="No"/>
    <n v="4"/>
    <s v="18-30"/>
    <x v="0"/>
    <n v="0"/>
    <x v="1"/>
  </r>
  <r>
    <n v="35"/>
    <x v="1"/>
    <x v="1"/>
    <n v="4"/>
    <n v="60"/>
    <s v="Laboratory Technician"/>
    <n v="4"/>
    <n v="9"/>
    <n v="0"/>
    <n v="1"/>
    <s v="No"/>
    <n v="3"/>
    <s v="31-40"/>
    <x v="2"/>
    <n v="0"/>
    <x v="1"/>
  </r>
  <r>
    <n v="27"/>
    <x v="1"/>
    <x v="0"/>
    <n v="4"/>
    <n v="43"/>
    <s v="Sales Executive"/>
    <n v="4"/>
    <n v="6"/>
    <n v="0"/>
    <n v="2"/>
    <s v="No"/>
    <n v="3"/>
    <s v="18-30"/>
    <x v="3"/>
    <n v="0"/>
    <x v="1"/>
  </r>
  <r>
    <n v="55"/>
    <x v="0"/>
    <x v="0"/>
    <n v="1"/>
    <n v="85"/>
    <s v="Sales Executive"/>
    <n v="3"/>
    <n v="19"/>
    <n v="3"/>
    <n v="13"/>
    <s v="Yes"/>
    <n v="2"/>
    <s v="51+"/>
    <x v="4"/>
    <s v="NA"/>
    <x v="0"/>
  </r>
  <r>
    <n v="56"/>
    <x v="1"/>
    <x v="1"/>
    <n v="4"/>
    <n v="68"/>
    <s v="Manufacturing Director"/>
    <n v="2"/>
    <n v="19"/>
    <n v="15"/>
    <n v="23"/>
    <s v="Yes"/>
    <n v="3"/>
    <s v="51+"/>
    <x v="1"/>
    <n v="50"/>
    <x v="3"/>
  </r>
  <r>
    <n v="34"/>
    <x v="1"/>
    <x v="1"/>
    <n v="1"/>
    <n v="92"/>
    <s v="Research Scientist"/>
    <n v="3"/>
    <n v="5"/>
    <n v="0"/>
    <n v="26"/>
    <s v="No"/>
    <n v="3"/>
    <s v="31-40"/>
    <x v="0"/>
    <n v="15"/>
    <x v="1"/>
  </r>
  <r>
    <n v="40"/>
    <x v="1"/>
    <x v="1"/>
    <n v="2"/>
    <n v="89"/>
    <s v="Healthcare Representative"/>
    <n v="3"/>
    <n v="12"/>
    <n v="11"/>
    <n v="2"/>
    <s v="No"/>
    <n v="3"/>
    <s v="31-40"/>
    <x v="4"/>
    <n v="15"/>
    <x v="1"/>
  </r>
  <r>
    <n v="34"/>
    <x v="1"/>
    <x v="1"/>
    <n v="2"/>
    <n v="86"/>
    <s v="Laboratory Technician"/>
    <n v="3"/>
    <n v="8"/>
    <n v="7"/>
    <n v="29"/>
    <s v="No"/>
    <n v="3"/>
    <s v="31-40"/>
    <x v="4"/>
    <n v="15"/>
    <x v="1"/>
  </r>
  <r>
    <n v="31"/>
    <x v="0"/>
    <x v="0"/>
    <n v="3"/>
    <n v="90"/>
    <s v="Sales Representative"/>
    <n v="4"/>
    <n v="1"/>
    <n v="0"/>
    <n v="2"/>
    <s v="No"/>
    <n v="4"/>
    <s v="31-40"/>
    <x v="4"/>
    <s v="NA"/>
    <x v="0"/>
  </r>
  <r>
    <n v="35"/>
    <x v="0"/>
    <x v="0"/>
    <n v="4"/>
    <n v="67"/>
    <s v="Sales Executive"/>
    <n v="3"/>
    <n v="4"/>
    <n v="3"/>
    <n v="18"/>
    <s v="Yes"/>
    <n v="2"/>
    <s v="31-40"/>
    <x v="1"/>
    <s v="NA"/>
    <x v="0"/>
  </r>
  <r>
    <n v="38"/>
    <x v="1"/>
    <x v="1"/>
    <n v="4"/>
    <n v="57"/>
    <s v="Research Scientist"/>
    <n v="3"/>
    <n v="4"/>
    <n v="0"/>
    <n v="7"/>
    <s v="No"/>
    <n v="3"/>
    <s v="31-40"/>
    <x v="2"/>
    <n v="0"/>
    <x v="1"/>
  </r>
  <r>
    <n v="34"/>
    <x v="1"/>
    <x v="1"/>
    <n v="3"/>
    <n v="98"/>
    <s v="Healthcare Representative"/>
    <n v="4"/>
    <n v="14"/>
    <n v="4"/>
    <n v="2"/>
    <s v="No"/>
    <n v="4"/>
    <s v="31-40"/>
    <x v="0"/>
    <n v="0"/>
    <x v="1"/>
  </r>
  <r>
    <n v="28"/>
    <x v="1"/>
    <x v="0"/>
    <n v="3"/>
    <n v="48"/>
    <s v="Sales Executive"/>
    <n v="1"/>
    <n v="5"/>
    <n v="0"/>
    <n v="26"/>
    <s v="No"/>
    <n v="3"/>
    <s v="18-30"/>
    <x v="2"/>
    <n v="15"/>
    <x v="1"/>
  </r>
  <r>
    <n v="31"/>
    <x v="0"/>
    <x v="1"/>
    <n v="4"/>
    <n v="98"/>
    <s v="Manufacturing Director"/>
    <n v="3"/>
    <n v="10"/>
    <n v="6"/>
    <n v="22"/>
    <s v="Yes"/>
    <n v="2"/>
    <s v="31-40"/>
    <x v="0"/>
    <s v="NA"/>
    <x v="0"/>
  </r>
  <r>
    <n v="39"/>
    <x v="1"/>
    <x v="0"/>
    <n v="1"/>
    <n v="44"/>
    <s v="Sales Executive"/>
    <n v="4"/>
    <n v="5"/>
    <n v="1"/>
    <n v="21"/>
    <s v="Yes"/>
    <n v="4"/>
    <s v="31-40"/>
    <x v="3"/>
    <n v="50"/>
    <x v="3"/>
  </r>
  <r>
    <n v="51"/>
    <x v="1"/>
    <x v="0"/>
    <n v="2"/>
    <n v="52"/>
    <s v="Sales Executive"/>
    <n v="2"/>
    <n v="4"/>
    <n v="3"/>
    <n v="2"/>
    <s v="No"/>
    <n v="3"/>
    <s v="51+"/>
    <x v="2"/>
    <n v="30"/>
    <x v="2"/>
  </r>
  <r>
    <n v="41"/>
    <x v="1"/>
    <x v="1"/>
    <n v="4"/>
    <n v="75"/>
    <s v="Research Scientist"/>
    <n v="4"/>
    <n v="6"/>
    <n v="3"/>
    <n v="22"/>
    <s v="Yes"/>
    <n v="2"/>
    <s v="41-50"/>
    <x v="1"/>
    <n v="35"/>
    <x v="2"/>
  </r>
  <r>
    <n v="37"/>
    <x v="1"/>
    <x v="1"/>
    <n v="3"/>
    <n v="54"/>
    <s v="Research Scientist"/>
    <n v="3"/>
    <n v="6"/>
    <n v="1"/>
    <n v="4"/>
    <s v="Yes"/>
    <n v="3"/>
    <s v="31-40"/>
    <x v="2"/>
    <n v="35"/>
    <x v="2"/>
  </r>
  <r>
    <n v="33"/>
    <x v="1"/>
    <x v="0"/>
    <n v="2"/>
    <n v="61"/>
    <s v="Sales Executive"/>
    <n v="4"/>
    <n v="5"/>
    <n v="1"/>
    <n v="5"/>
    <s v="No"/>
    <n v="4"/>
    <s v="31-40"/>
    <x v="1"/>
    <n v="15"/>
    <x v="1"/>
  </r>
  <r>
    <n v="32"/>
    <x v="1"/>
    <x v="0"/>
    <n v="3"/>
    <n v="36"/>
    <s v="Sales Executive"/>
    <n v="2"/>
    <n v="3"/>
    <n v="1"/>
    <n v="2"/>
    <s v="Yes"/>
    <n v="2"/>
    <s v="31-40"/>
    <x v="3"/>
    <n v="50"/>
    <x v="3"/>
  </r>
  <r>
    <n v="39"/>
    <x v="1"/>
    <x v="1"/>
    <n v="3"/>
    <n v="71"/>
    <s v="Healthcare Representative"/>
    <n v="3"/>
    <n v="6"/>
    <n v="0"/>
    <n v="25"/>
    <s v="No"/>
    <n v="3"/>
    <s v="31-40"/>
    <x v="1"/>
    <n v="0"/>
    <x v="1"/>
  </r>
  <r>
    <n v="25"/>
    <x v="1"/>
    <x v="0"/>
    <n v="1"/>
    <n v="93"/>
    <s v="Sales Executive"/>
    <n v="3"/>
    <n v="3"/>
    <n v="1"/>
    <n v="18"/>
    <s v="No"/>
    <n v="2"/>
    <s v="18-30"/>
    <x v="0"/>
    <n v="15"/>
    <x v="1"/>
  </r>
  <r>
    <n v="52"/>
    <x v="1"/>
    <x v="1"/>
    <n v="4"/>
    <n v="59"/>
    <s v="Manufacturing Director"/>
    <n v="3"/>
    <n v="5"/>
    <n v="0"/>
    <n v="28"/>
    <s v="Yes"/>
    <n v="2"/>
    <s v="51+"/>
    <x v="2"/>
    <n v="35"/>
    <x v="2"/>
  </r>
  <r>
    <n v="43"/>
    <x v="1"/>
    <x v="1"/>
    <n v="1"/>
    <n v="73"/>
    <s v="Research Scientist"/>
    <n v="3"/>
    <n v="20"/>
    <n v="1"/>
    <n v="6"/>
    <s v="Yes"/>
    <n v="1"/>
    <s v="41-50"/>
    <x v="1"/>
    <n v="85"/>
    <x v="4"/>
  </r>
  <r>
    <n v="27"/>
    <x v="1"/>
    <x v="0"/>
    <n v="4"/>
    <n v="98"/>
    <s v="Sales Executive"/>
    <n v="4"/>
    <n v="6"/>
    <n v="4"/>
    <n v="10"/>
    <s v="Yes"/>
    <n v="3"/>
    <s v="18-30"/>
    <x v="0"/>
    <n v="35"/>
    <x v="2"/>
  </r>
  <r>
    <n v="27"/>
    <x v="0"/>
    <x v="1"/>
    <n v="4"/>
    <n v="51"/>
    <s v="Research Scientist"/>
    <n v="3"/>
    <n v="8"/>
    <n v="7"/>
    <n v="17"/>
    <s v="Yes"/>
    <n v="3"/>
    <s v="18-30"/>
    <x v="2"/>
    <s v="NA"/>
    <x v="0"/>
  </r>
  <r>
    <n v="26"/>
    <x v="1"/>
    <x v="1"/>
    <n v="1"/>
    <n v="36"/>
    <s v="Research Scientist"/>
    <n v="4"/>
    <n v="4"/>
    <n v="1"/>
    <n v="2"/>
    <s v="No"/>
    <n v="3"/>
    <s v="18-30"/>
    <x v="3"/>
    <n v="15"/>
    <x v="1"/>
  </r>
  <r>
    <n v="42"/>
    <x v="1"/>
    <x v="2"/>
    <n v="3"/>
    <n v="31"/>
    <s v="Manager"/>
    <n v="1"/>
    <n v="20"/>
    <n v="0"/>
    <n v="10"/>
    <s v="No"/>
    <n v="3"/>
    <s v="41-50"/>
    <x v="3"/>
    <n v="15"/>
    <x v="1"/>
  </r>
  <r>
    <n v="52"/>
    <x v="1"/>
    <x v="1"/>
    <n v="3"/>
    <n v="54"/>
    <s v="Laboratory Technician"/>
    <n v="1"/>
    <n v="5"/>
    <n v="0"/>
    <n v="8"/>
    <s v="No"/>
    <n v="1"/>
    <s v="51+"/>
    <x v="2"/>
    <n v="50"/>
    <x v="3"/>
  </r>
  <r>
    <n v="37"/>
    <x v="1"/>
    <x v="1"/>
    <n v="1"/>
    <n v="94"/>
    <s v="Laboratory Technician"/>
    <n v="3"/>
    <n v="3"/>
    <n v="0"/>
    <n v="11"/>
    <s v="No"/>
    <n v="3"/>
    <s v="31-40"/>
    <x v="0"/>
    <n v="15"/>
    <x v="1"/>
  </r>
  <r>
    <n v="35"/>
    <x v="1"/>
    <x v="1"/>
    <n v="3"/>
    <n v="60"/>
    <s v="Manufacturing Director"/>
    <n v="4"/>
    <n v="2"/>
    <n v="2"/>
    <n v="18"/>
    <s v="No"/>
    <n v="3"/>
    <s v="31-40"/>
    <x v="2"/>
    <n v="0"/>
    <x v="1"/>
  </r>
  <r>
    <n v="25"/>
    <x v="1"/>
    <x v="1"/>
    <n v="1"/>
    <n v="81"/>
    <s v="Laboratory Technician"/>
    <n v="4"/>
    <n v="3"/>
    <n v="0"/>
    <n v="1"/>
    <s v="No"/>
    <n v="2"/>
    <s v="18-30"/>
    <x v="4"/>
    <n v="15"/>
    <x v="1"/>
  </r>
  <r>
    <n v="26"/>
    <x v="1"/>
    <x v="1"/>
    <n v="3"/>
    <n v="100"/>
    <s v="Laboratory Technician"/>
    <n v="1"/>
    <n v="7"/>
    <n v="0"/>
    <n v="7"/>
    <s v="No"/>
    <n v="3"/>
    <s v="18-30"/>
    <x v="0"/>
    <n v="15"/>
    <x v="1"/>
  </r>
  <r>
    <n v="29"/>
    <x v="1"/>
    <x v="2"/>
    <n v="2"/>
    <n v="51"/>
    <s v="Human Resources"/>
    <n v="1"/>
    <n v="10"/>
    <n v="0"/>
    <n v="17"/>
    <s v="No"/>
    <n v="2"/>
    <s v="18-30"/>
    <x v="2"/>
    <n v="30"/>
    <x v="2"/>
  </r>
  <r>
    <n v="49"/>
    <x v="0"/>
    <x v="1"/>
    <n v="1"/>
    <n v="97"/>
    <s v="Laboratory Technician"/>
    <n v="1"/>
    <n v="4"/>
    <n v="1"/>
    <n v="28"/>
    <s v="No"/>
    <n v="3"/>
    <s v="41-50"/>
    <x v="0"/>
    <s v="NA"/>
    <x v="0"/>
  </r>
  <r>
    <n v="29"/>
    <x v="0"/>
    <x v="1"/>
    <n v="3"/>
    <n v="84"/>
    <s v="Healthcare Representative"/>
    <n v="4"/>
    <n v="8"/>
    <n v="7"/>
    <n v="14"/>
    <s v="Yes"/>
    <n v="3"/>
    <s v="18-30"/>
    <x v="4"/>
    <s v="NA"/>
    <x v="0"/>
  </r>
  <r>
    <n v="54"/>
    <x v="1"/>
    <x v="1"/>
    <n v="4"/>
    <n v="54"/>
    <s v="Research Director"/>
    <n v="4"/>
    <n v="20"/>
    <n v="12"/>
    <n v="1"/>
    <s v="No"/>
    <n v="2"/>
    <s v="51+"/>
    <x v="2"/>
    <n v="0"/>
    <x v="1"/>
  </r>
  <r>
    <n v="58"/>
    <x v="1"/>
    <x v="1"/>
    <n v="4"/>
    <n v="76"/>
    <s v="Research Director"/>
    <n v="1"/>
    <n v="9"/>
    <n v="1"/>
    <n v="1"/>
    <s v="Yes"/>
    <n v="3"/>
    <s v="51+"/>
    <x v="4"/>
    <n v="50"/>
    <x v="3"/>
  </r>
  <r>
    <n v="55"/>
    <x v="1"/>
    <x v="1"/>
    <n v="2"/>
    <n v="81"/>
    <s v="Research Director"/>
    <n v="4"/>
    <n v="7"/>
    <n v="0"/>
    <n v="1"/>
    <s v="No"/>
    <n v="4"/>
    <s v="51+"/>
    <x v="4"/>
    <n v="15"/>
    <x v="1"/>
  </r>
  <r>
    <n v="36"/>
    <x v="1"/>
    <x v="0"/>
    <n v="1"/>
    <n v="99"/>
    <s v="Sales Executive"/>
    <n v="2"/>
    <n v="5"/>
    <n v="0"/>
    <n v="3"/>
    <s v="Yes"/>
    <n v="3"/>
    <s v="31-40"/>
    <x v="0"/>
    <n v="65"/>
    <x v="3"/>
  </r>
  <r>
    <n v="31"/>
    <x v="0"/>
    <x v="0"/>
    <n v="2"/>
    <n v="50"/>
    <s v="Sales Representative"/>
    <n v="3"/>
    <n v="1"/>
    <n v="0"/>
    <n v="1"/>
    <s v="No"/>
    <n v="3"/>
    <s v="31-40"/>
    <x v="2"/>
    <s v="NA"/>
    <x v="0"/>
  </r>
  <r>
    <n v="30"/>
    <x v="1"/>
    <x v="0"/>
    <n v="4"/>
    <n v="73"/>
    <s v="Sales Executive"/>
    <n v="1"/>
    <n v="3"/>
    <n v="0"/>
    <n v="7"/>
    <s v="No"/>
    <n v="3"/>
    <s v="18-30"/>
    <x v="1"/>
    <n v="15"/>
    <x v="1"/>
  </r>
  <r>
    <n v="31"/>
    <x v="1"/>
    <x v="1"/>
    <n v="1"/>
    <n v="93"/>
    <s v="Research Director"/>
    <n v="2"/>
    <n v="3"/>
    <n v="1"/>
    <n v="8"/>
    <s v="No"/>
    <n v="4"/>
    <s v="31-40"/>
    <x v="0"/>
    <n v="30"/>
    <x v="2"/>
  </r>
  <r>
    <n v="34"/>
    <x v="1"/>
    <x v="1"/>
    <n v="4"/>
    <n v="91"/>
    <s v="Research Scientist"/>
    <n v="1"/>
    <n v="4"/>
    <n v="1"/>
    <n v="1"/>
    <s v="No"/>
    <n v="3"/>
    <s v="31-40"/>
    <x v="0"/>
    <n v="15"/>
    <x v="1"/>
  </r>
  <r>
    <n v="31"/>
    <x v="0"/>
    <x v="1"/>
    <n v="1"/>
    <n v="34"/>
    <s v="Research Scientist"/>
    <n v="2"/>
    <n v="1"/>
    <n v="0"/>
    <n v="8"/>
    <s v="No"/>
    <n v="4"/>
    <s v="31-40"/>
    <x v="3"/>
    <s v="NA"/>
    <x v="0"/>
  </r>
  <r>
    <n v="27"/>
    <x v="1"/>
    <x v="1"/>
    <n v="2"/>
    <n v="91"/>
    <s v="Laboratory Technician"/>
    <n v="1"/>
    <n v="5"/>
    <n v="1"/>
    <n v="11"/>
    <s v="No"/>
    <n v="4"/>
    <s v="18-30"/>
    <x v="0"/>
    <n v="30"/>
    <x v="2"/>
  </r>
  <r>
    <n v="36"/>
    <x v="1"/>
    <x v="1"/>
    <n v="1"/>
    <n v="37"/>
    <s v="Laboratory Technician"/>
    <n v="4"/>
    <n v="10"/>
    <n v="1"/>
    <n v="4"/>
    <s v="No"/>
    <n v="2"/>
    <s v="31-40"/>
    <x v="3"/>
    <n v="15"/>
    <x v="1"/>
  </r>
  <r>
    <n v="36"/>
    <x v="1"/>
    <x v="0"/>
    <n v="3"/>
    <n v="98"/>
    <s v="Sales Executive"/>
    <n v="1"/>
    <n v="3"/>
    <n v="0"/>
    <n v="16"/>
    <s v="No"/>
    <n v="2"/>
    <s v="31-40"/>
    <x v="0"/>
    <n v="15"/>
    <x v="1"/>
  </r>
  <r>
    <n v="47"/>
    <x v="1"/>
    <x v="1"/>
    <n v="1"/>
    <n v="74"/>
    <s v="Research Scientist"/>
    <n v="4"/>
    <n v="6"/>
    <n v="1"/>
    <n v="1"/>
    <s v="No"/>
    <n v="2"/>
    <s v="41-50"/>
    <x v="1"/>
    <n v="15"/>
    <x v="1"/>
  </r>
  <r>
    <n v="25"/>
    <x v="0"/>
    <x v="0"/>
    <n v="1"/>
    <n v="68"/>
    <s v="Sales Representative"/>
    <n v="1"/>
    <n v="3"/>
    <n v="2"/>
    <n v="9"/>
    <s v="No"/>
    <n v="3"/>
    <s v="18-30"/>
    <x v="1"/>
    <s v="NA"/>
    <x v="0"/>
  </r>
  <r>
    <n v="37"/>
    <x v="1"/>
    <x v="1"/>
    <n v="3"/>
    <n v="84"/>
    <s v="Laboratory Technician"/>
    <n v="3"/>
    <n v="6"/>
    <n v="1"/>
    <n v="5"/>
    <s v="No"/>
    <n v="1"/>
    <s v="31-40"/>
    <x v="4"/>
    <n v="35"/>
    <x v="2"/>
  </r>
  <r>
    <n v="56"/>
    <x v="1"/>
    <x v="1"/>
    <n v="1"/>
    <n v="90"/>
    <s v="Research Scientist"/>
    <n v="1"/>
    <n v="3"/>
    <n v="1"/>
    <n v="1"/>
    <s v="No"/>
    <n v="4"/>
    <s v="51+"/>
    <x v="4"/>
    <n v="30"/>
    <x v="2"/>
  </r>
  <r>
    <n v="47"/>
    <x v="1"/>
    <x v="1"/>
    <n v="1"/>
    <n v="82"/>
    <s v="Research Director"/>
    <n v="3"/>
    <n v="20"/>
    <n v="5"/>
    <n v="2"/>
    <s v="No"/>
    <n v="4"/>
    <s v="41-50"/>
    <x v="4"/>
    <n v="15"/>
    <x v="1"/>
  </r>
  <r>
    <n v="24"/>
    <x v="1"/>
    <x v="0"/>
    <n v="4"/>
    <n v="42"/>
    <s v="Sales Executive"/>
    <n v="3"/>
    <n v="5"/>
    <n v="0"/>
    <n v="4"/>
    <s v="Yes"/>
    <n v="3"/>
    <s v="18-30"/>
    <x v="3"/>
    <n v="35"/>
    <x v="2"/>
  </r>
  <r>
    <n v="32"/>
    <x v="1"/>
    <x v="0"/>
    <n v="4"/>
    <n v="97"/>
    <s v="Sales Executive"/>
    <n v="4"/>
    <n v="4"/>
    <n v="0"/>
    <n v="7"/>
    <s v="No"/>
    <n v="2"/>
    <s v="31-40"/>
    <x v="0"/>
    <n v="0"/>
    <x v="1"/>
  </r>
  <r>
    <n v="34"/>
    <x v="1"/>
    <x v="1"/>
    <n v="4"/>
    <n v="86"/>
    <s v="Laboratory Technician"/>
    <n v="2"/>
    <n v="5"/>
    <n v="0"/>
    <n v="1"/>
    <s v="No"/>
    <n v="2"/>
    <s v="31-40"/>
    <x v="4"/>
    <n v="15"/>
    <x v="1"/>
  </r>
  <r>
    <n v="41"/>
    <x v="1"/>
    <x v="1"/>
    <n v="2"/>
    <n v="90"/>
    <s v="Research Scientist"/>
    <n v="3"/>
    <n v="4"/>
    <n v="0"/>
    <n v="5"/>
    <s v="Yes"/>
    <n v="2"/>
    <s v="41-50"/>
    <x v="4"/>
    <n v="50"/>
    <x v="3"/>
  </r>
  <r>
    <n v="40"/>
    <x v="1"/>
    <x v="1"/>
    <n v="3"/>
    <n v="81"/>
    <s v="Laboratory Technician"/>
    <n v="3"/>
    <n v="8"/>
    <n v="0"/>
    <n v="9"/>
    <s v="No"/>
    <n v="4"/>
    <s v="31-40"/>
    <x v="4"/>
    <n v="0"/>
    <x v="1"/>
  </r>
  <r>
    <n v="31"/>
    <x v="1"/>
    <x v="0"/>
    <n v="1"/>
    <n v="31"/>
    <s v="Sales Executive"/>
    <n v="4"/>
    <n v="13"/>
    <n v="9"/>
    <n v="8"/>
    <s v="No"/>
    <n v="3"/>
    <s v="31-40"/>
    <x v="3"/>
    <n v="15"/>
    <x v="1"/>
  </r>
  <r>
    <n v="46"/>
    <x v="0"/>
    <x v="0"/>
    <n v="1"/>
    <n v="52"/>
    <s v="Sales Executive"/>
    <n v="4"/>
    <n v="7"/>
    <n v="4"/>
    <n v="9"/>
    <s v="No"/>
    <n v="4"/>
    <s v="41-50"/>
    <x v="2"/>
    <s v="NA"/>
    <x v="0"/>
  </r>
  <r>
    <n v="39"/>
    <x v="0"/>
    <x v="1"/>
    <n v="1"/>
    <n v="54"/>
    <s v="Laboratory Technician"/>
    <n v="1"/>
    <n v="1"/>
    <n v="0"/>
    <n v="2"/>
    <s v="Yes"/>
    <n v="4"/>
    <s v="31-40"/>
    <x v="2"/>
    <s v="NA"/>
    <x v="0"/>
  </r>
  <r>
    <n v="31"/>
    <x v="0"/>
    <x v="1"/>
    <n v="3"/>
    <n v="100"/>
    <s v="Manufacturing Director"/>
    <n v="2"/>
    <n v="10"/>
    <n v="4"/>
    <n v="1"/>
    <s v="No"/>
    <n v="3"/>
    <s v="31-40"/>
    <x v="0"/>
    <s v="NA"/>
    <x v="0"/>
  </r>
  <r>
    <n v="45"/>
    <x v="1"/>
    <x v="1"/>
    <n v="2"/>
    <n v="95"/>
    <s v="Healthcare Representative"/>
    <n v="1"/>
    <n v="7"/>
    <n v="0"/>
    <n v="20"/>
    <s v="Yes"/>
    <n v="3"/>
    <s v="41-50"/>
    <x v="0"/>
    <n v="65"/>
    <x v="3"/>
  </r>
  <r>
    <n v="31"/>
    <x v="1"/>
    <x v="2"/>
    <n v="4"/>
    <n v="96"/>
    <s v="Human Resources"/>
    <n v="2"/>
    <n v="3"/>
    <n v="0"/>
    <n v="8"/>
    <s v="No"/>
    <n v="3"/>
    <s v="31-40"/>
    <x v="0"/>
    <n v="15"/>
    <x v="1"/>
  </r>
  <r>
    <n v="31"/>
    <x v="0"/>
    <x v="1"/>
    <n v="2"/>
    <n v="94"/>
    <s v="Laboratory Technician"/>
    <n v="4"/>
    <n v="2"/>
    <n v="2"/>
    <n v="2"/>
    <s v="Yes"/>
    <n v="1"/>
    <s v="31-40"/>
    <x v="0"/>
    <s v="NA"/>
    <x v="0"/>
  </r>
  <r>
    <n v="45"/>
    <x v="1"/>
    <x v="1"/>
    <n v="2"/>
    <n v="55"/>
    <s v="Manufacturing Director"/>
    <n v="4"/>
    <n v="3"/>
    <n v="1"/>
    <n v="29"/>
    <s v="Yes"/>
    <n v="4"/>
    <s v="41-50"/>
    <x v="2"/>
    <n v="50"/>
    <x v="3"/>
  </r>
  <r>
    <n v="48"/>
    <x v="1"/>
    <x v="0"/>
    <n v="3"/>
    <n v="96"/>
    <s v="Sales Executive"/>
    <n v="1"/>
    <n v="2"/>
    <n v="2"/>
    <n v="7"/>
    <s v="No"/>
    <n v="3"/>
    <s v="41-50"/>
    <x v="0"/>
    <n v="15"/>
    <x v="1"/>
  </r>
  <r>
    <n v="34"/>
    <x v="0"/>
    <x v="2"/>
    <n v="1"/>
    <n v="52"/>
    <s v="Human Resources"/>
    <n v="3"/>
    <n v="2"/>
    <n v="2"/>
    <n v="9"/>
    <s v="No"/>
    <n v="3"/>
    <s v="31-40"/>
    <x v="2"/>
    <s v="NA"/>
    <x v="0"/>
  </r>
  <r>
    <n v="40"/>
    <x v="1"/>
    <x v="1"/>
    <n v="4"/>
    <n v="55"/>
    <s v="Research Director"/>
    <n v="2"/>
    <n v="9"/>
    <n v="4"/>
    <n v="8"/>
    <s v="No"/>
    <n v="3"/>
    <s v="31-40"/>
    <x v="2"/>
    <n v="15"/>
    <x v="1"/>
  </r>
  <r>
    <n v="28"/>
    <x v="1"/>
    <x v="0"/>
    <n v="4"/>
    <n v="84"/>
    <s v="Sales Executive"/>
    <n v="1"/>
    <n v="5"/>
    <n v="1"/>
    <n v="5"/>
    <s v="No"/>
    <n v="3"/>
    <s v="18-30"/>
    <x v="4"/>
    <n v="15"/>
    <x v="1"/>
  </r>
  <r>
    <n v="44"/>
    <x v="1"/>
    <x v="1"/>
    <n v="3"/>
    <n v="90"/>
    <s v="Laboratory Technician"/>
    <n v="3"/>
    <n v="5"/>
    <n v="0"/>
    <n v="5"/>
    <s v="No"/>
    <n v="3"/>
    <s v="41-50"/>
    <x v="4"/>
    <n v="0"/>
    <x v="1"/>
  </r>
  <r>
    <n v="53"/>
    <x v="1"/>
    <x v="1"/>
    <n v="4"/>
    <n v="39"/>
    <s v="Research Director"/>
    <n v="2"/>
    <n v="9"/>
    <n v="8"/>
    <n v="2"/>
    <s v="No"/>
    <n v="2"/>
    <s v="51+"/>
    <x v="3"/>
    <n v="15"/>
    <x v="1"/>
  </r>
  <r>
    <n v="49"/>
    <x v="1"/>
    <x v="1"/>
    <n v="1"/>
    <n v="96"/>
    <s v="Healthcare Representative"/>
    <n v="3"/>
    <n v="3"/>
    <n v="1"/>
    <n v="5"/>
    <s v="No"/>
    <n v="2"/>
    <s v="41-50"/>
    <x v="0"/>
    <n v="15"/>
    <x v="1"/>
  </r>
  <r>
    <n v="40"/>
    <x v="1"/>
    <x v="1"/>
    <n v="3"/>
    <n v="68"/>
    <s v="Research Scientist"/>
    <n v="3"/>
    <n v="3"/>
    <n v="1"/>
    <n v="2"/>
    <s v="No"/>
    <n v="4"/>
    <s v="31-40"/>
    <x v="1"/>
    <n v="0"/>
    <x v="1"/>
  </r>
  <r>
    <n v="44"/>
    <x v="1"/>
    <x v="1"/>
    <n v="4"/>
    <n v="49"/>
    <s v="Research Scientist"/>
    <n v="2"/>
    <n v="5"/>
    <n v="1"/>
    <n v="20"/>
    <s v="No"/>
    <n v="2"/>
    <s v="41-50"/>
    <x v="2"/>
    <n v="15"/>
    <x v="1"/>
  </r>
  <r>
    <n v="33"/>
    <x v="1"/>
    <x v="0"/>
    <n v="4"/>
    <n v="54"/>
    <s v="Sales Executive"/>
    <n v="1"/>
    <n v="4"/>
    <n v="0"/>
    <n v="7"/>
    <s v="No"/>
    <n v="3"/>
    <s v="31-40"/>
    <x v="2"/>
    <n v="15"/>
    <x v="1"/>
  </r>
  <r>
    <n v="34"/>
    <x v="1"/>
    <x v="0"/>
    <n v="4"/>
    <n v="81"/>
    <s v="Sales Executive"/>
    <n v="1"/>
    <n v="13"/>
    <n v="3"/>
    <n v="3"/>
    <s v="No"/>
    <n v="3"/>
    <s v="31-40"/>
    <x v="4"/>
    <n v="15"/>
    <x v="1"/>
  </r>
  <r>
    <n v="30"/>
    <x v="1"/>
    <x v="0"/>
    <n v="4"/>
    <n v="96"/>
    <s v="Sales Executive"/>
    <n v="3"/>
    <n v="2"/>
    <n v="2"/>
    <n v="16"/>
    <s v="No"/>
    <n v="2"/>
    <s v="18-30"/>
    <x v="0"/>
    <n v="0"/>
    <x v="1"/>
  </r>
  <r>
    <n v="42"/>
    <x v="1"/>
    <x v="1"/>
    <n v="1"/>
    <n v="74"/>
    <s v="Laboratory Technician"/>
    <n v="4"/>
    <n v="12"/>
    <n v="5"/>
    <n v="9"/>
    <s v="No"/>
    <n v="3"/>
    <s v="41-50"/>
    <x v="1"/>
    <n v="15"/>
    <x v="1"/>
  </r>
  <r>
    <n v="44"/>
    <x v="1"/>
    <x v="0"/>
    <n v="1"/>
    <n v="79"/>
    <s v="Sales Executive"/>
    <n v="3"/>
    <n v="1"/>
    <n v="0"/>
    <n v="1"/>
    <s v="No"/>
    <n v="2"/>
    <s v="41-50"/>
    <x v="4"/>
    <n v="15"/>
    <x v="1"/>
  </r>
  <r>
    <n v="30"/>
    <x v="1"/>
    <x v="1"/>
    <n v="3"/>
    <n v="64"/>
    <s v="Research Scientist"/>
    <n v="3"/>
    <n v="1"/>
    <n v="0"/>
    <n v="7"/>
    <s v="No"/>
    <n v="2"/>
    <s v="18-30"/>
    <x v="1"/>
    <n v="0"/>
    <x v="1"/>
  </r>
  <r>
    <n v="57"/>
    <x v="1"/>
    <x v="1"/>
    <n v="2"/>
    <n v="93"/>
    <s v="Research Scientist"/>
    <n v="3"/>
    <n v="12"/>
    <n v="2"/>
    <n v="1"/>
    <s v="No"/>
    <n v="2"/>
    <s v="51+"/>
    <x v="0"/>
    <n v="15"/>
    <x v="1"/>
  </r>
  <r>
    <n v="49"/>
    <x v="1"/>
    <x v="1"/>
    <n v="3"/>
    <n v="35"/>
    <s v="Healthcare Representative"/>
    <n v="2"/>
    <n v="8"/>
    <n v="0"/>
    <n v="7"/>
    <s v="No"/>
    <n v="3"/>
    <s v="41-50"/>
    <x v="3"/>
    <n v="15"/>
    <x v="1"/>
  </r>
  <r>
    <n v="34"/>
    <x v="1"/>
    <x v="1"/>
    <n v="2"/>
    <n v="71"/>
    <s v="Research Director"/>
    <n v="1"/>
    <n v="14"/>
    <n v="6"/>
    <n v="15"/>
    <s v="No"/>
    <n v="2"/>
    <s v="31-40"/>
    <x v="1"/>
    <n v="30"/>
    <x v="2"/>
  </r>
  <r>
    <n v="28"/>
    <x v="0"/>
    <x v="0"/>
    <n v="1"/>
    <n v="92"/>
    <s v="Sales Representative"/>
    <n v="3"/>
    <n v="3"/>
    <n v="1"/>
    <n v="1"/>
    <s v="No"/>
    <n v="4"/>
    <s v="18-30"/>
    <x v="0"/>
    <s v="NA"/>
    <x v="0"/>
  </r>
  <r>
    <n v="29"/>
    <x v="0"/>
    <x v="0"/>
    <n v="1"/>
    <n v="51"/>
    <s v="Sales Executive"/>
    <n v="2"/>
    <n v="5"/>
    <n v="0"/>
    <n v="13"/>
    <s v="No"/>
    <n v="1"/>
    <s v="18-30"/>
    <x v="2"/>
    <s v="NA"/>
    <x v="0"/>
  </r>
  <r>
    <n v="34"/>
    <x v="0"/>
    <x v="0"/>
    <n v="1"/>
    <n v="40"/>
    <s v="Sales Executive"/>
    <n v="2"/>
    <n v="15"/>
    <n v="10"/>
    <n v="24"/>
    <s v="Yes"/>
    <n v="4"/>
    <s v="31-40"/>
    <x v="3"/>
    <s v="NA"/>
    <x v="0"/>
  </r>
  <r>
    <n v="35"/>
    <x v="1"/>
    <x v="0"/>
    <n v="4"/>
    <n v="76"/>
    <s v="Sales Representative"/>
    <n v="3"/>
    <n v="1"/>
    <n v="0"/>
    <n v="7"/>
    <s v="No"/>
    <n v="3"/>
    <s v="31-40"/>
    <x v="4"/>
    <n v="0"/>
    <x v="1"/>
  </r>
  <r>
    <n v="24"/>
    <x v="0"/>
    <x v="1"/>
    <n v="2"/>
    <n v="89"/>
    <s v="Laboratory Technician"/>
    <n v="1"/>
    <n v="0"/>
    <n v="0"/>
    <n v="9"/>
    <s v="Yes"/>
    <n v="2"/>
    <s v="18-30"/>
    <x v="4"/>
    <s v="NA"/>
    <x v="0"/>
  </r>
  <r>
    <n v="24"/>
    <x v="1"/>
    <x v="0"/>
    <n v="4"/>
    <n v="78"/>
    <s v="Sales Representative"/>
    <n v="2"/>
    <n v="1"/>
    <n v="0"/>
    <n v="13"/>
    <s v="No"/>
    <n v="3"/>
    <s v="18-30"/>
    <x v="4"/>
    <n v="15"/>
    <x v="1"/>
  </r>
  <r>
    <n v="44"/>
    <x v="1"/>
    <x v="1"/>
    <n v="2"/>
    <n v="86"/>
    <s v="Manufacturing Director"/>
    <n v="3"/>
    <n v="2"/>
    <n v="2"/>
    <n v="2"/>
    <s v="Yes"/>
    <n v="2"/>
    <s v="41-50"/>
    <x v="4"/>
    <n v="50"/>
    <x v="3"/>
  </r>
  <r>
    <n v="29"/>
    <x v="1"/>
    <x v="0"/>
    <n v="3"/>
    <n v="77"/>
    <s v="Sales Executive"/>
    <n v="3"/>
    <n v="10"/>
    <n v="0"/>
    <n v="19"/>
    <s v="No"/>
    <n v="3"/>
    <s v="18-30"/>
    <x v="4"/>
    <n v="0"/>
    <x v="1"/>
  </r>
  <r>
    <n v="30"/>
    <x v="1"/>
    <x v="2"/>
    <n v="3"/>
    <n v="46"/>
    <s v="Human Resources"/>
    <n v="3"/>
    <n v="5"/>
    <n v="1"/>
    <n v="1"/>
    <s v="No"/>
    <n v="4"/>
    <s v="18-30"/>
    <x v="2"/>
    <n v="0"/>
    <x v="1"/>
  </r>
  <r>
    <n v="55"/>
    <x v="1"/>
    <x v="1"/>
    <n v="4"/>
    <n v="30"/>
    <s v="Healthcare Representative"/>
    <n v="3"/>
    <n v="3"/>
    <n v="1"/>
    <n v="4"/>
    <s v="Yes"/>
    <n v="3"/>
    <s v="51+"/>
    <x v="3"/>
    <n v="35"/>
    <x v="2"/>
  </r>
  <r>
    <n v="33"/>
    <x v="1"/>
    <x v="1"/>
    <n v="1"/>
    <n v="82"/>
    <s v="Laboratory Technician"/>
    <n v="2"/>
    <n v="5"/>
    <n v="0"/>
    <n v="4"/>
    <s v="No"/>
    <n v="3"/>
    <s v="31-40"/>
    <x v="4"/>
    <n v="30"/>
    <x v="2"/>
  </r>
  <r>
    <n v="47"/>
    <x v="1"/>
    <x v="0"/>
    <n v="3"/>
    <n v="78"/>
    <s v="Sales Executive"/>
    <n v="3"/>
    <n v="5"/>
    <n v="1"/>
    <n v="14"/>
    <s v="Yes"/>
    <n v="2"/>
    <s v="41-50"/>
    <x v="4"/>
    <n v="35"/>
    <x v="2"/>
  </r>
  <r>
    <n v="28"/>
    <x v="0"/>
    <x v="1"/>
    <n v="3"/>
    <n v="38"/>
    <s v="Laboratory Technician"/>
    <n v="1"/>
    <n v="0"/>
    <n v="0"/>
    <n v="2"/>
    <s v="No"/>
    <n v="2"/>
    <s v="18-30"/>
    <x v="3"/>
    <s v="NA"/>
    <x v="0"/>
  </r>
  <r>
    <n v="28"/>
    <x v="1"/>
    <x v="1"/>
    <n v="1"/>
    <n v="72"/>
    <s v="Research Scientist"/>
    <n v="3"/>
    <n v="1"/>
    <n v="0"/>
    <n v="1"/>
    <s v="No"/>
    <n v="1"/>
    <s v="18-30"/>
    <x v="1"/>
    <n v="50"/>
    <x v="3"/>
  </r>
  <r>
    <n v="28"/>
    <x v="1"/>
    <x v="0"/>
    <n v="3"/>
    <n v="55"/>
    <s v="Sales Executive"/>
    <n v="1"/>
    <n v="4"/>
    <n v="1"/>
    <n v="7"/>
    <s v="No"/>
    <n v="3"/>
    <s v="18-30"/>
    <x v="2"/>
    <n v="15"/>
    <x v="1"/>
  </r>
  <r>
    <n v="49"/>
    <x v="1"/>
    <x v="1"/>
    <n v="3"/>
    <n v="43"/>
    <s v="Laboratory Technician"/>
    <n v="1"/>
    <n v="3"/>
    <n v="1"/>
    <n v="3"/>
    <s v="No"/>
    <n v="3"/>
    <s v="41-50"/>
    <x v="3"/>
    <n v="15"/>
    <x v="1"/>
  </r>
  <r>
    <n v="29"/>
    <x v="1"/>
    <x v="1"/>
    <n v="4"/>
    <n v="97"/>
    <s v="Laboratory Technician"/>
    <n v="2"/>
    <n v="3"/>
    <n v="0"/>
    <n v="2"/>
    <s v="No"/>
    <n v="3"/>
    <s v="18-30"/>
    <x v="0"/>
    <n v="15"/>
    <x v="1"/>
  </r>
  <r>
    <n v="28"/>
    <x v="1"/>
    <x v="1"/>
    <n v="3"/>
    <n v="96"/>
    <s v="Manufacturing Director"/>
    <n v="2"/>
    <n v="8"/>
    <n v="1"/>
    <n v="29"/>
    <s v="No"/>
    <n v="2"/>
    <s v="18-30"/>
    <x v="0"/>
    <n v="15"/>
    <x v="1"/>
  </r>
  <r>
    <n v="33"/>
    <x v="1"/>
    <x v="1"/>
    <n v="4"/>
    <n v="69"/>
    <s v="Healthcare Representative"/>
    <n v="3"/>
    <n v="0"/>
    <n v="0"/>
    <n v="8"/>
    <s v="Yes"/>
    <n v="3"/>
    <s v="31-40"/>
    <x v="1"/>
    <n v="35"/>
    <x v="2"/>
  </r>
  <r>
    <n v="32"/>
    <x v="1"/>
    <x v="1"/>
    <n v="3"/>
    <n v="64"/>
    <s v="Manager"/>
    <n v="4"/>
    <n v="5"/>
    <n v="0"/>
    <n v="10"/>
    <s v="No"/>
    <n v="4"/>
    <s v="31-40"/>
    <x v="1"/>
    <n v="0"/>
    <x v="1"/>
  </r>
  <r>
    <n v="54"/>
    <x v="1"/>
    <x v="1"/>
    <n v="2"/>
    <n v="87"/>
    <s v="Manager"/>
    <n v="4"/>
    <n v="14"/>
    <n v="1"/>
    <n v="11"/>
    <s v="No"/>
    <n v="3"/>
    <s v="51+"/>
    <x v="4"/>
    <n v="15"/>
    <x v="1"/>
  </r>
  <r>
    <n v="29"/>
    <x v="0"/>
    <x v="1"/>
    <n v="1"/>
    <n v="100"/>
    <s v="Research Scientist"/>
    <n v="1"/>
    <n v="9"/>
    <n v="0"/>
    <n v="1"/>
    <s v="No"/>
    <n v="1"/>
    <s v="18-30"/>
    <x v="0"/>
    <s v="NA"/>
    <x v="0"/>
  </r>
  <r>
    <n v="44"/>
    <x v="1"/>
    <x v="1"/>
    <n v="4"/>
    <n v="32"/>
    <s v="Research Director"/>
    <n v="1"/>
    <n v="20"/>
    <n v="14"/>
    <n v="28"/>
    <s v="No"/>
    <n v="4"/>
    <s v="41-50"/>
    <x v="3"/>
    <n v="15"/>
    <x v="1"/>
  </r>
  <r>
    <n v="39"/>
    <x v="1"/>
    <x v="1"/>
    <n v="2"/>
    <n v="32"/>
    <s v="Manufacturing Director"/>
    <n v="2"/>
    <n v="2"/>
    <n v="2"/>
    <n v="6"/>
    <s v="No"/>
    <n v="3"/>
    <s v="31-40"/>
    <x v="3"/>
    <n v="30"/>
    <x v="2"/>
  </r>
  <r>
    <n v="46"/>
    <x v="1"/>
    <x v="0"/>
    <n v="3"/>
    <n v="51"/>
    <s v="Manager"/>
    <n v="2"/>
    <n v="13"/>
    <n v="5"/>
    <n v="3"/>
    <s v="No"/>
    <n v="4"/>
    <s v="41-50"/>
    <x v="2"/>
    <n v="15"/>
    <x v="1"/>
  </r>
  <r>
    <n v="35"/>
    <x v="1"/>
    <x v="1"/>
    <n v="4"/>
    <n v="91"/>
    <s v="Healthcare Representative"/>
    <n v="2"/>
    <n v="11"/>
    <n v="3"/>
    <n v="16"/>
    <s v="No"/>
    <n v="1"/>
    <s v="31-40"/>
    <x v="0"/>
    <n v="50"/>
    <x v="3"/>
  </r>
  <r>
    <n v="23"/>
    <x v="1"/>
    <x v="1"/>
    <n v="1"/>
    <n v="97"/>
    <s v="Laboratory Technician"/>
    <n v="3"/>
    <n v="4"/>
    <n v="1"/>
    <n v="20"/>
    <s v="No"/>
    <n v="3"/>
    <s v="18-30"/>
    <x v="0"/>
    <n v="15"/>
    <x v="1"/>
  </r>
  <r>
    <n v="40"/>
    <x v="0"/>
    <x v="1"/>
    <n v="4"/>
    <n v="86"/>
    <s v="Laboratory Technician"/>
    <n v="1"/>
    <n v="5"/>
    <n v="1"/>
    <n v="9"/>
    <s v="No"/>
    <n v="1"/>
    <s v="31-40"/>
    <x v="4"/>
    <s v="NA"/>
    <x v="0"/>
  </r>
  <r>
    <n v="34"/>
    <x v="1"/>
    <x v="0"/>
    <n v="4"/>
    <n v="64"/>
    <s v="Sales Executive"/>
    <n v="3"/>
    <n v="10"/>
    <n v="8"/>
    <n v="1"/>
    <s v="Yes"/>
    <n v="3"/>
    <s v="31-40"/>
    <x v="1"/>
    <n v="35"/>
    <x v="2"/>
  </r>
  <r>
    <n v="31"/>
    <x v="0"/>
    <x v="1"/>
    <n v="4"/>
    <n v="33"/>
    <s v="Research Scientist"/>
    <n v="3"/>
    <n v="7"/>
    <n v="7"/>
    <n v="3"/>
    <s v="No"/>
    <n v="1"/>
    <s v="31-40"/>
    <x v="3"/>
    <s v="NA"/>
    <x v="0"/>
  </r>
  <r>
    <n v="50"/>
    <x v="1"/>
    <x v="1"/>
    <n v="3"/>
    <n v="88"/>
    <s v="Research Director"/>
    <n v="4"/>
    <n v="32"/>
    <n v="13"/>
    <n v="22"/>
    <s v="Yes"/>
    <n v="3"/>
    <s v="41-50"/>
    <x v="4"/>
    <n v="35"/>
    <x v="2"/>
  </r>
  <r>
    <n v="34"/>
    <x v="1"/>
    <x v="0"/>
    <n v="2"/>
    <n v="55"/>
    <s v="Sales Representative"/>
    <n v="3"/>
    <n v="11"/>
    <n v="5"/>
    <n v="7"/>
    <s v="Yes"/>
    <n v="3"/>
    <s v="31-40"/>
    <x v="2"/>
    <n v="50"/>
    <x v="3"/>
  </r>
  <r>
    <n v="42"/>
    <x v="1"/>
    <x v="1"/>
    <n v="3"/>
    <n v="68"/>
    <s v="Laboratory Technician"/>
    <n v="2"/>
    <n v="1"/>
    <n v="0"/>
    <n v="2"/>
    <s v="No"/>
    <n v="3"/>
    <s v="41-50"/>
    <x v="1"/>
    <n v="15"/>
    <x v="1"/>
  </r>
  <r>
    <n v="37"/>
    <x v="1"/>
    <x v="1"/>
    <n v="1"/>
    <n v="47"/>
    <s v="Research Scientist"/>
    <n v="4"/>
    <n v="10"/>
    <n v="3"/>
    <n v="13"/>
    <s v="No"/>
    <n v="3"/>
    <s v="31-40"/>
    <x v="2"/>
    <n v="15"/>
    <x v="1"/>
  </r>
  <r>
    <n v="29"/>
    <x v="1"/>
    <x v="1"/>
    <n v="3"/>
    <n v="39"/>
    <s v="Healthcare Representative"/>
    <n v="1"/>
    <n v="7"/>
    <n v="0"/>
    <n v="8"/>
    <s v="No"/>
    <n v="3"/>
    <s v="18-30"/>
    <x v="3"/>
    <n v="15"/>
    <x v="1"/>
  </r>
  <r>
    <n v="33"/>
    <x v="1"/>
    <x v="1"/>
    <n v="4"/>
    <n v="44"/>
    <s v="Manufacturing Director"/>
    <n v="2"/>
    <n v="5"/>
    <n v="0"/>
    <n v="25"/>
    <s v="No"/>
    <n v="3"/>
    <s v="31-40"/>
    <x v="3"/>
    <n v="15"/>
    <x v="1"/>
  </r>
  <r>
    <n v="45"/>
    <x v="1"/>
    <x v="1"/>
    <n v="4"/>
    <n v="97"/>
    <s v="Research Scientist"/>
    <n v="4"/>
    <n v="5"/>
    <n v="0"/>
    <n v="28"/>
    <s v="No"/>
    <n v="3"/>
    <s v="41-50"/>
    <x v="0"/>
    <n v="0"/>
    <x v="1"/>
  </r>
  <r>
    <n v="42"/>
    <x v="1"/>
    <x v="1"/>
    <n v="4"/>
    <n v="40"/>
    <s v="Healthcare Representative"/>
    <n v="4"/>
    <n v="20"/>
    <n v="13"/>
    <n v="2"/>
    <s v="Yes"/>
    <n v="1"/>
    <s v="41-50"/>
    <x v="3"/>
    <n v="70"/>
    <x v="4"/>
  </r>
  <r>
    <n v="40"/>
    <x v="1"/>
    <x v="0"/>
    <n v="1"/>
    <n v="47"/>
    <s v="Sales Executive"/>
    <n v="1"/>
    <n v="8"/>
    <n v="7"/>
    <n v="9"/>
    <s v="No"/>
    <n v="4"/>
    <s v="31-40"/>
    <x v="2"/>
    <n v="30"/>
    <x v="2"/>
  </r>
  <r>
    <n v="33"/>
    <x v="1"/>
    <x v="1"/>
    <n v="2"/>
    <n v="79"/>
    <s v="Laboratory Technician"/>
    <n v="3"/>
    <n v="15"/>
    <n v="5"/>
    <n v="28"/>
    <s v="Yes"/>
    <n v="3"/>
    <s v="31-40"/>
    <x v="4"/>
    <n v="50"/>
    <x v="3"/>
  </r>
  <r>
    <n v="40"/>
    <x v="1"/>
    <x v="2"/>
    <n v="3"/>
    <n v="38"/>
    <s v="Manager"/>
    <n v="4"/>
    <n v="21"/>
    <n v="7"/>
    <n v="6"/>
    <s v="Yes"/>
    <n v="3"/>
    <s v="31-40"/>
    <x v="3"/>
    <n v="35"/>
    <x v="2"/>
  </r>
  <r>
    <n v="24"/>
    <x v="1"/>
    <x v="1"/>
    <n v="3"/>
    <n v="57"/>
    <s v="Laboratory Technician"/>
    <n v="1"/>
    <n v="1"/>
    <n v="0"/>
    <n v="21"/>
    <s v="No"/>
    <n v="3"/>
    <s v="18-30"/>
    <x v="2"/>
    <n v="15"/>
    <x v="1"/>
  </r>
  <r>
    <n v="40"/>
    <x v="1"/>
    <x v="1"/>
    <n v="4"/>
    <n v="72"/>
    <s v="Healthcare Representative"/>
    <n v="4"/>
    <n v="2"/>
    <n v="2"/>
    <n v="8"/>
    <s v="Yes"/>
    <n v="3"/>
    <s v="31-40"/>
    <x v="1"/>
    <n v="35"/>
    <x v="2"/>
  </r>
  <r>
    <n v="45"/>
    <x v="1"/>
    <x v="1"/>
    <n v="1"/>
    <n v="66"/>
    <s v="Healthcare Representative"/>
    <n v="2"/>
    <n v="10"/>
    <n v="7"/>
    <n v="1"/>
    <s v="No"/>
    <n v="3"/>
    <s v="41-50"/>
    <x v="1"/>
    <n v="30"/>
    <x v="2"/>
  </r>
  <r>
    <n v="35"/>
    <x v="1"/>
    <x v="0"/>
    <n v="2"/>
    <n v="98"/>
    <s v="Sales Representative"/>
    <n v="3"/>
    <n v="5"/>
    <n v="4"/>
    <n v="28"/>
    <s v="No"/>
    <n v="3"/>
    <s v="31-40"/>
    <x v="0"/>
    <n v="15"/>
    <x v="1"/>
  </r>
  <r>
    <n v="32"/>
    <x v="1"/>
    <x v="1"/>
    <n v="4"/>
    <n v="67"/>
    <s v="Research Scientist"/>
    <n v="2"/>
    <n v="7"/>
    <n v="2"/>
    <n v="5"/>
    <s v="No"/>
    <n v="3"/>
    <s v="31-40"/>
    <x v="1"/>
    <n v="15"/>
    <x v="1"/>
  </r>
  <r>
    <n v="36"/>
    <x v="1"/>
    <x v="0"/>
    <n v="3"/>
    <n v="70"/>
    <s v="Sales Representative"/>
    <n v="4"/>
    <n v="3"/>
    <n v="1"/>
    <n v="2"/>
    <s v="Yes"/>
    <n v="2"/>
    <s v="31-40"/>
    <x v="1"/>
    <n v="35"/>
    <x v="2"/>
  </r>
  <r>
    <n v="48"/>
    <x v="1"/>
    <x v="0"/>
    <n v="3"/>
    <n v="96"/>
    <s v="Sales Executive"/>
    <n v="3"/>
    <n v="8"/>
    <n v="7"/>
    <n v="16"/>
    <s v="No"/>
    <n v="3"/>
    <s v="41-50"/>
    <x v="0"/>
    <n v="0"/>
    <x v="1"/>
  </r>
  <r>
    <n v="29"/>
    <x v="1"/>
    <x v="1"/>
    <n v="3"/>
    <n v="91"/>
    <s v="Research Scientist"/>
    <n v="3"/>
    <n v="1"/>
    <n v="0"/>
    <n v="9"/>
    <s v="No"/>
    <n v="2"/>
    <s v="18-30"/>
    <x v="0"/>
    <n v="0"/>
    <x v="1"/>
  </r>
  <r>
    <n v="33"/>
    <x v="1"/>
    <x v="0"/>
    <n v="1"/>
    <n v="46"/>
    <s v="Sales Executive"/>
    <n v="1"/>
    <n v="2"/>
    <n v="2"/>
    <n v="8"/>
    <s v="No"/>
    <n v="1"/>
    <s v="31-40"/>
    <x v="2"/>
    <n v="65"/>
    <x v="3"/>
  </r>
  <r>
    <n v="30"/>
    <x v="0"/>
    <x v="0"/>
    <n v="2"/>
    <n v="64"/>
    <s v="Sales Executive"/>
    <n v="1"/>
    <n v="10"/>
    <n v="6"/>
    <n v="1"/>
    <s v="No"/>
    <n v="3"/>
    <s v="18-30"/>
    <x v="1"/>
    <s v="NA"/>
    <x v="0"/>
  </r>
  <r>
    <n v="38"/>
    <x v="1"/>
    <x v="2"/>
    <n v="3"/>
    <n v="71"/>
    <s v="Human Resources"/>
    <n v="3"/>
    <n v="6"/>
    <n v="1"/>
    <n v="10"/>
    <s v="No"/>
    <n v="3"/>
    <s v="31-40"/>
    <x v="1"/>
    <n v="0"/>
    <x v="1"/>
  </r>
  <r>
    <n v="35"/>
    <x v="1"/>
    <x v="1"/>
    <n v="4"/>
    <n v="68"/>
    <s v="Laboratory Technician"/>
    <n v="1"/>
    <n v="3"/>
    <n v="1"/>
    <n v="1"/>
    <s v="No"/>
    <n v="3"/>
    <s v="31-40"/>
    <x v="1"/>
    <n v="15"/>
    <x v="1"/>
  </r>
  <r>
    <n v="30"/>
    <x v="1"/>
    <x v="0"/>
    <n v="3"/>
    <n v="33"/>
    <s v="Sales Executive"/>
    <n v="2"/>
    <n v="4"/>
    <n v="1"/>
    <n v="29"/>
    <s v="No"/>
    <n v="3"/>
    <s v="18-30"/>
    <x v="3"/>
    <n v="15"/>
    <x v="1"/>
  </r>
  <r>
    <n v="35"/>
    <x v="0"/>
    <x v="1"/>
    <n v="1"/>
    <n v="69"/>
    <s v="Laboratory Technician"/>
    <n v="1"/>
    <n v="1"/>
    <n v="0"/>
    <n v="2"/>
    <s v="Yes"/>
    <n v="3"/>
    <s v="31-40"/>
    <x v="1"/>
    <s v="NA"/>
    <x v="0"/>
  </r>
  <r>
    <n v="53"/>
    <x v="0"/>
    <x v="1"/>
    <n v="3"/>
    <n v="78"/>
    <s v="Manufacturing Director"/>
    <n v="4"/>
    <n v="33"/>
    <n v="1"/>
    <n v="2"/>
    <s v="No"/>
    <n v="3"/>
    <s v="51+"/>
    <x v="4"/>
    <s v="NA"/>
    <x v="0"/>
  </r>
  <r>
    <n v="38"/>
    <x v="0"/>
    <x v="1"/>
    <n v="3"/>
    <n v="81"/>
    <s v="Manufacturing Director"/>
    <n v="2"/>
    <n v="5"/>
    <n v="1"/>
    <n v="2"/>
    <s v="No"/>
    <n v="3"/>
    <s v="31-40"/>
    <x v="4"/>
    <s v="NA"/>
    <x v="0"/>
  </r>
  <r>
    <n v="32"/>
    <x v="1"/>
    <x v="1"/>
    <n v="4"/>
    <n v="62"/>
    <s v="Research Scientist"/>
    <n v="1"/>
    <n v="6"/>
    <n v="1"/>
    <n v="1"/>
    <s v="No"/>
    <n v="2"/>
    <s v="31-40"/>
    <x v="1"/>
    <n v="15"/>
    <x v="1"/>
  </r>
  <r>
    <n v="48"/>
    <x v="1"/>
    <x v="1"/>
    <n v="3"/>
    <n v="65"/>
    <s v="Research Scientist"/>
    <n v="1"/>
    <n v="8"/>
    <n v="7"/>
    <n v="15"/>
    <s v="No"/>
    <n v="2"/>
    <s v="41-50"/>
    <x v="1"/>
    <n v="15"/>
    <x v="1"/>
  </r>
  <r>
    <n v="34"/>
    <x v="1"/>
    <x v="1"/>
    <n v="1"/>
    <n v="35"/>
    <s v="Research Scientist"/>
    <n v="4"/>
    <n v="1"/>
    <n v="0"/>
    <n v="7"/>
    <s v="No"/>
    <n v="1"/>
    <s v="31-40"/>
    <x v="3"/>
    <n v="50"/>
    <x v="3"/>
  </r>
  <r>
    <n v="55"/>
    <x v="1"/>
    <x v="0"/>
    <n v="3"/>
    <n v="60"/>
    <s v="Manager"/>
    <n v="4"/>
    <n v="36"/>
    <n v="2"/>
    <n v="26"/>
    <s v="No"/>
    <n v="3"/>
    <s v="51+"/>
    <x v="2"/>
    <n v="0"/>
    <x v="1"/>
  </r>
  <r>
    <n v="34"/>
    <x v="1"/>
    <x v="1"/>
    <n v="2"/>
    <n v="45"/>
    <s v="Research Scientist"/>
    <n v="4"/>
    <n v="2"/>
    <n v="2"/>
    <n v="1"/>
    <s v="No"/>
    <n v="2"/>
    <s v="31-40"/>
    <x v="3"/>
    <n v="15"/>
    <x v="1"/>
  </r>
  <r>
    <n v="26"/>
    <x v="1"/>
    <x v="1"/>
    <n v="1"/>
    <n v="89"/>
    <s v="Research Scientist"/>
    <n v="4"/>
    <n v="1"/>
    <n v="0"/>
    <n v="3"/>
    <s v="No"/>
    <n v="3"/>
    <s v="18-30"/>
    <x v="4"/>
    <n v="15"/>
    <x v="1"/>
  </r>
  <r>
    <n v="38"/>
    <x v="1"/>
    <x v="0"/>
    <n v="3"/>
    <n v="80"/>
    <s v="Sales Executive"/>
    <n v="2"/>
    <n v="9"/>
    <n v="7"/>
    <n v="14"/>
    <s v="No"/>
    <n v="3"/>
    <s v="31-40"/>
    <x v="4"/>
    <n v="15"/>
    <x v="1"/>
  </r>
  <r>
    <n v="38"/>
    <x v="1"/>
    <x v="0"/>
    <n v="2"/>
    <n v="90"/>
    <s v="Sales Executive"/>
    <n v="2"/>
    <n v="3"/>
    <n v="1"/>
    <n v="16"/>
    <s v="No"/>
    <n v="4"/>
    <s v="31-40"/>
    <x v="4"/>
    <n v="30"/>
    <x v="2"/>
  </r>
  <r>
    <n v="36"/>
    <x v="1"/>
    <x v="0"/>
    <n v="2"/>
    <n v="73"/>
    <s v="Sales Executive"/>
    <n v="3"/>
    <n v="1"/>
    <n v="0"/>
    <n v="1"/>
    <s v="No"/>
    <n v="3"/>
    <s v="31-40"/>
    <x v="1"/>
    <n v="15"/>
    <x v="1"/>
  </r>
  <r>
    <n v="29"/>
    <x v="1"/>
    <x v="1"/>
    <n v="2"/>
    <n v="87"/>
    <s v="Laboratory Technician"/>
    <n v="1"/>
    <n v="10"/>
    <n v="1"/>
    <n v="3"/>
    <s v="Yes"/>
    <n v="3"/>
    <s v="18-30"/>
    <x v="4"/>
    <n v="65"/>
    <x v="3"/>
  </r>
  <r>
    <n v="35"/>
    <x v="1"/>
    <x v="1"/>
    <n v="1"/>
    <n v="51"/>
    <s v="Healthcare Representative"/>
    <n v="3"/>
    <n v="5"/>
    <n v="0"/>
    <n v="10"/>
    <s v="Yes"/>
    <n v="3"/>
    <s v="31-40"/>
    <x v="2"/>
    <n v="50"/>
    <x v="3"/>
  </r>
  <r>
    <n v="39"/>
    <x v="1"/>
    <x v="0"/>
    <n v="4"/>
    <n v="38"/>
    <s v="Sales Executive"/>
    <n v="3"/>
    <n v="7"/>
    <n v="7"/>
    <n v="6"/>
    <s v="No"/>
    <n v="3"/>
    <s v="31-40"/>
    <x v="3"/>
    <n v="0"/>
    <x v="1"/>
  </r>
  <r>
    <n v="29"/>
    <x v="1"/>
    <x v="1"/>
    <n v="1"/>
    <n v="87"/>
    <s v="Healthcare Representative"/>
    <n v="4"/>
    <n v="6"/>
    <n v="1"/>
    <n v="2"/>
    <s v="No"/>
    <n v="4"/>
    <s v="18-30"/>
    <x v="4"/>
    <n v="15"/>
    <x v="1"/>
  </r>
  <r>
    <n v="50"/>
    <x v="1"/>
    <x v="0"/>
    <n v="3"/>
    <n v="59"/>
    <s v="Manager"/>
    <n v="3"/>
    <n v="1"/>
    <n v="0"/>
    <n v="9"/>
    <s v="Yes"/>
    <n v="3"/>
    <s v="41-50"/>
    <x v="2"/>
    <n v="35"/>
    <x v="2"/>
  </r>
  <r>
    <n v="23"/>
    <x v="1"/>
    <x v="1"/>
    <n v="4"/>
    <n v="45"/>
    <s v="Research Scientist"/>
    <n v="3"/>
    <n v="2"/>
    <n v="2"/>
    <n v="10"/>
    <s v="No"/>
    <n v="3"/>
    <s v="18-30"/>
    <x v="3"/>
    <n v="0"/>
    <x v="1"/>
  </r>
  <r>
    <n v="36"/>
    <x v="1"/>
    <x v="1"/>
    <n v="1"/>
    <n v="80"/>
    <s v="Laboratory Technician"/>
    <n v="1"/>
    <n v="3"/>
    <n v="0"/>
    <n v="6"/>
    <s v="Yes"/>
    <n v="3"/>
    <s v="31-40"/>
    <x v="4"/>
    <n v="65"/>
    <x v="3"/>
  </r>
  <r>
    <n v="42"/>
    <x v="1"/>
    <x v="1"/>
    <n v="4"/>
    <n v="93"/>
    <s v="Manager"/>
    <n v="4"/>
    <n v="1"/>
    <n v="0"/>
    <n v="9"/>
    <s v="No"/>
    <n v="3"/>
    <s v="41-50"/>
    <x v="0"/>
    <n v="0"/>
    <x v="1"/>
  </r>
  <r>
    <n v="35"/>
    <x v="1"/>
    <x v="1"/>
    <n v="2"/>
    <n v="46"/>
    <s v="Laboratory Technician"/>
    <n v="3"/>
    <n v="10"/>
    <n v="6"/>
    <n v="28"/>
    <s v="No"/>
    <n v="2"/>
    <s v="31-40"/>
    <x v="2"/>
    <n v="15"/>
    <x v="1"/>
  </r>
  <r>
    <n v="34"/>
    <x v="1"/>
    <x v="1"/>
    <n v="4"/>
    <n v="92"/>
    <s v="Healthcare Representative"/>
    <n v="3"/>
    <n v="8"/>
    <n v="7"/>
    <n v="10"/>
    <s v="No"/>
    <n v="2"/>
    <s v="31-40"/>
    <x v="0"/>
    <n v="0"/>
    <x v="1"/>
  </r>
  <r>
    <n v="40"/>
    <x v="1"/>
    <x v="0"/>
    <n v="4"/>
    <n v="84"/>
    <s v="Sales Executive"/>
    <n v="1"/>
    <n v="5"/>
    <n v="1"/>
    <n v="14"/>
    <s v="No"/>
    <n v="3"/>
    <s v="31-40"/>
    <x v="4"/>
    <n v="15"/>
    <x v="1"/>
  </r>
  <r>
    <n v="43"/>
    <x v="1"/>
    <x v="1"/>
    <n v="4"/>
    <n v="87"/>
    <s v="Laboratory Technician"/>
    <n v="2"/>
    <n v="6"/>
    <n v="0"/>
    <n v="27"/>
    <s v="No"/>
    <n v="3"/>
    <s v="41-50"/>
    <x v="4"/>
    <n v="15"/>
    <x v="1"/>
  </r>
  <r>
    <n v="35"/>
    <x v="1"/>
    <x v="1"/>
    <n v="3"/>
    <n v="63"/>
    <s v="Laboratory Technician"/>
    <n v="4"/>
    <n v="1"/>
    <n v="0"/>
    <n v="7"/>
    <s v="No"/>
    <n v="2"/>
    <s v="31-40"/>
    <x v="1"/>
    <n v="0"/>
    <x v="1"/>
  </r>
  <r>
    <n v="46"/>
    <x v="1"/>
    <x v="0"/>
    <n v="4"/>
    <n v="56"/>
    <s v="Manager"/>
    <n v="1"/>
    <n v="26"/>
    <n v="0"/>
    <n v="1"/>
    <s v="No"/>
    <n v="1"/>
    <s v="41-50"/>
    <x v="2"/>
    <n v="50"/>
    <x v="3"/>
  </r>
  <r>
    <n v="28"/>
    <x v="0"/>
    <x v="1"/>
    <n v="3"/>
    <n v="51"/>
    <s v="Laboratory Technician"/>
    <n v="2"/>
    <n v="1"/>
    <n v="0"/>
    <n v="24"/>
    <s v="Yes"/>
    <n v="3"/>
    <s v="18-30"/>
    <x v="2"/>
    <s v="NA"/>
    <x v="0"/>
  </r>
  <r>
    <n v="22"/>
    <x v="1"/>
    <x v="1"/>
    <n v="2"/>
    <n v="85"/>
    <s v="Research Scientist"/>
    <n v="3"/>
    <n v="4"/>
    <n v="1"/>
    <n v="26"/>
    <s v="Yes"/>
    <n v="2"/>
    <s v="18-30"/>
    <x v="4"/>
    <n v="50"/>
    <x v="3"/>
  </r>
  <r>
    <n v="50"/>
    <x v="1"/>
    <x v="1"/>
    <n v="2"/>
    <n v="41"/>
    <s v="Healthcare Representative"/>
    <n v="3"/>
    <n v="30"/>
    <n v="12"/>
    <n v="20"/>
    <s v="Yes"/>
    <n v="3"/>
    <s v="41-50"/>
    <x v="3"/>
    <n v="50"/>
    <x v="3"/>
  </r>
  <r>
    <n v="32"/>
    <x v="1"/>
    <x v="1"/>
    <n v="2"/>
    <n v="35"/>
    <s v="Research Scientist"/>
    <n v="4"/>
    <n v="3"/>
    <n v="0"/>
    <n v="5"/>
    <s v="No"/>
    <n v="3"/>
    <s v="31-40"/>
    <x v="3"/>
    <n v="15"/>
    <x v="1"/>
  </r>
  <r>
    <n v="44"/>
    <x v="1"/>
    <x v="1"/>
    <n v="2"/>
    <n v="31"/>
    <s v="Research Director"/>
    <n v="4"/>
    <n v="22"/>
    <n v="1"/>
    <n v="7"/>
    <s v="Yes"/>
    <n v="2"/>
    <s v="41-50"/>
    <x v="3"/>
    <n v="50"/>
    <x v="3"/>
  </r>
  <r>
    <n v="30"/>
    <x v="1"/>
    <x v="1"/>
    <n v="2"/>
    <n v="48"/>
    <s v="Research Scientist"/>
    <n v="2"/>
    <n v="6"/>
    <n v="1"/>
    <n v="7"/>
    <s v="No"/>
    <n v="2"/>
    <s v="18-30"/>
    <x v="2"/>
    <n v="30"/>
    <x v="2"/>
  </r>
  <r>
    <n v="45"/>
    <x v="1"/>
    <x v="1"/>
    <n v="3"/>
    <n v="50"/>
    <s v="Laboratory Technician"/>
    <n v="1"/>
    <n v="10"/>
    <n v="1"/>
    <n v="5"/>
    <s v="Yes"/>
    <n v="3"/>
    <s v="41-50"/>
    <x v="2"/>
    <n v="50"/>
    <x v="3"/>
  </r>
  <r>
    <n v="45"/>
    <x v="1"/>
    <x v="0"/>
    <n v="1"/>
    <n v="52"/>
    <s v="Sales Executive"/>
    <n v="1"/>
    <n v="10"/>
    <n v="4"/>
    <n v="26"/>
    <s v="No"/>
    <n v="3"/>
    <s v="41-50"/>
    <x v="2"/>
    <n v="30"/>
    <x v="2"/>
  </r>
  <r>
    <n v="31"/>
    <x v="1"/>
    <x v="0"/>
    <n v="4"/>
    <n v="54"/>
    <s v="Sales Executive"/>
    <n v="1"/>
    <n v="5"/>
    <n v="0"/>
    <n v="2"/>
    <s v="No"/>
    <n v="3"/>
    <s v="31-40"/>
    <x v="2"/>
    <n v="15"/>
    <x v="1"/>
  </r>
  <r>
    <n v="36"/>
    <x v="1"/>
    <x v="1"/>
    <n v="3"/>
    <n v="76"/>
    <s v="Manufacturing Director"/>
    <n v="3"/>
    <n v="3"/>
    <n v="1"/>
    <n v="12"/>
    <s v="Yes"/>
    <n v="3"/>
    <s v="31-40"/>
    <x v="4"/>
    <n v="35"/>
    <x v="2"/>
  </r>
  <r>
    <n v="34"/>
    <x v="1"/>
    <x v="1"/>
    <n v="3"/>
    <n v="42"/>
    <s v="Manufacturing Director"/>
    <n v="4"/>
    <n v="9"/>
    <n v="7"/>
    <n v="10"/>
    <s v="No"/>
    <n v="3"/>
    <s v="31-40"/>
    <x v="3"/>
    <n v="0"/>
    <x v="1"/>
  </r>
  <r>
    <n v="49"/>
    <x v="1"/>
    <x v="1"/>
    <n v="3"/>
    <n v="84"/>
    <s v="Laboratory Technician"/>
    <n v="1"/>
    <n v="9"/>
    <n v="1"/>
    <n v="25"/>
    <s v="No"/>
    <n v="2"/>
    <s v="41-50"/>
    <x v="4"/>
    <n v="15"/>
    <x v="1"/>
  </r>
  <r>
    <n v="39"/>
    <x v="1"/>
    <x v="1"/>
    <n v="2"/>
    <n v="76"/>
    <s v="Manufacturing Director"/>
    <n v="1"/>
    <n v="7"/>
    <n v="7"/>
    <n v="10"/>
    <s v="No"/>
    <n v="3"/>
    <s v="31-40"/>
    <x v="4"/>
    <n v="30"/>
    <x v="2"/>
  </r>
  <r>
    <n v="27"/>
    <x v="1"/>
    <x v="1"/>
    <n v="4"/>
    <n v="67"/>
    <s v="Laboratory Technician"/>
    <n v="1"/>
    <n v="7"/>
    <n v="0"/>
    <n v="19"/>
    <s v="No"/>
    <n v="3"/>
    <s v="18-30"/>
    <x v="1"/>
    <n v="15"/>
    <x v="1"/>
  </r>
  <r>
    <n v="35"/>
    <x v="1"/>
    <x v="1"/>
    <n v="2"/>
    <n v="48"/>
    <s v="Research Scientist"/>
    <n v="1"/>
    <n v="16"/>
    <n v="1"/>
    <n v="18"/>
    <s v="No"/>
    <n v="3"/>
    <s v="31-40"/>
    <x v="2"/>
    <n v="30"/>
    <x v="2"/>
  </r>
  <r>
    <n v="28"/>
    <x v="1"/>
    <x v="1"/>
    <n v="2"/>
    <n v="39"/>
    <s v="Manufacturing Director"/>
    <n v="1"/>
    <n v="5"/>
    <n v="0"/>
    <n v="27"/>
    <s v="No"/>
    <n v="2"/>
    <s v="18-30"/>
    <x v="3"/>
    <n v="30"/>
    <x v="2"/>
  </r>
  <r>
    <n v="21"/>
    <x v="1"/>
    <x v="1"/>
    <n v="3"/>
    <n v="97"/>
    <s v="Research Scientist"/>
    <n v="4"/>
    <n v="2"/>
    <n v="2"/>
    <n v="5"/>
    <s v="No"/>
    <n v="3"/>
    <s v="18-30"/>
    <x v="0"/>
    <n v="0"/>
    <x v="1"/>
  </r>
  <r>
    <n v="18"/>
    <x v="0"/>
    <x v="0"/>
    <n v="2"/>
    <n v="70"/>
    <s v="Sales Representative"/>
    <n v="4"/>
    <n v="0"/>
    <n v="0"/>
    <n v="3"/>
    <s v="Yes"/>
    <n v="4"/>
    <s v="18-30"/>
    <x v="1"/>
    <s v="NA"/>
    <x v="0"/>
  </r>
  <r>
    <n v="47"/>
    <x v="1"/>
    <x v="2"/>
    <n v="4"/>
    <n v="98"/>
    <s v="Manager"/>
    <n v="3"/>
    <n v="5"/>
    <n v="1"/>
    <n v="26"/>
    <s v="No"/>
    <n v="3"/>
    <s v="41-50"/>
    <x v="0"/>
    <n v="0"/>
    <x v="1"/>
  </r>
  <r>
    <n v="39"/>
    <x v="1"/>
    <x v="1"/>
    <n v="3"/>
    <n v="76"/>
    <s v="Laboratory Technician"/>
    <n v="3"/>
    <n v="10"/>
    <n v="0"/>
    <n v="3"/>
    <s v="No"/>
    <n v="3"/>
    <s v="31-40"/>
    <x v="4"/>
    <n v="0"/>
    <x v="1"/>
  </r>
  <r>
    <n v="40"/>
    <x v="1"/>
    <x v="1"/>
    <n v="1"/>
    <n v="80"/>
    <s v="Manufacturing Director"/>
    <n v="3"/>
    <n v="18"/>
    <n v="14"/>
    <n v="15"/>
    <s v="No"/>
    <n v="3"/>
    <s v="31-40"/>
    <x v="4"/>
    <n v="15"/>
    <x v="1"/>
  </r>
  <r>
    <n v="35"/>
    <x v="1"/>
    <x v="1"/>
    <n v="3"/>
    <n v="52"/>
    <s v="Healthcare Representative"/>
    <n v="3"/>
    <n v="14"/>
    <n v="2"/>
    <n v="8"/>
    <s v="No"/>
    <n v="3"/>
    <s v="31-40"/>
    <x v="2"/>
    <n v="0"/>
    <x v="1"/>
  </r>
  <r>
    <n v="37"/>
    <x v="1"/>
    <x v="1"/>
    <n v="3"/>
    <n v="85"/>
    <s v="Manufacturing Director"/>
    <n v="3"/>
    <n v="4"/>
    <n v="0"/>
    <n v="19"/>
    <s v="No"/>
    <n v="2"/>
    <s v="31-40"/>
    <x v="4"/>
    <n v="0"/>
    <x v="1"/>
  </r>
  <r>
    <n v="39"/>
    <x v="1"/>
    <x v="1"/>
    <n v="1"/>
    <n v="81"/>
    <s v="Manufacturing Director"/>
    <n v="3"/>
    <n v="9"/>
    <n v="3"/>
    <n v="4"/>
    <s v="No"/>
    <n v="1"/>
    <s v="31-40"/>
    <x v="4"/>
    <n v="50"/>
    <x v="3"/>
  </r>
  <r>
    <n v="45"/>
    <x v="1"/>
    <x v="1"/>
    <n v="4"/>
    <n v="59"/>
    <s v="Manufacturing Director"/>
    <n v="4"/>
    <n v="10"/>
    <n v="3"/>
    <n v="2"/>
    <s v="No"/>
    <n v="3"/>
    <s v="41-50"/>
    <x v="2"/>
    <n v="0"/>
    <x v="1"/>
  </r>
  <r>
    <n v="38"/>
    <x v="1"/>
    <x v="1"/>
    <n v="4"/>
    <n v="54"/>
    <s v="Manufacturing Director"/>
    <n v="3"/>
    <n v="5"/>
    <n v="0"/>
    <n v="2"/>
    <s v="Yes"/>
    <n v="4"/>
    <s v="31-40"/>
    <x v="2"/>
    <n v="35"/>
    <x v="2"/>
  </r>
  <r>
    <n v="35"/>
    <x v="0"/>
    <x v="0"/>
    <n v="4"/>
    <n v="55"/>
    <s v="Sales Executive"/>
    <n v="1"/>
    <n v="13"/>
    <n v="6"/>
    <n v="10"/>
    <s v="No"/>
    <n v="3"/>
    <s v="31-40"/>
    <x v="2"/>
    <s v="NA"/>
    <x v="0"/>
  </r>
  <r>
    <n v="37"/>
    <x v="1"/>
    <x v="1"/>
    <n v="2"/>
    <n v="71"/>
    <s v="Research Scientist"/>
    <n v="2"/>
    <n v="8"/>
    <n v="7"/>
    <n v="10"/>
    <s v="No"/>
    <n v="1"/>
    <s v="31-40"/>
    <x v="1"/>
    <n v="65"/>
    <x v="3"/>
  </r>
  <r>
    <n v="40"/>
    <x v="1"/>
    <x v="1"/>
    <n v="3"/>
    <n v="84"/>
    <s v="Manufacturing Director"/>
    <n v="4"/>
    <n v="4"/>
    <n v="3"/>
    <n v="16"/>
    <s v="Yes"/>
    <n v="2"/>
    <s v="31-40"/>
    <x v="4"/>
    <n v="35"/>
    <x v="2"/>
  </r>
  <r>
    <n v="44"/>
    <x v="1"/>
    <x v="2"/>
    <n v="1"/>
    <n v="37"/>
    <s v="Human Resources"/>
    <n v="4"/>
    <n v="10"/>
    <n v="0"/>
    <n v="1"/>
    <s v="Yes"/>
    <n v="3"/>
    <s v="41-50"/>
    <x v="3"/>
    <n v="50"/>
    <x v="3"/>
  </r>
  <r>
    <n v="48"/>
    <x v="1"/>
    <x v="1"/>
    <n v="3"/>
    <n v="89"/>
    <s v="Manager"/>
    <n v="4"/>
    <n v="2"/>
    <n v="2"/>
    <n v="4"/>
    <s v="No"/>
    <n v="3"/>
    <s v="41-50"/>
    <x v="4"/>
    <n v="0"/>
    <x v="1"/>
  </r>
  <r>
    <n v="35"/>
    <x v="0"/>
    <x v="0"/>
    <n v="1"/>
    <n v="59"/>
    <s v="Sales Executive"/>
    <n v="4"/>
    <n v="2"/>
    <n v="2"/>
    <n v="15"/>
    <s v="Yes"/>
    <n v="2"/>
    <s v="31-40"/>
    <x v="2"/>
    <s v="NA"/>
    <x v="0"/>
  </r>
  <r>
    <n v="24"/>
    <x v="1"/>
    <x v="1"/>
    <n v="1"/>
    <n v="32"/>
    <s v="Research Scientist"/>
    <n v="4"/>
    <n v="6"/>
    <n v="1"/>
    <n v="2"/>
    <s v="Yes"/>
    <n v="3"/>
    <s v="18-30"/>
    <x v="3"/>
    <n v="50"/>
    <x v="3"/>
  </r>
  <r>
    <n v="27"/>
    <x v="1"/>
    <x v="1"/>
    <n v="2"/>
    <n v="86"/>
    <s v="Research Scientist"/>
    <n v="3"/>
    <n v="3"/>
    <n v="0"/>
    <n v="8"/>
    <s v="No"/>
    <n v="3"/>
    <s v="18-30"/>
    <x v="4"/>
    <n v="15"/>
    <x v="1"/>
  </r>
  <r>
    <n v="27"/>
    <x v="1"/>
    <x v="1"/>
    <n v="4"/>
    <n v="87"/>
    <s v="Research Scientist"/>
    <n v="4"/>
    <n v="4"/>
    <n v="1"/>
    <n v="2"/>
    <s v="No"/>
    <n v="2"/>
    <s v="18-30"/>
    <x v="4"/>
    <n v="0"/>
    <x v="1"/>
  </r>
  <r>
    <n v="40"/>
    <x v="0"/>
    <x v="1"/>
    <n v="1"/>
    <n v="73"/>
    <s v="Laboratory Technician"/>
    <n v="1"/>
    <n v="4"/>
    <n v="0"/>
    <n v="7"/>
    <s v="Yes"/>
    <n v="1"/>
    <s v="31-40"/>
    <x v="1"/>
    <s v="NA"/>
    <x v="0"/>
  </r>
  <r>
    <n v="29"/>
    <x v="1"/>
    <x v="0"/>
    <n v="3"/>
    <n v="42"/>
    <s v="Sales Executive"/>
    <n v="3"/>
    <n v="5"/>
    <n v="1"/>
    <n v="10"/>
    <s v="No"/>
    <n v="3"/>
    <s v="18-30"/>
    <x v="3"/>
    <n v="0"/>
    <x v="1"/>
  </r>
  <r>
    <n v="36"/>
    <x v="1"/>
    <x v="1"/>
    <n v="2"/>
    <n v="42"/>
    <s v="Healthcare Representative"/>
    <n v="1"/>
    <n v="3"/>
    <n v="0"/>
    <n v="5"/>
    <s v="No"/>
    <n v="3"/>
    <s v="31-40"/>
    <x v="3"/>
    <n v="30"/>
    <x v="2"/>
  </r>
  <r>
    <n v="25"/>
    <x v="1"/>
    <x v="1"/>
    <n v="4"/>
    <n v="77"/>
    <s v="Manufacturing Director"/>
    <n v="3"/>
    <n v="7"/>
    <n v="0"/>
    <n v="2"/>
    <s v="No"/>
    <n v="3"/>
    <s v="18-30"/>
    <x v="4"/>
    <n v="0"/>
    <x v="1"/>
  </r>
  <r>
    <n v="39"/>
    <x v="1"/>
    <x v="1"/>
    <n v="4"/>
    <n v="66"/>
    <s v="Manufacturing Director"/>
    <n v="2"/>
    <n v="5"/>
    <n v="1"/>
    <n v="12"/>
    <s v="No"/>
    <n v="3"/>
    <s v="31-40"/>
    <x v="1"/>
    <n v="15"/>
    <x v="1"/>
  </r>
  <r>
    <n v="49"/>
    <x v="1"/>
    <x v="1"/>
    <n v="1"/>
    <n v="72"/>
    <s v="Research Director"/>
    <n v="2"/>
    <n v="4"/>
    <n v="1"/>
    <n v="22"/>
    <s v="No"/>
    <n v="3"/>
    <s v="41-50"/>
    <x v="1"/>
    <n v="30"/>
    <x v="2"/>
  </r>
  <r>
    <n v="50"/>
    <x v="1"/>
    <x v="1"/>
    <n v="4"/>
    <n v="50"/>
    <s v="Research Director"/>
    <n v="1"/>
    <n v="14"/>
    <n v="1"/>
    <n v="17"/>
    <s v="No"/>
    <n v="3"/>
    <s v="41-50"/>
    <x v="2"/>
    <n v="15"/>
    <x v="1"/>
  </r>
  <r>
    <n v="20"/>
    <x v="1"/>
    <x v="0"/>
    <n v="3"/>
    <n v="31"/>
    <s v="Sales Representative"/>
    <n v="3"/>
    <n v="2"/>
    <n v="2"/>
    <n v="2"/>
    <s v="No"/>
    <n v="3"/>
    <s v="18-30"/>
    <x v="3"/>
    <n v="0"/>
    <x v="1"/>
  </r>
  <r>
    <n v="34"/>
    <x v="1"/>
    <x v="1"/>
    <n v="4"/>
    <n v="66"/>
    <s v="Research Scientist"/>
    <n v="2"/>
    <n v="11"/>
    <n v="7"/>
    <n v="3"/>
    <s v="No"/>
    <n v="3"/>
    <s v="31-40"/>
    <x v="1"/>
    <n v="15"/>
    <x v="1"/>
  </r>
  <r>
    <n v="36"/>
    <x v="1"/>
    <x v="1"/>
    <n v="1"/>
    <n v="77"/>
    <s v="Laboratory Technician"/>
    <n v="2"/>
    <n v="4"/>
    <n v="1"/>
    <n v="7"/>
    <s v="No"/>
    <n v="3"/>
    <s v="31-40"/>
    <x v="4"/>
    <n v="30"/>
    <x v="2"/>
  </r>
  <r>
    <n v="49"/>
    <x v="1"/>
    <x v="1"/>
    <n v="3"/>
    <n v="41"/>
    <s v="Healthcare Representative"/>
    <n v="3"/>
    <n v="15"/>
    <n v="2"/>
    <n v="6"/>
    <s v="Yes"/>
    <n v="3"/>
    <s v="41-50"/>
    <x v="3"/>
    <n v="35"/>
    <x v="2"/>
  </r>
  <r>
    <n v="36"/>
    <x v="1"/>
    <x v="1"/>
    <n v="4"/>
    <n v="33"/>
    <s v="Manufacturing Director"/>
    <n v="3"/>
    <n v="3"/>
    <n v="1"/>
    <n v="1"/>
    <s v="No"/>
    <n v="3"/>
    <s v="31-40"/>
    <x v="3"/>
    <n v="0"/>
    <x v="1"/>
  </r>
  <r>
    <n v="36"/>
    <x v="1"/>
    <x v="1"/>
    <n v="4"/>
    <n v="79"/>
    <s v="Healthcare Representative"/>
    <n v="1"/>
    <n v="5"/>
    <n v="0"/>
    <n v="3"/>
    <s v="No"/>
    <n v="3"/>
    <s v="31-40"/>
    <x v="4"/>
    <n v="15"/>
    <x v="1"/>
  </r>
  <r>
    <n v="54"/>
    <x v="1"/>
    <x v="1"/>
    <n v="2"/>
    <n v="91"/>
    <s v="Manager"/>
    <n v="3"/>
    <n v="10"/>
    <n v="4"/>
    <n v="22"/>
    <s v="No"/>
    <n v="3"/>
    <s v="51+"/>
    <x v="0"/>
    <n v="15"/>
    <x v="1"/>
  </r>
  <r>
    <n v="43"/>
    <x v="1"/>
    <x v="1"/>
    <n v="3"/>
    <n v="65"/>
    <s v="Research Director"/>
    <n v="3"/>
    <n v="14"/>
    <n v="6"/>
    <n v="15"/>
    <s v="No"/>
    <n v="3"/>
    <s v="41-50"/>
    <x v="1"/>
    <n v="0"/>
    <x v="1"/>
  </r>
  <r>
    <n v="35"/>
    <x v="0"/>
    <x v="0"/>
    <n v="4"/>
    <n v="36"/>
    <s v="Sales Executive"/>
    <n v="4"/>
    <n v="11"/>
    <n v="6"/>
    <n v="12"/>
    <s v="Yes"/>
    <n v="4"/>
    <s v="31-40"/>
    <x v="3"/>
    <s v="NA"/>
    <x v="0"/>
  </r>
  <r>
    <n v="38"/>
    <x v="1"/>
    <x v="1"/>
    <n v="4"/>
    <n v="90"/>
    <s v="Research Scientist"/>
    <n v="4"/>
    <n v="13"/>
    <n v="2"/>
    <n v="1"/>
    <s v="No"/>
    <n v="4"/>
    <s v="31-40"/>
    <x v="4"/>
    <n v="0"/>
    <x v="1"/>
  </r>
  <r>
    <n v="29"/>
    <x v="1"/>
    <x v="0"/>
    <n v="1"/>
    <n v="43"/>
    <s v="Sales Executive"/>
    <n v="2"/>
    <n v="10"/>
    <n v="0"/>
    <n v="5"/>
    <s v="Yes"/>
    <n v="2"/>
    <s v="18-30"/>
    <x v="3"/>
    <n v="65"/>
    <x v="3"/>
  </r>
  <r>
    <n v="33"/>
    <x v="1"/>
    <x v="0"/>
    <n v="4"/>
    <n v="93"/>
    <s v="Sales Executive"/>
    <n v="4"/>
    <n v="6"/>
    <n v="0"/>
    <n v="2"/>
    <s v="No"/>
    <n v="3"/>
    <s v="31-40"/>
    <x v="0"/>
    <n v="0"/>
    <x v="1"/>
  </r>
  <r>
    <n v="32"/>
    <x v="1"/>
    <x v="1"/>
    <n v="4"/>
    <n v="45"/>
    <s v="Research Scientist"/>
    <n v="2"/>
    <n v="9"/>
    <n v="1"/>
    <n v="2"/>
    <s v="No"/>
    <n v="2"/>
    <s v="31-40"/>
    <x v="3"/>
    <n v="15"/>
    <x v="1"/>
  </r>
  <r>
    <n v="31"/>
    <x v="1"/>
    <x v="0"/>
    <n v="1"/>
    <n v="67"/>
    <s v="Sales Executive"/>
    <n v="4"/>
    <n v="10"/>
    <n v="0"/>
    <n v="5"/>
    <s v="No"/>
    <n v="3"/>
    <s v="31-40"/>
    <x v="1"/>
    <n v="15"/>
    <x v="1"/>
  </r>
  <r>
    <n v="49"/>
    <x v="1"/>
    <x v="1"/>
    <n v="4"/>
    <n v="74"/>
    <s v="Laboratory Technician"/>
    <n v="1"/>
    <n v="2"/>
    <n v="2"/>
    <n v="16"/>
    <s v="Yes"/>
    <n v="2"/>
    <s v="41-50"/>
    <x v="1"/>
    <n v="50"/>
    <x v="3"/>
  </r>
  <r>
    <n v="38"/>
    <x v="1"/>
    <x v="1"/>
    <n v="4"/>
    <n v="42"/>
    <s v="Laboratory Technician"/>
    <n v="2"/>
    <n v="4"/>
    <n v="3"/>
    <n v="2"/>
    <s v="No"/>
    <n v="3"/>
    <s v="31-40"/>
    <x v="3"/>
    <n v="15"/>
    <x v="1"/>
  </r>
  <r>
    <n v="47"/>
    <x v="1"/>
    <x v="0"/>
    <n v="2"/>
    <n v="47"/>
    <s v="Manager"/>
    <n v="2"/>
    <n v="3"/>
    <n v="1"/>
    <n v="2"/>
    <s v="No"/>
    <n v="3"/>
    <s v="41-50"/>
    <x v="2"/>
    <n v="30"/>
    <x v="2"/>
  </r>
  <r>
    <n v="49"/>
    <x v="1"/>
    <x v="1"/>
    <n v="3"/>
    <n v="36"/>
    <s v="Manager"/>
    <n v="3"/>
    <n v="8"/>
    <n v="0"/>
    <n v="1"/>
    <s v="No"/>
    <n v="3"/>
    <s v="41-50"/>
    <x v="3"/>
    <n v="0"/>
    <x v="1"/>
  </r>
  <r>
    <n v="41"/>
    <x v="1"/>
    <x v="0"/>
    <n v="4"/>
    <n v="80"/>
    <s v="Sales Executive"/>
    <n v="3"/>
    <n v="2"/>
    <n v="0"/>
    <n v="23"/>
    <s v="Yes"/>
    <n v="3"/>
    <s v="41-50"/>
    <x v="4"/>
    <n v="35"/>
    <x v="2"/>
  </r>
  <r>
    <n v="20"/>
    <x v="1"/>
    <x v="0"/>
    <n v="4"/>
    <n v="54"/>
    <s v="Sales Representative"/>
    <n v="1"/>
    <n v="2"/>
    <n v="0"/>
    <n v="9"/>
    <s v="No"/>
    <n v="3"/>
    <s v="18-30"/>
    <x v="2"/>
    <n v="15"/>
    <x v="1"/>
  </r>
  <r>
    <n v="33"/>
    <x v="1"/>
    <x v="0"/>
    <n v="3"/>
    <n v="36"/>
    <s v="Sales Executive"/>
    <n v="4"/>
    <n v="6"/>
    <n v="1"/>
    <n v="16"/>
    <s v="Yes"/>
    <n v="3"/>
    <s v="31-40"/>
    <x v="3"/>
    <n v="35"/>
    <x v="2"/>
  </r>
  <r>
    <n v="36"/>
    <x v="1"/>
    <x v="1"/>
    <n v="1"/>
    <n v="80"/>
    <s v="Healthcare Representative"/>
    <n v="3"/>
    <n v="3"/>
    <n v="0"/>
    <n v="26"/>
    <s v="No"/>
    <n v="2"/>
    <s v="31-40"/>
    <x v="4"/>
    <n v="15"/>
    <x v="1"/>
  </r>
  <r>
    <n v="44"/>
    <x v="1"/>
    <x v="2"/>
    <n v="3"/>
    <n v="44"/>
    <s v="Human Resources"/>
    <n v="4"/>
    <n v="2"/>
    <n v="2"/>
    <n v="1"/>
    <s v="Yes"/>
    <n v="3"/>
    <s v="41-50"/>
    <x v="3"/>
    <n v="35"/>
    <x v="2"/>
  </r>
  <r>
    <n v="23"/>
    <x v="0"/>
    <x v="1"/>
    <n v="4"/>
    <n v="93"/>
    <s v="Laboratory Technician"/>
    <n v="3"/>
    <n v="5"/>
    <n v="1"/>
    <n v="8"/>
    <s v="Yes"/>
    <n v="3"/>
    <s v="18-30"/>
    <x v="0"/>
    <s v="NA"/>
    <x v="0"/>
  </r>
  <r>
    <n v="38"/>
    <x v="1"/>
    <x v="1"/>
    <n v="4"/>
    <n v="87"/>
    <s v="Laboratory Technician"/>
    <n v="3"/>
    <n v="0"/>
    <n v="0"/>
    <n v="4"/>
    <s v="No"/>
    <n v="2"/>
    <s v="31-40"/>
    <x v="4"/>
    <n v="0"/>
    <x v="1"/>
  </r>
  <r>
    <n v="53"/>
    <x v="1"/>
    <x v="1"/>
    <n v="2"/>
    <n v="48"/>
    <s v="Healthcare Representative"/>
    <n v="4"/>
    <n v="4"/>
    <n v="1"/>
    <n v="24"/>
    <s v="No"/>
    <n v="3"/>
    <s v="51+"/>
    <x v="2"/>
    <n v="15"/>
    <x v="1"/>
  </r>
  <r>
    <n v="48"/>
    <x v="0"/>
    <x v="0"/>
    <n v="4"/>
    <n v="95"/>
    <s v="Sales Representative"/>
    <n v="3"/>
    <n v="9"/>
    <n v="7"/>
    <n v="7"/>
    <s v="Yes"/>
    <n v="3"/>
    <s v="41-50"/>
    <x v="0"/>
    <s v="NA"/>
    <x v="0"/>
  </r>
  <r>
    <n v="32"/>
    <x v="0"/>
    <x v="1"/>
    <n v="4"/>
    <n v="95"/>
    <s v="Laboratory Technician"/>
    <n v="2"/>
    <n v="1"/>
    <n v="0"/>
    <n v="2"/>
    <s v="No"/>
    <n v="3"/>
    <s v="31-40"/>
    <x v="0"/>
    <s v="NA"/>
    <x v="0"/>
  </r>
  <r>
    <n v="26"/>
    <x v="1"/>
    <x v="1"/>
    <n v="4"/>
    <n v="76"/>
    <s v="Laboratory Technician"/>
    <n v="4"/>
    <n v="7"/>
    <n v="5"/>
    <n v="7"/>
    <s v="No"/>
    <n v="3"/>
    <s v="18-30"/>
    <x v="4"/>
    <n v="0"/>
    <x v="1"/>
  </r>
  <r>
    <n v="55"/>
    <x v="1"/>
    <x v="1"/>
    <n v="1"/>
    <n v="94"/>
    <s v="Research Scientist"/>
    <n v="2"/>
    <n v="4"/>
    <n v="1"/>
    <n v="22"/>
    <s v="No"/>
    <n v="3"/>
    <s v="51+"/>
    <x v="0"/>
    <n v="30"/>
    <x v="2"/>
  </r>
  <r>
    <n v="34"/>
    <x v="1"/>
    <x v="1"/>
    <n v="2"/>
    <n v="57"/>
    <s v="Laboratory Technician"/>
    <n v="4"/>
    <n v="15"/>
    <n v="4"/>
    <n v="5"/>
    <s v="No"/>
    <n v="4"/>
    <s v="31-40"/>
    <x v="2"/>
    <n v="15"/>
    <x v="1"/>
  </r>
  <r>
    <n v="60"/>
    <x v="1"/>
    <x v="1"/>
    <n v="3"/>
    <n v="92"/>
    <s v="Healthcare Representative"/>
    <n v="4"/>
    <n v="1"/>
    <n v="0"/>
    <n v="1"/>
    <s v="No"/>
    <n v="4"/>
    <s v="51+"/>
    <x v="0"/>
    <n v="0"/>
    <x v="1"/>
  </r>
  <r>
    <n v="33"/>
    <x v="1"/>
    <x v="1"/>
    <n v="2"/>
    <n v="79"/>
    <s v="Laboratory Technician"/>
    <n v="2"/>
    <n v="14"/>
    <n v="2"/>
    <n v="21"/>
    <s v="No"/>
    <n v="3"/>
    <s v="31-40"/>
    <x v="4"/>
    <n v="30"/>
    <x v="2"/>
  </r>
  <r>
    <n v="37"/>
    <x v="1"/>
    <x v="0"/>
    <n v="3"/>
    <n v="31"/>
    <s v="Sales Executive"/>
    <n v="4"/>
    <n v="6"/>
    <n v="1"/>
    <n v="1"/>
    <s v="No"/>
    <n v="2"/>
    <s v="31-40"/>
    <x v="3"/>
    <n v="0"/>
    <x v="1"/>
  </r>
  <r>
    <n v="34"/>
    <x v="1"/>
    <x v="1"/>
    <n v="2"/>
    <n v="35"/>
    <s v="Research Scientist"/>
    <n v="4"/>
    <n v="10"/>
    <n v="8"/>
    <n v="19"/>
    <s v="No"/>
    <n v="3"/>
    <s v="31-40"/>
    <x v="3"/>
    <n v="15"/>
    <x v="1"/>
  </r>
  <r>
    <n v="23"/>
    <x v="0"/>
    <x v="0"/>
    <n v="3"/>
    <n v="99"/>
    <s v="Sales Representative"/>
    <n v="4"/>
    <n v="3"/>
    <n v="0"/>
    <n v="7"/>
    <s v="Yes"/>
    <n v="3"/>
    <s v="18-30"/>
    <x v="0"/>
    <s v="NA"/>
    <x v="0"/>
  </r>
  <r>
    <n v="44"/>
    <x v="1"/>
    <x v="1"/>
    <n v="3"/>
    <n v="96"/>
    <s v="Healthcare Representative"/>
    <n v="4"/>
    <n v="8"/>
    <n v="6"/>
    <n v="2"/>
    <s v="Yes"/>
    <n v="3"/>
    <s v="41-50"/>
    <x v="0"/>
    <n v="35"/>
    <x v="2"/>
  </r>
  <r>
    <n v="35"/>
    <x v="1"/>
    <x v="1"/>
    <n v="1"/>
    <n v="79"/>
    <s v="Research Scientist"/>
    <n v="4"/>
    <n v="5"/>
    <n v="1"/>
    <n v="2"/>
    <s v="Yes"/>
    <n v="4"/>
    <s v="31-40"/>
    <x v="4"/>
    <n v="50"/>
    <x v="3"/>
  </r>
  <r>
    <n v="43"/>
    <x v="1"/>
    <x v="0"/>
    <n v="4"/>
    <n v="73"/>
    <s v="Sales Executive"/>
    <n v="4"/>
    <n v="10"/>
    <n v="8"/>
    <n v="2"/>
    <s v="Yes"/>
    <n v="3"/>
    <s v="41-50"/>
    <x v="1"/>
    <n v="35"/>
    <x v="2"/>
  </r>
  <r>
    <n v="24"/>
    <x v="1"/>
    <x v="1"/>
    <n v="3"/>
    <n v="62"/>
    <s v="Research Scientist"/>
    <n v="3"/>
    <n v="5"/>
    <n v="0"/>
    <n v="9"/>
    <s v="No"/>
    <n v="3"/>
    <s v="18-30"/>
    <x v="1"/>
    <n v="0"/>
    <x v="1"/>
  </r>
  <r>
    <n v="41"/>
    <x v="1"/>
    <x v="0"/>
    <n v="4"/>
    <n v="35"/>
    <s v="Sales Executive"/>
    <n v="3"/>
    <n v="10"/>
    <n v="8"/>
    <n v="6"/>
    <s v="No"/>
    <n v="3"/>
    <s v="41-50"/>
    <x v="3"/>
    <n v="0"/>
    <x v="1"/>
  </r>
  <r>
    <n v="29"/>
    <x v="1"/>
    <x v="1"/>
    <n v="4"/>
    <n v="43"/>
    <s v="Laboratory Technician"/>
    <n v="3"/>
    <n v="5"/>
    <n v="1"/>
    <n v="9"/>
    <s v="No"/>
    <n v="3"/>
    <s v="18-30"/>
    <x v="3"/>
    <n v="0"/>
    <x v="1"/>
  </r>
  <r>
    <n v="36"/>
    <x v="1"/>
    <x v="0"/>
    <n v="3"/>
    <n v="51"/>
    <s v="Sales Representative"/>
    <n v="4"/>
    <n v="13"/>
    <n v="6"/>
    <n v="2"/>
    <s v="No"/>
    <n v="2"/>
    <s v="31-40"/>
    <x v="2"/>
    <n v="0"/>
    <x v="1"/>
  </r>
  <r>
    <n v="45"/>
    <x v="1"/>
    <x v="1"/>
    <n v="3"/>
    <n v="74"/>
    <s v="Healthcare Representative"/>
    <n v="3"/>
    <n v="23"/>
    <n v="14"/>
    <n v="1"/>
    <s v="No"/>
    <n v="2"/>
    <s v="41-50"/>
    <x v="1"/>
    <n v="0"/>
    <x v="1"/>
  </r>
  <r>
    <n v="24"/>
    <x v="0"/>
    <x v="2"/>
    <n v="4"/>
    <n v="58"/>
    <s v="Human Resources"/>
    <n v="3"/>
    <n v="1"/>
    <n v="0"/>
    <n v="22"/>
    <s v="No"/>
    <n v="3"/>
    <s v="18-30"/>
    <x v="2"/>
    <s v="NA"/>
    <x v="0"/>
  </r>
  <r>
    <n v="47"/>
    <x v="0"/>
    <x v="0"/>
    <n v="3"/>
    <n v="82"/>
    <s v="Sales Executive"/>
    <n v="3"/>
    <n v="23"/>
    <n v="14"/>
    <n v="9"/>
    <s v="No"/>
    <n v="1"/>
    <s v="41-50"/>
    <x v="4"/>
    <s v="NA"/>
    <x v="0"/>
  </r>
  <r>
    <n v="26"/>
    <x v="1"/>
    <x v="1"/>
    <n v="4"/>
    <n v="62"/>
    <s v="Laboratory Technician"/>
    <n v="3"/>
    <n v="3"/>
    <n v="0"/>
    <n v="17"/>
    <s v="No"/>
    <n v="4"/>
    <s v="18-30"/>
    <x v="1"/>
    <n v="0"/>
    <x v="1"/>
  </r>
  <r>
    <n v="45"/>
    <x v="1"/>
    <x v="1"/>
    <n v="4"/>
    <n v="48"/>
    <s v="Research Director"/>
    <n v="2"/>
    <n v="21"/>
    <n v="8"/>
    <n v="28"/>
    <s v="No"/>
    <n v="3"/>
    <s v="41-50"/>
    <x v="2"/>
    <n v="15"/>
    <x v="1"/>
  </r>
  <r>
    <n v="32"/>
    <x v="1"/>
    <x v="1"/>
    <n v="1"/>
    <n v="56"/>
    <s v="Research Scientist"/>
    <n v="3"/>
    <n v="5"/>
    <n v="1"/>
    <n v="10"/>
    <s v="No"/>
    <n v="2"/>
    <s v="31-40"/>
    <x v="2"/>
    <n v="15"/>
    <x v="1"/>
  </r>
  <r>
    <n v="31"/>
    <x v="1"/>
    <x v="1"/>
    <n v="2"/>
    <n v="69"/>
    <s v="Laboratory Technician"/>
    <n v="3"/>
    <n v="5"/>
    <n v="0"/>
    <n v="2"/>
    <s v="No"/>
    <n v="4"/>
    <s v="31-40"/>
    <x v="1"/>
    <n v="15"/>
    <x v="1"/>
  </r>
  <r>
    <n v="41"/>
    <x v="1"/>
    <x v="2"/>
    <n v="3"/>
    <n v="60"/>
    <s v="Human Resources"/>
    <n v="2"/>
    <n v="3"/>
    <n v="1"/>
    <n v="4"/>
    <s v="No"/>
    <n v="3"/>
    <s v="41-50"/>
    <x v="2"/>
    <n v="15"/>
    <x v="1"/>
  </r>
  <r>
    <n v="40"/>
    <x v="1"/>
    <x v="1"/>
    <n v="2"/>
    <n v="92"/>
    <s v="Manufacturing Director"/>
    <n v="1"/>
    <n v="1"/>
    <n v="0"/>
    <n v="8"/>
    <s v="Yes"/>
    <n v="3"/>
    <s v="31-40"/>
    <x v="0"/>
    <n v="65"/>
    <x v="3"/>
  </r>
  <r>
    <n v="24"/>
    <x v="1"/>
    <x v="1"/>
    <n v="2"/>
    <n v="91"/>
    <s v="Laboratory Technician"/>
    <n v="1"/>
    <n v="6"/>
    <n v="1"/>
    <n v="29"/>
    <s v="No"/>
    <n v="4"/>
    <s v="18-30"/>
    <x v="0"/>
    <n v="30"/>
    <x v="2"/>
  </r>
  <r>
    <n v="46"/>
    <x v="1"/>
    <x v="1"/>
    <n v="3"/>
    <n v="34"/>
    <s v="Healthcare Representative"/>
    <n v="2"/>
    <n v="10"/>
    <n v="0"/>
    <n v="13"/>
    <s v="No"/>
    <n v="3"/>
    <s v="41-50"/>
    <x v="3"/>
    <n v="15"/>
    <x v="1"/>
  </r>
  <r>
    <n v="35"/>
    <x v="1"/>
    <x v="1"/>
    <n v="4"/>
    <n v="49"/>
    <s v="Manufacturing Director"/>
    <n v="3"/>
    <n v="7"/>
    <n v="0"/>
    <n v="27"/>
    <s v="No"/>
    <n v="3"/>
    <s v="31-40"/>
    <x v="2"/>
    <n v="0"/>
    <x v="1"/>
  </r>
  <r>
    <n v="30"/>
    <x v="1"/>
    <x v="1"/>
    <n v="2"/>
    <n v="33"/>
    <s v="Research Scientist"/>
    <n v="4"/>
    <n v="10"/>
    <n v="0"/>
    <n v="16"/>
    <s v="No"/>
    <n v="2"/>
    <s v="18-30"/>
    <x v="3"/>
    <n v="15"/>
    <x v="1"/>
  </r>
  <r>
    <n v="47"/>
    <x v="1"/>
    <x v="0"/>
    <n v="3"/>
    <n v="87"/>
    <s v="Sales Executive"/>
    <n v="2"/>
    <n v="1"/>
    <n v="0"/>
    <n v="2"/>
    <s v="No"/>
    <n v="1"/>
    <s v="41-50"/>
    <x v="4"/>
    <n v="50"/>
    <x v="3"/>
  </r>
  <r>
    <n v="46"/>
    <x v="1"/>
    <x v="0"/>
    <n v="3"/>
    <n v="74"/>
    <s v="Sales Executive"/>
    <n v="4"/>
    <n v="10"/>
    <n v="0"/>
    <n v="2"/>
    <s v="Yes"/>
    <n v="2"/>
    <s v="41-50"/>
    <x v="1"/>
    <n v="35"/>
    <x v="2"/>
  </r>
  <r>
    <n v="36"/>
    <x v="0"/>
    <x v="0"/>
    <n v="2"/>
    <n v="96"/>
    <s v="Sales Executive"/>
    <n v="1"/>
    <n v="2"/>
    <n v="2"/>
    <n v="13"/>
    <s v="Yes"/>
    <n v="3"/>
    <s v="31-40"/>
    <x v="0"/>
    <s v="NA"/>
    <x v="0"/>
  </r>
  <r>
    <n v="32"/>
    <x v="0"/>
    <x v="0"/>
    <n v="1"/>
    <n v="34"/>
    <s v="Sales Executive"/>
    <n v="2"/>
    <n v="0"/>
    <n v="0"/>
    <n v="1"/>
    <s v="No"/>
    <n v="3"/>
    <s v="31-40"/>
    <x v="3"/>
    <s v="NA"/>
    <x v="0"/>
  </r>
  <r>
    <n v="23"/>
    <x v="1"/>
    <x v="1"/>
    <n v="3"/>
    <n v="51"/>
    <s v="Laboratory Technician"/>
    <n v="2"/>
    <n v="3"/>
    <n v="1"/>
    <n v="4"/>
    <s v="No"/>
    <n v="1"/>
    <s v="18-30"/>
    <x v="2"/>
    <n v="50"/>
    <x v="3"/>
  </r>
  <r>
    <n v="31"/>
    <x v="1"/>
    <x v="1"/>
    <n v="4"/>
    <n v="30"/>
    <s v="Manufacturing Director"/>
    <n v="4"/>
    <n v="5"/>
    <n v="1"/>
    <n v="24"/>
    <s v="No"/>
    <n v="2"/>
    <s v="31-40"/>
    <x v="3"/>
    <n v="0"/>
    <x v="1"/>
  </r>
  <r>
    <n v="39"/>
    <x v="1"/>
    <x v="1"/>
    <n v="4"/>
    <n v="77"/>
    <s v="Laboratory Technician"/>
    <n v="4"/>
    <n v="9"/>
    <n v="5"/>
    <n v="1"/>
    <s v="Yes"/>
    <n v="3"/>
    <s v="31-40"/>
    <x v="4"/>
    <n v="35"/>
    <x v="2"/>
  </r>
  <r>
    <n v="32"/>
    <x v="1"/>
    <x v="0"/>
    <n v="4"/>
    <n v="80"/>
    <s v="Sales Executive"/>
    <n v="3"/>
    <n v="4"/>
    <n v="0"/>
    <n v="19"/>
    <s v="No"/>
    <n v="1"/>
    <s v="31-40"/>
    <x v="4"/>
    <n v="35"/>
    <x v="2"/>
  </r>
  <r>
    <n v="40"/>
    <x v="1"/>
    <x v="0"/>
    <n v="2"/>
    <n v="88"/>
    <s v="Manager"/>
    <n v="2"/>
    <n v="21"/>
    <n v="12"/>
    <n v="7"/>
    <s v="No"/>
    <n v="2"/>
    <s v="31-40"/>
    <x v="4"/>
    <n v="30"/>
    <x v="2"/>
  </r>
  <r>
    <n v="45"/>
    <x v="1"/>
    <x v="2"/>
    <n v="3"/>
    <n v="56"/>
    <s v="Human Resources"/>
    <n v="3"/>
    <n v="5"/>
    <n v="0"/>
    <n v="4"/>
    <s v="No"/>
    <n v="4"/>
    <s v="41-50"/>
    <x v="2"/>
    <n v="0"/>
    <x v="1"/>
  </r>
  <r>
    <n v="30"/>
    <x v="1"/>
    <x v="1"/>
    <n v="4"/>
    <n v="78"/>
    <s v="Research Scientist"/>
    <n v="1"/>
    <n v="9"/>
    <n v="0"/>
    <n v="2"/>
    <s v="No"/>
    <n v="3"/>
    <s v="18-30"/>
    <x v="4"/>
    <n v="15"/>
    <x v="1"/>
  </r>
  <r>
    <n v="24"/>
    <x v="1"/>
    <x v="2"/>
    <n v="1"/>
    <n v="59"/>
    <s v="Human Resources"/>
    <n v="4"/>
    <n v="2"/>
    <n v="2"/>
    <n v="10"/>
    <s v="No"/>
    <n v="3"/>
    <s v="18-30"/>
    <x v="2"/>
    <n v="15"/>
    <x v="1"/>
  </r>
  <r>
    <n v="30"/>
    <x v="0"/>
    <x v="2"/>
    <n v="3"/>
    <n v="66"/>
    <s v="Human Resources"/>
    <n v="4"/>
    <n v="4"/>
    <n v="1"/>
    <n v="8"/>
    <s v="No"/>
    <n v="2"/>
    <s v="18-30"/>
    <x v="1"/>
    <s v="NA"/>
    <x v="0"/>
  </r>
  <r>
    <n v="31"/>
    <x v="1"/>
    <x v="0"/>
    <n v="1"/>
    <n v="51"/>
    <s v="Sales Executive"/>
    <n v="3"/>
    <n v="5"/>
    <n v="0"/>
    <n v="5"/>
    <s v="No"/>
    <n v="3"/>
    <s v="31-40"/>
    <x v="2"/>
    <n v="15"/>
    <x v="1"/>
  </r>
  <r>
    <n v="27"/>
    <x v="1"/>
    <x v="1"/>
    <n v="3"/>
    <n v="67"/>
    <s v="Research Scientist"/>
    <n v="4"/>
    <n v="6"/>
    <n v="1"/>
    <n v="8"/>
    <s v="No"/>
    <n v="2"/>
    <s v="18-30"/>
    <x v="1"/>
    <n v="0"/>
    <x v="1"/>
  </r>
  <r>
    <n v="29"/>
    <x v="0"/>
    <x v="0"/>
    <n v="2"/>
    <n v="52"/>
    <s v="Sales Representative"/>
    <n v="2"/>
    <n v="2"/>
    <n v="2"/>
    <n v="9"/>
    <s v="No"/>
    <n v="3"/>
    <s v="18-30"/>
    <x v="2"/>
    <s v="NA"/>
    <x v="0"/>
  </r>
  <r>
    <n v="29"/>
    <x v="1"/>
    <x v="1"/>
    <n v="4"/>
    <n v="70"/>
    <s v="Healthcare Representative"/>
    <n v="3"/>
    <n v="3"/>
    <n v="0"/>
    <n v="1"/>
    <s v="Yes"/>
    <n v="4"/>
    <s v="18-30"/>
    <x v="1"/>
    <n v="35"/>
    <x v="2"/>
  </r>
  <r>
    <n v="30"/>
    <x v="1"/>
    <x v="0"/>
    <n v="3"/>
    <n v="94"/>
    <s v="Sales Executive"/>
    <n v="1"/>
    <n v="7"/>
    <n v="1"/>
    <n v="15"/>
    <s v="No"/>
    <n v="3"/>
    <s v="18-30"/>
    <x v="0"/>
    <n v="15"/>
    <x v="1"/>
  </r>
  <r>
    <n v="34"/>
    <x v="1"/>
    <x v="1"/>
    <n v="4"/>
    <n v="97"/>
    <s v="Research Scientist"/>
    <n v="4"/>
    <n v="5"/>
    <n v="1"/>
    <n v="2"/>
    <s v="Yes"/>
    <n v="3"/>
    <s v="31-40"/>
    <x v="0"/>
    <n v="35"/>
    <x v="2"/>
  </r>
  <r>
    <n v="33"/>
    <x v="1"/>
    <x v="0"/>
    <n v="4"/>
    <n v="62"/>
    <s v="Sales Executive"/>
    <n v="2"/>
    <n v="11"/>
    <n v="1"/>
    <n v="2"/>
    <s v="No"/>
    <n v="2"/>
    <s v="31-40"/>
    <x v="1"/>
    <n v="15"/>
    <x v="1"/>
  </r>
  <r>
    <n v="49"/>
    <x v="1"/>
    <x v="0"/>
    <n v="4"/>
    <n v="80"/>
    <s v="Sales Executive"/>
    <n v="4"/>
    <n v="5"/>
    <n v="0"/>
    <n v="11"/>
    <s v="No"/>
    <n v="4"/>
    <s v="41-50"/>
    <x v="4"/>
    <n v="0"/>
    <x v="1"/>
  </r>
  <r>
    <n v="33"/>
    <x v="0"/>
    <x v="0"/>
    <n v="1"/>
    <n v="74"/>
    <s v="Sales Executive"/>
    <n v="1"/>
    <n v="0"/>
    <n v="0"/>
    <n v="16"/>
    <s v="Yes"/>
    <n v="2"/>
    <s v="31-40"/>
    <x v="1"/>
    <s v="NA"/>
    <x v="0"/>
  </r>
  <r>
    <n v="38"/>
    <x v="1"/>
    <x v="1"/>
    <n v="3"/>
    <n v="75"/>
    <s v="Laboratory Technician"/>
    <n v="2"/>
    <n v="6"/>
    <n v="0"/>
    <n v="2"/>
    <s v="No"/>
    <n v="2"/>
    <s v="31-40"/>
    <x v="1"/>
    <n v="15"/>
    <x v="1"/>
  </r>
  <r>
    <n v="31"/>
    <x v="0"/>
    <x v="0"/>
    <n v="1"/>
    <n v="70"/>
    <s v="Sales Executive"/>
    <n v="3"/>
    <n v="1"/>
    <n v="0"/>
    <n v="16"/>
    <s v="No"/>
    <n v="3"/>
    <s v="31-40"/>
    <x v="1"/>
    <s v="NA"/>
    <x v="0"/>
  </r>
  <r>
    <n v="29"/>
    <x v="1"/>
    <x v="1"/>
    <n v="4"/>
    <n v="91"/>
    <s v="Research Scientist"/>
    <n v="1"/>
    <n v="1"/>
    <n v="0"/>
    <n v="4"/>
    <s v="No"/>
    <n v="3"/>
    <s v="18-30"/>
    <x v="0"/>
    <n v="15"/>
    <x v="1"/>
  </r>
  <r>
    <n v="30"/>
    <x v="1"/>
    <x v="1"/>
    <n v="3"/>
    <n v="58"/>
    <s v="Healthcare Representative"/>
    <n v="3"/>
    <n v="7"/>
    <n v="1"/>
    <n v="16"/>
    <s v="No"/>
    <n v="3"/>
    <s v="18-30"/>
    <x v="2"/>
    <n v="0"/>
    <x v="1"/>
  </r>
  <r>
    <n v="32"/>
    <x v="1"/>
    <x v="1"/>
    <n v="2"/>
    <n v="65"/>
    <s v="Research Scientist"/>
    <n v="2"/>
    <n v="7"/>
    <n v="0"/>
    <n v="5"/>
    <s v="No"/>
    <n v="3"/>
    <s v="31-40"/>
    <x v="1"/>
    <n v="30"/>
    <x v="2"/>
  </r>
  <r>
    <n v="38"/>
    <x v="1"/>
    <x v="1"/>
    <n v="2"/>
    <n v="60"/>
    <s v="Healthcare Representative"/>
    <n v="4"/>
    <n v="1"/>
    <n v="1"/>
    <n v="18"/>
    <s v="Yes"/>
    <n v="3"/>
    <s v="31-40"/>
    <x v="2"/>
    <n v="50"/>
    <x v="3"/>
  </r>
  <r>
    <n v="43"/>
    <x v="0"/>
    <x v="1"/>
    <n v="3"/>
    <n v="38"/>
    <s v="Research Scientist"/>
    <n v="3"/>
    <n v="1"/>
    <n v="0"/>
    <n v="17"/>
    <s v="Yes"/>
    <n v="3"/>
    <s v="41-50"/>
    <x v="3"/>
    <s v="NA"/>
    <x v="0"/>
  </r>
  <r>
    <n v="42"/>
    <x v="1"/>
    <x v="1"/>
    <n v="2"/>
    <n v="57"/>
    <s v="Laboratory Technician"/>
    <n v="2"/>
    <n v="5"/>
    <n v="0"/>
    <n v="12"/>
    <s v="No"/>
    <n v="2"/>
    <s v="41-50"/>
    <x v="2"/>
    <n v="30"/>
    <x v="2"/>
  </r>
  <r>
    <n v="55"/>
    <x v="1"/>
    <x v="1"/>
    <n v="3"/>
    <n v="60"/>
    <s v="Research Director"/>
    <n v="1"/>
    <n v="1"/>
    <n v="0"/>
    <n v="2"/>
    <s v="No"/>
    <n v="3"/>
    <s v="51+"/>
    <x v="2"/>
    <n v="15"/>
    <x v="1"/>
  </r>
  <r>
    <n v="33"/>
    <x v="1"/>
    <x v="1"/>
    <n v="4"/>
    <n v="90"/>
    <s v="Research Scientist"/>
    <n v="2"/>
    <n v="9"/>
    <n v="1"/>
    <n v="4"/>
    <s v="No"/>
    <n v="2"/>
    <s v="31-40"/>
    <x v="4"/>
    <n v="15"/>
    <x v="1"/>
  </r>
  <r>
    <n v="41"/>
    <x v="1"/>
    <x v="1"/>
    <n v="3"/>
    <n v="94"/>
    <s v="Laboratory Technician"/>
    <n v="1"/>
    <n v="5"/>
    <n v="0"/>
    <n v="9"/>
    <s v="No"/>
    <n v="3"/>
    <s v="41-50"/>
    <x v="0"/>
    <n v="15"/>
    <x v="1"/>
  </r>
  <r>
    <n v="34"/>
    <x v="1"/>
    <x v="0"/>
    <n v="4"/>
    <n v="87"/>
    <s v="Sales Executive"/>
    <n v="3"/>
    <n v="15"/>
    <n v="0"/>
    <n v="10"/>
    <s v="Yes"/>
    <n v="3"/>
    <s v="31-40"/>
    <x v="4"/>
    <n v="35"/>
    <x v="2"/>
  </r>
  <r>
    <n v="53"/>
    <x v="1"/>
    <x v="1"/>
    <n v="1"/>
    <n v="60"/>
    <s v="Manufacturing Director"/>
    <n v="3"/>
    <n v="3"/>
    <n v="0"/>
    <n v="1"/>
    <s v="Yes"/>
    <n v="2"/>
    <s v="51+"/>
    <x v="2"/>
    <n v="50"/>
    <x v="3"/>
  </r>
  <r>
    <n v="43"/>
    <x v="1"/>
    <x v="2"/>
    <n v="2"/>
    <n v="97"/>
    <s v="Human Resources"/>
    <n v="4"/>
    <n v="9"/>
    <n v="1"/>
    <n v="2"/>
    <s v="No"/>
    <n v="3"/>
    <s v="41-50"/>
    <x v="0"/>
    <n v="15"/>
    <x v="1"/>
  </r>
  <r>
    <n v="34"/>
    <x v="1"/>
    <x v="0"/>
    <n v="4"/>
    <n v="32"/>
    <s v="Sales Executive"/>
    <n v="4"/>
    <n v="2"/>
    <n v="2"/>
    <n v="3"/>
    <s v="No"/>
    <n v="3"/>
    <s v="31-40"/>
    <x v="3"/>
    <n v="0"/>
    <x v="1"/>
  </r>
  <r>
    <n v="21"/>
    <x v="0"/>
    <x v="0"/>
    <n v="2"/>
    <n v="31"/>
    <s v="Sales Representative"/>
    <n v="2"/>
    <n v="1"/>
    <n v="1"/>
    <n v="7"/>
    <s v="No"/>
    <n v="3"/>
    <s v="18-30"/>
    <x v="3"/>
    <s v="NA"/>
    <x v="0"/>
  </r>
  <r>
    <n v="38"/>
    <x v="1"/>
    <x v="1"/>
    <n v="4"/>
    <n v="40"/>
    <s v="Laboratory Technician"/>
    <n v="3"/>
    <n v="5"/>
    <n v="0"/>
    <n v="6"/>
    <s v="No"/>
    <n v="3"/>
    <s v="31-40"/>
    <x v="3"/>
    <n v="0"/>
    <x v="1"/>
  </r>
  <r>
    <n v="22"/>
    <x v="0"/>
    <x v="1"/>
    <n v="3"/>
    <n v="79"/>
    <s v="Laboratory Technician"/>
    <n v="1"/>
    <n v="1"/>
    <n v="0"/>
    <n v="8"/>
    <s v="Yes"/>
    <n v="3"/>
    <s v="18-30"/>
    <x v="4"/>
    <s v="NA"/>
    <x v="0"/>
  </r>
  <r>
    <n v="31"/>
    <x v="1"/>
    <x v="0"/>
    <n v="1"/>
    <n v="91"/>
    <s v="Sales Executive"/>
    <n v="4"/>
    <n v="12"/>
    <n v="5"/>
    <n v="29"/>
    <s v="No"/>
    <n v="3"/>
    <s v="31-40"/>
    <x v="0"/>
    <n v="15"/>
    <x v="1"/>
  </r>
  <r>
    <n v="51"/>
    <x v="1"/>
    <x v="1"/>
    <n v="1"/>
    <n v="53"/>
    <s v="Manager"/>
    <n v="3"/>
    <n v="2"/>
    <n v="2"/>
    <n v="3"/>
    <s v="No"/>
    <n v="3"/>
    <s v="51+"/>
    <x v="2"/>
    <n v="15"/>
    <x v="1"/>
  </r>
  <r>
    <n v="37"/>
    <x v="1"/>
    <x v="0"/>
    <n v="2"/>
    <n v="46"/>
    <s v="Sales Executive"/>
    <n v="2"/>
    <n v="5"/>
    <n v="0"/>
    <n v="9"/>
    <s v="No"/>
    <n v="3"/>
    <s v="31-40"/>
    <x v="2"/>
    <n v="30"/>
    <x v="2"/>
  </r>
  <r>
    <n v="46"/>
    <x v="1"/>
    <x v="1"/>
    <n v="3"/>
    <n v="46"/>
    <s v="Research Director"/>
    <n v="4"/>
    <n v="2"/>
    <n v="2"/>
    <n v="2"/>
    <s v="Yes"/>
    <n v="3"/>
    <s v="41-50"/>
    <x v="2"/>
    <n v="35"/>
    <x v="2"/>
  </r>
  <r>
    <n v="36"/>
    <x v="1"/>
    <x v="1"/>
    <n v="4"/>
    <n v="90"/>
    <s v="Healthcare Representative"/>
    <n v="1"/>
    <n v="12"/>
    <n v="5"/>
    <n v="10"/>
    <s v="Yes"/>
    <n v="3"/>
    <s v="31-40"/>
    <x v="4"/>
    <n v="50"/>
    <x v="3"/>
  </r>
  <r>
    <n v="44"/>
    <x v="0"/>
    <x v="1"/>
    <n v="3"/>
    <n v="99"/>
    <s v="Research Scientist"/>
    <n v="2"/>
    <n v="5"/>
    <n v="2"/>
    <n v="1"/>
    <s v="Yes"/>
    <n v="2"/>
    <s v="41-50"/>
    <x v="0"/>
    <s v="NA"/>
    <x v="0"/>
  </r>
  <r>
    <n v="37"/>
    <x v="1"/>
    <x v="2"/>
    <n v="3"/>
    <n v="89"/>
    <s v="Human Resources"/>
    <n v="2"/>
    <n v="10"/>
    <n v="4"/>
    <n v="8"/>
    <s v="No"/>
    <n v="2"/>
    <s v="31-40"/>
    <x v="4"/>
    <n v="15"/>
    <x v="1"/>
  </r>
  <r>
    <n v="35"/>
    <x v="0"/>
    <x v="0"/>
    <n v="3"/>
    <n v="84"/>
    <s v="Sales Executive"/>
    <n v="4"/>
    <n v="10"/>
    <n v="7"/>
    <n v="27"/>
    <s v="Yes"/>
    <n v="3"/>
    <s v="31-40"/>
    <x v="4"/>
    <s v="NA"/>
    <x v="0"/>
  </r>
  <r>
    <n v="33"/>
    <x v="1"/>
    <x v="1"/>
    <n v="4"/>
    <n v="90"/>
    <s v="Research Scientist"/>
    <n v="1"/>
    <n v="10"/>
    <n v="7"/>
    <n v="8"/>
    <s v="No"/>
    <n v="3"/>
    <s v="31-40"/>
    <x v="4"/>
    <n v="15"/>
    <x v="1"/>
  </r>
  <r>
    <n v="28"/>
    <x v="1"/>
    <x v="1"/>
    <n v="3"/>
    <n v="82"/>
    <s v="Research Scientist"/>
    <n v="4"/>
    <n v="5"/>
    <n v="0"/>
    <n v="1"/>
    <s v="No"/>
    <n v="4"/>
    <s v="18-30"/>
    <x v="4"/>
    <n v="0"/>
    <x v="1"/>
  </r>
  <r>
    <n v="39"/>
    <x v="1"/>
    <x v="1"/>
    <n v="3"/>
    <n v="65"/>
    <s v="Research Director"/>
    <n v="3"/>
    <n v="4"/>
    <n v="2"/>
    <n v="10"/>
    <s v="No"/>
    <n v="3"/>
    <s v="31-40"/>
    <x v="1"/>
    <n v="0"/>
    <x v="1"/>
  </r>
  <r>
    <n v="46"/>
    <x v="1"/>
    <x v="0"/>
    <n v="2"/>
    <n v="98"/>
    <s v="Sales Executive"/>
    <n v="2"/>
    <n v="2"/>
    <n v="2"/>
    <n v="26"/>
    <s v="No"/>
    <n v="3"/>
    <s v="41-50"/>
    <x v="0"/>
    <n v="30"/>
    <x v="2"/>
  </r>
  <r>
    <n v="40"/>
    <x v="1"/>
    <x v="1"/>
    <n v="3"/>
    <n v="99"/>
    <s v="Laboratory Technician"/>
    <n v="1"/>
    <n v="4"/>
    <n v="0"/>
    <n v="2"/>
    <s v="No"/>
    <n v="2"/>
    <s v="31-40"/>
    <x v="0"/>
    <n v="15"/>
    <x v="1"/>
  </r>
  <r>
    <n v="42"/>
    <x v="1"/>
    <x v="1"/>
    <n v="2"/>
    <n v="95"/>
    <s v="Healthcare Representative"/>
    <n v="1"/>
    <n v="0"/>
    <n v="0"/>
    <n v="13"/>
    <s v="No"/>
    <n v="2"/>
    <s v="41-50"/>
    <x v="0"/>
    <n v="30"/>
    <x v="2"/>
  </r>
  <r>
    <n v="35"/>
    <x v="1"/>
    <x v="1"/>
    <n v="2"/>
    <n v="90"/>
    <s v="Manufacturing Director"/>
    <n v="4"/>
    <n v="7"/>
    <n v="1"/>
    <n v="2"/>
    <s v="No"/>
    <n v="3"/>
    <s v="31-40"/>
    <x v="4"/>
    <n v="15"/>
    <x v="1"/>
  </r>
  <r>
    <n v="38"/>
    <x v="1"/>
    <x v="2"/>
    <n v="1"/>
    <n v="100"/>
    <s v="Human Resources"/>
    <n v="2"/>
    <n v="11"/>
    <n v="3"/>
    <n v="2"/>
    <s v="No"/>
    <n v="3"/>
    <s v="31-40"/>
    <x v="0"/>
    <n v="30"/>
    <x v="2"/>
  </r>
  <r>
    <n v="34"/>
    <x v="0"/>
    <x v="1"/>
    <n v="4"/>
    <n v="93"/>
    <s v="Laboratory Technician"/>
    <n v="1"/>
    <n v="7"/>
    <n v="0"/>
    <n v="9"/>
    <s v="No"/>
    <n v="2"/>
    <s v="31-40"/>
    <x v="0"/>
    <s v="NA"/>
    <x v="0"/>
  </r>
  <r>
    <n v="37"/>
    <x v="0"/>
    <x v="1"/>
    <n v="4"/>
    <n v="58"/>
    <s v="Manufacturing Director"/>
    <n v="1"/>
    <n v="10"/>
    <n v="0"/>
    <n v="10"/>
    <s v="No"/>
    <n v="1"/>
    <s v="31-40"/>
    <x v="2"/>
    <s v="NA"/>
    <x v="0"/>
  </r>
  <r>
    <n v="39"/>
    <x v="1"/>
    <x v="0"/>
    <n v="3"/>
    <n v="83"/>
    <s v="Sales Executive"/>
    <n v="4"/>
    <n v="2"/>
    <n v="2"/>
    <n v="20"/>
    <s v="No"/>
    <n v="3"/>
    <s v="31-40"/>
    <x v="4"/>
    <n v="0"/>
    <x v="1"/>
  </r>
  <r>
    <n v="43"/>
    <x v="1"/>
    <x v="1"/>
    <n v="1"/>
    <n v="52"/>
    <s v="Research Scientist"/>
    <n v="3"/>
    <n v="3"/>
    <n v="1"/>
    <n v="9"/>
    <s v="No"/>
    <n v="2"/>
    <s v="41-50"/>
    <x v="2"/>
    <n v="15"/>
    <x v="1"/>
  </r>
  <r>
    <n v="41"/>
    <x v="1"/>
    <x v="1"/>
    <n v="2"/>
    <n v="85"/>
    <s v="Healthcare Representative"/>
    <n v="2"/>
    <n v="3"/>
    <n v="1"/>
    <n v="5"/>
    <s v="No"/>
    <n v="1"/>
    <s v="41-50"/>
    <x v="4"/>
    <n v="65"/>
    <x v="3"/>
  </r>
  <r>
    <n v="41"/>
    <x v="1"/>
    <x v="0"/>
    <n v="3"/>
    <n v="81"/>
    <s v="Sales Executive"/>
    <n v="3"/>
    <n v="22"/>
    <n v="13"/>
    <n v="4"/>
    <s v="Yes"/>
    <n v="4"/>
    <s v="41-50"/>
    <x v="4"/>
    <n v="35"/>
    <x v="2"/>
  </r>
  <r>
    <n v="30"/>
    <x v="1"/>
    <x v="1"/>
    <n v="1"/>
    <n v="64"/>
    <s v="Manufacturing Director"/>
    <n v="3"/>
    <n v="7"/>
    <n v="0"/>
    <n v="10"/>
    <s v="No"/>
    <n v="3"/>
    <s v="18-30"/>
    <x v="1"/>
    <n v="15"/>
    <x v="1"/>
  </r>
  <r>
    <n v="26"/>
    <x v="0"/>
    <x v="2"/>
    <n v="4"/>
    <n v="69"/>
    <s v="Human Resources"/>
    <n v="2"/>
    <n v="5"/>
    <n v="1"/>
    <n v="20"/>
    <s v="Yes"/>
    <n v="3"/>
    <s v="18-30"/>
    <x v="1"/>
    <s v="NA"/>
    <x v="0"/>
  </r>
  <r>
    <n v="46"/>
    <x v="0"/>
    <x v="1"/>
    <n v="4"/>
    <n v="66"/>
    <s v="Healthcare Representative"/>
    <n v="2"/>
    <n v="9"/>
    <n v="3"/>
    <n v="21"/>
    <s v="No"/>
    <n v="4"/>
    <s v="41-50"/>
    <x v="1"/>
    <s v="NA"/>
    <x v="0"/>
  </r>
  <r>
    <n v="40"/>
    <x v="1"/>
    <x v="1"/>
    <n v="3"/>
    <n v="52"/>
    <s v="Healthcare Representative"/>
    <n v="4"/>
    <n v="5"/>
    <n v="0"/>
    <n v="1"/>
    <s v="No"/>
    <n v="3"/>
    <s v="31-40"/>
    <x v="2"/>
    <n v="0"/>
    <x v="1"/>
  </r>
  <r>
    <n v="34"/>
    <x v="1"/>
    <x v="0"/>
    <n v="2"/>
    <n v="92"/>
    <s v="Sales Executive"/>
    <n v="3"/>
    <n v="10"/>
    <n v="4"/>
    <n v="8"/>
    <s v="No"/>
    <n v="3"/>
    <s v="31-40"/>
    <x v="0"/>
    <n v="15"/>
    <x v="1"/>
  </r>
  <r>
    <n v="58"/>
    <x v="1"/>
    <x v="0"/>
    <n v="2"/>
    <n v="52"/>
    <s v="Manager"/>
    <n v="2"/>
    <n v="16"/>
    <n v="14"/>
    <n v="2"/>
    <s v="No"/>
    <n v="2"/>
    <s v="51+"/>
    <x v="2"/>
    <n v="30"/>
    <x v="2"/>
  </r>
  <r>
    <n v="35"/>
    <x v="1"/>
    <x v="1"/>
    <n v="2"/>
    <n v="91"/>
    <s v="Laboratory Technician"/>
    <n v="3"/>
    <n v="5"/>
    <n v="0"/>
    <n v="23"/>
    <s v="No"/>
    <n v="4"/>
    <s v="31-40"/>
    <x v="0"/>
    <n v="15"/>
    <x v="1"/>
  </r>
  <r>
    <n v="47"/>
    <x v="1"/>
    <x v="1"/>
    <n v="3"/>
    <n v="92"/>
    <s v="Manufacturing Director"/>
    <n v="2"/>
    <n v="22"/>
    <n v="14"/>
    <n v="4"/>
    <s v="Yes"/>
    <n v="3"/>
    <s v="41-50"/>
    <x v="0"/>
    <n v="50"/>
    <x v="3"/>
  </r>
  <r>
    <n v="40"/>
    <x v="1"/>
    <x v="1"/>
    <n v="2"/>
    <n v="47"/>
    <s v="Healthcare Representative"/>
    <n v="1"/>
    <n v="7"/>
    <n v="7"/>
    <n v="12"/>
    <s v="No"/>
    <n v="3"/>
    <s v="31-40"/>
    <x v="2"/>
    <n v="30"/>
    <x v="2"/>
  </r>
  <r>
    <n v="54"/>
    <x v="1"/>
    <x v="1"/>
    <n v="4"/>
    <n v="68"/>
    <s v="Research Scientist"/>
    <n v="4"/>
    <n v="7"/>
    <n v="1"/>
    <n v="7"/>
    <s v="No"/>
    <n v="2"/>
    <s v="51+"/>
    <x v="1"/>
    <n v="0"/>
    <x v="1"/>
  </r>
  <r>
    <n v="31"/>
    <x v="1"/>
    <x v="0"/>
    <n v="1"/>
    <n v="68"/>
    <s v="Sales Executive"/>
    <n v="1"/>
    <n v="3"/>
    <n v="2"/>
    <n v="7"/>
    <s v="No"/>
    <n v="3"/>
    <s v="31-40"/>
    <x v="1"/>
    <n v="30"/>
    <x v="2"/>
  </r>
  <r>
    <n v="28"/>
    <x v="1"/>
    <x v="1"/>
    <n v="3"/>
    <n v="67"/>
    <s v="Research Scientist"/>
    <n v="1"/>
    <n v="3"/>
    <n v="1"/>
    <n v="1"/>
    <s v="No"/>
    <n v="3"/>
    <s v="18-30"/>
    <x v="1"/>
    <n v="15"/>
    <x v="1"/>
  </r>
  <r>
    <n v="38"/>
    <x v="1"/>
    <x v="0"/>
    <n v="2"/>
    <n v="77"/>
    <s v="Sales Representative"/>
    <n v="4"/>
    <n v="4"/>
    <n v="0"/>
    <n v="2"/>
    <s v="Yes"/>
    <n v="2"/>
    <s v="31-40"/>
    <x v="4"/>
    <n v="50"/>
    <x v="3"/>
  </r>
  <r>
    <n v="26"/>
    <x v="1"/>
    <x v="0"/>
    <n v="3"/>
    <n v="46"/>
    <s v="Sales Executive"/>
    <n v="4"/>
    <n v="5"/>
    <n v="1"/>
    <n v="10"/>
    <s v="No"/>
    <n v="3"/>
    <s v="18-30"/>
    <x v="2"/>
    <n v="0"/>
    <x v="1"/>
  </r>
  <r>
    <n v="58"/>
    <x v="1"/>
    <x v="1"/>
    <n v="1"/>
    <n v="87"/>
    <s v="Research Director"/>
    <n v="3"/>
    <n v="2"/>
    <n v="2"/>
    <n v="15"/>
    <s v="Yes"/>
    <n v="3"/>
    <s v="51+"/>
    <x v="4"/>
    <n v="50"/>
    <x v="3"/>
  </r>
  <r>
    <n v="18"/>
    <x v="1"/>
    <x v="1"/>
    <n v="2"/>
    <n v="33"/>
    <s v="Research Scientist"/>
    <n v="3"/>
    <n v="0"/>
    <n v="0"/>
    <n v="14"/>
    <s v="No"/>
    <n v="1"/>
    <s v="18-30"/>
    <x v="3"/>
    <n v="50"/>
    <x v="3"/>
  </r>
  <r>
    <n v="31"/>
    <x v="0"/>
    <x v="2"/>
    <n v="4"/>
    <n v="89"/>
    <s v="Human Resources"/>
    <n v="1"/>
    <n v="1"/>
    <n v="0"/>
    <n v="18"/>
    <s v="No"/>
    <n v="3"/>
    <s v="31-40"/>
    <x v="4"/>
    <s v="NA"/>
    <x v="0"/>
  </r>
  <r>
    <n v="29"/>
    <x v="0"/>
    <x v="2"/>
    <n v="1"/>
    <n v="56"/>
    <s v="Human Resources"/>
    <n v="1"/>
    <n v="2"/>
    <n v="2"/>
    <n v="13"/>
    <s v="Yes"/>
    <n v="3"/>
    <s v="18-30"/>
    <x v="2"/>
    <s v="NA"/>
    <x v="0"/>
  </r>
  <r>
    <n v="45"/>
    <x v="1"/>
    <x v="0"/>
    <n v="3"/>
    <n v="67"/>
    <s v="Sales Executive"/>
    <n v="3"/>
    <n v="8"/>
    <n v="5"/>
    <n v="2"/>
    <s v="No"/>
    <n v="4"/>
    <s v="41-50"/>
    <x v="1"/>
    <n v="0"/>
    <x v="1"/>
  </r>
  <r>
    <n v="36"/>
    <x v="1"/>
    <x v="1"/>
    <n v="4"/>
    <n v="73"/>
    <s v="Research Scientist"/>
    <n v="2"/>
    <n v="1"/>
    <n v="0"/>
    <n v="2"/>
    <s v="Yes"/>
    <n v="3"/>
    <s v="31-40"/>
    <x v="1"/>
    <n v="50"/>
    <x v="3"/>
  </r>
  <r>
    <n v="43"/>
    <x v="1"/>
    <x v="0"/>
    <n v="1"/>
    <n v="92"/>
    <s v="Sales Executive"/>
    <n v="4"/>
    <n v="7"/>
    <n v="7"/>
    <n v="2"/>
    <s v="No"/>
    <n v="3"/>
    <s v="41-50"/>
    <x v="0"/>
    <n v="15"/>
    <x v="1"/>
  </r>
  <r>
    <n v="27"/>
    <x v="1"/>
    <x v="1"/>
    <n v="4"/>
    <n v="53"/>
    <s v="Laboratory Technician"/>
    <n v="4"/>
    <n v="5"/>
    <n v="0"/>
    <n v="5"/>
    <s v="Yes"/>
    <n v="2"/>
    <s v="18-30"/>
    <x v="2"/>
    <n v="35"/>
    <x v="2"/>
  </r>
  <r>
    <n v="29"/>
    <x v="1"/>
    <x v="1"/>
    <n v="4"/>
    <n v="40"/>
    <s v="Laboratory Technician"/>
    <n v="4"/>
    <n v="11"/>
    <n v="3"/>
    <n v="20"/>
    <s v="No"/>
    <n v="4"/>
    <s v="18-30"/>
    <x v="3"/>
    <n v="0"/>
    <x v="1"/>
  </r>
  <r>
    <n v="32"/>
    <x v="1"/>
    <x v="0"/>
    <n v="4"/>
    <n v="79"/>
    <s v="Sales Executive"/>
    <n v="4"/>
    <n v="0"/>
    <n v="0"/>
    <n v="10"/>
    <s v="No"/>
    <n v="4"/>
    <s v="31-40"/>
    <x v="4"/>
    <n v="0"/>
    <x v="1"/>
  </r>
  <r>
    <n v="42"/>
    <x v="1"/>
    <x v="1"/>
    <n v="3"/>
    <n v="38"/>
    <s v="Research Scientist"/>
    <n v="3"/>
    <n v="6"/>
    <n v="3"/>
    <n v="10"/>
    <s v="No"/>
    <n v="2"/>
    <s v="41-50"/>
    <x v="3"/>
    <n v="0"/>
    <x v="1"/>
  </r>
  <r>
    <n v="47"/>
    <x v="1"/>
    <x v="1"/>
    <n v="2"/>
    <n v="64"/>
    <s v="Laboratory Technician"/>
    <n v="3"/>
    <n v="2"/>
    <n v="2"/>
    <n v="9"/>
    <s v="No"/>
    <n v="3"/>
    <s v="41-50"/>
    <x v="1"/>
    <n v="15"/>
    <x v="1"/>
  </r>
  <r>
    <n v="46"/>
    <x v="1"/>
    <x v="1"/>
    <n v="4"/>
    <n v="82"/>
    <s v="Manufacturing Director"/>
    <n v="4"/>
    <n v="9"/>
    <n v="4"/>
    <n v="2"/>
    <s v="No"/>
    <n v="2"/>
    <s v="41-50"/>
    <x v="4"/>
    <n v="0"/>
    <x v="1"/>
  </r>
  <r>
    <n v="28"/>
    <x v="1"/>
    <x v="2"/>
    <n v="3"/>
    <n v="43"/>
    <s v="Human Resources"/>
    <n v="4"/>
    <n v="3"/>
    <n v="2"/>
    <n v="1"/>
    <s v="No"/>
    <n v="3"/>
    <s v="18-30"/>
    <x v="3"/>
    <n v="0"/>
    <x v="1"/>
  </r>
  <r>
    <n v="29"/>
    <x v="1"/>
    <x v="1"/>
    <n v="4"/>
    <n v="93"/>
    <s v="Healthcare Representative"/>
    <n v="3"/>
    <n v="7"/>
    <n v="1"/>
    <n v="29"/>
    <s v="No"/>
    <n v="3"/>
    <s v="18-30"/>
    <x v="0"/>
    <n v="0"/>
    <x v="1"/>
  </r>
  <r>
    <n v="42"/>
    <x v="1"/>
    <x v="1"/>
    <n v="4"/>
    <n v="81"/>
    <s v="Laboratory Technician"/>
    <n v="3"/>
    <n v="0"/>
    <n v="0"/>
    <n v="8"/>
    <s v="No"/>
    <n v="3"/>
    <s v="41-50"/>
    <x v="4"/>
    <n v="0"/>
    <x v="1"/>
  </r>
  <r>
    <n v="32"/>
    <x v="0"/>
    <x v="0"/>
    <n v="3"/>
    <n v="82"/>
    <s v="Sales Executive"/>
    <n v="2"/>
    <n v="2"/>
    <n v="2"/>
    <n v="2"/>
    <s v="Yes"/>
    <n v="2"/>
    <s v="31-40"/>
    <x v="4"/>
    <s v="NA"/>
    <x v="0"/>
  </r>
  <r>
    <n v="46"/>
    <x v="1"/>
    <x v="0"/>
    <n v="1"/>
    <n v="45"/>
    <s v="Sales Executive"/>
    <n v="1"/>
    <n v="19"/>
    <n v="2"/>
    <n v="3"/>
    <s v="No"/>
    <n v="3"/>
    <s v="41-50"/>
    <x v="3"/>
    <n v="30"/>
    <x v="2"/>
  </r>
  <r>
    <n v="27"/>
    <x v="1"/>
    <x v="0"/>
    <n v="2"/>
    <n v="36"/>
    <s v="Sales Representative"/>
    <n v="3"/>
    <n v="9"/>
    <n v="5"/>
    <n v="23"/>
    <s v="No"/>
    <n v="3"/>
    <s v="18-30"/>
    <x v="3"/>
    <n v="15"/>
    <x v="1"/>
  </r>
  <r>
    <n v="29"/>
    <x v="1"/>
    <x v="2"/>
    <n v="4"/>
    <n v="87"/>
    <s v="Human Resources"/>
    <n v="2"/>
    <n v="1"/>
    <n v="0"/>
    <n v="6"/>
    <s v="No"/>
    <n v="3"/>
    <s v="18-30"/>
    <x v="4"/>
    <n v="15"/>
    <x v="1"/>
  </r>
  <r>
    <n v="43"/>
    <x v="1"/>
    <x v="1"/>
    <n v="1"/>
    <n v="81"/>
    <s v="Manager"/>
    <n v="3"/>
    <n v="16"/>
    <n v="6"/>
    <n v="6"/>
    <s v="No"/>
    <n v="3"/>
    <s v="41-50"/>
    <x v="4"/>
    <n v="15"/>
    <x v="1"/>
  </r>
  <r>
    <n v="48"/>
    <x v="1"/>
    <x v="1"/>
    <n v="4"/>
    <n v="91"/>
    <s v="Research Director"/>
    <n v="2"/>
    <n v="22"/>
    <n v="12"/>
    <n v="10"/>
    <s v="No"/>
    <n v="3"/>
    <s v="41-50"/>
    <x v="0"/>
    <n v="15"/>
    <x v="1"/>
  </r>
  <r>
    <n v="29"/>
    <x v="0"/>
    <x v="1"/>
    <n v="4"/>
    <n v="73"/>
    <s v="Research Scientist"/>
    <n v="4"/>
    <n v="1"/>
    <n v="1"/>
    <n v="24"/>
    <s v="Yes"/>
    <n v="2"/>
    <s v="18-30"/>
    <x v="1"/>
    <s v="NA"/>
    <x v="0"/>
  </r>
  <r>
    <n v="46"/>
    <x v="0"/>
    <x v="0"/>
    <n v="3"/>
    <n v="64"/>
    <s v="Sales Executive"/>
    <n v="2"/>
    <n v="8"/>
    <n v="0"/>
    <n v="10"/>
    <s v="No"/>
    <n v="3"/>
    <s v="41-50"/>
    <x v="1"/>
    <s v="NA"/>
    <x v="0"/>
  </r>
  <r>
    <n v="27"/>
    <x v="1"/>
    <x v="1"/>
    <n v="4"/>
    <n v="77"/>
    <s v="Research Scientist"/>
    <n v="1"/>
    <n v="7"/>
    <n v="7"/>
    <n v="15"/>
    <s v="No"/>
    <n v="2"/>
    <s v="18-30"/>
    <x v="4"/>
    <n v="15"/>
    <x v="1"/>
  </r>
  <r>
    <n v="39"/>
    <x v="1"/>
    <x v="1"/>
    <n v="4"/>
    <n v="41"/>
    <s v="Research Scientist"/>
    <n v="4"/>
    <n v="2"/>
    <n v="2"/>
    <n v="19"/>
    <s v="No"/>
    <n v="3"/>
    <s v="31-40"/>
    <x v="3"/>
    <n v="0"/>
    <x v="1"/>
  </r>
  <r>
    <n v="55"/>
    <x v="1"/>
    <x v="1"/>
    <n v="2"/>
    <n v="98"/>
    <s v="Research Scientist"/>
    <n v="4"/>
    <n v="5"/>
    <n v="0"/>
    <n v="2"/>
    <s v="No"/>
    <n v="4"/>
    <s v="51+"/>
    <x v="0"/>
    <n v="15"/>
    <x v="1"/>
  </r>
  <r>
    <n v="28"/>
    <x v="1"/>
    <x v="0"/>
    <n v="2"/>
    <n v="78"/>
    <s v="Sales Representative"/>
    <n v="2"/>
    <n v="1"/>
    <n v="0"/>
    <n v="3"/>
    <s v="No"/>
    <n v="3"/>
    <s v="18-30"/>
    <x v="4"/>
    <n v="30"/>
    <x v="2"/>
  </r>
  <r>
    <n v="30"/>
    <x v="0"/>
    <x v="0"/>
    <n v="2"/>
    <n v="89"/>
    <s v="Sales Representative"/>
    <n v="4"/>
    <n v="1"/>
    <n v="0"/>
    <n v="9"/>
    <s v="No"/>
    <n v="2"/>
    <s v="18-30"/>
    <x v="4"/>
    <s v="NA"/>
    <x v="0"/>
  </r>
  <r>
    <n v="22"/>
    <x v="0"/>
    <x v="1"/>
    <n v="4"/>
    <n v="75"/>
    <s v="Research Scientist"/>
    <n v="2"/>
    <n v="1"/>
    <n v="0"/>
    <n v="7"/>
    <s v="Yes"/>
    <n v="3"/>
    <s v="18-30"/>
    <x v="1"/>
    <s v="NA"/>
    <x v="0"/>
  </r>
  <r>
    <n v="36"/>
    <x v="1"/>
    <x v="0"/>
    <n v="2"/>
    <n v="63"/>
    <s v="Sales Executive"/>
    <n v="3"/>
    <n v="10"/>
    <n v="1"/>
    <n v="10"/>
    <s v="Yes"/>
    <n v="3"/>
    <s v="31-40"/>
    <x v="1"/>
    <n v="50"/>
    <x v="3"/>
  </r>
  <r>
    <n v="31"/>
    <x v="1"/>
    <x v="1"/>
    <n v="2"/>
    <n v="89"/>
    <s v="Laboratory Technician"/>
    <n v="3"/>
    <n v="10"/>
    <n v="0"/>
    <n v="20"/>
    <s v="No"/>
    <n v="3"/>
    <s v="31-40"/>
    <x v="4"/>
    <n v="15"/>
    <x v="1"/>
  </r>
  <r>
    <n v="34"/>
    <x v="1"/>
    <x v="0"/>
    <n v="3"/>
    <n v="64"/>
    <s v="Sales Executive"/>
    <n v="4"/>
    <n v="5"/>
    <n v="1"/>
    <n v="4"/>
    <s v="Yes"/>
    <n v="3"/>
    <s v="31-40"/>
    <x v="1"/>
    <n v="35"/>
    <x v="2"/>
  </r>
  <r>
    <n v="29"/>
    <x v="1"/>
    <x v="1"/>
    <n v="4"/>
    <n v="59"/>
    <s v="Laboratory Technician"/>
    <n v="1"/>
    <n v="3"/>
    <n v="1"/>
    <n v="7"/>
    <s v="No"/>
    <n v="3"/>
    <s v="18-30"/>
    <x v="2"/>
    <n v="15"/>
    <x v="1"/>
  </r>
  <r>
    <n v="37"/>
    <x v="1"/>
    <x v="1"/>
    <n v="4"/>
    <n v="78"/>
    <s v="Research Scientist"/>
    <n v="1"/>
    <n v="5"/>
    <n v="0"/>
    <n v="7"/>
    <s v="Yes"/>
    <n v="3"/>
    <s v="31-40"/>
    <x v="4"/>
    <n v="50"/>
    <x v="3"/>
  </r>
  <r>
    <n v="35"/>
    <x v="1"/>
    <x v="1"/>
    <n v="4"/>
    <n v="44"/>
    <s v="Manufacturing Director"/>
    <n v="2"/>
    <n v="3"/>
    <n v="0"/>
    <n v="16"/>
    <s v="Yes"/>
    <n v="3"/>
    <s v="31-40"/>
    <x v="3"/>
    <n v="50"/>
    <x v="3"/>
  </r>
  <r>
    <n v="45"/>
    <x v="1"/>
    <x v="1"/>
    <n v="2"/>
    <n v="93"/>
    <s v="Manufacturing Director"/>
    <n v="4"/>
    <n v="9"/>
    <n v="3"/>
    <n v="25"/>
    <s v="No"/>
    <n v="2"/>
    <s v="41-50"/>
    <x v="0"/>
    <n v="15"/>
    <x v="1"/>
  </r>
  <r>
    <n v="36"/>
    <x v="1"/>
    <x v="2"/>
    <n v="2"/>
    <n v="94"/>
    <s v="Human Resources"/>
    <n v="4"/>
    <n v="10"/>
    <n v="0"/>
    <n v="2"/>
    <s v="No"/>
    <n v="2"/>
    <s v="31-40"/>
    <x v="0"/>
    <n v="15"/>
    <x v="1"/>
  </r>
  <r>
    <n v="40"/>
    <x v="1"/>
    <x v="1"/>
    <n v="1"/>
    <n v="98"/>
    <s v="Manager"/>
    <n v="1"/>
    <n v="19"/>
    <n v="11"/>
    <n v="1"/>
    <s v="No"/>
    <n v="3"/>
    <s v="31-40"/>
    <x v="0"/>
    <n v="30"/>
    <x v="2"/>
  </r>
  <r>
    <n v="26"/>
    <x v="1"/>
    <x v="1"/>
    <n v="2"/>
    <n v="90"/>
    <s v="Research Scientist"/>
    <n v="3"/>
    <n v="1"/>
    <n v="1"/>
    <n v="1"/>
    <s v="Yes"/>
    <n v="2"/>
    <s v="18-30"/>
    <x v="4"/>
    <n v="50"/>
    <x v="3"/>
  </r>
  <r>
    <n v="27"/>
    <x v="1"/>
    <x v="0"/>
    <n v="1"/>
    <n v="89"/>
    <s v="Sales Executive"/>
    <n v="3"/>
    <n v="8"/>
    <n v="0"/>
    <n v="2"/>
    <s v="No"/>
    <n v="2"/>
    <s v="18-30"/>
    <x v="4"/>
    <n v="15"/>
    <x v="1"/>
  </r>
  <r>
    <n v="48"/>
    <x v="1"/>
    <x v="1"/>
    <n v="4"/>
    <n v="58"/>
    <s v="Manager"/>
    <n v="4"/>
    <n v="22"/>
    <n v="4"/>
    <n v="22"/>
    <s v="No"/>
    <n v="3"/>
    <s v="41-50"/>
    <x v="2"/>
    <n v="0"/>
    <x v="1"/>
  </r>
  <r>
    <n v="44"/>
    <x v="1"/>
    <x v="1"/>
    <n v="2"/>
    <n v="78"/>
    <s v="Healthcare Representative"/>
    <n v="1"/>
    <n v="2"/>
    <n v="2"/>
    <n v="1"/>
    <s v="No"/>
    <n v="3"/>
    <s v="41-50"/>
    <x v="4"/>
    <n v="30"/>
    <x v="2"/>
  </r>
  <r>
    <n v="34"/>
    <x v="0"/>
    <x v="1"/>
    <n v="4"/>
    <n v="85"/>
    <s v="Research Scientist"/>
    <n v="1"/>
    <n v="5"/>
    <n v="3"/>
    <n v="16"/>
    <s v="Yes"/>
    <n v="3"/>
    <s v="31-40"/>
    <x v="4"/>
    <s v="NA"/>
    <x v="0"/>
  </r>
  <r>
    <n v="56"/>
    <x v="0"/>
    <x v="1"/>
    <n v="1"/>
    <n v="97"/>
    <s v="Laboratory Technician"/>
    <n v="4"/>
    <n v="4"/>
    <n v="1"/>
    <n v="24"/>
    <s v="No"/>
    <n v="3"/>
    <s v="51+"/>
    <x v="0"/>
    <s v="NA"/>
    <x v="0"/>
  </r>
  <r>
    <n v="36"/>
    <x v="1"/>
    <x v="0"/>
    <n v="3"/>
    <n v="33"/>
    <s v="Sales Executive"/>
    <n v="2"/>
    <n v="4"/>
    <n v="1"/>
    <n v="17"/>
    <s v="No"/>
    <n v="1"/>
    <s v="31-40"/>
    <x v="3"/>
    <n v="50"/>
    <x v="3"/>
  </r>
  <r>
    <n v="41"/>
    <x v="1"/>
    <x v="0"/>
    <n v="3"/>
    <n v="54"/>
    <s v="Sales Executive"/>
    <n v="2"/>
    <n v="5"/>
    <n v="1"/>
    <n v="8"/>
    <s v="No"/>
    <n v="3"/>
    <s v="41-50"/>
    <x v="2"/>
    <n v="15"/>
    <x v="1"/>
  </r>
  <r>
    <n v="42"/>
    <x v="1"/>
    <x v="1"/>
    <n v="3"/>
    <n v="83"/>
    <s v="Research Director"/>
    <n v="1"/>
    <n v="13"/>
    <n v="5"/>
    <n v="6"/>
    <s v="No"/>
    <n v="4"/>
    <s v="41-50"/>
    <x v="4"/>
    <n v="15"/>
    <x v="1"/>
  </r>
  <r>
    <n v="31"/>
    <x v="1"/>
    <x v="0"/>
    <n v="3"/>
    <n v="86"/>
    <s v="Sales Executive"/>
    <n v="4"/>
    <n v="5"/>
    <n v="1"/>
    <n v="10"/>
    <s v="Yes"/>
    <n v="3"/>
    <s v="31-40"/>
    <x v="4"/>
    <n v="35"/>
    <x v="2"/>
  </r>
  <r>
    <n v="34"/>
    <x v="1"/>
    <x v="0"/>
    <n v="4"/>
    <n v="75"/>
    <s v="Sales Executive"/>
    <n v="4"/>
    <n v="4"/>
    <n v="0"/>
    <n v="3"/>
    <s v="Yes"/>
    <n v="2"/>
    <s v="31-40"/>
    <x v="1"/>
    <n v="35"/>
    <x v="2"/>
  </r>
  <r>
    <n v="31"/>
    <x v="1"/>
    <x v="1"/>
    <n v="1"/>
    <n v="62"/>
    <s v="Laboratory Technician"/>
    <n v="3"/>
    <n v="2"/>
    <n v="2"/>
    <n v="4"/>
    <s v="No"/>
    <n v="2"/>
    <s v="31-40"/>
    <x v="1"/>
    <n v="15"/>
    <x v="1"/>
  </r>
  <r>
    <n v="26"/>
    <x v="1"/>
    <x v="1"/>
    <n v="3"/>
    <n v="61"/>
    <s v="Laboratory Technician"/>
    <n v="4"/>
    <n v="7"/>
    <n v="7"/>
    <n v="6"/>
    <s v="No"/>
    <n v="3"/>
    <s v="18-30"/>
    <x v="1"/>
    <n v="0"/>
    <x v="1"/>
  </r>
  <r>
    <n v="45"/>
    <x v="1"/>
    <x v="1"/>
    <n v="2"/>
    <n v="44"/>
    <s v="Healthcare Representative"/>
    <n v="3"/>
    <n v="4"/>
    <n v="0"/>
    <n v="1"/>
    <s v="No"/>
    <n v="3"/>
    <s v="41-50"/>
    <x v="3"/>
    <n v="15"/>
    <x v="1"/>
  </r>
  <r>
    <n v="33"/>
    <x v="1"/>
    <x v="0"/>
    <n v="2"/>
    <n v="43"/>
    <s v="Sales Executive"/>
    <n v="3"/>
    <n v="10"/>
    <n v="0"/>
    <n v="10"/>
    <s v="No"/>
    <n v="2"/>
    <s v="31-40"/>
    <x v="3"/>
    <n v="15"/>
    <x v="1"/>
  </r>
  <r>
    <n v="28"/>
    <x v="1"/>
    <x v="0"/>
    <n v="3"/>
    <n v="42"/>
    <s v="Sales Executive"/>
    <n v="4"/>
    <n v="7"/>
    <n v="0"/>
    <n v="1"/>
    <s v="Yes"/>
    <n v="3"/>
    <s v="18-30"/>
    <x v="3"/>
    <n v="35"/>
    <x v="2"/>
  </r>
  <r>
    <n v="29"/>
    <x v="0"/>
    <x v="0"/>
    <n v="3"/>
    <n v="45"/>
    <s v="Sales Representative"/>
    <n v="1"/>
    <n v="1"/>
    <n v="0"/>
    <n v="24"/>
    <s v="No"/>
    <n v="3"/>
    <s v="18-30"/>
    <x v="3"/>
    <s v="NA"/>
    <x v="0"/>
  </r>
  <r>
    <n v="39"/>
    <x v="1"/>
    <x v="0"/>
    <n v="1"/>
    <n v="32"/>
    <s v="Sales Executive"/>
    <n v="3"/>
    <n v="3"/>
    <n v="1"/>
    <n v="21"/>
    <s v="No"/>
    <n v="3"/>
    <s v="31-40"/>
    <x v="3"/>
    <n v="15"/>
    <x v="1"/>
  </r>
  <r>
    <n v="27"/>
    <x v="1"/>
    <x v="1"/>
    <n v="2"/>
    <n v="41"/>
    <s v="Research Scientist"/>
    <n v="2"/>
    <n v="5"/>
    <n v="1"/>
    <n v="2"/>
    <s v="No"/>
    <n v="2"/>
    <s v="18-30"/>
    <x v="3"/>
    <n v="30"/>
    <x v="2"/>
  </r>
  <r>
    <n v="34"/>
    <x v="1"/>
    <x v="1"/>
    <n v="3"/>
    <n v="86"/>
    <s v="Research Scientist"/>
    <n v="4"/>
    <n v="15"/>
    <n v="6"/>
    <n v="22"/>
    <s v="Yes"/>
    <n v="3"/>
    <s v="31-40"/>
    <x v="4"/>
    <n v="35"/>
    <x v="2"/>
  </r>
  <r>
    <n v="28"/>
    <x v="0"/>
    <x v="0"/>
    <n v="4"/>
    <n v="84"/>
    <s v="Sales Executive"/>
    <n v="3"/>
    <n v="2"/>
    <n v="2"/>
    <n v="13"/>
    <s v="Yes"/>
    <n v="3"/>
    <s v="18-30"/>
    <x v="4"/>
    <s v="NA"/>
    <x v="0"/>
  </r>
  <r>
    <n v="47"/>
    <x v="1"/>
    <x v="1"/>
    <n v="3"/>
    <n v="64"/>
    <s v="Research Scientist"/>
    <n v="2"/>
    <n v="8"/>
    <n v="1"/>
    <n v="14"/>
    <s v="No"/>
    <n v="4"/>
    <s v="41-50"/>
    <x v="1"/>
    <n v="15"/>
    <x v="1"/>
  </r>
  <r>
    <n v="56"/>
    <x v="1"/>
    <x v="0"/>
    <n v="4"/>
    <n v="89"/>
    <s v="Sales Executive"/>
    <n v="1"/>
    <n v="0"/>
    <n v="0"/>
    <n v="11"/>
    <s v="No"/>
    <n v="3"/>
    <s v="51+"/>
    <x v="4"/>
    <n v="15"/>
    <x v="1"/>
  </r>
  <r>
    <n v="39"/>
    <x v="1"/>
    <x v="1"/>
    <n v="1"/>
    <n v="87"/>
    <s v="Manufacturing Director"/>
    <n v="1"/>
    <n v="10"/>
    <n v="7"/>
    <n v="9"/>
    <s v="No"/>
    <n v="3"/>
    <s v="31-40"/>
    <x v="4"/>
    <n v="30"/>
    <x v="2"/>
  </r>
  <r>
    <n v="38"/>
    <x v="1"/>
    <x v="1"/>
    <n v="4"/>
    <n v="58"/>
    <s v="Research Scientist"/>
    <n v="2"/>
    <n v="20"/>
    <n v="0"/>
    <n v="8"/>
    <s v="Yes"/>
    <n v="3"/>
    <s v="31-40"/>
    <x v="2"/>
    <n v="50"/>
    <x v="3"/>
  </r>
  <r>
    <n v="58"/>
    <x v="1"/>
    <x v="0"/>
    <n v="4"/>
    <n v="72"/>
    <s v="Manager"/>
    <n v="4"/>
    <n v="1"/>
    <n v="0"/>
    <n v="21"/>
    <s v="Yes"/>
    <n v="2"/>
    <s v="51+"/>
    <x v="1"/>
    <n v="35"/>
    <x v="2"/>
  </r>
  <r>
    <n v="32"/>
    <x v="0"/>
    <x v="1"/>
    <n v="1"/>
    <n v="47"/>
    <s v="Research Scientist"/>
    <n v="3"/>
    <n v="4"/>
    <n v="0"/>
    <n v="5"/>
    <s v="Yes"/>
    <n v="3"/>
    <s v="31-40"/>
    <x v="2"/>
    <s v="NA"/>
    <x v="0"/>
  </r>
  <r>
    <n v="38"/>
    <x v="1"/>
    <x v="1"/>
    <n v="2"/>
    <n v="71"/>
    <s v="Research Scientist"/>
    <n v="4"/>
    <n v="5"/>
    <n v="0"/>
    <n v="9"/>
    <s v="No"/>
    <n v="4"/>
    <s v="31-40"/>
    <x v="1"/>
    <n v="15"/>
    <x v="1"/>
  </r>
  <r>
    <n v="49"/>
    <x v="1"/>
    <x v="1"/>
    <n v="2"/>
    <n v="42"/>
    <s v="Research Director"/>
    <n v="4"/>
    <n v="5"/>
    <n v="4"/>
    <n v="2"/>
    <s v="No"/>
    <n v="3"/>
    <s v="41-50"/>
    <x v="3"/>
    <n v="15"/>
    <x v="1"/>
  </r>
  <r>
    <n v="42"/>
    <x v="1"/>
    <x v="0"/>
    <n v="2"/>
    <n v="77"/>
    <s v="Sales Executive"/>
    <n v="4"/>
    <n v="0"/>
    <n v="0"/>
    <n v="12"/>
    <s v="Yes"/>
    <n v="3"/>
    <s v="41-50"/>
    <x v="4"/>
    <n v="50"/>
    <x v="3"/>
  </r>
  <r>
    <n v="27"/>
    <x v="0"/>
    <x v="2"/>
    <n v="1"/>
    <n v="58"/>
    <s v="Human Resources"/>
    <n v="2"/>
    <n v="1"/>
    <n v="0"/>
    <n v="22"/>
    <s v="No"/>
    <n v="3"/>
    <s v="18-30"/>
    <x v="2"/>
    <s v="NA"/>
    <x v="0"/>
  </r>
  <r>
    <n v="35"/>
    <x v="1"/>
    <x v="0"/>
    <n v="2"/>
    <n v="71"/>
    <s v="Sales Executive"/>
    <n v="1"/>
    <n v="5"/>
    <n v="0"/>
    <n v="18"/>
    <s v="No"/>
    <n v="1"/>
    <s v="31-40"/>
    <x v="1"/>
    <n v="65"/>
    <x v="3"/>
  </r>
  <r>
    <n v="28"/>
    <x v="1"/>
    <x v="1"/>
    <n v="3"/>
    <n v="49"/>
    <s v="Research Scientist"/>
    <n v="3"/>
    <n v="5"/>
    <n v="1"/>
    <n v="16"/>
    <s v="No"/>
    <n v="2"/>
    <s v="18-30"/>
    <x v="2"/>
    <n v="0"/>
    <x v="1"/>
  </r>
  <r>
    <n v="31"/>
    <x v="1"/>
    <x v="1"/>
    <n v="3"/>
    <n v="48"/>
    <s v="Research Scientist"/>
    <n v="1"/>
    <n v="4"/>
    <n v="2"/>
    <n v="3"/>
    <s v="Yes"/>
    <n v="4"/>
    <s v="31-40"/>
    <x v="2"/>
    <n v="50"/>
    <x v="3"/>
  </r>
  <r>
    <n v="36"/>
    <x v="1"/>
    <x v="1"/>
    <n v="1"/>
    <n v="66"/>
    <s v="Laboratory Technician"/>
    <n v="2"/>
    <n v="5"/>
    <n v="0"/>
    <n v="9"/>
    <s v="No"/>
    <n v="3"/>
    <s v="31-40"/>
    <x v="1"/>
    <n v="30"/>
    <x v="2"/>
  </r>
  <r>
    <n v="34"/>
    <x v="1"/>
    <x v="0"/>
    <n v="1"/>
    <n v="32"/>
    <s v="Sales Executive"/>
    <n v="4"/>
    <n v="14"/>
    <n v="2"/>
    <n v="1"/>
    <s v="No"/>
    <n v="2"/>
    <s v="31-40"/>
    <x v="3"/>
    <n v="15"/>
    <x v="1"/>
  </r>
  <r>
    <n v="34"/>
    <x v="1"/>
    <x v="0"/>
    <n v="4"/>
    <n v="39"/>
    <s v="Sales Executive"/>
    <n v="3"/>
    <n v="8"/>
    <n v="1"/>
    <n v="13"/>
    <s v="No"/>
    <n v="2"/>
    <s v="31-40"/>
    <x v="3"/>
    <n v="0"/>
    <x v="1"/>
  </r>
  <r>
    <n v="26"/>
    <x v="1"/>
    <x v="1"/>
    <n v="3"/>
    <n v="95"/>
    <s v="Laboratory Technician"/>
    <n v="1"/>
    <n v="7"/>
    <n v="7"/>
    <n v="1"/>
    <s v="No"/>
    <n v="2"/>
    <s v="18-30"/>
    <x v="0"/>
    <n v="15"/>
    <x v="1"/>
  </r>
  <r>
    <n v="29"/>
    <x v="1"/>
    <x v="1"/>
    <n v="1"/>
    <n v="89"/>
    <s v="Healthcare Representative"/>
    <n v="1"/>
    <n v="5"/>
    <n v="0"/>
    <n v="1"/>
    <s v="No"/>
    <n v="2"/>
    <s v="18-30"/>
    <x v="4"/>
    <n v="30"/>
    <x v="2"/>
  </r>
  <r>
    <n v="32"/>
    <x v="1"/>
    <x v="1"/>
    <n v="3"/>
    <n v="34"/>
    <s v="Healthcare Representative"/>
    <n v="4"/>
    <n v="5"/>
    <n v="1"/>
    <n v="15"/>
    <s v="No"/>
    <n v="3"/>
    <s v="31-40"/>
    <x v="3"/>
    <n v="0"/>
    <x v="1"/>
  </r>
  <r>
    <n v="31"/>
    <x v="1"/>
    <x v="1"/>
    <n v="4"/>
    <n v="48"/>
    <s v="Research Scientist"/>
    <n v="1"/>
    <n v="10"/>
    <n v="8"/>
    <n v="1"/>
    <s v="No"/>
    <n v="3"/>
    <s v="31-40"/>
    <x v="2"/>
    <n v="15"/>
    <x v="1"/>
  </r>
  <r>
    <n v="28"/>
    <x v="0"/>
    <x v="1"/>
    <n v="3"/>
    <n v="32"/>
    <s v="Laboratory Technician"/>
    <n v="4"/>
    <n v="4"/>
    <n v="0"/>
    <n v="17"/>
    <s v="No"/>
    <n v="2"/>
    <s v="18-30"/>
    <x v="3"/>
    <s v="NA"/>
    <x v="0"/>
  </r>
  <r>
    <n v="38"/>
    <x v="1"/>
    <x v="0"/>
    <n v="1"/>
    <n v="59"/>
    <s v="Sales Representative"/>
    <n v="1"/>
    <n v="1"/>
    <n v="0"/>
    <n v="1"/>
    <s v="No"/>
    <n v="2"/>
    <s v="31-40"/>
    <x v="2"/>
    <n v="30"/>
    <x v="2"/>
  </r>
  <r>
    <n v="35"/>
    <x v="1"/>
    <x v="0"/>
    <n v="3"/>
    <n v="55"/>
    <s v="Sales Executive"/>
    <n v="4"/>
    <n v="10"/>
    <n v="0"/>
    <n v="7"/>
    <s v="Yes"/>
    <n v="3"/>
    <s v="31-40"/>
    <x v="2"/>
    <n v="35"/>
    <x v="2"/>
  </r>
  <r>
    <n v="27"/>
    <x v="1"/>
    <x v="0"/>
    <n v="4"/>
    <n v="44"/>
    <s v="Sales Executive"/>
    <n v="4"/>
    <n v="7"/>
    <n v="0"/>
    <n v="9"/>
    <s v="No"/>
    <n v="3"/>
    <s v="18-30"/>
    <x v="3"/>
    <n v="0"/>
    <x v="1"/>
  </r>
  <r>
    <n v="32"/>
    <x v="1"/>
    <x v="1"/>
    <n v="4"/>
    <n v="56"/>
    <s v="Manufacturing Director"/>
    <n v="4"/>
    <n v="1"/>
    <n v="0"/>
    <n v="5"/>
    <s v="No"/>
    <n v="3"/>
    <s v="31-40"/>
    <x v="2"/>
    <n v="0"/>
    <x v="1"/>
  </r>
  <r>
    <n v="31"/>
    <x v="0"/>
    <x v="0"/>
    <n v="1"/>
    <n v="63"/>
    <s v="Sales Executive"/>
    <n v="4"/>
    <n v="10"/>
    <n v="0"/>
    <n v="26"/>
    <s v="Yes"/>
    <n v="3"/>
    <s v="31-40"/>
    <x v="1"/>
    <s v="NA"/>
    <x v="0"/>
  </r>
  <r>
    <n v="53"/>
    <x v="0"/>
    <x v="0"/>
    <n v="1"/>
    <n v="66"/>
    <s v="Sales Executive"/>
    <n v="1"/>
    <n v="2"/>
    <n v="2"/>
    <n v="24"/>
    <s v="Yes"/>
    <n v="2"/>
    <s v="51+"/>
    <x v="1"/>
    <s v="NA"/>
    <x v="0"/>
  </r>
  <r>
    <n v="54"/>
    <x v="1"/>
    <x v="1"/>
    <n v="1"/>
    <n v="67"/>
    <s v="Research Scientist"/>
    <n v="3"/>
    <n v="4"/>
    <n v="2"/>
    <n v="9"/>
    <s v="No"/>
    <n v="2"/>
    <s v="51+"/>
    <x v="1"/>
    <n v="15"/>
    <x v="1"/>
  </r>
  <r>
    <n v="33"/>
    <x v="1"/>
    <x v="1"/>
    <n v="4"/>
    <n v="36"/>
    <s v="Healthcare Representative"/>
    <n v="3"/>
    <n v="9"/>
    <n v="2"/>
    <n v="7"/>
    <s v="No"/>
    <n v="3"/>
    <s v="31-40"/>
    <x v="3"/>
    <n v="0"/>
    <x v="1"/>
  </r>
  <r>
    <n v="43"/>
    <x v="1"/>
    <x v="1"/>
    <n v="1"/>
    <n v="30"/>
    <s v="Healthcare Representative"/>
    <n v="3"/>
    <n v="10"/>
    <n v="0"/>
    <n v="11"/>
    <s v="No"/>
    <n v="3"/>
    <s v="41-50"/>
    <x v="3"/>
    <n v="15"/>
    <x v="1"/>
  </r>
  <r>
    <n v="38"/>
    <x v="1"/>
    <x v="2"/>
    <n v="4"/>
    <n v="88"/>
    <s v="Human Resources"/>
    <n v="2"/>
    <n v="6"/>
    <n v="1"/>
    <n v="1"/>
    <s v="Yes"/>
    <n v="3"/>
    <s v="31-40"/>
    <x v="4"/>
    <n v="50"/>
    <x v="3"/>
  </r>
  <r>
    <n v="55"/>
    <x v="1"/>
    <x v="2"/>
    <n v="3"/>
    <n v="71"/>
    <s v="Manager"/>
    <n v="2"/>
    <n v="10"/>
    <n v="1"/>
    <n v="26"/>
    <s v="Yes"/>
    <n v="3"/>
    <s v="51+"/>
    <x v="1"/>
    <n v="50"/>
    <x v="3"/>
  </r>
  <r>
    <n v="31"/>
    <x v="1"/>
    <x v="1"/>
    <n v="4"/>
    <n v="59"/>
    <s v="Laboratory Technician"/>
    <n v="4"/>
    <n v="1"/>
    <n v="0"/>
    <n v="2"/>
    <s v="Yes"/>
    <n v="3"/>
    <s v="31-40"/>
    <x v="2"/>
    <n v="35"/>
    <x v="2"/>
  </r>
  <r>
    <n v="39"/>
    <x v="1"/>
    <x v="0"/>
    <n v="2"/>
    <n v="77"/>
    <s v="Sales Executive"/>
    <n v="1"/>
    <n v="20"/>
    <n v="11"/>
    <n v="15"/>
    <s v="No"/>
    <n v="3"/>
    <s v="31-40"/>
    <x v="4"/>
    <n v="30"/>
    <x v="2"/>
  </r>
  <r>
    <n v="42"/>
    <x v="1"/>
    <x v="1"/>
    <n v="4"/>
    <n v="37"/>
    <s v="Research Scientist"/>
    <n v="3"/>
    <n v="20"/>
    <n v="3"/>
    <n v="23"/>
    <s v="No"/>
    <n v="3"/>
    <s v="41-50"/>
    <x v="3"/>
    <n v="0"/>
    <x v="1"/>
  </r>
  <r>
    <n v="31"/>
    <x v="1"/>
    <x v="1"/>
    <n v="3"/>
    <n v="40"/>
    <s v="Research Director"/>
    <n v="3"/>
    <n v="11"/>
    <n v="4"/>
    <n v="10"/>
    <s v="No"/>
    <n v="4"/>
    <s v="31-40"/>
    <x v="3"/>
    <n v="0"/>
    <x v="1"/>
  </r>
  <r>
    <n v="54"/>
    <x v="1"/>
    <x v="1"/>
    <n v="3"/>
    <n v="77"/>
    <s v="Manufacturing Director"/>
    <n v="1"/>
    <n v="5"/>
    <n v="1"/>
    <n v="10"/>
    <s v="Yes"/>
    <n v="3"/>
    <s v="51+"/>
    <x v="4"/>
    <n v="50"/>
    <x v="3"/>
  </r>
  <r>
    <n v="24"/>
    <x v="1"/>
    <x v="1"/>
    <n v="2"/>
    <n v="45"/>
    <s v="Healthcare Representative"/>
    <n v="3"/>
    <n v="4"/>
    <n v="1"/>
    <n v="1"/>
    <s v="No"/>
    <n v="2"/>
    <s v="18-30"/>
    <x v="3"/>
    <n v="15"/>
    <x v="1"/>
  </r>
  <r>
    <n v="23"/>
    <x v="1"/>
    <x v="1"/>
    <n v="4"/>
    <n v="78"/>
    <s v="Laboratory Technician"/>
    <n v="4"/>
    <n v="5"/>
    <n v="1"/>
    <n v="12"/>
    <s v="No"/>
    <n v="4"/>
    <s v="18-30"/>
    <x v="4"/>
    <n v="0"/>
    <x v="1"/>
  </r>
  <r>
    <n v="40"/>
    <x v="1"/>
    <x v="1"/>
    <n v="4"/>
    <n v="73"/>
    <s v="Laboratory Technician"/>
    <n v="3"/>
    <n v="10"/>
    <n v="9"/>
    <n v="11"/>
    <s v="No"/>
    <n v="4"/>
    <s v="31-40"/>
    <x v="1"/>
    <n v="0"/>
    <x v="1"/>
  </r>
  <r>
    <n v="40"/>
    <x v="1"/>
    <x v="0"/>
    <n v="2"/>
    <n v="92"/>
    <s v="Sales Executive"/>
    <n v="2"/>
    <n v="11"/>
    <n v="5"/>
    <n v="2"/>
    <s v="No"/>
    <n v="3"/>
    <s v="31-40"/>
    <x v="0"/>
    <n v="30"/>
    <x v="2"/>
  </r>
  <r>
    <n v="25"/>
    <x v="1"/>
    <x v="2"/>
    <n v="3"/>
    <n v="82"/>
    <s v="Human Resources"/>
    <n v="2"/>
    <n v="2"/>
    <n v="1"/>
    <n v="2"/>
    <s v="No"/>
    <n v="3"/>
    <s v="18-30"/>
    <x v="4"/>
    <n v="15"/>
    <x v="1"/>
  </r>
  <r>
    <n v="30"/>
    <x v="1"/>
    <x v="1"/>
    <n v="4"/>
    <n v="76"/>
    <s v="Laboratory Technician"/>
    <n v="2"/>
    <n v="12"/>
    <n v="1"/>
    <n v="1"/>
    <s v="No"/>
    <n v="2"/>
    <s v="18-30"/>
    <x v="4"/>
    <n v="15"/>
    <x v="1"/>
  </r>
  <r>
    <n v="25"/>
    <x v="1"/>
    <x v="1"/>
    <n v="4"/>
    <n v="57"/>
    <s v="Laboratory Technician"/>
    <n v="3"/>
    <n v="2"/>
    <n v="0"/>
    <n v="2"/>
    <s v="Yes"/>
    <n v="2"/>
    <s v="18-30"/>
    <x v="2"/>
    <n v="35"/>
    <x v="2"/>
  </r>
  <r>
    <n v="47"/>
    <x v="1"/>
    <x v="1"/>
    <n v="1"/>
    <n v="84"/>
    <s v="Healthcare Representative"/>
    <n v="3"/>
    <n v="17"/>
    <n v="12"/>
    <n v="25"/>
    <s v="No"/>
    <n v="3"/>
    <s v="41-50"/>
    <x v="4"/>
    <n v="15"/>
    <x v="1"/>
  </r>
  <r>
    <n v="33"/>
    <x v="1"/>
    <x v="1"/>
    <n v="2"/>
    <n v="59"/>
    <s v="Laboratory Technician"/>
    <n v="3"/>
    <n v="1"/>
    <n v="0"/>
    <n v="1"/>
    <s v="No"/>
    <n v="2"/>
    <s v="31-40"/>
    <x v="2"/>
    <n v="15"/>
    <x v="1"/>
  </r>
  <r>
    <n v="38"/>
    <x v="1"/>
    <x v="0"/>
    <n v="4"/>
    <n v="86"/>
    <s v="Sales Executive"/>
    <n v="2"/>
    <n v="15"/>
    <n v="5"/>
    <n v="1"/>
    <s v="No"/>
    <n v="3"/>
    <s v="31-40"/>
    <x v="4"/>
    <n v="15"/>
    <x v="1"/>
  </r>
  <r>
    <n v="31"/>
    <x v="1"/>
    <x v="0"/>
    <n v="1"/>
    <n v="54"/>
    <s v="Sales Representative"/>
    <n v="3"/>
    <n v="2"/>
    <n v="1"/>
    <n v="2"/>
    <s v="No"/>
    <n v="3"/>
    <s v="31-40"/>
    <x v="2"/>
    <n v="15"/>
    <x v="1"/>
  </r>
  <r>
    <n v="38"/>
    <x v="1"/>
    <x v="1"/>
    <n v="1"/>
    <n v="72"/>
    <s v="Manufacturing Director"/>
    <n v="3"/>
    <n v="8"/>
    <n v="7"/>
    <n v="6"/>
    <s v="No"/>
    <n v="3"/>
    <s v="31-40"/>
    <x v="1"/>
    <n v="15"/>
    <x v="1"/>
  </r>
  <r>
    <n v="42"/>
    <x v="1"/>
    <x v="1"/>
    <n v="4"/>
    <n v="35"/>
    <s v="Research Scientist"/>
    <n v="1"/>
    <n v="4"/>
    <n v="1"/>
    <n v="18"/>
    <s v="Yes"/>
    <n v="2"/>
    <s v="41-50"/>
    <x v="3"/>
    <n v="50"/>
    <x v="3"/>
  </r>
  <r>
    <n v="41"/>
    <x v="1"/>
    <x v="1"/>
    <n v="4"/>
    <n v="76"/>
    <s v="Research Scientist"/>
    <n v="4"/>
    <n v="5"/>
    <n v="1"/>
    <n v="1"/>
    <s v="No"/>
    <n v="3"/>
    <s v="41-50"/>
    <x v="4"/>
    <n v="0"/>
    <x v="1"/>
  </r>
  <r>
    <n v="47"/>
    <x v="1"/>
    <x v="1"/>
    <n v="3"/>
    <n v="98"/>
    <s v="Research Director"/>
    <n v="2"/>
    <n v="13"/>
    <n v="5"/>
    <n v="1"/>
    <s v="No"/>
    <n v="1"/>
    <s v="41-50"/>
    <x v="0"/>
    <n v="50"/>
    <x v="3"/>
  </r>
  <r>
    <n v="35"/>
    <x v="1"/>
    <x v="1"/>
    <n v="4"/>
    <n v="43"/>
    <s v="Laboratory Technician"/>
    <n v="3"/>
    <n v="2"/>
    <n v="2"/>
    <n v="11"/>
    <s v="Yes"/>
    <n v="3"/>
    <s v="31-40"/>
    <x v="3"/>
    <n v="35"/>
    <x v="2"/>
  </r>
  <r>
    <n v="22"/>
    <x v="1"/>
    <x v="1"/>
    <n v="4"/>
    <n v="63"/>
    <s v="Research Scientist"/>
    <n v="3"/>
    <n v="3"/>
    <n v="1"/>
    <n v="1"/>
    <s v="No"/>
    <n v="4"/>
    <s v="18-30"/>
    <x v="1"/>
    <n v="0"/>
    <x v="1"/>
  </r>
  <r>
    <n v="35"/>
    <x v="1"/>
    <x v="1"/>
    <n v="2"/>
    <n v="48"/>
    <s v="Research Scientist"/>
    <n v="3"/>
    <n v="10"/>
    <n v="0"/>
    <n v="9"/>
    <s v="No"/>
    <n v="3"/>
    <s v="31-40"/>
    <x v="2"/>
    <n v="15"/>
    <x v="1"/>
  </r>
  <r>
    <n v="33"/>
    <x v="1"/>
    <x v="1"/>
    <n v="2"/>
    <n v="95"/>
    <s v="Healthcare Representative"/>
    <n v="4"/>
    <n v="9"/>
    <n v="8"/>
    <n v="15"/>
    <s v="Yes"/>
    <n v="3"/>
    <s v="31-40"/>
    <x v="0"/>
    <n v="50"/>
    <x v="3"/>
  </r>
  <r>
    <n v="32"/>
    <x v="1"/>
    <x v="1"/>
    <n v="3"/>
    <n v="49"/>
    <s v="Laboratory Technician"/>
    <n v="2"/>
    <n v="6"/>
    <n v="4"/>
    <n v="29"/>
    <s v="No"/>
    <n v="3"/>
    <s v="31-40"/>
    <x v="2"/>
    <n v="15"/>
    <x v="1"/>
  </r>
  <r>
    <n v="40"/>
    <x v="1"/>
    <x v="1"/>
    <n v="1"/>
    <n v="83"/>
    <s v="Laboratory Technician"/>
    <n v="4"/>
    <n v="1"/>
    <n v="0"/>
    <n v="1"/>
    <s v="No"/>
    <n v="2"/>
    <s v="31-40"/>
    <x v="4"/>
    <n v="15"/>
    <x v="1"/>
  </r>
  <r>
    <n v="32"/>
    <x v="1"/>
    <x v="0"/>
    <n v="2"/>
    <n v="68"/>
    <s v="Sales Representative"/>
    <n v="2"/>
    <n v="2"/>
    <n v="2"/>
    <n v="1"/>
    <s v="No"/>
    <n v="3"/>
    <s v="31-40"/>
    <x v="1"/>
    <n v="30"/>
    <x v="2"/>
  </r>
  <r>
    <n v="39"/>
    <x v="1"/>
    <x v="1"/>
    <n v="1"/>
    <n v="52"/>
    <s v="Research Scientist"/>
    <n v="4"/>
    <n v="7"/>
    <n v="1"/>
    <n v="24"/>
    <s v="No"/>
    <n v="3"/>
    <s v="31-40"/>
    <x v="2"/>
    <n v="15"/>
    <x v="1"/>
  </r>
  <r>
    <n v="38"/>
    <x v="1"/>
    <x v="1"/>
    <n v="2"/>
    <n v="99"/>
    <s v="Research Director"/>
    <n v="3"/>
    <n v="18"/>
    <n v="1"/>
    <n v="10"/>
    <s v="No"/>
    <n v="3"/>
    <s v="31-40"/>
    <x v="0"/>
    <n v="15"/>
    <x v="1"/>
  </r>
  <r>
    <n v="32"/>
    <x v="1"/>
    <x v="0"/>
    <n v="3"/>
    <n v="48"/>
    <s v="Sales Executive"/>
    <n v="4"/>
    <n v="14"/>
    <n v="5"/>
    <n v="1"/>
    <s v="No"/>
    <n v="3"/>
    <s v="31-40"/>
    <x v="2"/>
    <n v="0"/>
    <x v="1"/>
  </r>
  <r>
    <n v="37"/>
    <x v="1"/>
    <x v="1"/>
    <n v="3"/>
    <n v="42"/>
    <s v="Research Director"/>
    <n v="4"/>
    <n v="16"/>
    <n v="6"/>
    <n v="10"/>
    <s v="Yes"/>
    <n v="3"/>
    <s v="31-40"/>
    <x v="3"/>
    <n v="35"/>
    <x v="2"/>
  </r>
  <r>
    <n v="25"/>
    <x v="1"/>
    <x v="0"/>
    <n v="1"/>
    <n v="85"/>
    <s v="Sales Executive"/>
    <n v="3"/>
    <n v="5"/>
    <n v="0"/>
    <n v="8"/>
    <s v="Yes"/>
    <n v="2"/>
    <s v="18-30"/>
    <x v="4"/>
    <n v="50"/>
    <x v="3"/>
  </r>
  <r>
    <n v="52"/>
    <x v="1"/>
    <x v="0"/>
    <n v="1"/>
    <n v="40"/>
    <s v="Sales Representative"/>
    <n v="4"/>
    <n v="9"/>
    <n v="0"/>
    <n v="29"/>
    <s v="No"/>
    <n v="2"/>
    <s v="51+"/>
    <x v="3"/>
    <n v="15"/>
    <x v="1"/>
  </r>
  <r>
    <n v="44"/>
    <x v="1"/>
    <x v="1"/>
    <n v="2"/>
    <n v="42"/>
    <s v="Research Scientist"/>
    <n v="4"/>
    <n v="4"/>
    <n v="1"/>
    <n v="1"/>
    <s v="Yes"/>
    <n v="3"/>
    <s v="41-50"/>
    <x v="3"/>
    <n v="50"/>
    <x v="3"/>
  </r>
  <r>
    <n v="21"/>
    <x v="1"/>
    <x v="0"/>
    <n v="3"/>
    <n v="58"/>
    <s v="Sales Representative"/>
    <n v="1"/>
    <n v="2"/>
    <n v="1"/>
    <n v="5"/>
    <s v="Yes"/>
    <n v="3"/>
    <s v="18-30"/>
    <x v="2"/>
    <n v="50"/>
    <x v="3"/>
  </r>
  <r>
    <n v="39"/>
    <x v="1"/>
    <x v="1"/>
    <n v="4"/>
    <n v="87"/>
    <s v="Manager"/>
    <n v="4"/>
    <n v="6"/>
    <n v="1"/>
    <n v="9"/>
    <s v="No"/>
    <n v="2"/>
    <s v="31-40"/>
    <x v="4"/>
    <n v="0"/>
    <x v="1"/>
  </r>
  <r>
    <n v="23"/>
    <x v="0"/>
    <x v="0"/>
    <n v="4"/>
    <n v="33"/>
    <s v="Sales Representative"/>
    <n v="1"/>
    <n v="1"/>
    <n v="1"/>
    <n v="9"/>
    <s v="No"/>
    <n v="2"/>
    <s v="18-30"/>
    <x v="3"/>
    <s v="NA"/>
    <x v="0"/>
  </r>
  <r>
    <n v="36"/>
    <x v="1"/>
    <x v="0"/>
    <n v="1"/>
    <n v="94"/>
    <s v="Sales Executive"/>
    <n v="4"/>
    <n v="9"/>
    <n v="3"/>
    <n v="3"/>
    <s v="No"/>
    <n v="3"/>
    <s v="31-40"/>
    <x v="0"/>
    <n v="15"/>
    <x v="1"/>
  </r>
  <r>
    <n v="36"/>
    <x v="1"/>
    <x v="1"/>
    <n v="4"/>
    <n v="97"/>
    <s v="Manufacturing Director"/>
    <n v="2"/>
    <n v="4"/>
    <n v="0"/>
    <n v="4"/>
    <s v="No"/>
    <n v="3"/>
    <s v="31-40"/>
    <x v="0"/>
    <n v="15"/>
    <x v="1"/>
  </r>
  <r>
    <n v="56"/>
    <x v="1"/>
    <x v="1"/>
    <n v="3"/>
    <n v="57"/>
    <s v="Healthcare Representative"/>
    <n v="3"/>
    <n v="13"/>
    <n v="1"/>
    <n v="1"/>
    <s v="No"/>
    <n v="2"/>
    <s v="51+"/>
    <x v="2"/>
    <n v="0"/>
    <x v="1"/>
  </r>
  <r>
    <n v="29"/>
    <x v="0"/>
    <x v="1"/>
    <n v="1"/>
    <n v="36"/>
    <s v="Research Scientist"/>
    <n v="4"/>
    <n v="2"/>
    <n v="2"/>
    <n v="1"/>
    <s v="Yes"/>
    <n v="4"/>
    <s v="18-30"/>
    <x v="3"/>
    <s v="NA"/>
    <x v="0"/>
  </r>
  <r>
    <n v="42"/>
    <x v="1"/>
    <x v="1"/>
    <n v="1"/>
    <n v="56"/>
    <s v="Manager"/>
    <n v="3"/>
    <n v="22"/>
    <n v="4"/>
    <n v="2"/>
    <s v="No"/>
    <n v="2"/>
    <s v="41-50"/>
    <x v="2"/>
    <n v="15"/>
    <x v="1"/>
  </r>
  <r>
    <n v="56"/>
    <x v="0"/>
    <x v="1"/>
    <n v="4"/>
    <n v="72"/>
    <s v="Laboratory Technician"/>
    <n v="3"/>
    <n v="10"/>
    <n v="9"/>
    <n v="7"/>
    <s v="No"/>
    <n v="1"/>
    <s v="51+"/>
    <x v="1"/>
    <s v="NA"/>
    <x v="0"/>
  </r>
  <r>
    <n v="41"/>
    <x v="1"/>
    <x v="1"/>
    <n v="1"/>
    <n v="60"/>
    <s v="Manufacturing Director"/>
    <n v="2"/>
    <n v="20"/>
    <n v="0"/>
    <n v="28"/>
    <s v="No"/>
    <n v="3"/>
    <s v="41-50"/>
    <x v="2"/>
    <n v="30"/>
    <x v="2"/>
  </r>
  <r>
    <n v="34"/>
    <x v="1"/>
    <x v="0"/>
    <n v="4"/>
    <n v="95"/>
    <s v="Sales Executive"/>
    <n v="3"/>
    <n v="8"/>
    <n v="1"/>
    <n v="28"/>
    <s v="No"/>
    <n v="3"/>
    <s v="31-40"/>
    <x v="0"/>
    <n v="0"/>
    <x v="1"/>
  </r>
  <r>
    <n v="36"/>
    <x v="1"/>
    <x v="0"/>
    <n v="4"/>
    <n v="88"/>
    <s v="Sales Executive"/>
    <n v="4"/>
    <n v="15"/>
    <n v="11"/>
    <n v="15"/>
    <s v="No"/>
    <n v="2"/>
    <s v="31-40"/>
    <x v="4"/>
    <n v="0"/>
    <x v="1"/>
  </r>
  <r>
    <n v="41"/>
    <x v="1"/>
    <x v="0"/>
    <n v="3"/>
    <n v="57"/>
    <s v="Sales Executive"/>
    <n v="2"/>
    <n v="5"/>
    <n v="0"/>
    <n v="3"/>
    <s v="No"/>
    <n v="3"/>
    <s v="41-50"/>
    <x v="2"/>
    <n v="15"/>
    <x v="1"/>
  </r>
  <r>
    <n v="32"/>
    <x v="1"/>
    <x v="1"/>
    <n v="4"/>
    <n v="78"/>
    <s v="Research Scientist"/>
    <n v="1"/>
    <n v="4"/>
    <n v="1"/>
    <n v="2"/>
    <s v="No"/>
    <n v="3"/>
    <s v="31-40"/>
    <x v="4"/>
    <n v="15"/>
    <x v="1"/>
  </r>
  <r>
    <n v="35"/>
    <x v="1"/>
    <x v="2"/>
    <n v="3"/>
    <n v="31"/>
    <s v="Human Resources"/>
    <n v="4"/>
    <n v="9"/>
    <n v="1"/>
    <n v="26"/>
    <s v="Yes"/>
    <n v="3"/>
    <s v="31-40"/>
    <x v="3"/>
    <n v="35"/>
    <x v="2"/>
  </r>
  <r>
    <n v="38"/>
    <x v="1"/>
    <x v="0"/>
    <n v="1"/>
    <n v="100"/>
    <s v="Sales Executive"/>
    <n v="4"/>
    <n v="10"/>
    <n v="1"/>
    <n v="10"/>
    <s v="No"/>
    <n v="3"/>
    <s v="31-40"/>
    <x v="0"/>
    <n v="15"/>
    <x v="1"/>
  </r>
  <r>
    <n v="50"/>
    <x v="0"/>
    <x v="0"/>
    <n v="2"/>
    <n v="94"/>
    <s v="Sales Executive"/>
    <n v="3"/>
    <n v="6"/>
    <n v="0"/>
    <n v="1"/>
    <s v="No"/>
    <n v="3"/>
    <s v="41-50"/>
    <x v="0"/>
    <s v="NA"/>
    <x v="0"/>
  </r>
  <r>
    <n v="36"/>
    <x v="1"/>
    <x v="0"/>
    <n v="2"/>
    <n v="100"/>
    <s v="Sales Executive"/>
    <n v="4"/>
    <n v="6"/>
    <n v="0"/>
    <n v="11"/>
    <s v="No"/>
    <n v="2"/>
    <s v="31-40"/>
    <x v="0"/>
    <n v="15"/>
    <x v="1"/>
  </r>
  <r>
    <n v="45"/>
    <x v="1"/>
    <x v="0"/>
    <n v="4"/>
    <n v="50"/>
    <s v="Sales Executive"/>
    <n v="3"/>
    <n v="5"/>
    <n v="0"/>
    <n v="20"/>
    <s v="No"/>
    <n v="3"/>
    <s v="41-50"/>
    <x v="2"/>
    <n v="0"/>
    <x v="1"/>
  </r>
  <r>
    <n v="40"/>
    <x v="1"/>
    <x v="1"/>
    <n v="3"/>
    <n v="52"/>
    <s v="Research Scientist"/>
    <n v="3"/>
    <n v="2"/>
    <n v="2"/>
    <n v="2"/>
    <s v="No"/>
    <n v="3"/>
    <s v="31-40"/>
    <x v="2"/>
    <n v="0"/>
    <x v="1"/>
  </r>
  <r>
    <n v="35"/>
    <x v="1"/>
    <x v="1"/>
    <n v="3"/>
    <n v="80"/>
    <s v="Healthcare Representative"/>
    <n v="3"/>
    <n v="10"/>
    <n v="0"/>
    <n v="18"/>
    <s v="Yes"/>
    <n v="4"/>
    <s v="31-40"/>
    <x v="4"/>
    <n v="35"/>
    <x v="2"/>
  </r>
  <r>
    <n v="40"/>
    <x v="1"/>
    <x v="1"/>
    <n v="3"/>
    <n v="98"/>
    <s v="Research Scientist"/>
    <n v="3"/>
    <n v="5"/>
    <n v="0"/>
    <n v="2"/>
    <s v="No"/>
    <n v="3"/>
    <s v="31-40"/>
    <x v="0"/>
    <n v="0"/>
    <x v="1"/>
  </r>
  <r>
    <n v="35"/>
    <x v="1"/>
    <x v="1"/>
    <n v="3"/>
    <n v="62"/>
    <s v="Research Scientist"/>
    <n v="4"/>
    <n v="4"/>
    <n v="1"/>
    <n v="1"/>
    <s v="No"/>
    <n v="3"/>
    <s v="31-40"/>
    <x v="1"/>
    <n v="0"/>
    <x v="1"/>
  </r>
  <r>
    <n v="29"/>
    <x v="1"/>
    <x v="1"/>
    <n v="4"/>
    <n v="46"/>
    <s v="Laboratory Technician"/>
    <n v="2"/>
    <n v="4"/>
    <n v="0"/>
    <n v="13"/>
    <s v="Yes"/>
    <n v="3"/>
    <s v="18-30"/>
    <x v="2"/>
    <n v="50"/>
    <x v="3"/>
  </r>
  <r>
    <n v="29"/>
    <x v="1"/>
    <x v="1"/>
    <n v="4"/>
    <n v="73"/>
    <s v="Research Scientist"/>
    <n v="1"/>
    <n v="5"/>
    <n v="0"/>
    <n v="28"/>
    <s v="No"/>
    <n v="1"/>
    <s v="18-30"/>
    <x v="1"/>
    <n v="50"/>
    <x v="3"/>
  </r>
  <r>
    <n v="50"/>
    <x v="0"/>
    <x v="0"/>
    <n v="4"/>
    <n v="39"/>
    <s v="Sales Executive"/>
    <n v="1"/>
    <n v="3"/>
    <n v="2"/>
    <n v="28"/>
    <s v="Yes"/>
    <n v="3"/>
    <s v="41-50"/>
    <x v="3"/>
    <s v="NA"/>
    <x v="0"/>
  </r>
  <r>
    <n v="39"/>
    <x v="1"/>
    <x v="0"/>
    <n v="2"/>
    <n v="60"/>
    <s v="Sales Executive"/>
    <n v="4"/>
    <n v="20"/>
    <n v="9"/>
    <n v="24"/>
    <s v="No"/>
    <n v="2"/>
    <s v="31-40"/>
    <x v="2"/>
    <n v="15"/>
    <x v="1"/>
  </r>
  <r>
    <n v="31"/>
    <x v="1"/>
    <x v="1"/>
    <n v="2"/>
    <n v="74"/>
    <s v="Manufacturing Director"/>
    <n v="1"/>
    <n v="9"/>
    <n v="1"/>
    <n v="5"/>
    <s v="No"/>
    <n v="3"/>
    <s v="31-40"/>
    <x v="1"/>
    <n v="30"/>
    <x v="2"/>
  </r>
  <r>
    <n v="26"/>
    <x v="1"/>
    <x v="0"/>
    <n v="4"/>
    <n v="30"/>
    <s v="Sales Representative"/>
    <n v="3"/>
    <n v="4"/>
    <n v="0"/>
    <n v="5"/>
    <s v="No"/>
    <n v="3"/>
    <s v="18-30"/>
    <x v="3"/>
    <n v="0"/>
    <x v="1"/>
  </r>
  <r>
    <n v="36"/>
    <x v="1"/>
    <x v="1"/>
    <n v="3"/>
    <n v="41"/>
    <s v="Laboratory Technician"/>
    <n v="4"/>
    <n v="5"/>
    <n v="0"/>
    <n v="23"/>
    <s v="No"/>
    <n v="3"/>
    <s v="31-40"/>
    <x v="3"/>
    <n v="0"/>
    <x v="1"/>
  </r>
  <r>
    <n v="39"/>
    <x v="1"/>
    <x v="1"/>
    <n v="4"/>
    <n v="42"/>
    <s v="Healthcare Representative"/>
    <n v="1"/>
    <n v="7"/>
    <n v="1"/>
    <n v="6"/>
    <s v="No"/>
    <n v="3"/>
    <s v="31-40"/>
    <x v="3"/>
    <n v="15"/>
    <x v="1"/>
  </r>
  <r>
    <n v="27"/>
    <x v="1"/>
    <x v="1"/>
    <n v="2"/>
    <n v="87"/>
    <s v="Manufacturing Director"/>
    <n v="2"/>
    <n v="6"/>
    <n v="0"/>
    <n v="4"/>
    <s v="Yes"/>
    <n v="3"/>
    <s v="18-30"/>
    <x v="4"/>
    <n v="65"/>
    <x v="3"/>
  </r>
  <r>
    <n v="49"/>
    <x v="1"/>
    <x v="0"/>
    <n v="4"/>
    <n v="63"/>
    <s v="Sales Executive"/>
    <n v="2"/>
    <n v="9"/>
    <n v="0"/>
    <n v="2"/>
    <s v="No"/>
    <n v="2"/>
    <s v="41-50"/>
    <x v="1"/>
    <n v="15"/>
    <x v="1"/>
  </r>
  <r>
    <n v="34"/>
    <x v="1"/>
    <x v="1"/>
    <n v="2"/>
    <n v="82"/>
    <s v="Laboratory Technician"/>
    <n v="3"/>
    <n v="4"/>
    <n v="1"/>
    <n v="8"/>
    <s v="No"/>
    <n v="4"/>
    <s v="31-40"/>
    <x v="4"/>
    <n v="15"/>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n v="19"/>
    <n v="95"/>
    <n v="0.2"/>
  </r>
  <r>
    <x v="0"/>
    <x v="1"/>
    <n v="23"/>
    <n v="97"/>
    <n v="0.23711340206185566"/>
  </r>
  <r>
    <x v="0"/>
    <x v="2"/>
    <n v="21"/>
    <n v="93"/>
    <n v="0.22580645161290322"/>
  </r>
  <r>
    <x v="0"/>
    <x v="3"/>
    <n v="18"/>
    <n v="98"/>
    <n v="0.18367346938775511"/>
  </r>
  <r>
    <x v="0"/>
    <x v="4"/>
    <n v="11"/>
    <n v="63"/>
    <n v="0.17460317460317459"/>
  </r>
  <r>
    <x v="1"/>
    <x v="0"/>
    <n v="1"/>
    <n v="15"/>
    <n v="6.6666666666666666E-2"/>
  </r>
  <r>
    <x v="1"/>
    <x v="1"/>
    <n v="6"/>
    <n v="18"/>
    <n v="0.33333333333333331"/>
  </r>
  <r>
    <x v="1"/>
    <x v="2"/>
    <n v="3"/>
    <n v="9"/>
    <n v="0.33333333333333331"/>
  </r>
  <r>
    <x v="1"/>
    <x v="3"/>
    <n v="1"/>
    <n v="11"/>
    <n v="9.0909090909090912E-2"/>
  </r>
  <r>
    <x v="1"/>
    <x v="4"/>
    <n v="1"/>
    <n v="10"/>
    <n v="0.1"/>
  </r>
  <r>
    <x v="2"/>
    <x v="0"/>
    <n v="25"/>
    <n v="196"/>
    <n v="0.12755102040816327"/>
  </r>
  <r>
    <x v="2"/>
    <x v="1"/>
    <n v="29"/>
    <n v="206"/>
    <n v="0.14077669902912621"/>
  </r>
  <r>
    <x v="2"/>
    <x v="2"/>
    <n v="29"/>
    <n v="195"/>
    <n v="0.14871794871794872"/>
  </r>
  <r>
    <x v="2"/>
    <x v="3"/>
    <n v="27"/>
    <n v="218"/>
    <n v="0.12385321100917432"/>
  </r>
  <r>
    <x v="2"/>
    <x v="4"/>
    <n v="23"/>
    <n v="146"/>
    <n v="0.157534246575342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4438AC-192D-0C45-9661-C4A0257310E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G8" firstHeaderRow="1" firstDataRow="2" firstDataCol="1" rowPageCount="1" colPageCount="1"/>
  <pivotFields count="16">
    <pivotField showAll="0"/>
    <pivotField axis="axisPage" dataField="1" multipleItemSelectionAllowed="1" showAll="0">
      <items count="3">
        <item h="1" x="1"/>
        <item x="0"/>
        <item t="default"/>
      </items>
    </pivotField>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axis="axisCol" showAll="0">
      <items count="6">
        <item x="3"/>
        <item x="2"/>
        <item x="1"/>
        <item x="4"/>
        <item x="0"/>
        <item t="default"/>
      </items>
    </pivotField>
    <pivotField showAll="0"/>
    <pivotField showAll="0"/>
  </pivotFields>
  <rowFields count="1">
    <field x="2"/>
  </rowFields>
  <rowItems count="4">
    <i>
      <x/>
    </i>
    <i>
      <x v="1"/>
    </i>
    <i>
      <x v="2"/>
    </i>
    <i t="grand">
      <x/>
    </i>
  </rowItems>
  <colFields count="1">
    <field x="13"/>
  </colFields>
  <colItems count="6">
    <i>
      <x/>
    </i>
    <i>
      <x v="1"/>
    </i>
    <i>
      <x v="2"/>
    </i>
    <i>
      <x v="3"/>
    </i>
    <i>
      <x v="4"/>
    </i>
    <i t="grand">
      <x/>
    </i>
  </colItems>
  <pageFields count="1">
    <pageField fld="1" hier="-1"/>
  </pageFields>
  <dataFields count="1">
    <dataField name="Count of Attrition" fld="1" subtotal="count" baseField="0" baseItem="0"/>
  </dataFields>
  <chartFormats count="10">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2">
          <reference field="4294967294" count="1" selected="0">
            <x v="0"/>
          </reference>
          <reference field="13" count="1" selected="0">
            <x v="4"/>
          </reference>
        </references>
      </pivotArea>
    </chartFormat>
    <chartFormat chart="5" format="10" series="1">
      <pivotArea type="data" outline="0" fieldPosition="0">
        <references count="2">
          <reference field="4294967294" count="1" selected="0">
            <x v="0"/>
          </reference>
          <reference field="13" count="1" selected="0">
            <x v="0"/>
          </reference>
        </references>
      </pivotArea>
    </chartFormat>
    <chartFormat chart="5" format="11" series="1">
      <pivotArea type="data" outline="0" fieldPosition="0">
        <references count="2">
          <reference field="4294967294" count="1" selected="0">
            <x v="0"/>
          </reference>
          <reference field="13" count="1" selected="0">
            <x v="1"/>
          </reference>
        </references>
      </pivotArea>
    </chartFormat>
    <chartFormat chart="5" format="12" series="1">
      <pivotArea type="data" outline="0" fieldPosition="0">
        <references count="2">
          <reference field="4294967294" count="1" selected="0">
            <x v="0"/>
          </reference>
          <reference field="13" count="1" selected="0">
            <x v="2"/>
          </reference>
        </references>
      </pivotArea>
    </chartFormat>
    <chartFormat chart="5" format="13" series="1">
      <pivotArea type="data" outline="0" fieldPosition="0">
        <references count="2">
          <reference field="4294967294" count="1" selected="0">
            <x v="0"/>
          </reference>
          <reference field="13" count="1" selected="0">
            <x v="3"/>
          </reference>
        </references>
      </pivotArea>
    </chartFormat>
    <chartFormat chart="5" format="14" series="1">
      <pivotArea type="data" outline="0" fieldPosition="0">
        <references count="2">
          <reference field="4294967294" count="1" selected="0">
            <x v="0"/>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8FD59CB-FA5F-D347-AB19-9D400B93235E}"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O8" firstHeaderRow="1" firstDataRow="2" firstDataCol="1"/>
  <pivotFields count="5">
    <pivotField axis="axisRow" showAll="0">
      <items count="4">
        <item x="1"/>
        <item x="2"/>
        <item x="0"/>
        <item t="default"/>
      </items>
    </pivotField>
    <pivotField axis="axisCol" showAll="0">
      <items count="6">
        <item x="0"/>
        <item x="1"/>
        <item x="2"/>
        <item x="3"/>
        <item x="4"/>
        <item t="default"/>
      </items>
    </pivotField>
    <pivotField showAll="0"/>
    <pivotField showAll="0"/>
    <pivotField dataField="1" numFmtId="9" showAll="0"/>
  </pivotFields>
  <rowFields count="1">
    <field x="0"/>
  </rowFields>
  <rowItems count="4">
    <i>
      <x/>
    </i>
    <i>
      <x v="1"/>
    </i>
    <i>
      <x v="2"/>
    </i>
    <i t="grand">
      <x/>
    </i>
  </rowItems>
  <colFields count="1">
    <field x="1"/>
  </colFields>
  <colItems count="6">
    <i>
      <x/>
    </i>
    <i>
      <x v="1"/>
    </i>
    <i>
      <x v="2"/>
    </i>
    <i>
      <x v="3"/>
    </i>
    <i>
      <x v="4"/>
    </i>
    <i t="grand">
      <x/>
    </i>
  </colItems>
  <dataFields count="1">
    <dataField name="Average of Attrition Rate" fld="4"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8CE7705-98AD-734B-9321-3AD98EF6D39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8" firstHeaderRow="1" firstDataRow="2" firstDataCol="1"/>
  <pivotFields count="16">
    <pivotField dataField="1"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items count="6">
        <item x="3"/>
        <item x="2"/>
        <item x="1"/>
        <item x="4"/>
        <item x="0"/>
        <item t="default"/>
      </items>
    </pivotField>
    <pivotField showAll="0"/>
    <pivotField axis="axisCol" multipleItemSelectionAllowed="1" showAll="0">
      <items count="6">
        <item x="4"/>
        <item x="2"/>
        <item x="3"/>
        <item x="0"/>
        <item x="1"/>
        <item t="default"/>
      </items>
    </pivotField>
  </pivotFields>
  <rowFields count="1">
    <field x="2"/>
  </rowFields>
  <rowItems count="4">
    <i>
      <x/>
    </i>
    <i>
      <x v="1"/>
    </i>
    <i>
      <x v="2"/>
    </i>
    <i t="grand">
      <x/>
    </i>
  </rowItems>
  <colFields count="1">
    <field x="15"/>
  </colFields>
  <colItems count="6">
    <i>
      <x/>
    </i>
    <i>
      <x v="1"/>
    </i>
    <i>
      <x v="2"/>
    </i>
    <i>
      <x v="3"/>
    </i>
    <i>
      <x v="4"/>
    </i>
    <i t="grand">
      <x/>
    </i>
  </colItems>
  <dataFields count="1">
    <dataField name="Number of Employees" fld="0" subtotal="count" baseField="0" baseItem="0"/>
  </dataFields>
  <chartFormats count="10">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0" format="3" series="1">
      <pivotArea type="data" outline="0" fieldPosition="0">
        <references count="2">
          <reference field="4294967294" count="1" selected="0">
            <x v="0"/>
          </reference>
          <reference field="15" count="1" selected="0">
            <x v="4"/>
          </reference>
        </references>
      </pivotArea>
    </chartFormat>
    <chartFormat chart="9" format="8" series="1">
      <pivotArea type="data" outline="0" fieldPosition="0">
        <references count="2">
          <reference field="4294967294" count="1" selected="0">
            <x v="0"/>
          </reference>
          <reference field="15" count="1" selected="0">
            <x v="0"/>
          </reference>
        </references>
      </pivotArea>
    </chartFormat>
    <chartFormat chart="9" format="9" series="1">
      <pivotArea type="data" outline="0" fieldPosition="0">
        <references count="2">
          <reference field="4294967294" count="1" selected="0">
            <x v="0"/>
          </reference>
          <reference field="15" count="1" selected="0">
            <x v="1"/>
          </reference>
        </references>
      </pivotArea>
    </chartFormat>
    <chartFormat chart="9" format="10" series="1">
      <pivotArea type="data" outline="0" fieldPosition="0">
        <references count="2">
          <reference field="4294967294" count="1" selected="0">
            <x v="0"/>
          </reference>
          <reference field="15" count="1" selected="0">
            <x v="2"/>
          </reference>
        </references>
      </pivotArea>
    </chartFormat>
    <chartFormat chart="9" format="11" series="1">
      <pivotArea type="data" outline="0" fieldPosition="0">
        <references count="2">
          <reference field="4294967294" count="1" selected="0">
            <x v="0"/>
          </reference>
          <reference field="15" count="1" selected="0">
            <x v="4"/>
          </reference>
        </references>
      </pivotArea>
    </chartFormat>
    <chartFormat chart="9" format="12" series="1">
      <pivotArea type="data" outline="0" fieldPosition="0">
        <references count="2">
          <reference field="4294967294" count="1" selected="0">
            <x v="0"/>
          </reference>
          <reference field="15" count="1" selected="0">
            <x v="3"/>
          </reference>
        </references>
      </pivotArea>
    </chartFormat>
    <chartFormat chart="0" format="4" series="1">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64C47DD-5B82-AB4B-84B1-2F207FE31EEF}"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G16" firstHeaderRow="1" firstDataRow="2" firstDataCol="1"/>
  <pivotFields count="5">
    <pivotField axis="axisRow" showAll="0">
      <items count="4">
        <item x="1"/>
        <item x="2"/>
        <item x="0"/>
        <item t="default"/>
      </items>
    </pivotField>
    <pivotField axis="axisCol" showAll="0">
      <items count="6">
        <item x="0"/>
        <item x="1"/>
        <item x="2"/>
        <item x="3"/>
        <item x="4"/>
        <item t="default"/>
      </items>
    </pivotField>
    <pivotField showAll="0"/>
    <pivotField showAll="0"/>
    <pivotField dataField="1" numFmtId="9" showAll="0"/>
  </pivotFields>
  <rowFields count="1">
    <field x="0"/>
  </rowFields>
  <rowItems count="4">
    <i>
      <x/>
    </i>
    <i>
      <x v="1"/>
    </i>
    <i>
      <x v="2"/>
    </i>
    <i t="grand">
      <x/>
    </i>
  </rowItems>
  <colFields count="1">
    <field x="1"/>
  </colFields>
  <colItems count="6">
    <i>
      <x/>
    </i>
    <i>
      <x v="1"/>
    </i>
    <i>
      <x v="2"/>
    </i>
    <i>
      <x v="3"/>
    </i>
    <i>
      <x v="4"/>
    </i>
    <i t="grand">
      <x/>
    </i>
  </colItems>
  <dataFields count="1">
    <dataField name="Average of Attrition Rate" fld="4"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7F5BCD2-AE3B-F040-86AE-0088669B6B2F}" sourceName="Department">
  <pivotTables>
    <pivotTable tabId="6" name="PivotTable1"/>
    <pivotTable tabId="8" name="PivotTable3"/>
  </pivotTables>
  <data>
    <tabular pivotCacheId="283470573">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_Range" xr10:uid="{773B73B3-5BDA-914C-A997-80F9C5F6BE24}" sourceName="Salary Range">
  <pivotTables>
    <pivotTable tabId="6" name="PivotTable1"/>
    <pivotTable tabId="8" name="PivotTable3"/>
  </pivotTables>
  <data>
    <tabular pivotCacheId="283470573">
      <items count="5">
        <i x="3" s="1"/>
        <i x="2" s="1"/>
        <i x="1" s="1"/>
        <i x="4"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Level" xr10:uid="{32C36871-443E-F248-99B3-3EC52957CC7B}" sourceName="Risk Level">
  <pivotTables>
    <pivotTable tabId="8" name="PivotTable3"/>
  </pivotTables>
  <data>
    <tabular pivotCacheId="283470573">
      <items count="5">
        <i x="4" s="1"/>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8092DE08-E669-5140-973F-59E2554D459F}" cache="Slicer_Department" caption="Department" rowHeight="251883"/>
  <slicer name="Salary Range" xr10:uid="{BEC7A99B-8FFF-7843-9447-15D39D5E3408}" cache="Slicer_Salary_Range" caption="Salary Range" rowHeight="251883"/>
  <slicer name="Risk Level" xr10:uid="{7BE5EE87-19B0-5E4C-BE0C-77337B762A23}" cache="Slicer_Risk_Level" caption="Risk Level"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B8292D-7D50-D644-B954-446E53A09672}" name="Table1" displayName="Table1" ref="A1:AH1471" totalsRowShown="0">
  <autoFilter ref="A1:AH1471" xr:uid="{D0B8292D-7D50-D644-B954-446E53A09672}"/>
  <tableColumns count="34">
    <tableColumn id="1" xr3:uid="{EC2E5959-13A4-0B4C-9393-4F4B3654F58A}" name="Age"/>
    <tableColumn id="2" xr3:uid="{67EA449B-6C06-A34B-812C-F396455B2368}" name="Attrition"/>
    <tableColumn id="3" xr3:uid="{160DE026-CBDD-1947-A16D-7800D87C2F46}" name="BusinessTravel"/>
    <tableColumn id="5" xr3:uid="{FE043211-8CB1-3447-9E68-900DD54D5BEA}" name="Department"/>
    <tableColumn id="6" xr3:uid="{CCB7F3B0-0894-2142-ACA3-F6D000D4E0B3}" name="DistanceFromHome"/>
    <tableColumn id="7" xr3:uid="{700D8C0B-D563-8042-A671-6B879FD967BA}" name="Education"/>
    <tableColumn id="8" xr3:uid="{B999A149-66F1-4944-A332-E95F8ABD1349}" name="EducationField"/>
    <tableColumn id="9" xr3:uid="{8EDCEE70-DC7B-774B-AD81-9DB2E9C347CB}" name="EmployeeCount"/>
    <tableColumn id="10" xr3:uid="{C627C58D-04F1-424B-8D00-544E87712D4A}" name="EmployeeNumber"/>
    <tableColumn id="11" xr3:uid="{96B3A491-9D36-B546-917A-D5D207F61BEE}" name="EnvironmentSatisfaction"/>
    <tableColumn id="12" xr3:uid="{953AEAD7-4101-1247-9AD2-B7A868E5AFDD}" name="Gender"/>
    <tableColumn id="13" xr3:uid="{27EFA9F6-8AAC-404A-A9A4-47F04207DA7E}" name="HourlyRate"/>
    <tableColumn id="14" xr3:uid="{E5D801CD-7E24-4E4B-95EB-A9458E047FB1}" name="JobInvolvement"/>
    <tableColumn id="15" xr3:uid="{F165E048-1729-8147-9556-A556089391CD}" name="JobLevel"/>
    <tableColumn id="16" xr3:uid="{3F69644C-36C5-D84F-9820-1750C9FE1BFF}" name="JobRole"/>
    <tableColumn id="17" xr3:uid="{624B2E0D-51DC-DB40-9E5C-A865AC615B92}" name="JobSatisfaction"/>
    <tableColumn id="18" xr3:uid="{05A28E11-1C18-4749-8498-6003F273A4C2}" name="MaritalStatus"/>
    <tableColumn id="19" xr3:uid="{9F0FC2AD-470C-FB42-A29F-40CB9B9326AB}" name="MonthlyIncome"/>
    <tableColumn id="20" xr3:uid="{1B6111E1-6C9B-7B40-A428-55F4910674E5}" name="MonthlyRate"/>
    <tableColumn id="21" xr3:uid="{847A0421-4D59-C145-89D4-5E2477E5BD5A}" name="NumCompaniesWorked"/>
    <tableColumn id="22" xr3:uid="{C0388D78-21B0-1045-A8DC-2217646ECBE4}" name="Over18"/>
    <tableColumn id="23" xr3:uid="{AAD8735D-9E4D-E543-A947-2AEC6DCFB5E4}" name="OverTime"/>
    <tableColumn id="24" xr3:uid="{DE7CC878-6C4D-1848-9D6E-826325A84B7C}" name="PercentSalaryHike"/>
    <tableColumn id="25" xr3:uid="{BC242722-5D84-E146-AA04-C3F0F76D2181}" name="PerformanceRating"/>
    <tableColumn id="26" xr3:uid="{13B5D21B-83F2-964A-86A3-C32C55F77B3C}" name="RelationshipSatisfaction"/>
    <tableColumn id="27" xr3:uid="{8A74E863-E3A5-BB4C-81A7-DCAFE0DE7830}" name="StandardHours"/>
    <tableColumn id="28" xr3:uid="{008278CF-C2BB-984A-B284-CFDE96978835}" name="StockOptionLevel"/>
    <tableColumn id="29" xr3:uid="{DAACBAB8-45E6-0449-8C19-081960EE36C6}" name="TotalWorkingYears"/>
    <tableColumn id="30" xr3:uid="{CDFB0E15-41A3-B848-8069-F2FB201FF60A}" name="TrainingTimesLastYear"/>
    <tableColumn id="31" xr3:uid="{629BBE53-2FB6-5142-B9A6-A60FFD7B621F}" name="WorkLifeBalance"/>
    <tableColumn id="32" xr3:uid="{1A1AE367-440A-8447-9E75-494374831E41}" name="YearsAtCompany"/>
    <tableColumn id="33" xr3:uid="{68384006-500C-8944-8A2D-84275F262DE9}" name="YearsInCurrentRole"/>
    <tableColumn id="34" xr3:uid="{6EF7E0F2-60AC-A64C-8DA0-39F518635E45}" name="YearsSinceLastPromotion"/>
    <tableColumn id="35" xr3:uid="{9CFA5B05-55A1-7C4E-B303-1D348A3C0479}" name="YearsWithCurrManag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CE14D1B-D9C8-B74A-AEE1-FBA632E1B2F0}" name="Table3" displayName="Table3" ref="A1:R1471" totalsRowShown="0">
  <autoFilter ref="A1:R1471" xr:uid="{6CE14D1B-D9C8-B74A-AEE1-FBA632E1B2F0}">
    <filterColumn colId="17">
      <filters>
        <filter val="High Risk"/>
        <filter val="Low Risk"/>
        <filter val="Medium Risk"/>
        <filter val="Very Low Risk"/>
      </filters>
    </filterColumn>
  </autoFilter>
  <sortState xmlns:xlrd2="http://schemas.microsoft.com/office/spreadsheetml/2017/richdata2" ref="A3:R1471">
    <sortCondition descending="1" ref="P1:P1471"/>
  </sortState>
  <tableColumns count="18">
    <tableColumn id="1" xr3:uid="{22AC2DF6-1FC8-304C-B7DE-1AE8A2ED8133}" name="Age">
      <calculatedColumnFormula>Table1[[#This Row],[Age]]</calculatedColumnFormula>
    </tableColumn>
    <tableColumn id="18" xr3:uid="{D9602DCF-4BDC-1F4D-9CEE-C99FB767B01F}" name="Attrition_binary" dataDxfId="16">
      <calculatedColumnFormula>IF(Table3[[#This Row],[Attrition]] = "Yes", 1,0)</calculatedColumnFormula>
    </tableColumn>
    <tableColumn id="2" xr3:uid="{DE1941AF-0852-444F-92FD-BF31D66A5CC7}" name="Attrition">
      <calculatedColumnFormula>Table1[[#This Row],[Attrition]]</calculatedColumnFormula>
    </tableColumn>
    <tableColumn id="3" xr3:uid="{8BC259F2-63CA-EB4E-B971-AC96960A6BF6}" name="Department">
      <calculatedColumnFormula>Table1[[#This Row],[Department]]</calculatedColumnFormula>
    </tableColumn>
    <tableColumn id="4" xr3:uid="{2E519E76-C49D-C843-B771-6B0BBF3F30CB}" name="Environment Satisfaction">
      <calculatedColumnFormula>Table1[[#This Row],[EnvironmentSatisfaction]]</calculatedColumnFormula>
    </tableColumn>
    <tableColumn id="5" xr3:uid="{8FE542D7-C99F-444C-94B1-54DBFB18E901}" name="Hourly Rate">
      <calculatedColumnFormula>Table1[[#This Row],[HourlyRate]]</calculatedColumnFormula>
    </tableColumn>
    <tableColumn id="6" xr3:uid="{D54999EC-78E7-0146-8DDB-69E0AC4A4AB9}" name="JobRole">
      <calculatedColumnFormula>Table1[[#This Row],[JobRole]]</calculatedColumnFormula>
    </tableColumn>
    <tableColumn id="7" xr3:uid="{34E6DEDF-44D0-ED4C-8202-95764D8D7716}" name="JobSatisfaction">
      <calculatedColumnFormula>Table1[[#This Row],[JobSatisfaction]]</calculatedColumnFormula>
    </tableColumn>
    <tableColumn id="8" xr3:uid="{26D29274-2292-BE42-BF59-50ABA15E86AC}" name="YearsAtCompany">
      <calculatedColumnFormula>Table1[[#This Row],[YearsAtCompany]]</calculatedColumnFormula>
    </tableColumn>
    <tableColumn id="9" xr3:uid="{9571BAED-AC78-504E-9366-05B102E9D4CE}" name="YearsSinceLastPromotion">
      <calculatedColumnFormula>Table1[[#This Row],[YearsSinceLastPromotion]]</calculatedColumnFormula>
    </tableColumn>
    <tableColumn id="17" xr3:uid="{EE1DF962-6E51-CC48-8A94-242A7FEF235A}" name="EmployeeNum" dataDxfId="15">
      <calculatedColumnFormula>Table1[[#This Row],[EmployeeNumber]]</calculatedColumnFormula>
    </tableColumn>
    <tableColumn id="10" xr3:uid="{A8CEFEFA-6A2F-224D-A11E-BE9A6217C63F}" name="DistanceFromHome">
      <calculatedColumnFormula>Table1[[#This Row],[DistanceFromHome]]</calculatedColumnFormula>
    </tableColumn>
    <tableColumn id="11" xr3:uid="{4BA9BC7B-FBA1-254F-87F6-A4EE90355006}" name="Overtime">
      <calculatedColumnFormula>Table1[[#This Row],[OverTime]]</calculatedColumnFormula>
    </tableColumn>
    <tableColumn id="12" xr3:uid="{EFC762B7-D471-4D4B-B3CB-6D351B018D1A}" name="WorkLifeBalance">
      <calculatedColumnFormula>Table1[[#This Row],[WorkLifeBalance]]</calculatedColumnFormula>
    </tableColumn>
    <tableColumn id="13" xr3:uid="{D9C6D7F5-62F4-8845-8967-B16D7F192043}" name="AgeRange">
      <calculatedColumnFormula array="1">_xlfn.IFS(A2&lt;=30,"18-30",A2&lt;=40,"31-40",A2&lt;=50,"41-50",A2&gt;50,"51+")</calculatedColumnFormula>
    </tableColumn>
    <tableColumn id="14" xr3:uid="{2F55376D-3D28-5549-AA46-AFC750F6BB6E}" name="Salary Range" dataDxfId="14">
      <calculatedColumnFormula array="1">_xlfn.IFS(F2&lt;=45,"45 or below",F2&lt;= 60,"46-60",F2&lt;=75,"61-75",F2&lt;=90,"76-90",F2&gt;90,"91 or above")</calculatedColumnFormula>
    </tableColumn>
    <tableColumn id="15" xr3:uid="{E921C150-1CC5-7B42-9851-C65FF2BC08A3}" name="Flight Risk Score" dataDxfId="13">
      <calculatedColumnFormula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calculatedColumnFormula>
    </tableColumn>
    <tableColumn id="16" xr3:uid="{7CCF2E48-781E-7D4F-B791-94B3BC5F2ACE}" name="Risk Level" dataDxfId="12">
      <calculatedColumnFormula array="1" xml:space="preserve"> _xlfn.IFS(Table3[[#This Row],[Flight Risk Score]] = "NA","NA",Table3[[#This Row],[Flight Risk Score]] &gt;= 70,"High Risk",Table3[[#This Row],[Flight Risk Score]] &gt;= 50, "Medium Risk", Table3[[#This Row],[Flight Risk Score]] &gt;= 30,"Low Risk",Table3[[#This Row],[Flight Risk Score]] &lt; 30,"Very Low Risk")</calculatedColumnFormula>
    </tableColumn>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C9065A-FEBE-D448-9646-9F5BACED1BC5}" name="Table4" displayName="Table4" ref="D1479:G1482" totalsRowShown="0">
  <autoFilter ref="D1479:G1482" xr:uid="{56C9065A-FEBE-D448-9646-9F5BACED1BC5}"/>
  <tableColumns count="4">
    <tableColumn id="1" xr3:uid="{141A871F-752C-0844-B270-F177A9AADD89}" name="Department"/>
    <tableColumn id="2" xr3:uid="{56955651-309B-164A-9F5A-912CAC715B17}" name="Attrition Yes">
      <calculatedColumnFormula>COUNTIFS($D$2:$D$1471,D1480,$C$2:$C$1471,"Yes")</calculatedColumnFormula>
    </tableColumn>
    <tableColumn id="3" xr3:uid="{777024B1-BD61-AD4F-92EF-3203AE284565}" name="Total Size" dataDxfId="11">
      <calculatedColumnFormula>COUNTIF(Table3[Department], D1480)</calculatedColumnFormula>
    </tableColumn>
    <tableColumn id="4" xr3:uid="{C3040D1F-7F01-B146-9CCE-91E6412539BA}" name="Attrition Rate" dataDxfId="10" dataCellStyle="Per cent">
      <calculatedColumnFormula>E1480/F1480</calculatedColumnFormula>
    </tableColumn>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F56B0A8-6B67-BE4F-9780-770C60BEBF64}" name="Table5" displayName="Table5" ref="D1487:G1492" totalsRowShown="0">
  <autoFilter ref="D1487:G1492" xr:uid="{0F56B0A8-6B67-BE4F-9780-770C60BEBF64}"/>
  <tableColumns count="4">
    <tableColumn id="1" xr3:uid="{0A17D0FB-F770-9649-88E4-FF29807F3AEA}" name="Salary Band"/>
    <tableColumn id="2" xr3:uid="{F3E259E9-B741-C24B-B48C-AF425F75C3C4}" name="Attriton Yes">
      <calculatedColumnFormula>COUNTIFS($P$2:$P$1471,D1488,$C$2:$C$1471,"Yes")</calculatedColumnFormula>
    </tableColumn>
    <tableColumn id="3" xr3:uid="{B3C337F6-6599-F34B-B553-57894A6C8C09}" name="Total Size">
      <calculatedColumnFormula>COUNTIF(Table3[Salary Range], D1488)</calculatedColumnFormula>
    </tableColumn>
    <tableColumn id="4" xr3:uid="{3AF8589B-F2F7-8744-9730-853A1C786BEF}" name="Attrition Rate" dataDxfId="9" dataCellStyle="Per cent">
      <calculatedColumnFormula>E1488/F1488</calculatedColumnFormula>
    </tableColumn>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A0A4B54-E387-E042-91B6-6B7766711A5A}" name="Table6" displayName="Table6" ref="D1496:H1511" totalsRowShown="0">
  <autoFilter ref="D1496:H1511" xr:uid="{2A0A4B54-E387-E042-91B6-6B7766711A5A}"/>
  <sortState xmlns:xlrd2="http://schemas.microsoft.com/office/spreadsheetml/2017/richdata2" ref="D1497:H1511">
    <sortCondition descending="1" ref="H1496:H1511"/>
  </sortState>
  <tableColumns count="5">
    <tableColumn id="1" xr3:uid="{DDB011A4-69D5-2C4F-909C-ED01F04758AC}" name="Department"/>
    <tableColumn id="2" xr3:uid="{A95EDE60-4A9D-DB41-AEC3-045CB46728C6}" name="Salary Range"/>
    <tableColumn id="3" xr3:uid="{87B24A66-8C5E-AB44-B95E-FE2E58AB39D6}" name="Attition Yes">
      <calculatedColumnFormula>COUNTIFS(Table3[Department],D1497,Table3[Attrition],"Yes",Table3[Salary Range], E1497 )</calculatedColumnFormula>
    </tableColumn>
    <tableColumn id="4" xr3:uid="{A110DBCA-4EAF-7E49-9362-84BA3C2C8D6B}" name="Total Size">
      <calculatedColumnFormula>COUNTIFS(Table3[Department],D1497, Table3[Salary Range], E1497 )</calculatedColumnFormula>
    </tableColumn>
    <tableColumn id="5" xr3:uid="{0835F816-15DF-8A4A-90D8-7C7C6BB72152}" name="Attrition Rate" dataDxfId="8" dataCellStyle="Per cent">
      <calculatedColumnFormula>F1497/G1497</calculatedColumnFormula>
    </tableColumn>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E5B6BD-DC4E-2E4C-A89C-B925B04438D9}" name="Table2" displayName="Table2" ref="D1517:H1522" totalsRowShown="0">
  <autoFilter ref="D1517:H1522" xr:uid="{1EE5B6BD-DC4E-2E4C-A89C-B925B04438D9}"/>
  <tableColumns count="5">
    <tableColumn id="1" xr3:uid="{ED57B324-5CFF-9541-B263-A9ACB032BCD8}" name="Factor"/>
    <tableColumn id="2" xr3:uid="{C32A71FD-1EB1-334A-99F9-1D60EA815412}" name="Attrition Percentage when true" dataDxfId="7" dataCellStyle="Per cent"/>
    <tableColumn id="3" xr3:uid="{A01E05ED-90B9-4643-9CB4-DEC5B03E53B6}" name="Atrrition Percentage when false" dataDxfId="6" dataCellStyle="Per cent"/>
    <tableColumn id="4" xr3:uid="{830D2228-9097-4A40-9E82-8C3A38FD8A31}" name="Comments"/>
    <tableColumn id="5" xr3:uid="{4D33FC1B-B4B5-2540-B58A-DB7E58B9CA2E}" name="Contribution to flight risk score"/>
  </tableColumns>
  <tableStyleInfo name="TableStyleMedium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C0C7ADC-43D1-7942-9187-F68848607BDB}" name="Table28" displayName="Table28" ref="A1:F6" totalsRowShown="0">
  <autoFilter ref="A1:F6" xr:uid="{AC0C7ADC-43D1-7942-9187-F68848607BDB}"/>
  <tableColumns count="6">
    <tableColumn id="11" xr3:uid="{01C50365-EDB8-F349-BEC3-D79F926EC1AA}" name="Variable"/>
    <tableColumn id="1" xr3:uid="{64F8E037-99F4-734B-910C-2727FB2FAD1C}" name="Condition"/>
    <tableColumn id="2" xr3:uid="{253183BC-C7B6-CC4B-AD88-B640805ADFC5}" name="Attrition Percentage when true" dataDxfId="5" dataCellStyle="Per cent"/>
    <tableColumn id="3" xr3:uid="{FF716A8E-6EE9-0249-93EB-58AEB0DDDC0C}" name="Atrrition Percentage when false" dataDxfId="4" dataCellStyle="Per cent"/>
    <tableColumn id="4" xr3:uid="{0F7A6743-A24B-8B42-88AC-C7B5869C3B9B}" name="Comments"/>
    <tableColumn id="5" xr3:uid="{BC5F05E7-33B2-AE4D-9488-E81FF43CB3AF}" name="Contribution to flight risk score"/>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F9D79-A980-F149-A972-B6BA5573AF82}">
  <dimension ref="A1:AH1471"/>
  <sheetViews>
    <sheetView topLeftCell="K1" workbookViewId="0">
      <selection activeCell="D9" sqref="D9"/>
    </sheetView>
  </sheetViews>
  <sheetFormatPr baseColWidth="10" defaultRowHeight="16" x14ac:dyDescent="0.2"/>
  <cols>
    <col min="1" max="1" width="6.6640625" customWidth="1"/>
    <col min="2" max="2" width="10.33203125" customWidth="1"/>
    <col min="3" max="3" width="16" customWidth="1"/>
    <col min="4" max="4" width="21.83203125" bestFit="1" customWidth="1"/>
    <col min="5" max="5" width="20.33203125" customWidth="1"/>
    <col min="6" max="6" width="11.6640625" customWidth="1"/>
    <col min="7" max="7" width="15.83203125" bestFit="1" customWidth="1"/>
    <col min="8" max="8" width="16.5" customWidth="1"/>
    <col min="9" max="9" width="18.1640625" customWidth="1"/>
    <col min="10" max="10" width="23.83203125" customWidth="1"/>
    <col min="11" max="11" width="9.5" customWidth="1"/>
    <col min="12" max="12" width="12.6640625" customWidth="1"/>
    <col min="13" max="13" width="16.1640625" customWidth="1"/>
    <col min="14" max="14" width="10.5" customWidth="1"/>
    <col min="15" max="15" width="23.33203125" bestFit="1" customWidth="1"/>
    <col min="16" max="16" width="16.1640625" customWidth="1"/>
    <col min="17" max="17" width="14.6640625" customWidth="1"/>
    <col min="18" max="18" width="16.1640625" customWidth="1"/>
    <col min="19" max="19" width="13.83203125" customWidth="1"/>
    <col min="20" max="20" width="23.33203125" customWidth="1"/>
    <col min="21" max="21" width="9.33203125" customWidth="1"/>
    <col min="22" max="22" width="11.33203125" customWidth="1"/>
    <col min="23" max="23" width="18.83203125" customWidth="1"/>
    <col min="24" max="24" width="19.6640625" customWidth="1"/>
    <col min="25" max="25" width="23.83203125" customWidth="1"/>
    <col min="26" max="26" width="15.83203125" customWidth="1"/>
    <col min="27" max="27" width="18" customWidth="1"/>
    <col min="28" max="28" width="19" customWidth="1"/>
    <col min="29" max="29" width="22.33203125" customWidth="1"/>
    <col min="30" max="30" width="17.6640625" customWidth="1"/>
    <col min="31" max="31" width="17.83203125" customWidth="1"/>
    <col min="32" max="32" width="19.6640625" customWidth="1"/>
    <col min="33" max="33" width="25" customWidth="1"/>
    <col min="34" max="34" width="22.83203125" customWidth="1"/>
  </cols>
  <sheetData>
    <row r="1" spans="1:34"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row>
    <row r="2" spans="1:34" x14ac:dyDescent="0.2">
      <c r="A2">
        <v>41</v>
      </c>
      <c r="B2" t="s">
        <v>34</v>
      </c>
      <c r="C2" t="s">
        <v>35</v>
      </c>
      <c r="D2" t="s">
        <v>36</v>
      </c>
      <c r="E2">
        <v>1</v>
      </c>
      <c r="F2">
        <v>2</v>
      </c>
      <c r="G2" t="s">
        <v>37</v>
      </c>
      <c r="H2">
        <v>1</v>
      </c>
      <c r="I2">
        <v>1</v>
      </c>
      <c r="J2">
        <v>2</v>
      </c>
      <c r="K2" t="s">
        <v>38</v>
      </c>
      <c r="L2">
        <v>94</v>
      </c>
      <c r="M2">
        <v>3</v>
      </c>
      <c r="N2">
        <v>2</v>
      </c>
      <c r="O2" t="s">
        <v>39</v>
      </c>
      <c r="P2">
        <v>4</v>
      </c>
      <c r="Q2" t="s">
        <v>40</v>
      </c>
      <c r="R2">
        <v>5993</v>
      </c>
      <c r="S2">
        <v>19479</v>
      </c>
      <c r="T2">
        <v>8</v>
      </c>
      <c r="U2" t="s">
        <v>41</v>
      </c>
      <c r="V2" t="s">
        <v>34</v>
      </c>
      <c r="W2">
        <v>11</v>
      </c>
      <c r="X2">
        <v>3</v>
      </c>
      <c r="Y2">
        <v>1</v>
      </c>
      <c r="Z2">
        <v>80</v>
      </c>
      <c r="AA2">
        <v>0</v>
      </c>
      <c r="AB2">
        <v>8</v>
      </c>
      <c r="AC2">
        <v>0</v>
      </c>
      <c r="AD2">
        <v>1</v>
      </c>
      <c r="AE2">
        <v>6</v>
      </c>
      <c r="AF2">
        <v>4</v>
      </c>
      <c r="AG2">
        <v>0</v>
      </c>
      <c r="AH2">
        <v>5</v>
      </c>
    </row>
    <row r="3" spans="1:34" x14ac:dyDescent="0.2">
      <c r="A3">
        <v>49</v>
      </c>
      <c r="B3" t="s">
        <v>42</v>
      </c>
      <c r="C3" t="s">
        <v>43</v>
      </c>
      <c r="D3" t="s">
        <v>44</v>
      </c>
      <c r="E3">
        <v>8</v>
      </c>
      <c r="F3">
        <v>1</v>
      </c>
      <c r="G3" t="s">
        <v>37</v>
      </c>
      <c r="H3">
        <v>1</v>
      </c>
      <c r="I3">
        <v>2</v>
      </c>
      <c r="J3">
        <v>3</v>
      </c>
      <c r="K3" t="s">
        <v>45</v>
      </c>
      <c r="L3">
        <v>61</v>
      </c>
      <c r="M3">
        <v>2</v>
      </c>
      <c r="N3">
        <v>2</v>
      </c>
      <c r="O3" t="s">
        <v>46</v>
      </c>
      <c r="P3">
        <v>2</v>
      </c>
      <c r="Q3" t="s">
        <v>47</v>
      </c>
      <c r="R3">
        <v>5130</v>
      </c>
      <c r="S3">
        <v>24907</v>
      </c>
      <c r="T3">
        <v>1</v>
      </c>
      <c r="U3" t="s">
        <v>41</v>
      </c>
      <c r="V3" t="s">
        <v>42</v>
      </c>
      <c r="W3">
        <v>23</v>
      </c>
      <c r="X3">
        <v>4</v>
      </c>
      <c r="Y3">
        <v>4</v>
      </c>
      <c r="Z3">
        <v>80</v>
      </c>
      <c r="AA3">
        <v>1</v>
      </c>
      <c r="AB3">
        <v>10</v>
      </c>
      <c r="AC3">
        <v>3</v>
      </c>
      <c r="AD3">
        <v>3</v>
      </c>
      <c r="AE3">
        <v>10</v>
      </c>
      <c r="AF3">
        <v>7</v>
      </c>
      <c r="AG3">
        <v>1</v>
      </c>
      <c r="AH3">
        <v>7</v>
      </c>
    </row>
    <row r="4" spans="1:34" x14ac:dyDescent="0.2">
      <c r="A4">
        <v>37</v>
      </c>
      <c r="B4" t="s">
        <v>34</v>
      </c>
      <c r="C4" t="s">
        <v>35</v>
      </c>
      <c r="D4" t="s">
        <v>44</v>
      </c>
      <c r="E4">
        <v>2</v>
      </c>
      <c r="F4">
        <v>2</v>
      </c>
      <c r="G4" t="s">
        <v>48</v>
      </c>
      <c r="H4">
        <v>1</v>
      </c>
      <c r="I4">
        <v>4</v>
      </c>
      <c r="J4">
        <v>4</v>
      </c>
      <c r="K4" t="s">
        <v>45</v>
      </c>
      <c r="L4">
        <v>92</v>
      </c>
      <c r="M4">
        <v>2</v>
      </c>
      <c r="N4">
        <v>1</v>
      </c>
      <c r="O4" t="s">
        <v>49</v>
      </c>
      <c r="P4">
        <v>3</v>
      </c>
      <c r="Q4" t="s">
        <v>40</v>
      </c>
      <c r="R4">
        <v>2090</v>
      </c>
      <c r="S4">
        <v>2396</v>
      </c>
      <c r="T4">
        <v>6</v>
      </c>
      <c r="U4" t="s">
        <v>41</v>
      </c>
      <c r="V4" t="s">
        <v>34</v>
      </c>
      <c r="W4">
        <v>15</v>
      </c>
      <c r="X4">
        <v>3</v>
      </c>
      <c r="Y4">
        <v>2</v>
      </c>
      <c r="Z4">
        <v>80</v>
      </c>
      <c r="AA4">
        <v>0</v>
      </c>
      <c r="AB4">
        <v>7</v>
      </c>
      <c r="AC4">
        <v>3</v>
      </c>
      <c r="AD4">
        <v>3</v>
      </c>
      <c r="AE4">
        <v>0</v>
      </c>
      <c r="AF4">
        <v>0</v>
      </c>
      <c r="AG4">
        <v>0</v>
      </c>
      <c r="AH4">
        <v>0</v>
      </c>
    </row>
    <row r="5" spans="1:34" x14ac:dyDescent="0.2">
      <c r="A5">
        <v>33</v>
      </c>
      <c r="B5" t="s">
        <v>42</v>
      </c>
      <c r="C5" t="s">
        <v>43</v>
      </c>
      <c r="D5" t="s">
        <v>44</v>
      </c>
      <c r="E5">
        <v>3</v>
      </c>
      <c r="F5">
        <v>4</v>
      </c>
      <c r="G5" t="s">
        <v>37</v>
      </c>
      <c r="H5">
        <v>1</v>
      </c>
      <c r="I5">
        <v>5</v>
      </c>
      <c r="J5">
        <v>4</v>
      </c>
      <c r="K5" t="s">
        <v>38</v>
      </c>
      <c r="L5">
        <v>56</v>
      </c>
      <c r="M5">
        <v>3</v>
      </c>
      <c r="N5">
        <v>1</v>
      </c>
      <c r="O5" t="s">
        <v>46</v>
      </c>
      <c r="P5">
        <v>3</v>
      </c>
      <c r="Q5" t="s">
        <v>47</v>
      </c>
      <c r="R5">
        <v>2909</v>
      </c>
      <c r="S5">
        <v>23159</v>
      </c>
      <c r="T5">
        <v>1</v>
      </c>
      <c r="U5" t="s">
        <v>41</v>
      </c>
      <c r="V5" t="s">
        <v>34</v>
      </c>
      <c r="W5">
        <v>11</v>
      </c>
      <c r="X5">
        <v>3</v>
      </c>
      <c r="Y5">
        <v>3</v>
      </c>
      <c r="Z5">
        <v>80</v>
      </c>
      <c r="AA5">
        <v>0</v>
      </c>
      <c r="AB5">
        <v>8</v>
      </c>
      <c r="AC5">
        <v>3</v>
      </c>
      <c r="AD5">
        <v>3</v>
      </c>
      <c r="AE5">
        <v>8</v>
      </c>
      <c r="AF5">
        <v>7</v>
      </c>
      <c r="AG5">
        <v>3</v>
      </c>
      <c r="AH5">
        <v>0</v>
      </c>
    </row>
    <row r="6" spans="1:34" x14ac:dyDescent="0.2">
      <c r="A6">
        <v>27</v>
      </c>
      <c r="B6" t="s">
        <v>42</v>
      </c>
      <c r="C6" t="s">
        <v>35</v>
      </c>
      <c r="D6" t="s">
        <v>44</v>
      </c>
      <c r="E6">
        <v>2</v>
      </c>
      <c r="F6">
        <v>1</v>
      </c>
      <c r="G6" t="s">
        <v>50</v>
      </c>
      <c r="H6">
        <v>1</v>
      </c>
      <c r="I6">
        <v>7</v>
      </c>
      <c r="J6">
        <v>1</v>
      </c>
      <c r="K6" t="s">
        <v>45</v>
      </c>
      <c r="L6">
        <v>40</v>
      </c>
      <c r="M6">
        <v>3</v>
      </c>
      <c r="N6">
        <v>1</v>
      </c>
      <c r="O6" t="s">
        <v>49</v>
      </c>
      <c r="P6">
        <v>2</v>
      </c>
      <c r="Q6" t="s">
        <v>47</v>
      </c>
      <c r="R6">
        <v>3468</v>
      </c>
      <c r="S6">
        <v>16632</v>
      </c>
      <c r="T6">
        <v>9</v>
      </c>
      <c r="U6" t="s">
        <v>41</v>
      </c>
      <c r="V6" t="s">
        <v>42</v>
      </c>
      <c r="W6">
        <v>12</v>
      </c>
      <c r="X6">
        <v>3</v>
      </c>
      <c r="Y6">
        <v>4</v>
      </c>
      <c r="Z6">
        <v>80</v>
      </c>
      <c r="AA6">
        <v>1</v>
      </c>
      <c r="AB6">
        <v>6</v>
      </c>
      <c r="AC6">
        <v>3</v>
      </c>
      <c r="AD6">
        <v>3</v>
      </c>
      <c r="AE6">
        <v>2</v>
      </c>
      <c r="AF6">
        <v>2</v>
      </c>
      <c r="AG6">
        <v>2</v>
      </c>
      <c r="AH6">
        <v>2</v>
      </c>
    </row>
    <row r="7" spans="1:34" x14ac:dyDescent="0.2">
      <c r="A7">
        <v>32</v>
      </c>
      <c r="B7" t="s">
        <v>42</v>
      </c>
      <c r="C7" t="s">
        <v>43</v>
      </c>
      <c r="D7" t="s">
        <v>44</v>
      </c>
      <c r="E7">
        <v>2</v>
      </c>
      <c r="F7">
        <v>2</v>
      </c>
      <c r="G7" t="s">
        <v>37</v>
      </c>
      <c r="H7">
        <v>1</v>
      </c>
      <c r="I7">
        <v>8</v>
      </c>
      <c r="J7">
        <v>4</v>
      </c>
      <c r="K7" t="s">
        <v>45</v>
      </c>
      <c r="L7">
        <v>79</v>
      </c>
      <c r="M7">
        <v>3</v>
      </c>
      <c r="N7">
        <v>1</v>
      </c>
      <c r="O7" t="s">
        <v>49</v>
      </c>
      <c r="P7">
        <v>4</v>
      </c>
      <c r="Q7" t="s">
        <v>40</v>
      </c>
      <c r="R7">
        <v>3068</v>
      </c>
      <c r="S7">
        <v>11864</v>
      </c>
      <c r="T7">
        <v>0</v>
      </c>
      <c r="U7" t="s">
        <v>41</v>
      </c>
      <c r="V7" t="s">
        <v>42</v>
      </c>
      <c r="W7">
        <v>13</v>
      </c>
      <c r="X7">
        <v>3</v>
      </c>
      <c r="Y7">
        <v>3</v>
      </c>
      <c r="Z7">
        <v>80</v>
      </c>
      <c r="AA7">
        <v>0</v>
      </c>
      <c r="AB7">
        <v>8</v>
      </c>
      <c r="AC7">
        <v>2</v>
      </c>
      <c r="AD7">
        <v>2</v>
      </c>
      <c r="AE7">
        <v>7</v>
      </c>
      <c r="AF7">
        <v>7</v>
      </c>
      <c r="AG7">
        <v>3</v>
      </c>
      <c r="AH7">
        <v>6</v>
      </c>
    </row>
    <row r="8" spans="1:34" x14ac:dyDescent="0.2">
      <c r="A8">
        <v>59</v>
      </c>
      <c r="B8" t="s">
        <v>42</v>
      </c>
      <c r="C8" t="s">
        <v>35</v>
      </c>
      <c r="D8" t="s">
        <v>44</v>
      </c>
      <c r="E8">
        <v>3</v>
      </c>
      <c r="F8">
        <v>3</v>
      </c>
      <c r="G8" t="s">
        <v>50</v>
      </c>
      <c r="H8">
        <v>1</v>
      </c>
      <c r="I8">
        <v>10</v>
      </c>
      <c r="J8">
        <v>3</v>
      </c>
      <c r="K8" t="s">
        <v>38</v>
      </c>
      <c r="L8">
        <v>81</v>
      </c>
      <c r="M8">
        <v>4</v>
      </c>
      <c r="N8">
        <v>1</v>
      </c>
      <c r="O8" t="s">
        <v>49</v>
      </c>
      <c r="P8">
        <v>1</v>
      </c>
      <c r="Q8" t="s">
        <v>47</v>
      </c>
      <c r="R8">
        <v>2670</v>
      </c>
      <c r="S8">
        <v>9964</v>
      </c>
      <c r="T8">
        <v>4</v>
      </c>
      <c r="U8" t="s">
        <v>41</v>
      </c>
      <c r="V8" t="s">
        <v>34</v>
      </c>
      <c r="W8">
        <v>20</v>
      </c>
      <c r="X8">
        <v>4</v>
      </c>
      <c r="Y8">
        <v>1</v>
      </c>
      <c r="Z8">
        <v>80</v>
      </c>
      <c r="AA8">
        <v>3</v>
      </c>
      <c r="AB8">
        <v>12</v>
      </c>
      <c r="AC8">
        <v>3</v>
      </c>
      <c r="AD8">
        <v>2</v>
      </c>
      <c r="AE8">
        <v>1</v>
      </c>
      <c r="AF8">
        <v>0</v>
      </c>
      <c r="AG8">
        <v>0</v>
      </c>
      <c r="AH8">
        <v>0</v>
      </c>
    </row>
    <row r="9" spans="1:34" x14ac:dyDescent="0.2">
      <c r="A9">
        <v>30</v>
      </c>
      <c r="B9" t="s">
        <v>42</v>
      </c>
      <c r="C9" t="s">
        <v>35</v>
      </c>
      <c r="D9" t="s">
        <v>44</v>
      </c>
      <c r="E9">
        <v>24</v>
      </c>
      <c r="F9">
        <v>1</v>
      </c>
      <c r="G9" t="s">
        <v>37</v>
      </c>
      <c r="H9">
        <v>1</v>
      </c>
      <c r="I9">
        <v>11</v>
      </c>
      <c r="J9">
        <v>4</v>
      </c>
      <c r="K9" t="s">
        <v>45</v>
      </c>
      <c r="L9">
        <v>67</v>
      </c>
      <c r="M9">
        <v>3</v>
      </c>
      <c r="N9">
        <v>1</v>
      </c>
      <c r="O9" t="s">
        <v>49</v>
      </c>
      <c r="P9">
        <v>3</v>
      </c>
      <c r="Q9" t="s">
        <v>51</v>
      </c>
      <c r="R9">
        <v>2693</v>
      </c>
      <c r="S9">
        <v>13335</v>
      </c>
      <c r="T9">
        <v>1</v>
      </c>
      <c r="U9" t="s">
        <v>41</v>
      </c>
      <c r="V9" t="s">
        <v>42</v>
      </c>
      <c r="W9">
        <v>22</v>
      </c>
      <c r="X9">
        <v>4</v>
      </c>
      <c r="Y9">
        <v>2</v>
      </c>
      <c r="Z9">
        <v>80</v>
      </c>
      <c r="AA9">
        <v>1</v>
      </c>
      <c r="AB9">
        <v>1</v>
      </c>
      <c r="AC9">
        <v>2</v>
      </c>
      <c r="AD9">
        <v>3</v>
      </c>
      <c r="AE9">
        <v>1</v>
      </c>
      <c r="AF9">
        <v>0</v>
      </c>
      <c r="AG9">
        <v>0</v>
      </c>
      <c r="AH9">
        <v>0</v>
      </c>
    </row>
    <row r="10" spans="1:34" x14ac:dyDescent="0.2">
      <c r="A10">
        <v>38</v>
      </c>
      <c r="B10" t="s">
        <v>42</v>
      </c>
      <c r="C10" t="s">
        <v>43</v>
      </c>
      <c r="D10" t="s">
        <v>44</v>
      </c>
      <c r="E10">
        <v>23</v>
      </c>
      <c r="F10">
        <v>3</v>
      </c>
      <c r="G10" t="s">
        <v>37</v>
      </c>
      <c r="H10">
        <v>1</v>
      </c>
      <c r="I10">
        <v>12</v>
      </c>
      <c r="J10">
        <v>4</v>
      </c>
      <c r="K10" t="s">
        <v>45</v>
      </c>
      <c r="L10">
        <v>44</v>
      </c>
      <c r="M10">
        <v>2</v>
      </c>
      <c r="N10">
        <v>3</v>
      </c>
      <c r="O10" t="s">
        <v>52</v>
      </c>
      <c r="P10">
        <v>3</v>
      </c>
      <c r="Q10" t="s">
        <v>40</v>
      </c>
      <c r="R10">
        <v>9526</v>
      </c>
      <c r="S10">
        <v>8787</v>
      </c>
      <c r="T10">
        <v>0</v>
      </c>
      <c r="U10" t="s">
        <v>41</v>
      </c>
      <c r="V10" t="s">
        <v>42</v>
      </c>
      <c r="W10">
        <v>21</v>
      </c>
      <c r="X10">
        <v>4</v>
      </c>
      <c r="Y10">
        <v>2</v>
      </c>
      <c r="Z10">
        <v>80</v>
      </c>
      <c r="AA10">
        <v>0</v>
      </c>
      <c r="AB10">
        <v>10</v>
      </c>
      <c r="AC10">
        <v>2</v>
      </c>
      <c r="AD10">
        <v>3</v>
      </c>
      <c r="AE10">
        <v>9</v>
      </c>
      <c r="AF10">
        <v>7</v>
      </c>
      <c r="AG10">
        <v>1</v>
      </c>
      <c r="AH10">
        <v>8</v>
      </c>
    </row>
    <row r="11" spans="1:34" x14ac:dyDescent="0.2">
      <c r="A11">
        <v>36</v>
      </c>
      <c r="B11" t="s">
        <v>42</v>
      </c>
      <c r="C11" t="s">
        <v>35</v>
      </c>
      <c r="D11" t="s">
        <v>44</v>
      </c>
      <c r="E11">
        <v>27</v>
      </c>
      <c r="F11">
        <v>3</v>
      </c>
      <c r="G11" t="s">
        <v>50</v>
      </c>
      <c r="H11">
        <v>1</v>
      </c>
      <c r="I11">
        <v>13</v>
      </c>
      <c r="J11">
        <v>3</v>
      </c>
      <c r="K11" t="s">
        <v>45</v>
      </c>
      <c r="L11">
        <v>94</v>
      </c>
      <c r="M11">
        <v>3</v>
      </c>
      <c r="N11">
        <v>2</v>
      </c>
      <c r="O11" t="s">
        <v>53</v>
      </c>
      <c r="P11">
        <v>3</v>
      </c>
      <c r="Q11" t="s">
        <v>47</v>
      </c>
      <c r="R11">
        <v>5237</v>
      </c>
      <c r="S11">
        <v>16577</v>
      </c>
      <c r="T11">
        <v>6</v>
      </c>
      <c r="U11" t="s">
        <v>41</v>
      </c>
      <c r="V11" t="s">
        <v>42</v>
      </c>
      <c r="W11">
        <v>13</v>
      </c>
      <c r="X11">
        <v>3</v>
      </c>
      <c r="Y11">
        <v>2</v>
      </c>
      <c r="Z11">
        <v>80</v>
      </c>
      <c r="AA11">
        <v>2</v>
      </c>
      <c r="AB11">
        <v>17</v>
      </c>
      <c r="AC11">
        <v>3</v>
      </c>
      <c r="AD11">
        <v>2</v>
      </c>
      <c r="AE11">
        <v>7</v>
      </c>
      <c r="AF11">
        <v>7</v>
      </c>
      <c r="AG11">
        <v>7</v>
      </c>
      <c r="AH11">
        <v>7</v>
      </c>
    </row>
    <row r="12" spans="1:34" x14ac:dyDescent="0.2">
      <c r="A12">
        <v>35</v>
      </c>
      <c r="B12" t="s">
        <v>42</v>
      </c>
      <c r="C12" t="s">
        <v>35</v>
      </c>
      <c r="D12" t="s">
        <v>44</v>
      </c>
      <c r="E12">
        <v>16</v>
      </c>
      <c r="F12">
        <v>3</v>
      </c>
      <c r="G12" t="s">
        <v>50</v>
      </c>
      <c r="H12">
        <v>1</v>
      </c>
      <c r="I12">
        <v>14</v>
      </c>
      <c r="J12">
        <v>1</v>
      </c>
      <c r="K12" t="s">
        <v>45</v>
      </c>
      <c r="L12">
        <v>84</v>
      </c>
      <c r="M12">
        <v>4</v>
      </c>
      <c r="N12">
        <v>1</v>
      </c>
      <c r="O12" t="s">
        <v>49</v>
      </c>
      <c r="P12">
        <v>2</v>
      </c>
      <c r="Q12" t="s">
        <v>47</v>
      </c>
      <c r="R12">
        <v>2426</v>
      </c>
      <c r="S12">
        <v>16479</v>
      </c>
      <c r="T12">
        <v>0</v>
      </c>
      <c r="U12" t="s">
        <v>41</v>
      </c>
      <c r="V12" t="s">
        <v>42</v>
      </c>
      <c r="W12">
        <v>13</v>
      </c>
      <c r="X12">
        <v>3</v>
      </c>
      <c r="Y12">
        <v>3</v>
      </c>
      <c r="Z12">
        <v>80</v>
      </c>
      <c r="AA12">
        <v>1</v>
      </c>
      <c r="AB12">
        <v>6</v>
      </c>
      <c r="AC12">
        <v>5</v>
      </c>
      <c r="AD12">
        <v>3</v>
      </c>
      <c r="AE12">
        <v>5</v>
      </c>
      <c r="AF12">
        <v>4</v>
      </c>
      <c r="AG12">
        <v>0</v>
      </c>
      <c r="AH12">
        <v>3</v>
      </c>
    </row>
    <row r="13" spans="1:34" x14ac:dyDescent="0.2">
      <c r="A13">
        <v>29</v>
      </c>
      <c r="B13" t="s">
        <v>42</v>
      </c>
      <c r="C13" t="s">
        <v>35</v>
      </c>
      <c r="D13" t="s">
        <v>44</v>
      </c>
      <c r="E13">
        <v>15</v>
      </c>
      <c r="F13">
        <v>2</v>
      </c>
      <c r="G13" t="s">
        <v>37</v>
      </c>
      <c r="H13">
        <v>1</v>
      </c>
      <c r="I13">
        <v>15</v>
      </c>
      <c r="J13">
        <v>4</v>
      </c>
      <c r="K13" t="s">
        <v>38</v>
      </c>
      <c r="L13">
        <v>49</v>
      </c>
      <c r="M13">
        <v>2</v>
      </c>
      <c r="N13">
        <v>2</v>
      </c>
      <c r="O13" t="s">
        <v>49</v>
      </c>
      <c r="P13">
        <v>3</v>
      </c>
      <c r="Q13" t="s">
        <v>40</v>
      </c>
      <c r="R13">
        <v>4193</v>
      </c>
      <c r="S13">
        <v>12682</v>
      </c>
      <c r="T13">
        <v>0</v>
      </c>
      <c r="U13" t="s">
        <v>41</v>
      </c>
      <c r="V13" t="s">
        <v>34</v>
      </c>
      <c r="W13">
        <v>12</v>
      </c>
      <c r="X13">
        <v>3</v>
      </c>
      <c r="Y13">
        <v>4</v>
      </c>
      <c r="Z13">
        <v>80</v>
      </c>
      <c r="AA13">
        <v>0</v>
      </c>
      <c r="AB13">
        <v>10</v>
      </c>
      <c r="AC13">
        <v>3</v>
      </c>
      <c r="AD13">
        <v>3</v>
      </c>
      <c r="AE13">
        <v>9</v>
      </c>
      <c r="AF13">
        <v>5</v>
      </c>
      <c r="AG13">
        <v>0</v>
      </c>
      <c r="AH13">
        <v>8</v>
      </c>
    </row>
    <row r="14" spans="1:34" x14ac:dyDescent="0.2">
      <c r="A14">
        <v>31</v>
      </c>
      <c r="B14" t="s">
        <v>42</v>
      </c>
      <c r="C14" t="s">
        <v>35</v>
      </c>
      <c r="D14" t="s">
        <v>44</v>
      </c>
      <c r="E14">
        <v>26</v>
      </c>
      <c r="F14">
        <v>1</v>
      </c>
      <c r="G14" t="s">
        <v>37</v>
      </c>
      <c r="H14">
        <v>1</v>
      </c>
      <c r="I14">
        <v>16</v>
      </c>
      <c r="J14">
        <v>1</v>
      </c>
      <c r="K14" t="s">
        <v>45</v>
      </c>
      <c r="L14">
        <v>31</v>
      </c>
      <c r="M14">
        <v>3</v>
      </c>
      <c r="N14">
        <v>1</v>
      </c>
      <c r="O14" t="s">
        <v>46</v>
      </c>
      <c r="P14">
        <v>3</v>
      </c>
      <c r="Q14" t="s">
        <v>51</v>
      </c>
      <c r="R14">
        <v>2911</v>
      </c>
      <c r="S14">
        <v>15170</v>
      </c>
      <c r="T14">
        <v>1</v>
      </c>
      <c r="U14" t="s">
        <v>41</v>
      </c>
      <c r="V14" t="s">
        <v>42</v>
      </c>
      <c r="W14">
        <v>17</v>
      </c>
      <c r="X14">
        <v>3</v>
      </c>
      <c r="Y14">
        <v>4</v>
      </c>
      <c r="Z14">
        <v>80</v>
      </c>
      <c r="AA14">
        <v>1</v>
      </c>
      <c r="AB14">
        <v>5</v>
      </c>
      <c r="AC14">
        <v>1</v>
      </c>
      <c r="AD14">
        <v>2</v>
      </c>
      <c r="AE14">
        <v>5</v>
      </c>
      <c r="AF14">
        <v>2</v>
      </c>
      <c r="AG14">
        <v>4</v>
      </c>
      <c r="AH14">
        <v>3</v>
      </c>
    </row>
    <row r="15" spans="1:34" x14ac:dyDescent="0.2">
      <c r="A15">
        <v>34</v>
      </c>
      <c r="B15" t="s">
        <v>42</v>
      </c>
      <c r="C15" t="s">
        <v>35</v>
      </c>
      <c r="D15" t="s">
        <v>44</v>
      </c>
      <c r="E15">
        <v>19</v>
      </c>
      <c r="F15">
        <v>2</v>
      </c>
      <c r="G15" t="s">
        <v>50</v>
      </c>
      <c r="H15">
        <v>1</v>
      </c>
      <c r="I15">
        <v>18</v>
      </c>
      <c r="J15">
        <v>2</v>
      </c>
      <c r="K15" t="s">
        <v>45</v>
      </c>
      <c r="L15">
        <v>93</v>
      </c>
      <c r="M15">
        <v>3</v>
      </c>
      <c r="N15">
        <v>1</v>
      </c>
      <c r="O15" t="s">
        <v>49</v>
      </c>
      <c r="P15">
        <v>4</v>
      </c>
      <c r="Q15" t="s">
        <v>51</v>
      </c>
      <c r="R15">
        <v>2661</v>
      </c>
      <c r="S15">
        <v>8758</v>
      </c>
      <c r="T15">
        <v>0</v>
      </c>
      <c r="U15" t="s">
        <v>41</v>
      </c>
      <c r="V15" t="s">
        <v>42</v>
      </c>
      <c r="W15">
        <v>11</v>
      </c>
      <c r="X15">
        <v>3</v>
      </c>
      <c r="Y15">
        <v>3</v>
      </c>
      <c r="Z15">
        <v>80</v>
      </c>
      <c r="AA15">
        <v>1</v>
      </c>
      <c r="AB15">
        <v>3</v>
      </c>
      <c r="AC15">
        <v>2</v>
      </c>
      <c r="AD15">
        <v>3</v>
      </c>
      <c r="AE15">
        <v>2</v>
      </c>
      <c r="AF15">
        <v>2</v>
      </c>
      <c r="AG15">
        <v>1</v>
      </c>
      <c r="AH15">
        <v>2</v>
      </c>
    </row>
    <row r="16" spans="1:34" x14ac:dyDescent="0.2">
      <c r="A16">
        <v>28</v>
      </c>
      <c r="B16" t="s">
        <v>34</v>
      </c>
      <c r="C16" t="s">
        <v>35</v>
      </c>
      <c r="D16" t="s">
        <v>44</v>
      </c>
      <c r="E16">
        <v>24</v>
      </c>
      <c r="F16">
        <v>3</v>
      </c>
      <c r="G16" t="s">
        <v>37</v>
      </c>
      <c r="H16">
        <v>1</v>
      </c>
      <c r="I16">
        <v>19</v>
      </c>
      <c r="J16">
        <v>3</v>
      </c>
      <c r="K16" t="s">
        <v>45</v>
      </c>
      <c r="L16">
        <v>50</v>
      </c>
      <c r="M16">
        <v>2</v>
      </c>
      <c r="N16">
        <v>1</v>
      </c>
      <c r="O16" t="s">
        <v>49</v>
      </c>
      <c r="P16">
        <v>3</v>
      </c>
      <c r="Q16" t="s">
        <v>40</v>
      </c>
      <c r="R16">
        <v>2028</v>
      </c>
      <c r="S16">
        <v>12947</v>
      </c>
      <c r="T16">
        <v>5</v>
      </c>
      <c r="U16" t="s">
        <v>41</v>
      </c>
      <c r="V16" t="s">
        <v>34</v>
      </c>
      <c r="W16">
        <v>14</v>
      </c>
      <c r="X16">
        <v>3</v>
      </c>
      <c r="Y16">
        <v>2</v>
      </c>
      <c r="Z16">
        <v>80</v>
      </c>
      <c r="AA16">
        <v>0</v>
      </c>
      <c r="AB16">
        <v>6</v>
      </c>
      <c r="AC16">
        <v>4</v>
      </c>
      <c r="AD16">
        <v>3</v>
      </c>
      <c r="AE16">
        <v>4</v>
      </c>
      <c r="AF16">
        <v>2</v>
      </c>
      <c r="AG16">
        <v>0</v>
      </c>
      <c r="AH16">
        <v>3</v>
      </c>
    </row>
    <row r="17" spans="1:34" x14ac:dyDescent="0.2">
      <c r="A17">
        <v>29</v>
      </c>
      <c r="B17" t="s">
        <v>42</v>
      </c>
      <c r="C17" t="s">
        <v>35</v>
      </c>
      <c r="D17" t="s">
        <v>44</v>
      </c>
      <c r="E17">
        <v>21</v>
      </c>
      <c r="F17">
        <v>4</v>
      </c>
      <c r="G17" t="s">
        <v>37</v>
      </c>
      <c r="H17">
        <v>1</v>
      </c>
      <c r="I17">
        <v>20</v>
      </c>
      <c r="J17">
        <v>2</v>
      </c>
      <c r="K17" t="s">
        <v>38</v>
      </c>
      <c r="L17">
        <v>51</v>
      </c>
      <c r="M17">
        <v>4</v>
      </c>
      <c r="N17">
        <v>3</v>
      </c>
      <c r="O17" t="s">
        <v>52</v>
      </c>
      <c r="P17">
        <v>1</v>
      </c>
      <c r="Q17" t="s">
        <v>51</v>
      </c>
      <c r="R17">
        <v>9980</v>
      </c>
      <c r="S17">
        <v>10195</v>
      </c>
      <c r="T17">
        <v>1</v>
      </c>
      <c r="U17" t="s">
        <v>41</v>
      </c>
      <c r="V17" t="s">
        <v>42</v>
      </c>
      <c r="W17">
        <v>11</v>
      </c>
      <c r="X17">
        <v>3</v>
      </c>
      <c r="Y17">
        <v>3</v>
      </c>
      <c r="Z17">
        <v>80</v>
      </c>
      <c r="AA17">
        <v>1</v>
      </c>
      <c r="AB17">
        <v>10</v>
      </c>
      <c r="AC17">
        <v>1</v>
      </c>
      <c r="AD17">
        <v>3</v>
      </c>
      <c r="AE17">
        <v>10</v>
      </c>
      <c r="AF17">
        <v>9</v>
      </c>
      <c r="AG17">
        <v>8</v>
      </c>
      <c r="AH17">
        <v>8</v>
      </c>
    </row>
    <row r="18" spans="1:34" x14ac:dyDescent="0.2">
      <c r="A18">
        <v>32</v>
      </c>
      <c r="B18" t="s">
        <v>42</v>
      </c>
      <c r="C18" t="s">
        <v>35</v>
      </c>
      <c r="D18" t="s">
        <v>44</v>
      </c>
      <c r="E18">
        <v>5</v>
      </c>
      <c r="F18">
        <v>2</v>
      </c>
      <c r="G18" t="s">
        <v>37</v>
      </c>
      <c r="H18">
        <v>1</v>
      </c>
      <c r="I18">
        <v>21</v>
      </c>
      <c r="J18">
        <v>1</v>
      </c>
      <c r="K18" t="s">
        <v>45</v>
      </c>
      <c r="L18">
        <v>80</v>
      </c>
      <c r="M18">
        <v>4</v>
      </c>
      <c r="N18">
        <v>1</v>
      </c>
      <c r="O18" t="s">
        <v>46</v>
      </c>
      <c r="P18">
        <v>2</v>
      </c>
      <c r="Q18" t="s">
        <v>51</v>
      </c>
      <c r="R18">
        <v>3298</v>
      </c>
      <c r="S18">
        <v>15053</v>
      </c>
      <c r="T18">
        <v>0</v>
      </c>
      <c r="U18" t="s">
        <v>41</v>
      </c>
      <c r="V18" t="s">
        <v>34</v>
      </c>
      <c r="W18">
        <v>12</v>
      </c>
      <c r="X18">
        <v>3</v>
      </c>
      <c r="Y18">
        <v>4</v>
      </c>
      <c r="Z18">
        <v>80</v>
      </c>
      <c r="AA18">
        <v>2</v>
      </c>
      <c r="AB18">
        <v>7</v>
      </c>
      <c r="AC18">
        <v>5</v>
      </c>
      <c r="AD18">
        <v>2</v>
      </c>
      <c r="AE18">
        <v>6</v>
      </c>
      <c r="AF18">
        <v>2</v>
      </c>
      <c r="AG18">
        <v>0</v>
      </c>
      <c r="AH18">
        <v>5</v>
      </c>
    </row>
    <row r="19" spans="1:34" x14ac:dyDescent="0.2">
      <c r="A19">
        <v>22</v>
      </c>
      <c r="B19" t="s">
        <v>42</v>
      </c>
      <c r="C19" t="s">
        <v>54</v>
      </c>
      <c r="D19" t="s">
        <v>44</v>
      </c>
      <c r="E19">
        <v>16</v>
      </c>
      <c r="F19">
        <v>2</v>
      </c>
      <c r="G19" t="s">
        <v>50</v>
      </c>
      <c r="H19">
        <v>1</v>
      </c>
      <c r="I19">
        <v>22</v>
      </c>
      <c r="J19">
        <v>4</v>
      </c>
      <c r="K19" t="s">
        <v>45</v>
      </c>
      <c r="L19">
        <v>96</v>
      </c>
      <c r="M19">
        <v>4</v>
      </c>
      <c r="N19">
        <v>1</v>
      </c>
      <c r="O19" t="s">
        <v>49</v>
      </c>
      <c r="P19">
        <v>4</v>
      </c>
      <c r="Q19" t="s">
        <v>51</v>
      </c>
      <c r="R19">
        <v>2935</v>
      </c>
      <c r="S19">
        <v>7324</v>
      </c>
      <c r="T19">
        <v>1</v>
      </c>
      <c r="U19" t="s">
        <v>41</v>
      </c>
      <c r="V19" t="s">
        <v>34</v>
      </c>
      <c r="W19">
        <v>13</v>
      </c>
      <c r="X19">
        <v>3</v>
      </c>
      <c r="Y19">
        <v>2</v>
      </c>
      <c r="Z19">
        <v>80</v>
      </c>
      <c r="AA19">
        <v>2</v>
      </c>
      <c r="AB19">
        <v>1</v>
      </c>
      <c r="AC19">
        <v>2</v>
      </c>
      <c r="AD19">
        <v>2</v>
      </c>
      <c r="AE19">
        <v>1</v>
      </c>
      <c r="AF19">
        <v>0</v>
      </c>
      <c r="AG19">
        <v>0</v>
      </c>
      <c r="AH19">
        <v>0</v>
      </c>
    </row>
    <row r="20" spans="1:34" x14ac:dyDescent="0.2">
      <c r="A20">
        <v>53</v>
      </c>
      <c r="B20" t="s">
        <v>42</v>
      </c>
      <c r="C20" t="s">
        <v>35</v>
      </c>
      <c r="D20" t="s">
        <v>36</v>
      </c>
      <c r="E20">
        <v>2</v>
      </c>
      <c r="F20">
        <v>4</v>
      </c>
      <c r="G20" t="s">
        <v>37</v>
      </c>
      <c r="H20">
        <v>1</v>
      </c>
      <c r="I20">
        <v>23</v>
      </c>
      <c r="J20">
        <v>1</v>
      </c>
      <c r="K20" t="s">
        <v>38</v>
      </c>
      <c r="L20">
        <v>78</v>
      </c>
      <c r="M20">
        <v>2</v>
      </c>
      <c r="N20">
        <v>4</v>
      </c>
      <c r="O20" t="s">
        <v>55</v>
      </c>
      <c r="P20">
        <v>4</v>
      </c>
      <c r="Q20" t="s">
        <v>47</v>
      </c>
      <c r="R20">
        <v>15427</v>
      </c>
      <c r="S20">
        <v>22021</v>
      </c>
      <c r="T20">
        <v>2</v>
      </c>
      <c r="U20" t="s">
        <v>41</v>
      </c>
      <c r="V20" t="s">
        <v>42</v>
      </c>
      <c r="W20">
        <v>16</v>
      </c>
      <c r="X20">
        <v>3</v>
      </c>
      <c r="Y20">
        <v>3</v>
      </c>
      <c r="Z20">
        <v>80</v>
      </c>
      <c r="AA20">
        <v>0</v>
      </c>
      <c r="AB20">
        <v>31</v>
      </c>
      <c r="AC20">
        <v>3</v>
      </c>
      <c r="AD20">
        <v>3</v>
      </c>
      <c r="AE20">
        <v>25</v>
      </c>
      <c r="AF20">
        <v>8</v>
      </c>
      <c r="AG20">
        <v>3</v>
      </c>
      <c r="AH20">
        <v>7</v>
      </c>
    </row>
    <row r="21" spans="1:34" x14ac:dyDescent="0.2">
      <c r="A21">
        <v>38</v>
      </c>
      <c r="B21" t="s">
        <v>42</v>
      </c>
      <c r="C21" t="s">
        <v>35</v>
      </c>
      <c r="D21" t="s">
        <v>44</v>
      </c>
      <c r="E21">
        <v>2</v>
      </c>
      <c r="F21">
        <v>3</v>
      </c>
      <c r="G21" t="s">
        <v>37</v>
      </c>
      <c r="H21">
        <v>1</v>
      </c>
      <c r="I21">
        <v>24</v>
      </c>
      <c r="J21">
        <v>4</v>
      </c>
      <c r="K21" t="s">
        <v>45</v>
      </c>
      <c r="L21">
        <v>45</v>
      </c>
      <c r="M21">
        <v>3</v>
      </c>
      <c r="N21">
        <v>1</v>
      </c>
      <c r="O21" t="s">
        <v>46</v>
      </c>
      <c r="P21">
        <v>4</v>
      </c>
      <c r="Q21" t="s">
        <v>40</v>
      </c>
      <c r="R21">
        <v>3944</v>
      </c>
      <c r="S21">
        <v>4306</v>
      </c>
      <c r="T21">
        <v>5</v>
      </c>
      <c r="U21" t="s">
        <v>41</v>
      </c>
      <c r="V21" t="s">
        <v>34</v>
      </c>
      <c r="W21">
        <v>11</v>
      </c>
      <c r="X21">
        <v>3</v>
      </c>
      <c r="Y21">
        <v>3</v>
      </c>
      <c r="Z21">
        <v>80</v>
      </c>
      <c r="AA21">
        <v>0</v>
      </c>
      <c r="AB21">
        <v>6</v>
      </c>
      <c r="AC21">
        <v>3</v>
      </c>
      <c r="AD21">
        <v>3</v>
      </c>
      <c r="AE21">
        <v>3</v>
      </c>
      <c r="AF21">
        <v>2</v>
      </c>
      <c r="AG21">
        <v>1</v>
      </c>
      <c r="AH21">
        <v>2</v>
      </c>
    </row>
    <row r="22" spans="1:34" x14ac:dyDescent="0.2">
      <c r="A22">
        <v>24</v>
      </c>
      <c r="B22" t="s">
        <v>42</v>
      </c>
      <c r="C22" t="s">
        <v>54</v>
      </c>
      <c r="D22" t="s">
        <v>44</v>
      </c>
      <c r="E22">
        <v>11</v>
      </c>
      <c r="F22">
        <v>2</v>
      </c>
      <c r="G22" t="s">
        <v>48</v>
      </c>
      <c r="H22">
        <v>1</v>
      </c>
      <c r="I22">
        <v>26</v>
      </c>
      <c r="J22">
        <v>1</v>
      </c>
      <c r="K22" t="s">
        <v>38</v>
      </c>
      <c r="L22">
        <v>96</v>
      </c>
      <c r="M22">
        <v>4</v>
      </c>
      <c r="N22">
        <v>2</v>
      </c>
      <c r="O22" t="s">
        <v>52</v>
      </c>
      <c r="P22">
        <v>3</v>
      </c>
      <c r="Q22" t="s">
        <v>51</v>
      </c>
      <c r="R22">
        <v>4011</v>
      </c>
      <c r="S22">
        <v>8232</v>
      </c>
      <c r="T22">
        <v>0</v>
      </c>
      <c r="U22" t="s">
        <v>41</v>
      </c>
      <c r="V22" t="s">
        <v>42</v>
      </c>
      <c r="W22">
        <v>18</v>
      </c>
      <c r="X22">
        <v>3</v>
      </c>
      <c r="Y22">
        <v>4</v>
      </c>
      <c r="Z22">
        <v>80</v>
      </c>
      <c r="AA22">
        <v>1</v>
      </c>
      <c r="AB22">
        <v>5</v>
      </c>
      <c r="AC22">
        <v>5</v>
      </c>
      <c r="AD22">
        <v>2</v>
      </c>
      <c r="AE22">
        <v>4</v>
      </c>
      <c r="AF22">
        <v>2</v>
      </c>
      <c r="AG22">
        <v>1</v>
      </c>
      <c r="AH22">
        <v>3</v>
      </c>
    </row>
    <row r="23" spans="1:34" x14ac:dyDescent="0.2">
      <c r="A23">
        <v>36</v>
      </c>
      <c r="B23" t="s">
        <v>34</v>
      </c>
      <c r="C23" t="s">
        <v>35</v>
      </c>
      <c r="D23" t="s">
        <v>36</v>
      </c>
      <c r="E23">
        <v>9</v>
      </c>
      <c r="F23">
        <v>4</v>
      </c>
      <c r="G23" t="s">
        <v>37</v>
      </c>
      <c r="H23">
        <v>1</v>
      </c>
      <c r="I23">
        <v>27</v>
      </c>
      <c r="J23">
        <v>3</v>
      </c>
      <c r="K23" t="s">
        <v>45</v>
      </c>
      <c r="L23">
        <v>82</v>
      </c>
      <c r="M23">
        <v>2</v>
      </c>
      <c r="N23">
        <v>1</v>
      </c>
      <c r="O23" t="s">
        <v>56</v>
      </c>
      <c r="P23">
        <v>1</v>
      </c>
      <c r="Q23" t="s">
        <v>40</v>
      </c>
      <c r="R23">
        <v>3407</v>
      </c>
      <c r="S23">
        <v>6986</v>
      </c>
      <c r="T23">
        <v>7</v>
      </c>
      <c r="U23" t="s">
        <v>41</v>
      </c>
      <c r="V23" t="s">
        <v>42</v>
      </c>
      <c r="W23">
        <v>23</v>
      </c>
      <c r="X23">
        <v>4</v>
      </c>
      <c r="Y23">
        <v>2</v>
      </c>
      <c r="Z23">
        <v>80</v>
      </c>
      <c r="AA23">
        <v>0</v>
      </c>
      <c r="AB23">
        <v>10</v>
      </c>
      <c r="AC23">
        <v>4</v>
      </c>
      <c r="AD23">
        <v>3</v>
      </c>
      <c r="AE23">
        <v>5</v>
      </c>
      <c r="AF23">
        <v>3</v>
      </c>
      <c r="AG23">
        <v>0</v>
      </c>
      <c r="AH23">
        <v>3</v>
      </c>
    </row>
    <row r="24" spans="1:34" x14ac:dyDescent="0.2">
      <c r="A24">
        <v>34</v>
      </c>
      <c r="B24" t="s">
        <v>42</v>
      </c>
      <c r="C24" t="s">
        <v>35</v>
      </c>
      <c r="D24" t="s">
        <v>44</v>
      </c>
      <c r="E24">
        <v>7</v>
      </c>
      <c r="F24">
        <v>4</v>
      </c>
      <c r="G24" t="s">
        <v>37</v>
      </c>
      <c r="H24">
        <v>1</v>
      </c>
      <c r="I24">
        <v>28</v>
      </c>
      <c r="J24">
        <v>1</v>
      </c>
      <c r="K24" t="s">
        <v>38</v>
      </c>
      <c r="L24">
        <v>53</v>
      </c>
      <c r="M24">
        <v>3</v>
      </c>
      <c r="N24">
        <v>3</v>
      </c>
      <c r="O24" t="s">
        <v>57</v>
      </c>
      <c r="P24">
        <v>2</v>
      </c>
      <c r="Q24" t="s">
        <v>40</v>
      </c>
      <c r="R24">
        <v>11994</v>
      </c>
      <c r="S24">
        <v>21293</v>
      </c>
      <c r="T24">
        <v>0</v>
      </c>
      <c r="U24" t="s">
        <v>41</v>
      </c>
      <c r="V24" t="s">
        <v>42</v>
      </c>
      <c r="W24">
        <v>11</v>
      </c>
      <c r="X24">
        <v>3</v>
      </c>
      <c r="Y24">
        <v>3</v>
      </c>
      <c r="Z24">
        <v>80</v>
      </c>
      <c r="AA24">
        <v>0</v>
      </c>
      <c r="AB24">
        <v>13</v>
      </c>
      <c r="AC24">
        <v>4</v>
      </c>
      <c r="AD24">
        <v>3</v>
      </c>
      <c r="AE24">
        <v>12</v>
      </c>
      <c r="AF24">
        <v>6</v>
      </c>
      <c r="AG24">
        <v>2</v>
      </c>
      <c r="AH24">
        <v>11</v>
      </c>
    </row>
    <row r="25" spans="1:34" x14ac:dyDescent="0.2">
      <c r="A25">
        <v>21</v>
      </c>
      <c r="B25" t="s">
        <v>42</v>
      </c>
      <c r="C25" t="s">
        <v>35</v>
      </c>
      <c r="D25" t="s">
        <v>44</v>
      </c>
      <c r="E25">
        <v>15</v>
      </c>
      <c r="F25">
        <v>2</v>
      </c>
      <c r="G25" t="s">
        <v>37</v>
      </c>
      <c r="H25">
        <v>1</v>
      </c>
      <c r="I25">
        <v>30</v>
      </c>
      <c r="J25">
        <v>3</v>
      </c>
      <c r="K25" t="s">
        <v>45</v>
      </c>
      <c r="L25">
        <v>96</v>
      </c>
      <c r="M25">
        <v>3</v>
      </c>
      <c r="N25">
        <v>1</v>
      </c>
      <c r="O25" t="s">
        <v>46</v>
      </c>
      <c r="P25">
        <v>4</v>
      </c>
      <c r="Q25" t="s">
        <v>40</v>
      </c>
      <c r="R25">
        <v>1232</v>
      </c>
      <c r="S25">
        <v>19281</v>
      </c>
      <c r="T25">
        <v>1</v>
      </c>
      <c r="U25" t="s">
        <v>41</v>
      </c>
      <c r="V25" t="s">
        <v>42</v>
      </c>
      <c r="W25">
        <v>14</v>
      </c>
      <c r="X25">
        <v>3</v>
      </c>
      <c r="Y25">
        <v>4</v>
      </c>
      <c r="Z25">
        <v>80</v>
      </c>
      <c r="AA25">
        <v>0</v>
      </c>
      <c r="AB25">
        <v>0</v>
      </c>
      <c r="AC25">
        <v>6</v>
      </c>
      <c r="AD25">
        <v>3</v>
      </c>
      <c r="AE25">
        <v>0</v>
      </c>
      <c r="AF25">
        <v>0</v>
      </c>
      <c r="AG25">
        <v>0</v>
      </c>
      <c r="AH25">
        <v>0</v>
      </c>
    </row>
    <row r="26" spans="1:34" x14ac:dyDescent="0.2">
      <c r="A26">
        <v>34</v>
      </c>
      <c r="B26" t="s">
        <v>34</v>
      </c>
      <c r="C26" t="s">
        <v>35</v>
      </c>
      <c r="D26" t="s">
        <v>44</v>
      </c>
      <c r="E26">
        <v>6</v>
      </c>
      <c r="F26">
        <v>1</v>
      </c>
      <c r="G26" t="s">
        <v>50</v>
      </c>
      <c r="H26">
        <v>1</v>
      </c>
      <c r="I26">
        <v>31</v>
      </c>
      <c r="J26">
        <v>2</v>
      </c>
      <c r="K26" t="s">
        <v>45</v>
      </c>
      <c r="L26">
        <v>83</v>
      </c>
      <c r="M26">
        <v>3</v>
      </c>
      <c r="N26">
        <v>1</v>
      </c>
      <c r="O26" t="s">
        <v>46</v>
      </c>
      <c r="P26">
        <v>1</v>
      </c>
      <c r="Q26" t="s">
        <v>40</v>
      </c>
      <c r="R26">
        <v>2960</v>
      </c>
      <c r="S26">
        <v>17102</v>
      </c>
      <c r="T26">
        <v>2</v>
      </c>
      <c r="U26" t="s">
        <v>41</v>
      </c>
      <c r="V26" t="s">
        <v>42</v>
      </c>
      <c r="W26">
        <v>11</v>
      </c>
      <c r="X26">
        <v>3</v>
      </c>
      <c r="Y26">
        <v>3</v>
      </c>
      <c r="Z26">
        <v>80</v>
      </c>
      <c r="AA26">
        <v>0</v>
      </c>
      <c r="AB26">
        <v>8</v>
      </c>
      <c r="AC26">
        <v>2</v>
      </c>
      <c r="AD26">
        <v>3</v>
      </c>
      <c r="AE26">
        <v>4</v>
      </c>
      <c r="AF26">
        <v>2</v>
      </c>
      <c r="AG26">
        <v>1</v>
      </c>
      <c r="AH26">
        <v>3</v>
      </c>
    </row>
    <row r="27" spans="1:34" x14ac:dyDescent="0.2">
      <c r="A27">
        <v>53</v>
      </c>
      <c r="B27" t="s">
        <v>42</v>
      </c>
      <c r="C27" t="s">
        <v>35</v>
      </c>
      <c r="D27" t="s">
        <v>44</v>
      </c>
      <c r="E27">
        <v>5</v>
      </c>
      <c r="F27">
        <v>3</v>
      </c>
      <c r="G27" t="s">
        <v>48</v>
      </c>
      <c r="H27">
        <v>1</v>
      </c>
      <c r="I27">
        <v>32</v>
      </c>
      <c r="J27">
        <v>3</v>
      </c>
      <c r="K27" t="s">
        <v>38</v>
      </c>
      <c r="L27">
        <v>58</v>
      </c>
      <c r="M27">
        <v>3</v>
      </c>
      <c r="N27">
        <v>5</v>
      </c>
      <c r="O27" t="s">
        <v>55</v>
      </c>
      <c r="P27">
        <v>3</v>
      </c>
      <c r="Q27" t="s">
        <v>51</v>
      </c>
      <c r="R27">
        <v>19094</v>
      </c>
      <c r="S27">
        <v>10735</v>
      </c>
      <c r="T27">
        <v>4</v>
      </c>
      <c r="U27" t="s">
        <v>41</v>
      </c>
      <c r="V27" t="s">
        <v>42</v>
      </c>
      <c r="W27">
        <v>11</v>
      </c>
      <c r="X27">
        <v>3</v>
      </c>
      <c r="Y27">
        <v>4</v>
      </c>
      <c r="Z27">
        <v>80</v>
      </c>
      <c r="AA27">
        <v>1</v>
      </c>
      <c r="AB27">
        <v>26</v>
      </c>
      <c r="AC27">
        <v>3</v>
      </c>
      <c r="AD27">
        <v>2</v>
      </c>
      <c r="AE27">
        <v>14</v>
      </c>
      <c r="AF27">
        <v>13</v>
      </c>
      <c r="AG27">
        <v>4</v>
      </c>
      <c r="AH27">
        <v>8</v>
      </c>
    </row>
    <row r="28" spans="1:34" x14ac:dyDescent="0.2">
      <c r="A28">
        <v>32</v>
      </c>
      <c r="B28" t="s">
        <v>34</v>
      </c>
      <c r="C28" t="s">
        <v>43</v>
      </c>
      <c r="D28" t="s">
        <v>44</v>
      </c>
      <c r="E28">
        <v>16</v>
      </c>
      <c r="F28">
        <v>1</v>
      </c>
      <c r="G28" t="s">
        <v>37</v>
      </c>
      <c r="H28">
        <v>1</v>
      </c>
      <c r="I28">
        <v>33</v>
      </c>
      <c r="J28">
        <v>2</v>
      </c>
      <c r="K28" t="s">
        <v>38</v>
      </c>
      <c r="L28">
        <v>72</v>
      </c>
      <c r="M28">
        <v>1</v>
      </c>
      <c r="N28">
        <v>1</v>
      </c>
      <c r="O28" t="s">
        <v>46</v>
      </c>
      <c r="P28">
        <v>1</v>
      </c>
      <c r="Q28" t="s">
        <v>40</v>
      </c>
      <c r="R28">
        <v>3919</v>
      </c>
      <c r="S28">
        <v>4681</v>
      </c>
      <c r="T28">
        <v>1</v>
      </c>
      <c r="U28" t="s">
        <v>41</v>
      </c>
      <c r="V28" t="s">
        <v>34</v>
      </c>
      <c r="W28">
        <v>22</v>
      </c>
      <c r="X28">
        <v>4</v>
      </c>
      <c r="Y28">
        <v>2</v>
      </c>
      <c r="Z28">
        <v>80</v>
      </c>
      <c r="AA28">
        <v>0</v>
      </c>
      <c r="AB28">
        <v>10</v>
      </c>
      <c r="AC28">
        <v>5</v>
      </c>
      <c r="AD28">
        <v>3</v>
      </c>
      <c r="AE28">
        <v>10</v>
      </c>
      <c r="AF28">
        <v>2</v>
      </c>
      <c r="AG28">
        <v>6</v>
      </c>
      <c r="AH28">
        <v>7</v>
      </c>
    </row>
    <row r="29" spans="1:34" x14ac:dyDescent="0.2">
      <c r="A29">
        <v>42</v>
      </c>
      <c r="B29" t="s">
        <v>42</v>
      </c>
      <c r="C29" t="s">
        <v>35</v>
      </c>
      <c r="D29" t="s">
        <v>36</v>
      </c>
      <c r="E29">
        <v>8</v>
      </c>
      <c r="F29">
        <v>4</v>
      </c>
      <c r="G29" t="s">
        <v>58</v>
      </c>
      <c r="H29">
        <v>1</v>
      </c>
      <c r="I29">
        <v>35</v>
      </c>
      <c r="J29">
        <v>3</v>
      </c>
      <c r="K29" t="s">
        <v>45</v>
      </c>
      <c r="L29">
        <v>48</v>
      </c>
      <c r="M29">
        <v>3</v>
      </c>
      <c r="N29">
        <v>2</v>
      </c>
      <c r="O29" t="s">
        <v>39</v>
      </c>
      <c r="P29">
        <v>2</v>
      </c>
      <c r="Q29" t="s">
        <v>47</v>
      </c>
      <c r="R29">
        <v>6825</v>
      </c>
      <c r="S29">
        <v>21173</v>
      </c>
      <c r="T29">
        <v>0</v>
      </c>
      <c r="U29" t="s">
        <v>41</v>
      </c>
      <c r="V29" t="s">
        <v>42</v>
      </c>
      <c r="W29">
        <v>11</v>
      </c>
      <c r="X29">
        <v>3</v>
      </c>
      <c r="Y29">
        <v>4</v>
      </c>
      <c r="Z29">
        <v>80</v>
      </c>
      <c r="AA29">
        <v>1</v>
      </c>
      <c r="AB29">
        <v>10</v>
      </c>
      <c r="AC29">
        <v>2</v>
      </c>
      <c r="AD29">
        <v>3</v>
      </c>
      <c r="AE29">
        <v>9</v>
      </c>
      <c r="AF29">
        <v>7</v>
      </c>
      <c r="AG29">
        <v>4</v>
      </c>
      <c r="AH29">
        <v>2</v>
      </c>
    </row>
    <row r="30" spans="1:34" x14ac:dyDescent="0.2">
      <c r="A30">
        <v>44</v>
      </c>
      <c r="B30" t="s">
        <v>42</v>
      </c>
      <c r="C30" t="s">
        <v>35</v>
      </c>
      <c r="D30" t="s">
        <v>44</v>
      </c>
      <c r="E30">
        <v>7</v>
      </c>
      <c r="F30">
        <v>4</v>
      </c>
      <c r="G30" t="s">
        <v>50</v>
      </c>
      <c r="H30">
        <v>1</v>
      </c>
      <c r="I30">
        <v>36</v>
      </c>
      <c r="J30">
        <v>1</v>
      </c>
      <c r="K30" t="s">
        <v>38</v>
      </c>
      <c r="L30">
        <v>42</v>
      </c>
      <c r="M30">
        <v>2</v>
      </c>
      <c r="N30">
        <v>3</v>
      </c>
      <c r="O30" t="s">
        <v>53</v>
      </c>
      <c r="P30">
        <v>4</v>
      </c>
      <c r="Q30" t="s">
        <v>47</v>
      </c>
      <c r="R30">
        <v>10248</v>
      </c>
      <c r="S30">
        <v>2094</v>
      </c>
      <c r="T30">
        <v>3</v>
      </c>
      <c r="U30" t="s">
        <v>41</v>
      </c>
      <c r="V30" t="s">
        <v>42</v>
      </c>
      <c r="W30">
        <v>14</v>
      </c>
      <c r="X30">
        <v>3</v>
      </c>
      <c r="Y30">
        <v>4</v>
      </c>
      <c r="Z30">
        <v>80</v>
      </c>
      <c r="AA30">
        <v>1</v>
      </c>
      <c r="AB30">
        <v>24</v>
      </c>
      <c r="AC30">
        <v>4</v>
      </c>
      <c r="AD30">
        <v>3</v>
      </c>
      <c r="AE30">
        <v>22</v>
      </c>
      <c r="AF30">
        <v>6</v>
      </c>
      <c r="AG30">
        <v>5</v>
      </c>
      <c r="AH30">
        <v>17</v>
      </c>
    </row>
    <row r="31" spans="1:34" x14ac:dyDescent="0.2">
      <c r="A31">
        <v>46</v>
      </c>
      <c r="B31" t="s">
        <v>42</v>
      </c>
      <c r="C31" t="s">
        <v>35</v>
      </c>
      <c r="D31" t="s">
        <v>36</v>
      </c>
      <c r="E31">
        <v>2</v>
      </c>
      <c r="F31">
        <v>4</v>
      </c>
      <c r="G31" t="s">
        <v>58</v>
      </c>
      <c r="H31">
        <v>1</v>
      </c>
      <c r="I31">
        <v>38</v>
      </c>
      <c r="J31">
        <v>2</v>
      </c>
      <c r="K31" t="s">
        <v>38</v>
      </c>
      <c r="L31">
        <v>83</v>
      </c>
      <c r="M31">
        <v>3</v>
      </c>
      <c r="N31">
        <v>5</v>
      </c>
      <c r="O31" t="s">
        <v>55</v>
      </c>
      <c r="P31">
        <v>1</v>
      </c>
      <c r="Q31" t="s">
        <v>40</v>
      </c>
      <c r="R31">
        <v>18947</v>
      </c>
      <c r="S31">
        <v>22822</v>
      </c>
      <c r="T31">
        <v>3</v>
      </c>
      <c r="U31" t="s">
        <v>41</v>
      </c>
      <c r="V31" t="s">
        <v>42</v>
      </c>
      <c r="W31">
        <v>12</v>
      </c>
      <c r="X31">
        <v>3</v>
      </c>
      <c r="Y31">
        <v>4</v>
      </c>
      <c r="Z31">
        <v>80</v>
      </c>
      <c r="AA31">
        <v>0</v>
      </c>
      <c r="AB31">
        <v>22</v>
      </c>
      <c r="AC31">
        <v>2</v>
      </c>
      <c r="AD31">
        <v>2</v>
      </c>
      <c r="AE31">
        <v>2</v>
      </c>
      <c r="AF31">
        <v>2</v>
      </c>
      <c r="AG31">
        <v>2</v>
      </c>
      <c r="AH31">
        <v>1</v>
      </c>
    </row>
    <row r="32" spans="1:34" x14ac:dyDescent="0.2">
      <c r="A32">
        <v>33</v>
      </c>
      <c r="B32" t="s">
        <v>42</v>
      </c>
      <c r="C32" t="s">
        <v>35</v>
      </c>
      <c r="D32" t="s">
        <v>44</v>
      </c>
      <c r="E32">
        <v>2</v>
      </c>
      <c r="F32">
        <v>3</v>
      </c>
      <c r="G32" t="s">
        <v>50</v>
      </c>
      <c r="H32">
        <v>1</v>
      </c>
      <c r="I32">
        <v>39</v>
      </c>
      <c r="J32">
        <v>3</v>
      </c>
      <c r="K32" t="s">
        <v>45</v>
      </c>
      <c r="L32">
        <v>78</v>
      </c>
      <c r="M32">
        <v>3</v>
      </c>
      <c r="N32">
        <v>1</v>
      </c>
      <c r="O32" t="s">
        <v>49</v>
      </c>
      <c r="P32">
        <v>4</v>
      </c>
      <c r="Q32" t="s">
        <v>40</v>
      </c>
      <c r="R32">
        <v>2496</v>
      </c>
      <c r="S32">
        <v>6670</v>
      </c>
      <c r="T32">
        <v>4</v>
      </c>
      <c r="U32" t="s">
        <v>41</v>
      </c>
      <c r="V32" t="s">
        <v>42</v>
      </c>
      <c r="W32">
        <v>11</v>
      </c>
      <c r="X32">
        <v>3</v>
      </c>
      <c r="Y32">
        <v>4</v>
      </c>
      <c r="Z32">
        <v>80</v>
      </c>
      <c r="AA32">
        <v>0</v>
      </c>
      <c r="AB32">
        <v>7</v>
      </c>
      <c r="AC32">
        <v>3</v>
      </c>
      <c r="AD32">
        <v>3</v>
      </c>
      <c r="AE32">
        <v>1</v>
      </c>
      <c r="AF32">
        <v>1</v>
      </c>
      <c r="AG32">
        <v>0</v>
      </c>
      <c r="AH32">
        <v>0</v>
      </c>
    </row>
    <row r="33" spans="1:34" x14ac:dyDescent="0.2">
      <c r="A33">
        <v>44</v>
      </c>
      <c r="B33" t="s">
        <v>42</v>
      </c>
      <c r="C33" t="s">
        <v>35</v>
      </c>
      <c r="D33" t="s">
        <v>44</v>
      </c>
      <c r="E33">
        <v>10</v>
      </c>
      <c r="F33">
        <v>4</v>
      </c>
      <c r="G33" t="s">
        <v>48</v>
      </c>
      <c r="H33">
        <v>1</v>
      </c>
      <c r="I33">
        <v>40</v>
      </c>
      <c r="J33">
        <v>4</v>
      </c>
      <c r="K33" t="s">
        <v>45</v>
      </c>
      <c r="L33">
        <v>41</v>
      </c>
      <c r="M33">
        <v>3</v>
      </c>
      <c r="N33">
        <v>2</v>
      </c>
      <c r="O33" t="s">
        <v>53</v>
      </c>
      <c r="P33">
        <v>4</v>
      </c>
      <c r="Q33" t="s">
        <v>47</v>
      </c>
      <c r="R33">
        <v>6465</v>
      </c>
      <c r="S33">
        <v>19121</v>
      </c>
      <c r="T33">
        <v>2</v>
      </c>
      <c r="U33" t="s">
        <v>41</v>
      </c>
      <c r="V33" t="s">
        <v>34</v>
      </c>
      <c r="W33">
        <v>13</v>
      </c>
      <c r="X33">
        <v>3</v>
      </c>
      <c r="Y33">
        <v>4</v>
      </c>
      <c r="Z33">
        <v>80</v>
      </c>
      <c r="AA33">
        <v>0</v>
      </c>
      <c r="AB33">
        <v>9</v>
      </c>
      <c r="AC33">
        <v>5</v>
      </c>
      <c r="AD33">
        <v>4</v>
      </c>
      <c r="AE33">
        <v>4</v>
      </c>
      <c r="AF33">
        <v>2</v>
      </c>
      <c r="AG33">
        <v>1</v>
      </c>
      <c r="AH33">
        <v>3</v>
      </c>
    </row>
    <row r="34" spans="1:34" x14ac:dyDescent="0.2">
      <c r="A34">
        <v>30</v>
      </c>
      <c r="B34" t="s">
        <v>42</v>
      </c>
      <c r="C34" t="s">
        <v>35</v>
      </c>
      <c r="D34" t="s">
        <v>44</v>
      </c>
      <c r="E34">
        <v>9</v>
      </c>
      <c r="F34">
        <v>2</v>
      </c>
      <c r="G34" t="s">
        <v>50</v>
      </c>
      <c r="H34">
        <v>1</v>
      </c>
      <c r="I34">
        <v>41</v>
      </c>
      <c r="J34">
        <v>4</v>
      </c>
      <c r="K34" t="s">
        <v>45</v>
      </c>
      <c r="L34">
        <v>83</v>
      </c>
      <c r="M34">
        <v>2</v>
      </c>
      <c r="N34">
        <v>1</v>
      </c>
      <c r="O34" t="s">
        <v>49</v>
      </c>
      <c r="P34">
        <v>3</v>
      </c>
      <c r="Q34" t="s">
        <v>40</v>
      </c>
      <c r="R34">
        <v>2206</v>
      </c>
      <c r="S34">
        <v>16117</v>
      </c>
      <c r="T34">
        <v>1</v>
      </c>
      <c r="U34" t="s">
        <v>41</v>
      </c>
      <c r="V34" t="s">
        <v>42</v>
      </c>
      <c r="W34">
        <v>13</v>
      </c>
      <c r="X34">
        <v>3</v>
      </c>
      <c r="Y34">
        <v>1</v>
      </c>
      <c r="Z34">
        <v>80</v>
      </c>
      <c r="AA34">
        <v>0</v>
      </c>
      <c r="AB34">
        <v>10</v>
      </c>
      <c r="AC34">
        <v>5</v>
      </c>
      <c r="AD34">
        <v>3</v>
      </c>
      <c r="AE34">
        <v>10</v>
      </c>
      <c r="AF34">
        <v>0</v>
      </c>
      <c r="AG34">
        <v>1</v>
      </c>
      <c r="AH34">
        <v>8</v>
      </c>
    </row>
    <row r="35" spans="1:34" x14ac:dyDescent="0.2">
      <c r="A35">
        <v>39</v>
      </c>
      <c r="B35" t="s">
        <v>34</v>
      </c>
      <c r="C35" t="s">
        <v>35</v>
      </c>
      <c r="D35" t="s">
        <v>36</v>
      </c>
      <c r="E35">
        <v>5</v>
      </c>
      <c r="F35">
        <v>3</v>
      </c>
      <c r="G35" t="s">
        <v>59</v>
      </c>
      <c r="H35">
        <v>1</v>
      </c>
      <c r="I35">
        <v>42</v>
      </c>
      <c r="J35">
        <v>4</v>
      </c>
      <c r="K35" t="s">
        <v>45</v>
      </c>
      <c r="L35">
        <v>56</v>
      </c>
      <c r="M35">
        <v>3</v>
      </c>
      <c r="N35">
        <v>2</v>
      </c>
      <c r="O35" t="s">
        <v>56</v>
      </c>
      <c r="P35">
        <v>4</v>
      </c>
      <c r="Q35" t="s">
        <v>47</v>
      </c>
      <c r="R35">
        <v>2086</v>
      </c>
      <c r="S35">
        <v>3335</v>
      </c>
      <c r="T35">
        <v>3</v>
      </c>
      <c r="U35" t="s">
        <v>41</v>
      </c>
      <c r="V35" t="s">
        <v>42</v>
      </c>
      <c r="W35">
        <v>14</v>
      </c>
      <c r="X35">
        <v>3</v>
      </c>
      <c r="Y35">
        <v>3</v>
      </c>
      <c r="Z35">
        <v>80</v>
      </c>
      <c r="AA35">
        <v>1</v>
      </c>
      <c r="AB35">
        <v>19</v>
      </c>
      <c r="AC35">
        <v>6</v>
      </c>
      <c r="AD35">
        <v>4</v>
      </c>
      <c r="AE35">
        <v>1</v>
      </c>
      <c r="AF35">
        <v>0</v>
      </c>
      <c r="AG35">
        <v>0</v>
      </c>
      <c r="AH35">
        <v>0</v>
      </c>
    </row>
    <row r="36" spans="1:34" x14ac:dyDescent="0.2">
      <c r="A36">
        <v>24</v>
      </c>
      <c r="B36" t="s">
        <v>34</v>
      </c>
      <c r="C36" t="s">
        <v>35</v>
      </c>
      <c r="D36" t="s">
        <v>44</v>
      </c>
      <c r="E36">
        <v>1</v>
      </c>
      <c r="F36">
        <v>3</v>
      </c>
      <c r="G36" t="s">
        <v>50</v>
      </c>
      <c r="H36">
        <v>1</v>
      </c>
      <c r="I36">
        <v>45</v>
      </c>
      <c r="J36">
        <v>2</v>
      </c>
      <c r="K36" t="s">
        <v>45</v>
      </c>
      <c r="L36">
        <v>61</v>
      </c>
      <c r="M36">
        <v>3</v>
      </c>
      <c r="N36">
        <v>1</v>
      </c>
      <c r="O36" t="s">
        <v>46</v>
      </c>
      <c r="P36">
        <v>4</v>
      </c>
      <c r="Q36" t="s">
        <v>47</v>
      </c>
      <c r="R36">
        <v>2293</v>
      </c>
      <c r="S36">
        <v>3020</v>
      </c>
      <c r="T36">
        <v>2</v>
      </c>
      <c r="U36" t="s">
        <v>41</v>
      </c>
      <c r="V36" t="s">
        <v>34</v>
      </c>
      <c r="W36">
        <v>16</v>
      </c>
      <c r="X36">
        <v>3</v>
      </c>
      <c r="Y36">
        <v>1</v>
      </c>
      <c r="Z36">
        <v>80</v>
      </c>
      <c r="AA36">
        <v>1</v>
      </c>
      <c r="AB36">
        <v>6</v>
      </c>
      <c r="AC36">
        <v>2</v>
      </c>
      <c r="AD36">
        <v>2</v>
      </c>
      <c r="AE36">
        <v>2</v>
      </c>
      <c r="AF36">
        <v>0</v>
      </c>
      <c r="AG36">
        <v>2</v>
      </c>
      <c r="AH36">
        <v>0</v>
      </c>
    </row>
    <row r="37" spans="1:34" x14ac:dyDescent="0.2">
      <c r="A37">
        <v>43</v>
      </c>
      <c r="B37" t="s">
        <v>42</v>
      </c>
      <c r="C37" t="s">
        <v>35</v>
      </c>
      <c r="D37" t="s">
        <v>44</v>
      </c>
      <c r="E37">
        <v>2</v>
      </c>
      <c r="F37">
        <v>2</v>
      </c>
      <c r="G37" t="s">
        <v>50</v>
      </c>
      <c r="H37">
        <v>1</v>
      </c>
      <c r="I37">
        <v>46</v>
      </c>
      <c r="J37">
        <v>4</v>
      </c>
      <c r="K37" t="s">
        <v>38</v>
      </c>
      <c r="L37">
        <v>72</v>
      </c>
      <c r="M37">
        <v>4</v>
      </c>
      <c r="N37">
        <v>1</v>
      </c>
      <c r="O37" t="s">
        <v>46</v>
      </c>
      <c r="P37">
        <v>3</v>
      </c>
      <c r="Q37" t="s">
        <v>51</v>
      </c>
      <c r="R37">
        <v>2645</v>
      </c>
      <c r="S37">
        <v>21923</v>
      </c>
      <c r="T37">
        <v>1</v>
      </c>
      <c r="U37" t="s">
        <v>41</v>
      </c>
      <c r="V37" t="s">
        <v>42</v>
      </c>
      <c r="W37">
        <v>12</v>
      </c>
      <c r="X37">
        <v>3</v>
      </c>
      <c r="Y37">
        <v>4</v>
      </c>
      <c r="Z37">
        <v>80</v>
      </c>
      <c r="AA37">
        <v>2</v>
      </c>
      <c r="AB37">
        <v>6</v>
      </c>
      <c r="AC37">
        <v>3</v>
      </c>
      <c r="AD37">
        <v>2</v>
      </c>
      <c r="AE37">
        <v>5</v>
      </c>
      <c r="AF37">
        <v>3</v>
      </c>
      <c r="AG37">
        <v>1</v>
      </c>
      <c r="AH37">
        <v>4</v>
      </c>
    </row>
    <row r="38" spans="1:34" x14ac:dyDescent="0.2">
      <c r="A38">
        <v>50</v>
      </c>
      <c r="B38" t="s">
        <v>34</v>
      </c>
      <c r="C38" t="s">
        <v>35</v>
      </c>
      <c r="D38" t="s">
        <v>36</v>
      </c>
      <c r="E38">
        <v>3</v>
      </c>
      <c r="F38">
        <v>2</v>
      </c>
      <c r="G38" t="s">
        <v>58</v>
      </c>
      <c r="H38">
        <v>1</v>
      </c>
      <c r="I38">
        <v>47</v>
      </c>
      <c r="J38">
        <v>1</v>
      </c>
      <c r="K38" t="s">
        <v>45</v>
      </c>
      <c r="L38">
        <v>86</v>
      </c>
      <c r="M38">
        <v>2</v>
      </c>
      <c r="N38">
        <v>1</v>
      </c>
      <c r="O38" t="s">
        <v>56</v>
      </c>
      <c r="P38">
        <v>3</v>
      </c>
      <c r="Q38" t="s">
        <v>47</v>
      </c>
      <c r="R38">
        <v>2683</v>
      </c>
      <c r="S38">
        <v>3810</v>
      </c>
      <c r="T38">
        <v>1</v>
      </c>
      <c r="U38" t="s">
        <v>41</v>
      </c>
      <c r="V38" t="s">
        <v>34</v>
      </c>
      <c r="W38">
        <v>14</v>
      </c>
      <c r="X38">
        <v>3</v>
      </c>
      <c r="Y38">
        <v>3</v>
      </c>
      <c r="Z38">
        <v>80</v>
      </c>
      <c r="AA38">
        <v>0</v>
      </c>
      <c r="AB38">
        <v>3</v>
      </c>
      <c r="AC38">
        <v>2</v>
      </c>
      <c r="AD38">
        <v>3</v>
      </c>
      <c r="AE38">
        <v>3</v>
      </c>
      <c r="AF38">
        <v>2</v>
      </c>
      <c r="AG38">
        <v>0</v>
      </c>
      <c r="AH38">
        <v>2</v>
      </c>
    </row>
    <row r="39" spans="1:34" x14ac:dyDescent="0.2">
      <c r="A39">
        <v>35</v>
      </c>
      <c r="B39" t="s">
        <v>42</v>
      </c>
      <c r="C39" t="s">
        <v>35</v>
      </c>
      <c r="D39" t="s">
        <v>36</v>
      </c>
      <c r="E39">
        <v>2</v>
      </c>
      <c r="F39">
        <v>3</v>
      </c>
      <c r="G39" t="s">
        <v>58</v>
      </c>
      <c r="H39">
        <v>1</v>
      </c>
      <c r="I39">
        <v>49</v>
      </c>
      <c r="J39">
        <v>4</v>
      </c>
      <c r="K39" t="s">
        <v>38</v>
      </c>
      <c r="L39">
        <v>97</v>
      </c>
      <c r="M39">
        <v>3</v>
      </c>
      <c r="N39">
        <v>1</v>
      </c>
      <c r="O39" t="s">
        <v>56</v>
      </c>
      <c r="P39">
        <v>4</v>
      </c>
      <c r="Q39" t="s">
        <v>47</v>
      </c>
      <c r="R39">
        <v>2014</v>
      </c>
      <c r="S39">
        <v>9687</v>
      </c>
      <c r="T39">
        <v>1</v>
      </c>
      <c r="U39" t="s">
        <v>41</v>
      </c>
      <c r="V39" t="s">
        <v>42</v>
      </c>
      <c r="W39">
        <v>13</v>
      </c>
      <c r="X39">
        <v>3</v>
      </c>
      <c r="Y39">
        <v>1</v>
      </c>
      <c r="Z39">
        <v>80</v>
      </c>
      <c r="AA39">
        <v>0</v>
      </c>
      <c r="AB39">
        <v>2</v>
      </c>
      <c r="AC39">
        <v>3</v>
      </c>
      <c r="AD39">
        <v>3</v>
      </c>
      <c r="AE39">
        <v>2</v>
      </c>
      <c r="AF39">
        <v>2</v>
      </c>
      <c r="AG39">
        <v>2</v>
      </c>
      <c r="AH39">
        <v>2</v>
      </c>
    </row>
    <row r="40" spans="1:34" x14ac:dyDescent="0.2">
      <c r="A40">
        <v>36</v>
      </c>
      <c r="B40" t="s">
        <v>42</v>
      </c>
      <c r="C40" t="s">
        <v>35</v>
      </c>
      <c r="D40" t="s">
        <v>44</v>
      </c>
      <c r="E40">
        <v>5</v>
      </c>
      <c r="F40">
        <v>4</v>
      </c>
      <c r="G40" t="s">
        <v>37</v>
      </c>
      <c r="H40">
        <v>1</v>
      </c>
      <c r="I40">
        <v>51</v>
      </c>
      <c r="J40">
        <v>2</v>
      </c>
      <c r="K40" t="s">
        <v>38</v>
      </c>
      <c r="L40">
        <v>82</v>
      </c>
      <c r="M40">
        <v>2</v>
      </c>
      <c r="N40">
        <v>1</v>
      </c>
      <c r="O40" t="s">
        <v>46</v>
      </c>
      <c r="P40">
        <v>1</v>
      </c>
      <c r="Q40" t="s">
        <v>47</v>
      </c>
      <c r="R40">
        <v>3419</v>
      </c>
      <c r="S40">
        <v>13072</v>
      </c>
      <c r="T40">
        <v>9</v>
      </c>
      <c r="U40" t="s">
        <v>41</v>
      </c>
      <c r="V40" t="s">
        <v>34</v>
      </c>
      <c r="W40">
        <v>14</v>
      </c>
      <c r="X40">
        <v>3</v>
      </c>
      <c r="Y40">
        <v>4</v>
      </c>
      <c r="Z40">
        <v>80</v>
      </c>
      <c r="AA40">
        <v>1</v>
      </c>
      <c r="AB40">
        <v>6</v>
      </c>
      <c r="AC40">
        <v>3</v>
      </c>
      <c r="AD40">
        <v>4</v>
      </c>
      <c r="AE40">
        <v>1</v>
      </c>
      <c r="AF40">
        <v>1</v>
      </c>
      <c r="AG40">
        <v>0</v>
      </c>
      <c r="AH40">
        <v>0</v>
      </c>
    </row>
    <row r="41" spans="1:34" x14ac:dyDescent="0.2">
      <c r="A41">
        <v>33</v>
      </c>
      <c r="B41" t="s">
        <v>42</v>
      </c>
      <c r="C41" t="s">
        <v>43</v>
      </c>
      <c r="D41" t="s">
        <v>36</v>
      </c>
      <c r="E41">
        <v>1</v>
      </c>
      <c r="F41">
        <v>3</v>
      </c>
      <c r="G41" t="s">
        <v>37</v>
      </c>
      <c r="H41">
        <v>1</v>
      </c>
      <c r="I41">
        <v>52</v>
      </c>
      <c r="J41">
        <v>3</v>
      </c>
      <c r="K41" t="s">
        <v>38</v>
      </c>
      <c r="L41">
        <v>42</v>
      </c>
      <c r="M41">
        <v>4</v>
      </c>
      <c r="N41">
        <v>2</v>
      </c>
      <c r="O41" t="s">
        <v>39</v>
      </c>
      <c r="P41">
        <v>1</v>
      </c>
      <c r="Q41" t="s">
        <v>47</v>
      </c>
      <c r="R41">
        <v>5376</v>
      </c>
      <c r="S41">
        <v>3193</v>
      </c>
      <c r="T41">
        <v>2</v>
      </c>
      <c r="U41" t="s">
        <v>41</v>
      </c>
      <c r="V41" t="s">
        <v>42</v>
      </c>
      <c r="W41">
        <v>19</v>
      </c>
      <c r="X41">
        <v>3</v>
      </c>
      <c r="Y41">
        <v>1</v>
      </c>
      <c r="Z41">
        <v>80</v>
      </c>
      <c r="AA41">
        <v>2</v>
      </c>
      <c r="AB41">
        <v>10</v>
      </c>
      <c r="AC41">
        <v>3</v>
      </c>
      <c r="AD41">
        <v>3</v>
      </c>
      <c r="AE41">
        <v>5</v>
      </c>
      <c r="AF41">
        <v>3</v>
      </c>
      <c r="AG41">
        <v>1</v>
      </c>
      <c r="AH41">
        <v>3</v>
      </c>
    </row>
    <row r="42" spans="1:34" x14ac:dyDescent="0.2">
      <c r="A42">
        <v>35</v>
      </c>
      <c r="B42" t="s">
        <v>42</v>
      </c>
      <c r="C42" t="s">
        <v>35</v>
      </c>
      <c r="D42" t="s">
        <v>44</v>
      </c>
      <c r="E42">
        <v>4</v>
      </c>
      <c r="F42">
        <v>2</v>
      </c>
      <c r="G42" t="s">
        <v>48</v>
      </c>
      <c r="H42">
        <v>1</v>
      </c>
      <c r="I42">
        <v>53</v>
      </c>
      <c r="J42">
        <v>3</v>
      </c>
      <c r="K42" t="s">
        <v>45</v>
      </c>
      <c r="L42">
        <v>75</v>
      </c>
      <c r="M42">
        <v>3</v>
      </c>
      <c r="N42">
        <v>1</v>
      </c>
      <c r="O42" t="s">
        <v>49</v>
      </c>
      <c r="P42">
        <v>4</v>
      </c>
      <c r="Q42" t="s">
        <v>51</v>
      </c>
      <c r="R42">
        <v>1951</v>
      </c>
      <c r="S42">
        <v>10910</v>
      </c>
      <c r="T42">
        <v>1</v>
      </c>
      <c r="U42" t="s">
        <v>41</v>
      </c>
      <c r="V42" t="s">
        <v>42</v>
      </c>
      <c r="W42">
        <v>12</v>
      </c>
      <c r="X42">
        <v>3</v>
      </c>
      <c r="Y42">
        <v>3</v>
      </c>
      <c r="Z42">
        <v>80</v>
      </c>
      <c r="AA42">
        <v>1</v>
      </c>
      <c r="AB42">
        <v>1</v>
      </c>
      <c r="AC42">
        <v>3</v>
      </c>
      <c r="AD42">
        <v>3</v>
      </c>
      <c r="AE42">
        <v>1</v>
      </c>
      <c r="AF42">
        <v>0</v>
      </c>
      <c r="AG42">
        <v>0</v>
      </c>
      <c r="AH42">
        <v>0</v>
      </c>
    </row>
    <row r="43" spans="1:34" x14ac:dyDescent="0.2">
      <c r="A43">
        <v>27</v>
      </c>
      <c r="B43" t="s">
        <v>42</v>
      </c>
      <c r="C43" t="s">
        <v>35</v>
      </c>
      <c r="D43" t="s">
        <v>44</v>
      </c>
      <c r="E43">
        <v>2</v>
      </c>
      <c r="F43">
        <v>4</v>
      </c>
      <c r="G43" t="s">
        <v>37</v>
      </c>
      <c r="H43">
        <v>1</v>
      </c>
      <c r="I43">
        <v>54</v>
      </c>
      <c r="J43">
        <v>4</v>
      </c>
      <c r="K43" t="s">
        <v>38</v>
      </c>
      <c r="L43">
        <v>33</v>
      </c>
      <c r="M43">
        <v>3</v>
      </c>
      <c r="N43">
        <v>1</v>
      </c>
      <c r="O43" t="s">
        <v>49</v>
      </c>
      <c r="P43">
        <v>1</v>
      </c>
      <c r="Q43" t="s">
        <v>51</v>
      </c>
      <c r="R43">
        <v>2341</v>
      </c>
      <c r="S43">
        <v>19715</v>
      </c>
      <c r="T43">
        <v>1</v>
      </c>
      <c r="U43" t="s">
        <v>41</v>
      </c>
      <c r="V43" t="s">
        <v>42</v>
      </c>
      <c r="W43">
        <v>13</v>
      </c>
      <c r="X43">
        <v>3</v>
      </c>
      <c r="Y43">
        <v>4</v>
      </c>
      <c r="Z43">
        <v>80</v>
      </c>
      <c r="AA43">
        <v>1</v>
      </c>
      <c r="AB43">
        <v>1</v>
      </c>
      <c r="AC43">
        <v>6</v>
      </c>
      <c r="AD43">
        <v>3</v>
      </c>
      <c r="AE43">
        <v>1</v>
      </c>
      <c r="AF43">
        <v>0</v>
      </c>
      <c r="AG43">
        <v>0</v>
      </c>
      <c r="AH43">
        <v>0</v>
      </c>
    </row>
    <row r="44" spans="1:34" x14ac:dyDescent="0.2">
      <c r="A44">
        <v>26</v>
      </c>
      <c r="B44" t="s">
        <v>34</v>
      </c>
      <c r="C44" t="s">
        <v>35</v>
      </c>
      <c r="D44" t="s">
        <v>44</v>
      </c>
      <c r="E44">
        <v>25</v>
      </c>
      <c r="F44">
        <v>3</v>
      </c>
      <c r="G44" t="s">
        <v>37</v>
      </c>
      <c r="H44">
        <v>1</v>
      </c>
      <c r="I44">
        <v>55</v>
      </c>
      <c r="J44">
        <v>1</v>
      </c>
      <c r="K44" t="s">
        <v>45</v>
      </c>
      <c r="L44">
        <v>48</v>
      </c>
      <c r="M44">
        <v>1</v>
      </c>
      <c r="N44">
        <v>1</v>
      </c>
      <c r="O44" t="s">
        <v>49</v>
      </c>
      <c r="P44">
        <v>3</v>
      </c>
      <c r="Q44" t="s">
        <v>40</v>
      </c>
      <c r="R44">
        <v>2293</v>
      </c>
      <c r="S44">
        <v>10558</v>
      </c>
      <c r="T44">
        <v>1</v>
      </c>
      <c r="U44" t="s">
        <v>41</v>
      </c>
      <c r="V44" t="s">
        <v>42</v>
      </c>
      <c r="W44">
        <v>12</v>
      </c>
      <c r="X44">
        <v>3</v>
      </c>
      <c r="Y44">
        <v>3</v>
      </c>
      <c r="Z44">
        <v>80</v>
      </c>
      <c r="AA44">
        <v>0</v>
      </c>
      <c r="AB44">
        <v>1</v>
      </c>
      <c r="AC44">
        <v>2</v>
      </c>
      <c r="AD44">
        <v>2</v>
      </c>
      <c r="AE44">
        <v>1</v>
      </c>
      <c r="AF44">
        <v>0</v>
      </c>
      <c r="AG44">
        <v>0</v>
      </c>
      <c r="AH44">
        <v>1</v>
      </c>
    </row>
    <row r="45" spans="1:34" x14ac:dyDescent="0.2">
      <c r="A45">
        <v>27</v>
      </c>
      <c r="B45" t="s">
        <v>42</v>
      </c>
      <c r="C45" t="s">
        <v>43</v>
      </c>
      <c r="D45" t="s">
        <v>36</v>
      </c>
      <c r="E45">
        <v>8</v>
      </c>
      <c r="F45">
        <v>3</v>
      </c>
      <c r="G45" t="s">
        <v>37</v>
      </c>
      <c r="H45">
        <v>1</v>
      </c>
      <c r="I45">
        <v>56</v>
      </c>
      <c r="J45">
        <v>4</v>
      </c>
      <c r="K45" t="s">
        <v>45</v>
      </c>
      <c r="L45">
        <v>37</v>
      </c>
      <c r="M45">
        <v>3</v>
      </c>
      <c r="N45">
        <v>3</v>
      </c>
      <c r="O45" t="s">
        <v>39</v>
      </c>
      <c r="P45">
        <v>3</v>
      </c>
      <c r="Q45" t="s">
        <v>40</v>
      </c>
      <c r="R45">
        <v>8726</v>
      </c>
      <c r="S45">
        <v>2975</v>
      </c>
      <c r="T45">
        <v>1</v>
      </c>
      <c r="U45" t="s">
        <v>41</v>
      </c>
      <c r="V45" t="s">
        <v>42</v>
      </c>
      <c r="W45">
        <v>15</v>
      </c>
      <c r="X45">
        <v>3</v>
      </c>
      <c r="Y45">
        <v>4</v>
      </c>
      <c r="Z45">
        <v>80</v>
      </c>
      <c r="AA45">
        <v>0</v>
      </c>
      <c r="AB45">
        <v>9</v>
      </c>
      <c r="AC45">
        <v>0</v>
      </c>
      <c r="AD45">
        <v>3</v>
      </c>
      <c r="AE45">
        <v>9</v>
      </c>
      <c r="AF45">
        <v>8</v>
      </c>
      <c r="AG45">
        <v>1</v>
      </c>
      <c r="AH45">
        <v>7</v>
      </c>
    </row>
    <row r="46" spans="1:34" x14ac:dyDescent="0.2">
      <c r="A46">
        <v>30</v>
      </c>
      <c r="B46" t="s">
        <v>42</v>
      </c>
      <c r="C46" t="s">
        <v>43</v>
      </c>
      <c r="D46" t="s">
        <v>44</v>
      </c>
      <c r="E46">
        <v>1</v>
      </c>
      <c r="F46">
        <v>2</v>
      </c>
      <c r="G46" t="s">
        <v>50</v>
      </c>
      <c r="H46">
        <v>1</v>
      </c>
      <c r="I46">
        <v>57</v>
      </c>
      <c r="J46">
        <v>3</v>
      </c>
      <c r="K46" t="s">
        <v>38</v>
      </c>
      <c r="L46">
        <v>58</v>
      </c>
      <c r="M46">
        <v>3</v>
      </c>
      <c r="N46">
        <v>2</v>
      </c>
      <c r="O46" t="s">
        <v>49</v>
      </c>
      <c r="P46">
        <v>4</v>
      </c>
      <c r="Q46" t="s">
        <v>40</v>
      </c>
      <c r="R46">
        <v>4011</v>
      </c>
      <c r="S46">
        <v>10781</v>
      </c>
      <c r="T46">
        <v>1</v>
      </c>
      <c r="U46" t="s">
        <v>41</v>
      </c>
      <c r="V46" t="s">
        <v>42</v>
      </c>
      <c r="W46">
        <v>23</v>
      </c>
      <c r="X46">
        <v>4</v>
      </c>
      <c r="Y46">
        <v>4</v>
      </c>
      <c r="Z46">
        <v>80</v>
      </c>
      <c r="AA46">
        <v>0</v>
      </c>
      <c r="AB46">
        <v>12</v>
      </c>
      <c r="AC46">
        <v>2</v>
      </c>
      <c r="AD46">
        <v>3</v>
      </c>
      <c r="AE46">
        <v>12</v>
      </c>
      <c r="AF46">
        <v>8</v>
      </c>
      <c r="AG46">
        <v>3</v>
      </c>
      <c r="AH46">
        <v>7</v>
      </c>
    </row>
    <row r="47" spans="1:34" x14ac:dyDescent="0.2">
      <c r="A47">
        <v>41</v>
      </c>
      <c r="B47" t="s">
        <v>34</v>
      </c>
      <c r="C47" t="s">
        <v>35</v>
      </c>
      <c r="D47" t="s">
        <v>44</v>
      </c>
      <c r="E47">
        <v>12</v>
      </c>
      <c r="F47">
        <v>3</v>
      </c>
      <c r="G47" t="s">
        <v>59</v>
      </c>
      <c r="H47">
        <v>1</v>
      </c>
      <c r="I47">
        <v>58</v>
      </c>
      <c r="J47">
        <v>2</v>
      </c>
      <c r="K47" t="s">
        <v>38</v>
      </c>
      <c r="L47">
        <v>49</v>
      </c>
      <c r="M47">
        <v>3</v>
      </c>
      <c r="N47">
        <v>5</v>
      </c>
      <c r="O47" t="s">
        <v>57</v>
      </c>
      <c r="P47">
        <v>3</v>
      </c>
      <c r="Q47" t="s">
        <v>47</v>
      </c>
      <c r="R47">
        <v>19545</v>
      </c>
      <c r="S47">
        <v>16280</v>
      </c>
      <c r="T47">
        <v>1</v>
      </c>
      <c r="U47" t="s">
        <v>41</v>
      </c>
      <c r="V47" t="s">
        <v>42</v>
      </c>
      <c r="W47">
        <v>12</v>
      </c>
      <c r="X47">
        <v>3</v>
      </c>
      <c r="Y47">
        <v>4</v>
      </c>
      <c r="Z47">
        <v>80</v>
      </c>
      <c r="AA47">
        <v>0</v>
      </c>
      <c r="AB47">
        <v>23</v>
      </c>
      <c r="AC47">
        <v>0</v>
      </c>
      <c r="AD47">
        <v>3</v>
      </c>
      <c r="AE47">
        <v>22</v>
      </c>
      <c r="AF47">
        <v>15</v>
      </c>
      <c r="AG47">
        <v>15</v>
      </c>
      <c r="AH47">
        <v>8</v>
      </c>
    </row>
    <row r="48" spans="1:34" x14ac:dyDescent="0.2">
      <c r="A48">
        <v>34</v>
      </c>
      <c r="B48" t="s">
        <v>42</v>
      </c>
      <c r="C48" t="s">
        <v>54</v>
      </c>
      <c r="D48" t="s">
        <v>36</v>
      </c>
      <c r="E48">
        <v>23</v>
      </c>
      <c r="F48">
        <v>4</v>
      </c>
      <c r="G48" t="s">
        <v>58</v>
      </c>
      <c r="H48">
        <v>1</v>
      </c>
      <c r="I48">
        <v>60</v>
      </c>
      <c r="J48">
        <v>2</v>
      </c>
      <c r="K48" t="s">
        <v>45</v>
      </c>
      <c r="L48">
        <v>72</v>
      </c>
      <c r="M48">
        <v>3</v>
      </c>
      <c r="N48">
        <v>2</v>
      </c>
      <c r="O48" t="s">
        <v>39</v>
      </c>
      <c r="P48">
        <v>3</v>
      </c>
      <c r="Q48" t="s">
        <v>40</v>
      </c>
      <c r="R48">
        <v>4568</v>
      </c>
      <c r="S48">
        <v>10034</v>
      </c>
      <c r="T48">
        <v>0</v>
      </c>
      <c r="U48" t="s">
        <v>41</v>
      </c>
      <c r="V48" t="s">
        <v>42</v>
      </c>
      <c r="W48">
        <v>20</v>
      </c>
      <c r="X48">
        <v>4</v>
      </c>
      <c r="Y48">
        <v>3</v>
      </c>
      <c r="Z48">
        <v>80</v>
      </c>
      <c r="AA48">
        <v>0</v>
      </c>
      <c r="AB48">
        <v>10</v>
      </c>
      <c r="AC48">
        <v>2</v>
      </c>
      <c r="AD48">
        <v>3</v>
      </c>
      <c r="AE48">
        <v>9</v>
      </c>
      <c r="AF48">
        <v>5</v>
      </c>
      <c r="AG48">
        <v>8</v>
      </c>
      <c r="AH48">
        <v>7</v>
      </c>
    </row>
    <row r="49" spans="1:34" x14ac:dyDescent="0.2">
      <c r="A49">
        <v>37</v>
      </c>
      <c r="B49" t="s">
        <v>42</v>
      </c>
      <c r="C49" t="s">
        <v>35</v>
      </c>
      <c r="D49" t="s">
        <v>44</v>
      </c>
      <c r="E49">
        <v>19</v>
      </c>
      <c r="F49">
        <v>2</v>
      </c>
      <c r="G49" t="s">
        <v>37</v>
      </c>
      <c r="H49">
        <v>1</v>
      </c>
      <c r="I49">
        <v>61</v>
      </c>
      <c r="J49">
        <v>2</v>
      </c>
      <c r="K49" t="s">
        <v>45</v>
      </c>
      <c r="L49">
        <v>73</v>
      </c>
      <c r="M49">
        <v>3</v>
      </c>
      <c r="N49">
        <v>1</v>
      </c>
      <c r="O49" t="s">
        <v>46</v>
      </c>
      <c r="P49">
        <v>2</v>
      </c>
      <c r="Q49" t="s">
        <v>47</v>
      </c>
      <c r="R49">
        <v>3022</v>
      </c>
      <c r="S49">
        <v>10227</v>
      </c>
      <c r="T49">
        <v>4</v>
      </c>
      <c r="U49" t="s">
        <v>41</v>
      </c>
      <c r="V49" t="s">
        <v>42</v>
      </c>
      <c r="W49">
        <v>21</v>
      </c>
      <c r="X49">
        <v>4</v>
      </c>
      <c r="Y49">
        <v>1</v>
      </c>
      <c r="Z49">
        <v>80</v>
      </c>
      <c r="AA49">
        <v>0</v>
      </c>
      <c r="AB49">
        <v>8</v>
      </c>
      <c r="AC49">
        <v>1</v>
      </c>
      <c r="AD49">
        <v>3</v>
      </c>
      <c r="AE49">
        <v>1</v>
      </c>
      <c r="AF49">
        <v>0</v>
      </c>
      <c r="AG49">
        <v>0</v>
      </c>
      <c r="AH49">
        <v>0</v>
      </c>
    </row>
    <row r="50" spans="1:34" x14ac:dyDescent="0.2">
      <c r="A50">
        <v>46</v>
      </c>
      <c r="B50" t="s">
        <v>42</v>
      </c>
      <c r="C50" t="s">
        <v>43</v>
      </c>
      <c r="D50" t="s">
        <v>36</v>
      </c>
      <c r="E50">
        <v>5</v>
      </c>
      <c r="F50">
        <v>4</v>
      </c>
      <c r="G50" t="s">
        <v>58</v>
      </c>
      <c r="H50">
        <v>1</v>
      </c>
      <c r="I50">
        <v>62</v>
      </c>
      <c r="J50">
        <v>1</v>
      </c>
      <c r="K50" t="s">
        <v>45</v>
      </c>
      <c r="L50">
        <v>98</v>
      </c>
      <c r="M50">
        <v>3</v>
      </c>
      <c r="N50">
        <v>2</v>
      </c>
      <c r="O50" t="s">
        <v>39</v>
      </c>
      <c r="P50">
        <v>4</v>
      </c>
      <c r="Q50" t="s">
        <v>40</v>
      </c>
      <c r="R50">
        <v>5772</v>
      </c>
      <c r="S50">
        <v>20445</v>
      </c>
      <c r="T50">
        <v>4</v>
      </c>
      <c r="U50" t="s">
        <v>41</v>
      </c>
      <c r="V50" t="s">
        <v>34</v>
      </c>
      <c r="W50">
        <v>21</v>
      </c>
      <c r="X50">
        <v>4</v>
      </c>
      <c r="Y50">
        <v>3</v>
      </c>
      <c r="Z50">
        <v>80</v>
      </c>
      <c r="AA50">
        <v>0</v>
      </c>
      <c r="AB50">
        <v>14</v>
      </c>
      <c r="AC50">
        <v>4</v>
      </c>
      <c r="AD50">
        <v>3</v>
      </c>
      <c r="AE50">
        <v>9</v>
      </c>
      <c r="AF50">
        <v>6</v>
      </c>
      <c r="AG50">
        <v>0</v>
      </c>
      <c r="AH50">
        <v>8</v>
      </c>
    </row>
    <row r="51" spans="1:34" x14ac:dyDescent="0.2">
      <c r="A51">
        <v>35</v>
      </c>
      <c r="B51" t="s">
        <v>42</v>
      </c>
      <c r="C51" t="s">
        <v>35</v>
      </c>
      <c r="D51" t="s">
        <v>44</v>
      </c>
      <c r="E51">
        <v>8</v>
      </c>
      <c r="F51">
        <v>1</v>
      </c>
      <c r="G51" t="s">
        <v>37</v>
      </c>
      <c r="H51">
        <v>1</v>
      </c>
      <c r="I51">
        <v>63</v>
      </c>
      <c r="J51">
        <v>4</v>
      </c>
      <c r="K51" t="s">
        <v>45</v>
      </c>
      <c r="L51">
        <v>36</v>
      </c>
      <c r="M51">
        <v>4</v>
      </c>
      <c r="N51">
        <v>1</v>
      </c>
      <c r="O51" t="s">
        <v>49</v>
      </c>
      <c r="P51">
        <v>4</v>
      </c>
      <c r="Q51" t="s">
        <v>47</v>
      </c>
      <c r="R51">
        <v>2269</v>
      </c>
      <c r="S51">
        <v>4892</v>
      </c>
      <c r="T51">
        <v>1</v>
      </c>
      <c r="U51" t="s">
        <v>41</v>
      </c>
      <c r="V51" t="s">
        <v>42</v>
      </c>
      <c r="W51">
        <v>19</v>
      </c>
      <c r="X51">
        <v>3</v>
      </c>
      <c r="Y51">
        <v>4</v>
      </c>
      <c r="Z51">
        <v>80</v>
      </c>
      <c r="AA51">
        <v>0</v>
      </c>
      <c r="AB51">
        <v>1</v>
      </c>
      <c r="AC51">
        <v>2</v>
      </c>
      <c r="AD51">
        <v>3</v>
      </c>
      <c r="AE51">
        <v>1</v>
      </c>
      <c r="AF51">
        <v>0</v>
      </c>
      <c r="AG51">
        <v>0</v>
      </c>
      <c r="AH51">
        <v>1</v>
      </c>
    </row>
    <row r="52" spans="1:34" x14ac:dyDescent="0.2">
      <c r="A52">
        <v>48</v>
      </c>
      <c r="B52" t="s">
        <v>34</v>
      </c>
      <c r="C52" t="s">
        <v>35</v>
      </c>
      <c r="D52" t="s">
        <v>44</v>
      </c>
      <c r="E52">
        <v>1</v>
      </c>
      <c r="F52">
        <v>2</v>
      </c>
      <c r="G52" t="s">
        <v>37</v>
      </c>
      <c r="H52">
        <v>1</v>
      </c>
      <c r="I52">
        <v>64</v>
      </c>
      <c r="J52">
        <v>1</v>
      </c>
      <c r="K52" t="s">
        <v>45</v>
      </c>
      <c r="L52">
        <v>98</v>
      </c>
      <c r="M52">
        <v>2</v>
      </c>
      <c r="N52">
        <v>3</v>
      </c>
      <c r="O52" t="s">
        <v>49</v>
      </c>
      <c r="P52">
        <v>3</v>
      </c>
      <c r="Q52" t="s">
        <v>40</v>
      </c>
      <c r="R52">
        <v>5381</v>
      </c>
      <c r="S52">
        <v>19294</v>
      </c>
      <c r="T52">
        <v>9</v>
      </c>
      <c r="U52" t="s">
        <v>41</v>
      </c>
      <c r="V52" t="s">
        <v>34</v>
      </c>
      <c r="W52">
        <v>13</v>
      </c>
      <c r="X52">
        <v>3</v>
      </c>
      <c r="Y52">
        <v>4</v>
      </c>
      <c r="Z52">
        <v>80</v>
      </c>
      <c r="AA52">
        <v>0</v>
      </c>
      <c r="AB52">
        <v>23</v>
      </c>
      <c r="AC52">
        <v>2</v>
      </c>
      <c r="AD52">
        <v>3</v>
      </c>
      <c r="AE52">
        <v>1</v>
      </c>
      <c r="AF52">
        <v>0</v>
      </c>
      <c r="AG52">
        <v>0</v>
      </c>
      <c r="AH52">
        <v>0</v>
      </c>
    </row>
    <row r="53" spans="1:34" x14ac:dyDescent="0.2">
      <c r="A53">
        <v>28</v>
      </c>
      <c r="B53" t="s">
        <v>34</v>
      </c>
      <c r="C53" t="s">
        <v>35</v>
      </c>
      <c r="D53" t="s">
        <v>44</v>
      </c>
      <c r="E53">
        <v>5</v>
      </c>
      <c r="F53">
        <v>4</v>
      </c>
      <c r="G53" t="s">
        <v>59</v>
      </c>
      <c r="H53">
        <v>1</v>
      </c>
      <c r="I53">
        <v>65</v>
      </c>
      <c r="J53">
        <v>3</v>
      </c>
      <c r="K53" t="s">
        <v>45</v>
      </c>
      <c r="L53">
        <v>50</v>
      </c>
      <c r="M53">
        <v>3</v>
      </c>
      <c r="N53">
        <v>1</v>
      </c>
      <c r="O53" t="s">
        <v>49</v>
      </c>
      <c r="P53">
        <v>3</v>
      </c>
      <c r="Q53" t="s">
        <v>40</v>
      </c>
      <c r="R53">
        <v>3441</v>
      </c>
      <c r="S53">
        <v>11179</v>
      </c>
      <c r="T53">
        <v>1</v>
      </c>
      <c r="U53" t="s">
        <v>41</v>
      </c>
      <c r="V53" t="s">
        <v>34</v>
      </c>
      <c r="W53">
        <v>13</v>
      </c>
      <c r="X53">
        <v>3</v>
      </c>
      <c r="Y53">
        <v>3</v>
      </c>
      <c r="Z53">
        <v>80</v>
      </c>
      <c r="AA53">
        <v>0</v>
      </c>
      <c r="AB53">
        <v>2</v>
      </c>
      <c r="AC53">
        <v>3</v>
      </c>
      <c r="AD53">
        <v>2</v>
      </c>
      <c r="AE53">
        <v>2</v>
      </c>
      <c r="AF53">
        <v>2</v>
      </c>
      <c r="AG53">
        <v>2</v>
      </c>
      <c r="AH53">
        <v>2</v>
      </c>
    </row>
    <row r="54" spans="1:34" x14ac:dyDescent="0.2">
      <c r="A54">
        <v>44</v>
      </c>
      <c r="B54" t="s">
        <v>42</v>
      </c>
      <c r="C54" t="s">
        <v>35</v>
      </c>
      <c r="D54" t="s">
        <v>36</v>
      </c>
      <c r="E54">
        <v>1</v>
      </c>
      <c r="F54">
        <v>5</v>
      </c>
      <c r="G54" t="s">
        <v>58</v>
      </c>
      <c r="H54">
        <v>1</v>
      </c>
      <c r="I54">
        <v>68</v>
      </c>
      <c r="J54">
        <v>2</v>
      </c>
      <c r="K54" t="s">
        <v>38</v>
      </c>
      <c r="L54">
        <v>75</v>
      </c>
      <c r="M54">
        <v>3</v>
      </c>
      <c r="N54">
        <v>2</v>
      </c>
      <c r="O54" t="s">
        <v>39</v>
      </c>
      <c r="P54">
        <v>1</v>
      </c>
      <c r="Q54" t="s">
        <v>51</v>
      </c>
      <c r="R54">
        <v>5454</v>
      </c>
      <c r="S54">
        <v>4009</v>
      </c>
      <c r="T54">
        <v>5</v>
      </c>
      <c r="U54" t="s">
        <v>41</v>
      </c>
      <c r="V54" t="s">
        <v>34</v>
      </c>
      <c r="W54">
        <v>21</v>
      </c>
      <c r="X54">
        <v>4</v>
      </c>
      <c r="Y54">
        <v>3</v>
      </c>
      <c r="Z54">
        <v>80</v>
      </c>
      <c r="AA54">
        <v>1</v>
      </c>
      <c r="AB54">
        <v>9</v>
      </c>
      <c r="AC54">
        <v>2</v>
      </c>
      <c r="AD54">
        <v>2</v>
      </c>
      <c r="AE54">
        <v>4</v>
      </c>
      <c r="AF54">
        <v>3</v>
      </c>
      <c r="AG54">
        <v>1</v>
      </c>
      <c r="AH54">
        <v>3</v>
      </c>
    </row>
    <row r="55" spans="1:34" x14ac:dyDescent="0.2">
      <c r="A55">
        <v>35</v>
      </c>
      <c r="B55" t="s">
        <v>42</v>
      </c>
      <c r="C55" t="s">
        <v>54</v>
      </c>
      <c r="D55" t="s">
        <v>44</v>
      </c>
      <c r="E55">
        <v>11</v>
      </c>
      <c r="F55">
        <v>2</v>
      </c>
      <c r="G55" t="s">
        <v>50</v>
      </c>
      <c r="H55">
        <v>1</v>
      </c>
      <c r="I55">
        <v>70</v>
      </c>
      <c r="J55">
        <v>3</v>
      </c>
      <c r="K55" t="s">
        <v>45</v>
      </c>
      <c r="L55">
        <v>79</v>
      </c>
      <c r="M55">
        <v>2</v>
      </c>
      <c r="N55">
        <v>3</v>
      </c>
      <c r="O55" t="s">
        <v>53</v>
      </c>
      <c r="P55">
        <v>1</v>
      </c>
      <c r="Q55" t="s">
        <v>47</v>
      </c>
      <c r="R55">
        <v>9884</v>
      </c>
      <c r="S55">
        <v>8302</v>
      </c>
      <c r="T55">
        <v>2</v>
      </c>
      <c r="U55" t="s">
        <v>41</v>
      </c>
      <c r="V55" t="s">
        <v>34</v>
      </c>
      <c r="W55">
        <v>13</v>
      </c>
      <c r="X55">
        <v>3</v>
      </c>
      <c r="Y55">
        <v>3</v>
      </c>
      <c r="Z55">
        <v>80</v>
      </c>
      <c r="AA55">
        <v>1</v>
      </c>
      <c r="AB55">
        <v>10</v>
      </c>
      <c r="AC55">
        <v>3</v>
      </c>
      <c r="AD55">
        <v>3</v>
      </c>
      <c r="AE55">
        <v>4</v>
      </c>
      <c r="AF55">
        <v>0</v>
      </c>
      <c r="AG55">
        <v>2</v>
      </c>
      <c r="AH55">
        <v>3</v>
      </c>
    </row>
    <row r="56" spans="1:34" x14ac:dyDescent="0.2">
      <c r="A56">
        <v>26</v>
      </c>
      <c r="B56" t="s">
        <v>42</v>
      </c>
      <c r="C56" t="s">
        <v>35</v>
      </c>
      <c r="D56" t="s">
        <v>36</v>
      </c>
      <c r="E56">
        <v>23</v>
      </c>
      <c r="F56">
        <v>3</v>
      </c>
      <c r="G56" t="s">
        <v>58</v>
      </c>
      <c r="H56">
        <v>1</v>
      </c>
      <c r="I56">
        <v>72</v>
      </c>
      <c r="J56">
        <v>3</v>
      </c>
      <c r="K56" t="s">
        <v>38</v>
      </c>
      <c r="L56">
        <v>47</v>
      </c>
      <c r="M56">
        <v>2</v>
      </c>
      <c r="N56">
        <v>2</v>
      </c>
      <c r="O56" t="s">
        <v>39</v>
      </c>
      <c r="P56">
        <v>4</v>
      </c>
      <c r="Q56" t="s">
        <v>47</v>
      </c>
      <c r="R56">
        <v>4157</v>
      </c>
      <c r="S56">
        <v>21436</v>
      </c>
      <c r="T56">
        <v>7</v>
      </c>
      <c r="U56" t="s">
        <v>41</v>
      </c>
      <c r="V56" t="s">
        <v>34</v>
      </c>
      <c r="W56">
        <v>19</v>
      </c>
      <c r="X56">
        <v>3</v>
      </c>
      <c r="Y56">
        <v>3</v>
      </c>
      <c r="Z56">
        <v>80</v>
      </c>
      <c r="AA56">
        <v>1</v>
      </c>
      <c r="AB56">
        <v>5</v>
      </c>
      <c r="AC56">
        <v>2</v>
      </c>
      <c r="AD56">
        <v>2</v>
      </c>
      <c r="AE56">
        <v>2</v>
      </c>
      <c r="AF56">
        <v>2</v>
      </c>
      <c r="AG56">
        <v>0</v>
      </c>
      <c r="AH56">
        <v>0</v>
      </c>
    </row>
    <row r="57" spans="1:34" x14ac:dyDescent="0.2">
      <c r="A57">
        <v>33</v>
      </c>
      <c r="B57" t="s">
        <v>42</v>
      </c>
      <c r="C57" t="s">
        <v>43</v>
      </c>
      <c r="D57" t="s">
        <v>44</v>
      </c>
      <c r="E57">
        <v>1</v>
      </c>
      <c r="F57">
        <v>2</v>
      </c>
      <c r="G57" t="s">
        <v>37</v>
      </c>
      <c r="H57">
        <v>1</v>
      </c>
      <c r="I57">
        <v>73</v>
      </c>
      <c r="J57">
        <v>1</v>
      </c>
      <c r="K57" t="s">
        <v>38</v>
      </c>
      <c r="L57">
        <v>98</v>
      </c>
      <c r="M57">
        <v>3</v>
      </c>
      <c r="N57">
        <v>3</v>
      </c>
      <c r="O57" t="s">
        <v>57</v>
      </c>
      <c r="P57">
        <v>4</v>
      </c>
      <c r="Q57" t="s">
        <v>40</v>
      </c>
      <c r="R57">
        <v>13458</v>
      </c>
      <c r="S57">
        <v>15146</v>
      </c>
      <c r="T57">
        <v>1</v>
      </c>
      <c r="U57" t="s">
        <v>41</v>
      </c>
      <c r="V57" t="s">
        <v>34</v>
      </c>
      <c r="W57">
        <v>12</v>
      </c>
      <c r="X57">
        <v>3</v>
      </c>
      <c r="Y57">
        <v>3</v>
      </c>
      <c r="Z57">
        <v>80</v>
      </c>
      <c r="AA57">
        <v>0</v>
      </c>
      <c r="AB57">
        <v>15</v>
      </c>
      <c r="AC57">
        <v>1</v>
      </c>
      <c r="AD57">
        <v>3</v>
      </c>
      <c r="AE57">
        <v>15</v>
      </c>
      <c r="AF57">
        <v>14</v>
      </c>
      <c r="AG57">
        <v>8</v>
      </c>
      <c r="AH57">
        <v>12</v>
      </c>
    </row>
    <row r="58" spans="1:34" x14ac:dyDescent="0.2">
      <c r="A58">
        <v>35</v>
      </c>
      <c r="B58" t="s">
        <v>42</v>
      </c>
      <c r="C58" t="s">
        <v>43</v>
      </c>
      <c r="D58" t="s">
        <v>36</v>
      </c>
      <c r="E58">
        <v>18</v>
      </c>
      <c r="F58">
        <v>5</v>
      </c>
      <c r="G58" t="s">
        <v>37</v>
      </c>
      <c r="H58">
        <v>1</v>
      </c>
      <c r="I58">
        <v>74</v>
      </c>
      <c r="J58">
        <v>2</v>
      </c>
      <c r="K58" t="s">
        <v>45</v>
      </c>
      <c r="L58">
        <v>71</v>
      </c>
      <c r="M58">
        <v>3</v>
      </c>
      <c r="N58">
        <v>3</v>
      </c>
      <c r="O58" t="s">
        <v>39</v>
      </c>
      <c r="P58">
        <v>1</v>
      </c>
      <c r="Q58" t="s">
        <v>47</v>
      </c>
      <c r="R58">
        <v>9069</v>
      </c>
      <c r="S58">
        <v>11031</v>
      </c>
      <c r="T58">
        <v>1</v>
      </c>
      <c r="U58" t="s">
        <v>41</v>
      </c>
      <c r="V58" t="s">
        <v>42</v>
      </c>
      <c r="W58">
        <v>22</v>
      </c>
      <c r="X58">
        <v>4</v>
      </c>
      <c r="Y58">
        <v>4</v>
      </c>
      <c r="Z58">
        <v>80</v>
      </c>
      <c r="AA58">
        <v>1</v>
      </c>
      <c r="AB58">
        <v>9</v>
      </c>
      <c r="AC58">
        <v>3</v>
      </c>
      <c r="AD58">
        <v>2</v>
      </c>
      <c r="AE58">
        <v>9</v>
      </c>
      <c r="AF58">
        <v>8</v>
      </c>
      <c r="AG58">
        <v>1</v>
      </c>
      <c r="AH58">
        <v>8</v>
      </c>
    </row>
    <row r="59" spans="1:34" x14ac:dyDescent="0.2">
      <c r="A59">
        <v>35</v>
      </c>
      <c r="B59" t="s">
        <v>42</v>
      </c>
      <c r="C59" t="s">
        <v>35</v>
      </c>
      <c r="D59" t="s">
        <v>44</v>
      </c>
      <c r="E59">
        <v>23</v>
      </c>
      <c r="F59">
        <v>4</v>
      </c>
      <c r="G59" t="s">
        <v>50</v>
      </c>
      <c r="H59">
        <v>1</v>
      </c>
      <c r="I59">
        <v>75</v>
      </c>
      <c r="J59">
        <v>3</v>
      </c>
      <c r="K59" t="s">
        <v>38</v>
      </c>
      <c r="L59">
        <v>30</v>
      </c>
      <c r="M59">
        <v>3</v>
      </c>
      <c r="N59">
        <v>1</v>
      </c>
      <c r="O59" t="s">
        <v>49</v>
      </c>
      <c r="P59">
        <v>1</v>
      </c>
      <c r="Q59" t="s">
        <v>47</v>
      </c>
      <c r="R59">
        <v>4014</v>
      </c>
      <c r="S59">
        <v>16002</v>
      </c>
      <c r="T59">
        <v>3</v>
      </c>
      <c r="U59" t="s">
        <v>41</v>
      </c>
      <c r="V59" t="s">
        <v>34</v>
      </c>
      <c r="W59">
        <v>15</v>
      </c>
      <c r="X59">
        <v>3</v>
      </c>
      <c r="Y59">
        <v>3</v>
      </c>
      <c r="Z59">
        <v>80</v>
      </c>
      <c r="AA59">
        <v>1</v>
      </c>
      <c r="AB59">
        <v>4</v>
      </c>
      <c r="AC59">
        <v>3</v>
      </c>
      <c r="AD59">
        <v>3</v>
      </c>
      <c r="AE59">
        <v>2</v>
      </c>
      <c r="AF59">
        <v>2</v>
      </c>
      <c r="AG59">
        <v>2</v>
      </c>
      <c r="AH59">
        <v>2</v>
      </c>
    </row>
    <row r="60" spans="1:34" x14ac:dyDescent="0.2">
      <c r="A60">
        <v>31</v>
      </c>
      <c r="B60" t="s">
        <v>42</v>
      </c>
      <c r="C60" t="s">
        <v>35</v>
      </c>
      <c r="D60" t="s">
        <v>44</v>
      </c>
      <c r="E60">
        <v>7</v>
      </c>
      <c r="F60">
        <v>4</v>
      </c>
      <c r="G60" t="s">
        <v>37</v>
      </c>
      <c r="H60">
        <v>1</v>
      </c>
      <c r="I60">
        <v>76</v>
      </c>
      <c r="J60">
        <v>4</v>
      </c>
      <c r="K60" t="s">
        <v>45</v>
      </c>
      <c r="L60">
        <v>48</v>
      </c>
      <c r="M60">
        <v>3</v>
      </c>
      <c r="N60">
        <v>2</v>
      </c>
      <c r="O60" t="s">
        <v>49</v>
      </c>
      <c r="P60">
        <v>4</v>
      </c>
      <c r="Q60" t="s">
        <v>51</v>
      </c>
      <c r="R60">
        <v>5915</v>
      </c>
      <c r="S60">
        <v>9528</v>
      </c>
      <c r="T60">
        <v>3</v>
      </c>
      <c r="U60" t="s">
        <v>41</v>
      </c>
      <c r="V60" t="s">
        <v>42</v>
      </c>
      <c r="W60">
        <v>22</v>
      </c>
      <c r="X60">
        <v>4</v>
      </c>
      <c r="Y60">
        <v>4</v>
      </c>
      <c r="Z60">
        <v>80</v>
      </c>
      <c r="AA60">
        <v>1</v>
      </c>
      <c r="AB60">
        <v>10</v>
      </c>
      <c r="AC60">
        <v>3</v>
      </c>
      <c r="AD60">
        <v>2</v>
      </c>
      <c r="AE60">
        <v>7</v>
      </c>
      <c r="AF60">
        <v>7</v>
      </c>
      <c r="AG60">
        <v>1</v>
      </c>
      <c r="AH60">
        <v>7</v>
      </c>
    </row>
    <row r="61" spans="1:34" x14ac:dyDescent="0.2">
      <c r="A61">
        <v>37</v>
      </c>
      <c r="B61" t="s">
        <v>42</v>
      </c>
      <c r="C61" t="s">
        <v>35</v>
      </c>
      <c r="D61" t="s">
        <v>44</v>
      </c>
      <c r="E61">
        <v>1</v>
      </c>
      <c r="F61">
        <v>4</v>
      </c>
      <c r="G61" t="s">
        <v>37</v>
      </c>
      <c r="H61">
        <v>1</v>
      </c>
      <c r="I61">
        <v>77</v>
      </c>
      <c r="J61">
        <v>1</v>
      </c>
      <c r="K61" t="s">
        <v>45</v>
      </c>
      <c r="L61">
        <v>51</v>
      </c>
      <c r="M61">
        <v>2</v>
      </c>
      <c r="N61">
        <v>2</v>
      </c>
      <c r="O61" t="s">
        <v>52</v>
      </c>
      <c r="P61">
        <v>3</v>
      </c>
      <c r="Q61" t="s">
        <v>51</v>
      </c>
      <c r="R61">
        <v>5993</v>
      </c>
      <c r="S61">
        <v>2689</v>
      </c>
      <c r="T61">
        <v>1</v>
      </c>
      <c r="U61" t="s">
        <v>41</v>
      </c>
      <c r="V61" t="s">
        <v>42</v>
      </c>
      <c r="W61">
        <v>18</v>
      </c>
      <c r="X61">
        <v>3</v>
      </c>
      <c r="Y61">
        <v>3</v>
      </c>
      <c r="Z61">
        <v>80</v>
      </c>
      <c r="AA61">
        <v>1</v>
      </c>
      <c r="AB61">
        <v>7</v>
      </c>
      <c r="AC61">
        <v>2</v>
      </c>
      <c r="AD61">
        <v>4</v>
      </c>
      <c r="AE61">
        <v>7</v>
      </c>
      <c r="AF61">
        <v>5</v>
      </c>
      <c r="AG61">
        <v>0</v>
      </c>
      <c r="AH61">
        <v>7</v>
      </c>
    </row>
    <row r="62" spans="1:34" x14ac:dyDescent="0.2">
      <c r="A62">
        <v>32</v>
      </c>
      <c r="B62" t="s">
        <v>42</v>
      </c>
      <c r="C62" t="s">
        <v>35</v>
      </c>
      <c r="D62" t="s">
        <v>44</v>
      </c>
      <c r="E62">
        <v>1</v>
      </c>
      <c r="F62">
        <v>3</v>
      </c>
      <c r="G62" t="s">
        <v>50</v>
      </c>
      <c r="H62">
        <v>1</v>
      </c>
      <c r="I62">
        <v>78</v>
      </c>
      <c r="J62">
        <v>1</v>
      </c>
      <c r="K62" t="s">
        <v>45</v>
      </c>
      <c r="L62">
        <v>33</v>
      </c>
      <c r="M62">
        <v>3</v>
      </c>
      <c r="N62">
        <v>2</v>
      </c>
      <c r="O62" t="s">
        <v>52</v>
      </c>
      <c r="P62">
        <v>4</v>
      </c>
      <c r="Q62" t="s">
        <v>47</v>
      </c>
      <c r="R62">
        <v>6162</v>
      </c>
      <c r="S62">
        <v>10877</v>
      </c>
      <c r="T62">
        <v>1</v>
      </c>
      <c r="U62" t="s">
        <v>41</v>
      </c>
      <c r="V62" t="s">
        <v>34</v>
      </c>
      <c r="W62">
        <v>22</v>
      </c>
      <c r="X62">
        <v>4</v>
      </c>
      <c r="Y62">
        <v>2</v>
      </c>
      <c r="Z62">
        <v>80</v>
      </c>
      <c r="AA62">
        <v>1</v>
      </c>
      <c r="AB62">
        <v>9</v>
      </c>
      <c r="AC62">
        <v>3</v>
      </c>
      <c r="AD62">
        <v>3</v>
      </c>
      <c r="AE62">
        <v>9</v>
      </c>
      <c r="AF62">
        <v>8</v>
      </c>
      <c r="AG62">
        <v>7</v>
      </c>
      <c r="AH62">
        <v>8</v>
      </c>
    </row>
    <row r="63" spans="1:34" x14ac:dyDescent="0.2">
      <c r="A63">
        <v>38</v>
      </c>
      <c r="B63" t="s">
        <v>42</v>
      </c>
      <c r="C63" t="s">
        <v>43</v>
      </c>
      <c r="D63" t="s">
        <v>44</v>
      </c>
      <c r="E63">
        <v>29</v>
      </c>
      <c r="F63">
        <v>5</v>
      </c>
      <c r="G63" t="s">
        <v>37</v>
      </c>
      <c r="H63">
        <v>1</v>
      </c>
      <c r="I63">
        <v>79</v>
      </c>
      <c r="J63">
        <v>4</v>
      </c>
      <c r="K63" t="s">
        <v>38</v>
      </c>
      <c r="L63">
        <v>50</v>
      </c>
      <c r="M63">
        <v>3</v>
      </c>
      <c r="N63">
        <v>2</v>
      </c>
      <c r="O63" t="s">
        <v>49</v>
      </c>
      <c r="P63">
        <v>4</v>
      </c>
      <c r="Q63" t="s">
        <v>40</v>
      </c>
      <c r="R63">
        <v>2406</v>
      </c>
      <c r="S63">
        <v>5456</v>
      </c>
      <c r="T63">
        <v>1</v>
      </c>
      <c r="U63" t="s">
        <v>41</v>
      </c>
      <c r="V63" t="s">
        <v>42</v>
      </c>
      <c r="W63">
        <v>11</v>
      </c>
      <c r="X63">
        <v>3</v>
      </c>
      <c r="Y63">
        <v>4</v>
      </c>
      <c r="Z63">
        <v>80</v>
      </c>
      <c r="AA63">
        <v>0</v>
      </c>
      <c r="AB63">
        <v>10</v>
      </c>
      <c r="AC63">
        <v>2</v>
      </c>
      <c r="AD63">
        <v>3</v>
      </c>
      <c r="AE63">
        <v>10</v>
      </c>
      <c r="AF63">
        <v>3</v>
      </c>
      <c r="AG63">
        <v>9</v>
      </c>
      <c r="AH63">
        <v>9</v>
      </c>
    </row>
    <row r="64" spans="1:34" x14ac:dyDescent="0.2">
      <c r="A64">
        <v>50</v>
      </c>
      <c r="B64" t="s">
        <v>42</v>
      </c>
      <c r="C64" t="s">
        <v>35</v>
      </c>
      <c r="D64" t="s">
        <v>44</v>
      </c>
      <c r="E64">
        <v>7</v>
      </c>
      <c r="F64">
        <v>2</v>
      </c>
      <c r="G64" t="s">
        <v>50</v>
      </c>
      <c r="H64">
        <v>1</v>
      </c>
      <c r="I64">
        <v>80</v>
      </c>
      <c r="J64">
        <v>2</v>
      </c>
      <c r="K64" t="s">
        <v>38</v>
      </c>
      <c r="L64">
        <v>43</v>
      </c>
      <c r="M64">
        <v>2</v>
      </c>
      <c r="N64">
        <v>5</v>
      </c>
      <c r="O64" t="s">
        <v>57</v>
      </c>
      <c r="P64">
        <v>3</v>
      </c>
      <c r="Q64" t="s">
        <v>51</v>
      </c>
      <c r="R64">
        <v>18740</v>
      </c>
      <c r="S64">
        <v>16701</v>
      </c>
      <c r="T64">
        <v>5</v>
      </c>
      <c r="U64" t="s">
        <v>41</v>
      </c>
      <c r="V64" t="s">
        <v>34</v>
      </c>
      <c r="W64">
        <v>12</v>
      </c>
      <c r="X64">
        <v>3</v>
      </c>
      <c r="Y64">
        <v>4</v>
      </c>
      <c r="Z64">
        <v>80</v>
      </c>
      <c r="AA64">
        <v>1</v>
      </c>
      <c r="AB64">
        <v>29</v>
      </c>
      <c r="AC64">
        <v>2</v>
      </c>
      <c r="AD64">
        <v>2</v>
      </c>
      <c r="AE64">
        <v>27</v>
      </c>
      <c r="AF64">
        <v>3</v>
      </c>
      <c r="AG64">
        <v>13</v>
      </c>
      <c r="AH64">
        <v>8</v>
      </c>
    </row>
    <row r="65" spans="1:34" x14ac:dyDescent="0.2">
      <c r="A65">
        <v>59</v>
      </c>
      <c r="B65" t="s">
        <v>42</v>
      </c>
      <c r="C65" t="s">
        <v>35</v>
      </c>
      <c r="D65" t="s">
        <v>36</v>
      </c>
      <c r="E65">
        <v>25</v>
      </c>
      <c r="F65">
        <v>3</v>
      </c>
      <c r="G65" t="s">
        <v>37</v>
      </c>
      <c r="H65">
        <v>1</v>
      </c>
      <c r="I65">
        <v>81</v>
      </c>
      <c r="J65">
        <v>1</v>
      </c>
      <c r="K65" t="s">
        <v>38</v>
      </c>
      <c r="L65">
        <v>99</v>
      </c>
      <c r="M65">
        <v>3</v>
      </c>
      <c r="N65">
        <v>3</v>
      </c>
      <c r="O65" t="s">
        <v>39</v>
      </c>
      <c r="P65">
        <v>1</v>
      </c>
      <c r="Q65" t="s">
        <v>40</v>
      </c>
      <c r="R65">
        <v>7637</v>
      </c>
      <c r="S65">
        <v>2354</v>
      </c>
      <c r="T65">
        <v>7</v>
      </c>
      <c r="U65" t="s">
        <v>41</v>
      </c>
      <c r="V65" t="s">
        <v>42</v>
      </c>
      <c r="W65">
        <v>11</v>
      </c>
      <c r="X65">
        <v>3</v>
      </c>
      <c r="Y65">
        <v>4</v>
      </c>
      <c r="Z65">
        <v>80</v>
      </c>
      <c r="AA65">
        <v>0</v>
      </c>
      <c r="AB65">
        <v>28</v>
      </c>
      <c r="AC65">
        <v>3</v>
      </c>
      <c r="AD65">
        <v>2</v>
      </c>
      <c r="AE65">
        <v>21</v>
      </c>
      <c r="AF65">
        <v>16</v>
      </c>
      <c r="AG65">
        <v>7</v>
      </c>
      <c r="AH65">
        <v>9</v>
      </c>
    </row>
    <row r="66" spans="1:34" x14ac:dyDescent="0.2">
      <c r="A66">
        <v>36</v>
      </c>
      <c r="B66" t="s">
        <v>42</v>
      </c>
      <c r="C66" t="s">
        <v>35</v>
      </c>
      <c r="D66" t="s">
        <v>44</v>
      </c>
      <c r="E66">
        <v>8</v>
      </c>
      <c r="F66">
        <v>3</v>
      </c>
      <c r="G66" t="s">
        <v>59</v>
      </c>
      <c r="H66">
        <v>1</v>
      </c>
      <c r="I66">
        <v>83</v>
      </c>
      <c r="J66">
        <v>3</v>
      </c>
      <c r="K66" t="s">
        <v>38</v>
      </c>
      <c r="L66">
        <v>59</v>
      </c>
      <c r="M66">
        <v>3</v>
      </c>
      <c r="N66">
        <v>3</v>
      </c>
      <c r="O66" t="s">
        <v>53</v>
      </c>
      <c r="P66">
        <v>3</v>
      </c>
      <c r="Q66" t="s">
        <v>51</v>
      </c>
      <c r="R66">
        <v>10096</v>
      </c>
      <c r="S66">
        <v>8202</v>
      </c>
      <c r="T66">
        <v>1</v>
      </c>
      <c r="U66" t="s">
        <v>41</v>
      </c>
      <c r="V66" t="s">
        <v>42</v>
      </c>
      <c r="W66">
        <v>13</v>
      </c>
      <c r="X66">
        <v>3</v>
      </c>
      <c r="Y66">
        <v>2</v>
      </c>
      <c r="Z66">
        <v>80</v>
      </c>
      <c r="AA66">
        <v>3</v>
      </c>
      <c r="AB66">
        <v>17</v>
      </c>
      <c r="AC66">
        <v>2</v>
      </c>
      <c r="AD66">
        <v>3</v>
      </c>
      <c r="AE66">
        <v>17</v>
      </c>
      <c r="AF66">
        <v>14</v>
      </c>
      <c r="AG66">
        <v>12</v>
      </c>
      <c r="AH66">
        <v>8</v>
      </c>
    </row>
    <row r="67" spans="1:34" x14ac:dyDescent="0.2">
      <c r="A67">
        <v>55</v>
      </c>
      <c r="B67" t="s">
        <v>42</v>
      </c>
      <c r="C67" t="s">
        <v>35</v>
      </c>
      <c r="D67" t="s">
        <v>44</v>
      </c>
      <c r="E67">
        <v>8</v>
      </c>
      <c r="F67">
        <v>3</v>
      </c>
      <c r="G67" t="s">
        <v>50</v>
      </c>
      <c r="H67">
        <v>1</v>
      </c>
      <c r="I67">
        <v>84</v>
      </c>
      <c r="J67">
        <v>4</v>
      </c>
      <c r="K67" t="s">
        <v>38</v>
      </c>
      <c r="L67">
        <v>33</v>
      </c>
      <c r="M67">
        <v>3</v>
      </c>
      <c r="N67">
        <v>4</v>
      </c>
      <c r="O67" t="s">
        <v>55</v>
      </c>
      <c r="P67">
        <v>3</v>
      </c>
      <c r="Q67" t="s">
        <v>51</v>
      </c>
      <c r="R67">
        <v>14756</v>
      </c>
      <c r="S67">
        <v>19730</v>
      </c>
      <c r="T67">
        <v>2</v>
      </c>
      <c r="U67" t="s">
        <v>41</v>
      </c>
      <c r="V67" t="s">
        <v>34</v>
      </c>
      <c r="W67">
        <v>14</v>
      </c>
      <c r="X67">
        <v>3</v>
      </c>
      <c r="Y67">
        <v>3</v>
      </c>
      <c r="Z67">
        <v>80</v>
      </c>
      <c r="AA67">
        <v>3</v>
      </c>
      <c r="AB67">
        <v>21</v>
      </c>
      <c r="AC67">
        <v>2</v>
      </c>
      <c r="AD67">
        <v>3</v>
      </c>
      <c r="AE67">
        <v>5</v>
      </c>
      <c r="AF67">
        <v>0</v>
      </c>
      <c r="AG67">
        <v>0</v>
      </c>
      <c r="AH67">
        <v>2</v>
      </c>
    </row>
    <row r="68" spans="1:34" x14ac:dyDescent="0.2">
      <c r="A68">
        <v>36</v>
      </c>
      <c r="B68" t="s">
        <v>42</v>
      </c>
      <c r="C68" t="s">
        <v>43</v>
      </c>
      <c r="D68" t="s">
        <v>44</v>
      </c>
      <c r="E68">
        <v>11</v>
      </c>
      <c r="F68">
        <v>3</v>
      </c>
      <c r="G68" t="s">
        <v>37</v>
      </c>
      <c r="H68">
        <v>1</v>
      </c>
      <c r="I68">
        <v>85</v>
      </c>
      <c r="J68">
        <v>2</v>
      </c>
      <c r="K68" t="s">
        <v>45</v>
      </c>
      <c r="L68">
        <v>95</v>
      </c>
      <c r="M68">
        <v>2</v>
      </c>
      <c r="N68">
        <v>2</v>
      </c>
      <c r="O68" t="s">
        <v>52</v>
      </c>
      <c r="P68">
        <v>2</v>
      </c>
      <c r="Q68" t="s">
        <v>40</v>
      </c>
      <c r="R68">
        <v>6499</v>
      </c>
      <c r="S68">
        <v>22656</v>
      </c>
      <c r="T68">
        <v>1</v>
      </c>
      <c r="U68" t="s">
        <v>41</v>
      </c>
      <c r="V68" t="s">
        <v>42</v>
      </c>
      <c r="W68">
        <v>13</v>
      </c>
      <c r="X68">
        <v>3</v>
      </c>
      <c r="Y68">
        <v>3</v>
      </c>
      <c r="Z68">
        <v>80</v>
      </c>
      <c r="AA68">
        <v>0</v>
      </c>
      <c r="AB68">
        <v>6</v>
      </c>
      <c r="AC68">
        <v>3</v>
      </c>
      <c r="AD68">
        <v>3</v>
      </c>
      <c r="AE68">
        <v>6</v>
      </c>
      <c r="AF68">
        <v>5</v>
      </c>
      <c r="AG68">
        <v>0</v>
      </c>
      <c r="AH68">
        <v>3</v>
      </c>
    </row>
    <row r="69" spans="1:34" x14ac:dyDescent="0.2">
      <c r="A69">
        <v>45</v>
      </c>
      <c r="B69" t="s">
        <v>42</v>
      </c>
      <c r="C69" t="s">
        <v>35</v>
      </c>
      <c r="D69" t="s">
        <v>44</v>
      </c>
      <c r="E69">
        <v>7</v>
      </c>
      <c r="F69">
        <v>3</v>
      </c>
      <c r="G69" t="s">
        <v>37</v>
      </c>
      <c r="H69">
        <v>1</v>
      </c>
      <c r="I69">
        <v>86</v>
      </c>
      <c r="J69">
        <v>2</v>
      </c>
      <c r="K69" t="s">
        <v>45</v>
      </c>
      <c r="L69">
        <v>59</v>
      </c>
      <c r="M69">
        <v>3</v>
      </c>
      <c r="N69">
        <v>3</v>
      </c>
      <c r="O69" t="s">
        <v>46</v>
      </c>
      <c r="P69">
        <v>1</v>
      </c>
      <c r="Q69" t="s">
        <v>51</v>
      </c>
      <c r="R69">
        <v>9724</v>
      </c>
      <c r="S69">
        <v>18787</v>
      </c>
      <c r="T69">
        <v>2</v>
      </c>
      <c r="U69" t="s">
        <v>41</v>
      </c>
      <c r="V69" t="s">
        <v>42</v>
      </c>
      <c r="W69">
        <v>17</v>
      </c>
      <c r="X69">
        <v>3</v>
      </c>
      <c r="Y69">
        <v>3</v>
      </c>
      <c r="Z69">
        <v>80</v>
      </c>
      <c r="AA69">
        <v>1</v>
      </c>
      <c r="AB69">
        <v>25</v>
      </c>
      <c r="AC69">
        <v>2</v>
      </c>
      <c r="AD69">
        <v>3</v>
      </c>
      <c r="AE69">
        <v>1</v>
      </c>
      <c r="AF69">
        <v>0</v>
      </c>
      <c r="AG69">
        <v>0</v>
      </c>
      <c r="AH69">
        <v>0</v>
      </c>
    </row>
    <row r="70" spans="1:34" x14ac:dyDescent="0.2">
      <c r="A70">
        <v>35</v>
      </c>
      <c r="B70" t="s">
        <v>42</v>
      </c>
      <c r="C70" t="s">
        <v>43</v>
      </c>
      <c r="D70" t="s">
        <v>44</v>
      </c>
      <c r="E70">
        <v>1</v>
      </c>
      <c r="F70">
        <v>3</v>
      </c>
      <c r="G70" t="s">
        <v>50</v>
      </c>
      <c r="H70">
        <v>1</v>
      </c>
      <c r="I70">
        <v>88</v>
      </c>
      <c r="J70">
        <v>2</v>
      </c>
      <c r="K70" t="s">
        <v>45</v>
      </c>
      <c r="L70">
        <v>79</v>
      </c>
      <c r="M70">
        <v>3</v>
      </c>
      <c r="N70">
        <v>1</v>
      </c>
      <c r="O70" t="s">
        <v>46</v>
      </c>
      <c r="P70">
        <v>1</v>
      </c>
      <c r="Q70" t="s">
        <v>47</v>
      </c>
      <c r="R70">
        <v>2194</v>
      </c>
      <c r="S70">
        <v>5868</v>
      </c>
      <c r="T70">
        <v>4</v>
      </c>
      <c r="U70" t="s">
        <v>41</v>
      </c>
      <c r="V70" t="s">
        <v>42</v>
      </c>
      <c r="W70">
        <v>13</v>
      </c>
      <c r="X70">
        <v>3</v>
      </c>
      <c r="Y70">
        <v>4</v>
      </c>
      <c r="Z70">
        <v>80</v>
      </c>
      <c r="AA70">
        <v>1</v>
      </c>
      <c r="AB70">
        <v>5</v>
      </c>
      <c r="AC70">
        <v>2</v>
      </c>
      <c r="AD70">
        <v>2</v>
      </c>
      <c r="AE70">
        <v>3</v>
      </c>
      <c r="AF70">
        <v>2</v>
      </c>
      <c r="AG70">
        <v>1</v>
      </c>
      <c r="AH70">
        <v>2</v>
      </c>
    </row>
    <row r="71" spans="1:34" x14ac:dyDescent="0.2">
      <c r="A71">
        <v>36</v>
      </c>
      <c r="B71" t="s">
        <v>34</v>
      </c>
      <c r="C71" t="s">
        <v>35</v>
      </c>
      <c r="D71" t="s">
        <v>44</v>
      </c>
      <c r="E71">
        <v>9</v>
      </c>
      <c r="F71">
        <v>3</v>
      </c>
      <c r="G71" t="s">
        <v>50</v>
      </c>
      <c r="H71">
        <v>1</v>
      </c>
      <c r="I71">
        <v>90</v>
      </c>
      <c r="J71">
        <v>4</v>
      </c>
      <c r="K71" t="s">
        <v>45</v>
      </c>
      <c r="L71">
        <v>79</v>
      </c>
      <c r="M71">
        <v>2</v>
      </c>
      <c r="N71">
        <v>1</v>
      </c>
      <c r="O71" t="s">
        <v>46</v>
      </c>
      <c r="P71">
        <v>3</v>
      </c>
      <c r="Q71" t="s">
        <v>47</v>
      </c>
      <c r="R71">
        <v>3388</v>
      </c>
      <c r="S71">
        <v>21777</v>
      </c>
      <c r="T71">
        <v>0</v>
      </c>
      <c r="U71" t="s">
        <v>41</v>
      </c>
      <c r="V71" t="s">
        <v>34</v>
      </c>
      <c r="W71">
        <v>17</v>
      </c>
      <c r="X71">
        <v>3</v>
      </c>
      <c r="Y71">
        <v>1</v>
      </c>
      <c r="Z71">
        <v>80</v>
      </c>
      <c r="AA71">
        <v>1</v>
      </c>
      <c r="AB71">
        <v>2</v>
      </c>
      <c r="AC71">
        <v>0</v>
      </c>
      <c r="AD71">
        <v>2</v>
      </c>
      <c r="AE71">
        <v>1</v>
      </c>
      <c r="AF71">
        <v>0</v>
      </c>
      <c r="AG71">
        <v>0</v>
      </c>
      <c r="AH71">
        <v>0</v>
      </c>
    </row>
    <row r="72" spans="1:34" x14ac:dyDescent="0.2">
      <c r="A72">
        <v>59</v>
      </c>
      <c r="B72" t="s">
        <v>42</v>
      </c>
      <c r="C72" t="s">
        <v>43</v>
      </c>
      <c r="D72" t="s">
        <v>36</v>
      </c>
      <c r="E72">
        <v>1</v>
      </c>
      <c r="F72">
        <v>1</v>
      </c>
      <c r="G72" t="s">
        <v>37</v>
      </c>
      <c r="H72">
        <v>1</v>
      </c>
      <c r="I72">
        <v>91</v>
      </c>
      <c r="J72">
        <v>1</v>
      </c>
      <c r="K72" t="s">
        <v>38</v>
      </c>
      <c r="L72">
        <v>57</v>
      </c>
      <c r="M72">
        <v>2</v>
      </c>
      <c r="N72">
        <v>2</v>
      </c>
      <c r="O72" t="s">
        <v>39</v>
      </c>
      <c r="P72">
        <v>3</v>
      </c>
      <c r="Q72" t="s">
        <v>40</v>
      </c>
      <c r="R72">
        <v>5473</v>
      </c>
      <c r="S72">
        <v>24668</v>
      </c>
      <c r="T72">
        <v>7</v>
      </c>
      <c r="U72" t="s">
        <v>41</v>
      </c>
      <c r="V72" t="s">
        <v>42</v>
      </c>
      <c r="W72">
        <v>11</v>
      </c>
      <c r="X72">
        <v>3</v>
      </c>
      <c r="Y72">
        <v>4</v>
      </c>
      <c r="Z72">
        <v>80</v>
      </c>
      <c r="AA72">
        <v>0</v>
      </c>
      <c r="AB72">
        <v>20</v>
      </c>
      <c r="AC72">
        <v>2</v>
      </c>
      <c r="AD72">
        <v>2</v>
      </c>
      <c r="AE72">
        <v>4</v>
      </c>
      <c r="AF72">
        <v>3</v>
      </c>
      <c r="AG72">
        <v>1</v>
      </c>
      <c r="AH72">
        <v>3</v>
      </c>
    </row>
    <row r="73" spans="1:34" x14ac:dyDescent="0.2">
      <c r="A73">
        <v>29</v>
      </c>
      <c r="B73" t="s">
        <v>42</v>
      </c>
      <c r="C73" t="s">
        <v>35</v>
      </c>
      <c r="D73" t="s">
        <v>44</v>
      </c>
      <c r="E73">
        <v>2</v>
      </c>
      <c r="F73">
        <v>3</v>
      </c>
      <c r="G73" t="s">
        <v>37</v>
      </c>
      <c r="H73">
        <v>1</v>
      </c>
      <c r="I73">
        <v>94</v>
      </c>
      <c r="J73">
        <v>3</v>
      </c>
      <c r="K73" t="s">
        <v>45</v>
      </c>
      <c r="L73">
        <v>76</v>
      </c>
      <c r="M73">
        <v>3</v>
      </c>
      <c r="N73">
        <v>1</v>
      </c>
      <c r="O73" t="s">
        <v>46</v>
      </c>
      <c r="P73">
        <v>2</v>
      </c>
      <c r="Q73" t="s">
        <v>47</v>
      </c>
      <c r="R73">
        <v>2703</v>
      </c>
      <c r="S73">
        <v>4956</v>
      </c>
      <c r="T73">
        <v>0</v>
      </c>
      <c r="U73" t="s">
        <v>41</v>
      </c>
      <c r="V73" t="s">
        <v>42</v>
      </c>
      <c r="W73">
        <v>23</v>
      </c>
      <c r="X73">
        <v>4</v>
      </c>
      <c r="Y73">
        <v>4</v>
      </c>
      <c r="Z73">
        <v>80</v>
      </c>
      <c r="AA73">
        <v>1</v>
      </c>
      <c r="AB73">
        <v>6</v>
      </c>
      <c r="AC73">
        <v>3</v>
      </c>
      <c r="AD73">
        <v>3</v>
      </c>
      <c r="AE73">
        <v>5</v>
      </c>
      <c r="AF73">
        <v>4</v>
      </c>
      <c r="AG73">
        <v>0</v>
      </c>
      <c r="AH73">
        <v>4</v>
      </c>
    </row>
    <row r="74" spans="1:34" x14ac:dyDescent="0.2">
      <c r="A74">
        <v>31</v>
      </c>
      <c r="B74" t="s">
        <v>42</v>
      </c>
      <c r="C74" t="s">
        <v>35</v>
      </c>
      <c r="D74" t="s">
        <v>44</v>
      </c>
      <c r="E74">
        <v>1</v>
      </c>
      <c r="F74">
        <v>4</v>
      </c>
      <c r="G74" t="s">
        <v>50</v>
      </c>
      <c r="H74">
        <v>1</v>
      </c>
      <c r="I74">
        <v>95</v>
      </c>
      <c r="J74">
        <v>3</v>
      </c>
      <c r="K74" t="s">
        <v>45</v>
      </c>
      <c r="L74">
        <v>87</v>
      </c>
      <c r="M74">
        <v>3</v>
      </c>
      <c r="N74">
        <v>1</v>
      </c>
      <c r="O74" t="s">
        <v>46</v>
      </c>
      <c r="P74">
        <v>2</v>
      </c>
      <c r="Q74" t="s">
        <v>40</v>
      </c>
      <c r="R74">
        <v>2501</v>
      </c>
      <c r="S74">
        <v>18775</v>
      </c>
      <c r="T74">
        <v>1</v>
      </c>
      <c r="U74" t="s">
        <v>41</v>
      </c>
      <c r="V74" t="s">
        <v>42</v>
      </c>
      <c r="W74">
        <v>17</v>
      </c>
      <c r="X74">
        <v>3</v>
      </c>
      <c r="Y74">
        <v>2</v>
      </c>
      <c r="Z74">
        <v>80</v>
      </c>
      <c r="AA74">
        <v>0</v>
      </c>
      <c r="AB74">
        <v>1</v>
      </c>
      <c r="AC74">
        <v>4</v>
      </c>
      <c r="AD74">
        <v>3</v>
      </c>
      <c r="AE74">
        <v>1</v>
      </c>
      <c r="AF74">
        <v>1</v>
      </c>
      <c r="AG74">
        <v>1</v>
      </c>
      <c r="AH74">
        <v>0</v>
      </c>
    </row>
    <row r="75" spans="1:34" x14ac:dyDescent="0.2">
      <c r="A75">
        <v>32</v>
      </c>
      <c r="B75" t="s">
        <v>42</v>
      </c>
      <c r="C75" t="s">
        <v>35</v>
      </c>
      <c r="D75" t="s">
        <v>44</v>
      </c>
      <c r="E75">
        <v>1</v>
      </c>
      <c r="F75">
        <v>3</v>
      </c>
      <c r="G75" t="s">
        <v>37</v>
      </c>
      <c r="H75">
        <v>1</v>
      </c>
      <c r="I75">
        <v>96</v>
      </c>
      <c r="J75">
        <v>2</v>
      </c>
      <c r="K75" t="s">
        <v>45</v>
      </c>
      <c r="L75">
        <v>66</v>
      </c>
      <c r="M75">
        <v>3</v>
      </c>
      <c r="N75">
        <v>2</v>
      </c>
      <c r="O75" t="s">
        <v>46</v>
      </c>
      <c r="P75">
        <v>2</v>
      </c>
      <c r="Q75" t="s">
        <v>47</v>
      </c>
      <c r="R75">
        <v>6220</v>
      </c>
      <c r="S75">
        <v>7346</v>
      </c>
      <c r="T75">
        <v>1</v>
      </c>
      <c r="U75" t="s">
        <v>41</v>
      </c>
      <c r="V75" t="s">
        <v>42</v>
      </c>
      <c r="W75">
        <v>17</v>
      </c>
      <c r="X75">
        <v>3</v>
      </c>
      <c r="Y75">
        <v>2</v>
      </c>
      <c r="Z75">
        <v>80</v>
      </c>
      <c r="AA75">
        <v>2</v>
      </c>
      <c r="AB75">
        <v>10</v>
      </c>
      <c r="AC75">
        <v>3</v>
      </c>
      <c r="AD75">
        <v>3</v>
      </c>
      <c r="AE75">
        <v>10</v>
      </c>
      <c r="AF75">
        <v>4</v>
      </c>
      <c r="AG75">
        <v>0</v>
      </c>
      <c r="AH75">
        <v>9</v>
      </c>
    </row>
    <row r="76" spans="1:34" x14ac:dyDescent="0.2">
      <c r="A76">
        <v>36</v>
      </c>
      <c r="B76" t="s">
        <v>42</v>
      </c>
      <c r="C76" t="s">
        <v>35</v>
      </c>
      <c r="D76" t="s">
        <v>44</v>
      </c>
      <c r="E76">
        <v>6</v>
      </c>
      <c r="F76">
        <v>3</v>
      </c>
      <c r="G76" t="s">
        <v>37</v>
      </c>
      <c r="H76">
        <v>1</v>
      </c>
      <c r="I76">
        <v>97</v>
      </c>
      <c r="J76">
        <v>2</v>
      </c>
      <c r="K76" t="s">
        <v>38</v>
      </c>
      <c r="L76">
        <v>55</v>
      </c>
      <c r="M76">
        <v>4</v>
      </c>
      <c r="N76">
        <v>1</v>
      </c>
      <c r="O76" t="s">
        <v>49</v>
      </c>
      <c r="P76">
        <v>4</v>
      </c>
      <c r="Q76" t="s">
        <v>47</v>
      </c>
      <c r="R76">
        <v>3038</v>
      </c>
      <c r="S76">
        <v>22002</v>
      </c>
      <c r="T76">
        <v>3</v>
      </c>
      <c r="U76" t="s">
        <v>41</v>
      </c>
      <c r="V76" t="s">
        <v>42</v>
      </c>
      <c r="W76">
        <v>12</v>
      </c>
      <c r="X76">
        <v>3</v>
      </c>
      <c r="Y76">
        <v>2</v>
      </c>
      <c r="Z76">
        <v>80</v>
      </c>
      <c r="AA76">
        <v>0</v>
      </c>
      <c r="AB76">
        <v>5</v>
      </c>
      <c r="AC76">
        <v>3</v>
      </c>
      <c r="AD76">
        <v>3</v>
      </c>
      <c r="AE76">
        <v>1</v>
      </c>
      <c r="AF76">
        <v>0</v>
      </c>
      <c r="AG76">
        <v>0</v>
      </c>
      <c r="AH76">
        <v>0</v>
      </c>
    </row>
    <row r="77" spans="1:34" x14ac:dyDescent="0.2">
      <c r="A77">
        <v>31</v>
      </c>
      <c r="B77" t="s">
        <v>42</v>
      </c>
      <c r="C77" t="s">
        <v>35</v>
      </c>
      <c r="D77" t="s">
        <v>44</v>
      </c>
      <c r="E77">
        <v>8</v>
      </c>
      <c r="F77">
        <v>4</v>
      </c>
      <c r="G77" t="s">
        <v>37</v>
      </c>
      <c r="H77">
        <v>1</v>
      </c>
      <c r="I77">
        <v>98</v>
      </c>
      <c r="J77">
        <v>3</v>
      </c>
      <c r="K77" t="s">
        <v>38</v>
      </c>
      <c r="L77">
        <v>61</v>
      </c>
      <c r="M77">
        <v>3</v>
      </c>
      <c r="N77">
        <v>2</v>
      </c>
      <c r="O77" t="s">
        <v>52</v>
      </c>
      <c r="P77">
        <v>4</v>
      </c>
      <c r="Q77" t="s">
        <v>40</v>
      </c>
      <c r="R77">
        <v>4424</v>
      </c>
      <c r="S77">
        <v>20682</v>
      </c>
      <c r="T77">
        <v>1</v>
      </c>
      <c r="U77" t="s">
        <v>41</v>
      </c>
      <c r="V77" t="s">
        <v>42</v>
      </c>
      <c r="W77">
        <v>23</v>
      </c>
      <c r="X77">
        <v>4</v>
      </c>
      <c r="Y77">
        <v>4</v>
      </c>
      <c r="Z77">
        <v>80</v>
      </c>
      <c r="AA77">
        <v>0</v>
      </c>
      <c r="AB77">
        <v>11</v>
      </c>
      <c r="AC77">
        <v>2</v>
      </c>
      <c r="AD77">
        <v>3</v>
      </c>
      <c r="AE77">
        <v>11</v>
      </c>
      <c r="AF77">
        <v>7</v>
      </c>
      <c r="AG77">
        <v>1</v>
      </c>
      <c r="AH77">
        <v>8</v>
      </c>
    </row>
    <row r="78" spans="1:34" x14ac:dyDescent="0.2">
      <c r="A78">
        <v>35</v>
      </c>
      <c r="B78" t="s">
        <v>42</v>
      </c>
      <c r="C78" t="s">
        <v>35</v>
      </c>
      <c r="D78" t="s">
        <v>36</v>
      </c>
      <c r="E78">
        <v>1</v>
      </c>
      <c r="F78">
        <v>4</v>
      </c>
      <c r="G78" t="s">
        <v>58</v>
      </c>
      <c r="H78">
        <v>1</v>
      </c>
      <c r="I78">
        <v>100</v>
      </c>
      <c r="J78">
        <v>3</v>
      </c>
      <c r="K78" t="s">
        <v>45</v>
      </c>
      <c r="L78">
        <v>32</v>
      </c>
      <c r="M78">
        <v>2</v>
      </c>
      <c r="N78">
        <v>2</v>
      </c>
      <c r="O78" t="s">
        <v>39</v>
      </c>
      <c r="P78">
        <v>1</v>
      </c>
      <c r="Q78" t="s">
        <v>40</v>
      </c>
      <c r="R78">
        <v>4312</v>
      </c>
      <c r="S78">
        <v>23016</v>
      </c>
      <c r="T78">
        <v>0</v>
      </c>
      <c r="U78" t="s">
        <v>41</v>
      </c>
      <c r="V78" t="s">
        <v>42</v>
      </c>
      <c r="W78">
        <v>14</v>
      </c>
      <c r="X78">
        <v>3</v>
      </c>
      <c r="Y78">
        <v>2</v>
      </c>
      <c r="Z78">
        <v>80</v>
      </c>
      <c r="AA78">
        <v>0</v>
      </c>
      <c r="AB78">
        <v>16</v>
      </c>
      <c r="AC78">
        <v>2</v>
      </c>
      <c r="AD78">
        <v>3</v>
      </c>
      <c r="AE78">
        <v>15</v>
      </c>
      <c r="AF78">
        <v>13</v>
      </c>
      <c r="AG78">
        <v>2</v>
      </c>
      <c r="AH78">
        <v>8</v>
      </c>
    </row>
    <row r="79" spans="1:34" x14ac:dyDescent="0.2">
      <c r="A79">
        <v>45</v>
      </c>
      <c r="B79" t="s">
        <v>42</v>
      </c>
      <c r="C79" t="s">
        <v>35</v>
      </c>
      <c r="D79" t="s">
        <v>44</v>
      </c>
      <c r="E79">
        <v>6</v>
      </c>
      <c r="F79">
        <v>4</v>
      </c>
      <c r="G79" t="s">
        <v>48</v>
      </c>
      <c r="H79">
        <v>1</v>
      </c>
      <c r="I79">
        <v>101</v>
      </c>
      <c r="J79">
        <v>4</v>
      </c>
      <c r="K79" t="s">
        <v>45</v>
      </c>
      <c r="L79">
        <v>52</v>
      </c>
      <c r="M79">
        <v>3</v>
      </c>
      <c r="N79">
        <v>3</v>
      </c>
      <c r="O79" t="s">
        <v>57</v>
      </c>
      <c r="P79">
        <v>1</v>
      </c>
      <c r="Q79" t="s">
        <v>47</v>
      </c>
      <c r="R79">
        <v>13245</v>
      </c>
      <c r="S79">
        <v>15067</v>
      </c>
      <c r="T79">
        <v>4</v>
      </c>
      <c r="U79" t="s">
        <v>41</v>
      </c>
      <c r="V79" t="s">
        <v>34</v>
      </c>
      <c r="W79">
        <v>14</v>
      </c>
      <c r="X79">
        <v>3</v>
      </c>
      <c r="Y79">
        <v>2</v>
      </c>
      <c r="Z79">
        <v>80</v>
      </c>
      <c r="AA79">
        <v>0</v>
      </c>
      <c r="AB79">
        <v>17</v>
      </c>
      <c r="AC79">
        <v>3</v>
      </c>
      <c r="AD79">
        <v>4</v>
      </c>
      <c r="AE79">
        <v>0</v>
      </c>
      <c r="AF79">
        <v>0</v>
      </c>
      <c r="AG79">
        <v>0</v>
      </c>
      <c r="AH79">
        <v>0</v>
      </c>
    </row>
    <row r="80" spans="1:34" x14ac:dyDescent="0.2">
      <c r="A80">
        <v>37</v>
      </c>
      <c r="B80" t="s">
        <v>42</v>
      </c>
      <c r="C80" t="s">
        <v>35</v>
      </c>
      <c r="D80" t="s">
        <v>44</v>
      </c>
      <c r="E80">
        <v>7</v>
      </c>
      <c r="F80">
        <v>4</v>
      </c>
      <c r="G80" t="s">
        <v>50</v>
      </c>
      <c r="H80">
        <v>1</v>
      </c>
      <c r="I80">
        <v>102</v>
      </c>
      <c r="J80">
        <v>1</v>
      </c>
      <c r="K80" t="s">
        <v>45</v>
      </c>
      <c r="L80">
        <v>30</v>
      </c>
      <c r="M80">
        <v>3</v>
      </c>
      <c r="N80">
        <v>3</v>
      </c>
      <c r="O80" t="s">
        <v>57</v>
      </c>
      <c r="P80">
        <v>3</v>
      </c>
      <c r="Q80" t="s">
        <v>40</v>
      </c>
      <c r="R80">
        <v>13664</v>
      </c>
      <c r="S80">
        <v>25258</v>
      </c>
      <c r="T80">
        <v>4</v>
      </c>
      <c r="U80" t="s">
        <v>41</v>
      </c>
      <c r="V80" t="s">
        <v>42</v>
      </c>
      <c r="W80">
        <v>13</v>
      </c>
      <c r="X80">
        <v>3</v>
      </c>
      <c r="Y80">
        <v>1</v>
      </c>
      <c r="Z80">
        <v>80</v>
      </c>
      <c r="AA80">
        <v>0</v>
      </c>
      <c r="AB80">
        <v>16</v>
      </c>
      <c r="AC80">
        <v>3</v>
      </c>
      <c r="AD80">
        <v>4</v>
      </c>
      <c r="AE80">
        <v>5</v>
      </c>
      <c r="AF80">
        <v>2</v>
      </c>
      <c r="AG80">
        <v>0</v>
      </c>
      <c r="AH80">
        <v>2</v>
      </c>
    </row>
    <row r="81" spans="1:34" x14ac:dyDescent="0.2">
      <c r="A81">
        <v>46</v>
      </c>
      <c r="B81" t="s">
        <v>42</v>
      </c>
      <c r="C81" t="s">
        <v>35</v>
      </c>
      <c r="D81" t="s">
        <v>60</v>
      </c>
      <c r="E81">
        <v>5</v>
      </c>
      <c r="F81">
        <v>2</v>
      </c>
      <c r="G81" t="s">
        <v>50</v>
      </c>
      <c r="H81">
        <v>1</v>
      </c>
      <c r="I81">
        <v>103</v>
      </c>
      <c r="J81">
        <v>2</v>
      </c>
      <c r="K81" t="s">
        <v>45</v>
      </c>
      <c r="L81">
        <v>80</v>
      </c>
      <c r="M81">
        <v>3</v>
      </c>
      <c r="N81">
        <v>2</v>
      </c>
      <c r="O81" t="s">
        <v>60</v>
      </c>
      <c r="P81">
        <v>2</v>
      </c>
      <c r="Q81" t="s">
        <v>51</v>
      </c>
      <c r="R81">
        <v>5021</v>
      </c>
      <c r="S81">
        <v>10425</v>
      </c>
      <c r="T81">
        <v>8</v>
      </c>
      <c r="U81" t="s">
        <v>41</v>
      </c>
      <c r="V81" t="s">
        <v>34</v>
      </c>
      <c r="W81">
        <v>22</v>
      </c>
      <c r="X81">
        <v>4</v>
      </c>
      <c r="Y81">
        <v>4</v>
      </c>
      <c r="Z81">
        <v>80</v>
      </c>
      <c r="AA81">
        <v>1</v>
      </c>
      <c r="AB81">
        <v>16</v>
      </c>
      <c r="AC81">
        <v>2</v>
      </c>
      <c r="AD81">
        <v>3</v>
      </c>
      <c r="AE81">
        <v>4</v>
      </c>
      <c r="AF81">
        <v>2</v>
      </c>
      <c r="AG81">
        <v>0</v>
      </c>
      <c r="AH81">
        <v>2</v>
      </c>
    </row>
    <row r="82" spans="1:34" x14ac:dyDescent="0.2">
      <c r="A82">
        <v>30</v>
      </c>
      <c r="B82" t="s">
        <v>42</v>
      </c>
      <c r="C82" t="s">
        <v>35</v>
      </c>
      <c r="D82" t="s">
        <v>44</v>
      </c>
      <c r="E82">
        <v>1</v>
      </c>
      <c r="F82">
        <v>1</v>
      </c>
      <c r="G82" t="s">
        <v>37</v>
      </c>
      <c r="H82">
        <v>1</v>
      </c>
      <c r="I82">
        <v>104</v>
      </c>
      <c r="J82">
        <v>4</v>
      </c>
      <c r="K82" t="s">
        <v>45</v>
      </c>
      <c r="L82">
        <v>55</v>
      </c>
      <c r="M82">
        <v>2</v>
      </c>
      <c r="N82">
        <v>2</v>
      </c>
      <c r="O82" t="s">
        <v>49</v>
      </c>
      <c r="P82">
        <v>4</v>
      </c>
      <c r="Q82" t="s">
        <v>47</v>
      </c>
      <c r="R82">
        <v>5126</v>
      </c>
      <c r="S82">
        <v>15998</v>
      </c>
      <c r="T82">
        <v>1</v>
      </c>
      <c r="U82" t="s">
        <v>41</v>
      </c>
      <c r="V82" t="s">
        <v>34</v>
      </c>
      <c r="W82">
        <v>12</v>
      </c>
      <c r="X82">
        <v>3</v>
      </c>
      <c r="Y82">
        <v>3</v>
      </c>
      <c r="Z82">
        <v>80</v>
      </c>
      <c r="AA82">
        <v>2</v>
      </c>
      <c r="AB82">
        <v>10</v>
      </c>
      <c r="AC82">
        <v>1</v>
      </c>
      <c r="AD82">
        <v>2</v>
      </c>
      <c r="AE82">
        <v>10</v>
      </c>
      <c r="AF82">
        <v>8</v>
      </c>
      <c r="AG82">
        <v>3</v>
      </c>
      <c r="AH82">
        <v>0</v>
      </c>
    </row>
    <row r="83" spans="1:34" x14ac:dyDescent="0.2">
      <c r="A83">
        <v>35</v>
      </c>
      <c r="B83" t="s">
        <v>42</v>
      </c>
      <c r="C83" t="s">
        <v>35</v>
      </c>
      <c r="D83" t="s">
        <v>44</v>
      </c>
      <c r="E83">
        <v>1</v>
      </c>
      <c r="F83">
        <v>3</v>
      </c>
      <c r="G83" t="s">
        <v>50</v>
      </c>
      <c r="H83">
        <v>1</v>
      </c>
      <c r="I83">
        <v>105</v>
      </c>
      <c r="J83">
        <v>2</v>
      </c>
      <c r="K83" t="s">
        <v>45</v>
      </c>
      <c r="L83">
        <v>30</v>
      </c>
      <c r="M83">
        <v>2</v>
      </c>
      <c r="N83">
        <v>1</v>
      </c>
      <c r="O83" t="s">
        <v>46</v>
      </c>
      <c r="P83">
        <v>3</v>
      </c>
      <c r="Q83" t="s">
        <v>40</v>
      </c>
      <c r="R83">
        <v>2859</v>
      </c>
      <c r="S83">
        <v>26278</v>
      </c>
      <c r="T83">
        <v>1</v>
      </c>
      <c r="U83" t="s">
        <v>41</v>
      </c>
      <c r="V83" t="s">
        <v>42</v>
      </c>
      <c r="W83">
        <v>18</v>
      </c>
      <c r="X83">
        <v>3</v>
      </c>
      <c r="Y83">
        <v>1</v>
      </c>
      <c r="Z83">
        <v>80</v>
      </c>
      <c r="AA83">
        <v>0</v>
      </c>
      <c r="AB83">
        <v>6</v>
      </c>
      <c r="AC83">
        <v>3</v>
      </c>
      <c r="AD83">
        <v>3</v>
      </c>
      <c r="AE83">
        <v>6</v>
      </c>
      <c r="AF83">
        <v>4</v>
      </c>
      <c r="AG83">
        <v>0</v>
      </c>
      <c r="AH83">
        <v>4</v>
      </c>
    </row>
    <row r="84" spans="1:34" x14ac:dyDescent="0.2">
      <c r="A84">
        <v>55</v>
      </c>
      <c r="B84" t="s">
        <v>42</v>
      </c>
      <c r="C84" t="s">
        <v>35</v>
      </c>
      <c r="D84" t="s">
        <v>36</v>
      </c>
      <c r="E84">
        <v>1</v>
      </c>
      <c r="F84">
        <v>2</v>
      </c>
      <c r="G84" t="s">
        <v>37</v>
      </c>
      <c r="H84">
        <v>1</v>
      </c>
      <c r="I84">
        <v>106</v>
      </c>
      <c r="J84">
        <v>1</v>
      </c>
      <c r="K84" t="s">
        <v>45</v>
      </c>
      <c r="L84">
        <v>70</v>
      </c>
      <c r="M84">
        <v>3</v>
      </c>
      <c r="N84">
        <v>3</v>
      </c>
      <c r="O84" t="s">
        <v>39</v>
      </c>
      <c r="P84">
        <v>4</v>
      </c>
      <c r="Q84" t="s">
        <v>47</v>
      </c>
      <c r="R84">
        <v>10239</v>
      </c>
      <c r="S84">
        <v>18092</v>
      </c>
      <c r="T84">
        <v>3</v>
      </c>
      <c r="U84" t="s">
        <v>41</v>
      </c>
      <c r="V84" t="s">
        <v>42</v>
      </c>
      <c r="W84">
        <v>14</v>
      </c>
      <c r="X84">
        <v>3</v>
      </c>
      <c r="Y84">
        <v>4</v>
      </c>
      <c r="Z84">
        <v>80</v>
      </c>
      <c r="AA84">
        <v>1</v>
      </c>
      <c r="AB84">
        <v>24</v>
      </c>
      <c r="AC84">
        <v>4</v>
      </c>
      <c r="AD84">
        <v>3</v>
      </c>
      <c r="AE84">
        <v>1</v>
      </c>
      <c r="AF84">
        <v>0</v>
      </c>
      <c r="AG84">
        <v>1</v>
      </c>
      <c r="AH84">
        <v>0</v>
      </c>
    </row>
    <row r="85" spans="1:34" x14ac:dyDescent="0.2">
      <c r="A85">
        <v>38</v>
      </c>
      <c r="B85" t="s">
        <v>42</v>
      </c>
      <c r="C85" t="s">
        <v>54</v>
      </c>
      <c r="D85" t="s">
        <v>44</v>
      </c>
      <c r="E85">
        <v>6</v>
      </c>
      <c r="F85">
        <v>3</v>
      </c>
      <c r="G85" t="s">
        <v>50</v>
      </c>
      <c r="H85">
        <v>1</v>
      </c>
      <c r="I85">
        <v>107</v>
      </c>
      <c r="J85">
        <v>2</v>
      </c>
      <c r="K85" t="s">
        <v>38</v>
      </c>
      <c r="L85">
        <v>79</v>
      </c>
      <c r="M85">
        <v>1</v>
      </c>
      <c r="N85">
        <v>2</v>
      </c>
      <c r="O85" t="s">
        <v>46</v>
      </c>
      <c r="P85">
        <v>4</v>
      </c>
      <c r="Q85" t="s">
        <v>51</v>
      </c>
      <c r="R85">
        <v>5329</v>
      </c>
      <c r="S85">
        <v>15717</v>
      </c>
      <c r="T85">
        <v>7</v>
      </c>
      <c r="U85" t="s">
        <v>41</v>
      </c>
      <c r="V85" t="s">
        <v>34</v>
      </c>
      <c r="W85">
        <v>12</v>
      </c>
      <c r="X85">
        <v>3</v>
      </c>
      <c r="Y85">
        <v>4</v>
      </c>
      <c r="Z85">
        <v>80</v>
      </c>
      <c r="AA85">
        <v>3</v>
      </c>
      <c r="AB85">
        <v>17</v>
      </c>
      <c r="AC85">
        <v>3</v>
      </c>
      <c r="AD85">
        <v>3</v>
      </c>
      <c r="AE85">
        <v>13</v>
      </c>
      <c r="AF85">
        <v>11</v>
      </c>
      <c r="AG85">
        <v>1</v>
      </c>
      <c r="AH85">
        <v>9</v>
      </c>
    </row>
    <row r="86" spans="1:34" x14ac:dyDescent="0.2">
      <c r="A86">
        <v>34</v>
      </c>
      <c r="B86" t="s">
        <v>42</v>
      </c>
      <c r="C86" t="s">
        <v>35</v>
      </c>
      <c r="D86" t="s">
        <v>44</v>
      </c>
      <c r="E86">
        <v>1</v>
      </c>
      <c r="F86">
        <v>2</v>
      </c>
      <c r="G86" t="s">
        <v>50</v>
      </c>
      <c r="H86">
        <v>1</v>
      </c>
      <c r="I86">
        <v>110</v>
      </c>
      <c r="J86">
        <v>1</v>
      </c>
      <c r="K86" t="s">
        <v>45</v>
      </c>
      <c r="L86">
        <v>94</v>
      </c>
      <c r="M86">
        <v>3</v>
      </c>
      <c r="N86">
        <v>2</v>
      </c>
      <c r="O86" t="s">
        <v>52</v>
      </c>
      <c r="P86">
        <v>2</v>
      </c>
      <c r="Q86" t="s">
        <v>47</v>
      </c>
      <c r="R86">
        <v>4325</v>
      </c>
      <c r="S86">
        <v>17736</v>
      </c>
      <c r="T86">
        <v>1</v>
      </c>
      <c r="U86" t="s">
        <v>41</v>
      </c>
      <c r="V86" t="s">
        <v>42</v>
      </c>
      <c r="W86">
        <v>15</v>
      </c>
      <c r="X86">
        <v>3</v>
      </c>
      <c r="Y86">
        <v>3</v>
      </c>
      <c r="Z86">
        <v>80</v>
      </c>
      <c r="AA86">
        <v>0</v>
      </c>
      <c r="AB86">
        <v>5</v>
      </c>
      <c r="AC86">
        <v>2</v>
      </c>
      <c r="AD86">
        <v>3</v>
      </c>
      <c r="AE86">
        <v>5</v>
      </c>
      <c r="AF86">
        <v>2</v>
      </c>
      <c r="AG86">
        <v>1</v>
      </c>
      <c r="AH86">
        <v>3</v>
      </c>
    </row>
    <row r="87" spans="1:34" x14ac:dyDescent="0.2">
      <c r="A87">
        <v>56</v>
      </c>
      <c r="B87" t="s">
        <v>42</v>
      </c>
      <c r="C87" t="s">
        <v>35</v>
      </c>
      <c r="D87" t="s">
        <v>44</v>
      </c>
      <c r="E87">
        <v>7</v>
      </c>
      <c r="F87">
        <v>3</v>
      </c>
      <c r="G87" t="s">
        <v>37</v>
      </c>
      <c r="H87">
        <v>1</v>
      </c>
      <c r="I87">
        <v>112</v>
      </c>
      <c r="J87">
        <v>4</v>
      </c>
      <c r="K87" t="s">
        <v>45</v>
      </c>
      <c r="L87">
        <v>49</v>
      </c>
      <c r="M87">
        <v>1</v>
      </c>
      <c r="N87">
        <v>3</v>
      </c>
      <c r="O87" t="s">
        <v>52</v>
      </c>
      <c r="P87">
        <v>4</v>
      </c>
      <c r="Q87" t="s">
        <v>40</v>
      </c>
      <c r="R87">
        <v>7260</v>
      </c>
      <c r="S87">
        <v>21698</v>
      </c>
      <c r="T87">
        <v>4</v>
      </c>
      <c r="U87" t="s">
        <v>41</v>
      </c>
      <c r="V87" t="s">
        <v>42</v>
      </c>
      <c r="W87">
        <v>11</v>
      </c>
      <c r="X87">
        <v>3</v>
      </c>
      <c r="Y87">
        <v>1</v>
      </c>
      <c r="Z87">
        <v>80</v>
      </c>
      <c r="AA87">
        <v>0</v>
      </c>
      <c r="AB87">
        <v>37</v>
      </c>
      <c r="AC87">
        <v>3</v>
      </c>
      <c r="AD87">
        <v>2</v>
      </c>
      <c r="AE87">
        <v>6</v>
      </c>
      <c r="AF87">
        <v>4</v>
      </c>
      <c r="AG87">
        <v>0</v>
      </c>
      <c r="AH87">
        <v>2</v>
      </c>
    </row>
    <row r="88" spans="1:34" x14ac:dyDescent="0.2">
      <c r="A88">
        <v>23</v>
      </c>
      <c r="B88" t="s">
        <v>42</v>
      </c>
      <c r="C88" t="s">
        <v>35</v>
      </c>
      <c r="D88" t="s">
        <v>36</v>
      </c>
      <c r="E88">
        <v>2</v>
      </c>
      <c r="F88">
        <v>1</v>
      </c>
      <c r="G88" t="s">
        <v>59</v>
      </c>
      <c r="H88">
        <v>1</v>
      </c>
      <c r="I88">
        <v>113</v>
      </c>
      <c r="J88">
        <v>3</v>
      </c>
      <c r="K88" t="s">
        <v>45</v>
      </c>
      <c r="L88">
        <v>62</v>
      </c>
      <c r="M88">
        <v>3</v>
      </c>
      <c r="N88">
        <v>1</v>
      </c>
      <c r="O88" t="s">
        <v>56</v>
      </c>
      <c r="P88">
        <v>1</v>
      </c>
      <c r="Q88" t="s">
        <v>51</v>
      </c>
      <c r="R88">
        <v>2322</v>
      </c>
      <c r="S88">
        <v>9518</v>
      </c>
      <c r="T88">
        <v>3</v>
      </c>
      <c r="U88" t="s">
        <v>41</v>
      </c>
      <c r="V88" t="s">
        <v>42</v>
      </c>
      <c r="W88">
        <v>13</v>
      </c>
      <c r="X88">
        <v>3</v>
      </c>
      <c r="Y88">
        <v>3</v>
      </c>
      <c r="Z88">
        <v>80</v>
      </c>
      <c r="AA88">
        <v>1</v>
      </c>
      <c r="AB88">
        <v>3</v>
      </c>
      <c r="AC88">
        <v>3</v>
      </c>
      <c r="AD88">
        <v>3</v>
      </c>
      <c r="AE88">
        <v>0</v>
      </c>
      <c r="AF88">
        <v>0</v>
      </c>
      <c r="AG88">
        <v>0</v>
      </c>
      <c r="AH88">
        <v>0</v>
      </c>
    </row>
    <row r="89" spans="1:34" x14ac:dyDescent="0.2">
      <c r="A89">
        <v>51</v>
      </c>
      <c r="B89" t="s">
        <v>42</v>
      </c>
      <c r="C89" t="s">
        <v>35</v>
      </c>
      <c r="D89" t="s">
        <v>44</v>
      </c>
      <c r="E89">
        <v>9</v>
      </c>
      <c r="F89">
        <v>4</v>
      </c>
      <c r="G89" t="s">
        <v>37</v>
      </c>
      <c r="H89">
        <v>1</v>
      </c>
      <c r="I89">
        <v>116</v>
      </c>
      <c r="J89">
        <v>4</v>
      </c>
      <c r="K89" t="s">
        <v>45</v>
      </c>
      <c r="L89">
        <v>96</v>
      </c>
      <c r="M89">
        <v>3</v>
      </c>
      <c r="N89">
        <v>1</v>
      </c>
      <c r="O89" t="s">
        <v>49</v>
      </c>
      <c r="P89">
        <v>4</v>
      </c>
      <c r="Q89" t="s">
        <v>47</v>
      </c>
      <c r="R89">
        <v>2075</v>
      </c>
      <c r="S89">
        <v>18725</v>
      </c>
      <c r="T89">
        <v>3</v>
      </c>
      <c r="U89" t="s">
        <v>41</v>
      </c>
      <c r="V89" t="s">
        <v>42</v>
      </c>
      <c r="W89">
        <v>23</v>
      </c>
      <c r="X89">
        <v>4</v>
      </c>
      <c r="Y89">
        <v>2</v>
      </c>
      <c r="Z89">
        <v>80</v>
      </c>
      <c r="AA89">
        <v>2</v>
      </c>
      <c r="AB89">
        <v>10</v>
      </c>
      <c r="AC89">
        <v>4</v>
      </c>
      <c r="AD89">
        <v>3</v>
      </c>
      <c r="AE89">
        <v>4</v>
      </c>
      <c r="AF89">
        <v>2</v>
      </c>
      <c r="AG89">
        <v>0</v>
      </c>
      <c r="AH89">
        <v>3</v>
      </c>
    </row>
    <row r="90" spans="1:34" x14ac:dyDescent="0.2">
      <c r="A90">
        <v>30</v>
      </c>
      <c r="B90" t="s">
        <v>42</v>
      </c>
      <c r="C90" t="s">
        <v>35</v>
      </c>
      <c r="D90" t="s">
        <v>44</v>
      </c>
      <c r="E90">
        <v>2</v>
      </c>
      <c r="F90">
        <v>3</v>
      </c>
      <c r="G90" t="s">
        <v>37</v>
      </c>
      <c r="H90">
        <v>1</v>
      </c>
      <c r="I90">
        <v>117</v>
      </c>
      <c r="J90">
        <v>3</v>
      </c>
      <c r="K90" t="s">
        <v>45</v>
      </c>
      <c r="L90">
        <v>99</v>
      </c>
      <c r="M90">
        <v>2</v>
      </c>
      <c r="N90">
        <v>2</v>
      </c>
      <c r="O90" t="s">
        <v>53</v>
      </c>
      <c r="P90">
        <v>4</v>
      </c>
      <c r="Q90" t="s">
        <v>47</v>
      </c>
      <c r="R90">
        <v>4152</v>
      </c>
      <c r="S90">
        <v>15830</v>
      </c>
      <c r="T90">
        <v>1</v>
      </c>
      <c r="U90" t="s">
        <v>41</v>
      </c>
      <c r="V90" t="s">
        <v>42</v>
      </c>
      <c r="W90">
        <v>19</v>
      </c>
      <c r="X90">
        <v>3</v>
      </c>
      <c r="Y90">
        <v>1</v>
      </c>
      <c r="Z90">
        <v>80</v>
      </c>
      <c r="AA90">
        <v>3</v>
      </c>
      <c r="AB90">
        <v>11</v>
      </c>
      <c r="AC90">
        <v>3</v>
      </c>
      <c r="AD90">
        <v>3</v>
      </c>
      <c r="AE90">
        <v>11</v>
      </c>
      <c r="AF90">
        <v>10</v>
      </c>
      <c r="AG90">
        <v>10</v>
      </c>
      <c r="AH90">
        <v>8</v>
      </c>
    </row>
    <row r="91" spans="1:34" x14ac:dyDescent="0.2">
      <c r="A91">
        <v>46</v>
      </c>
      <c r="B91" t="s">
        <v>34</v>
      </c>
      <c r="C91" t="s">
        <v>35</v>
      </c>
      <c r="D91" t="s">
        <v>36</v>
      </c>
      <c r="E91">
        <v>9</v>
      </c>
      <c r="F91">
        <v>2</v>
      </c>
      <c r="G91" t="s">
        <v>50</v>
      </c>
      <c r="H91">
        <v>1</v>
      </c>
      <c r="I91">
        <v>118</v>
      </c>
      <c r="J91">
        <v>3</v>
      </c>
      <c r="K91" t="s">
        <v>45</v>
      </c>
      <c r="L91">
        <v>64</v>
      </c>
      <c r="M91">
        <v>2</v>
      </c>
      <c r="N91">
        <v>3</v>
      </c>
      <c r="O91" t="s">
        <v>39</v>
      </c>
      <c r="P91">
        <v>4</v>
      </c>
      <c r="Q91" t="s">
        <v>40</v>
      </c>
      <c r="R91">
        <v>9619</v>
      </c>
      <c r="S91">
        <v>13596</v>
      </c>
      <c r="T91">
        <v>1</v>
      </c>
      <c r="U91" t="s">
        <v>41</v>
      </c>
      <c r="V91" t="s">
        <v>42</v>
      </c>
      <c r="W91">
        <v>16</v>
      </c>
      <c r="X91">
        <v>3</v>
      </c>
      <c r="Y91">
        <v>4</v>
      </c>
      <c r="Z91">
        <v>80</v>
      </c>
      <c r="AA91">
        <v>0</v>
      </c>
      <c r="AB91">
        <v>9</v>
      </c>
      <c r="AC91">
        <v>3</v>
      </c>
      <c r="AD91">
        <v>3</v>
      </c>
      <c r="AE91">
        <v>9</v>
      </c>
      <c r="AF91">
        <v>8</v>
      </c>
      <c r="AG91">
        <v>4</v>
      </c>
      <c r="AH91">
        <v>7</v>
      </c>
    </row>
    <row r="92" spans="1:34" x14ac:dyDescent="0.2">
      <c r="A92">
        <v>40</v>
      </c>
      <c r="B92" t="s">
        <v>42</v>
      </c>
      <c r="C92" t="s">
        <v>43</v>
      </c>
      <c r="D92" t="s">
        <v>44</v>
      </c>
      <c r="E92">
        <v>1</v>
      </c>
      <c r="F92">
        <v>4</v>
      </c>
      <c r="G92" t="s">
        <v>37</v>
      </c>
      <c r="H92">
        <v>1</v>
      </c>
      <c r="I92">
        <v>119</v>
      </c>
      <c r="J92">
        <v>3</v>
      </c>
      <c r="K92" t="s">
        <v>45</v>
      </c>
      <c r="L92">
        <v>78</v>
      </c>
      <c r="M92">
        <v>2</v>
      </c>
      <c r="N92">
        <v>4</v>
      </c>
      <c r="O92" t="s">
        <v>53</v>
      </c>
      <c r="P92">
        <v>2</v>
      </c>
      <c r="Q92" t="s">
        <v>47</v>
      </c>
      <c r="R92">
        <v>13503</v>
      </c>
      <c r="S92">
        <v>14115</v>
      </c>
      <c r="T92">
        <v>1</v>
      </c>
      <c r="U92" t="s">
        <v>41</v>
      </c>
      <c r="V92" t="s">
        <v>42</v>
      </c>
      <c r="W92">
        <v>22</v>
      </c>
      <c r="X92">
        <v>4</v>
      </c>
      <c r="Y92">
        <v>4</v>
      </c>
      <c r="Z92">
        <v>80</v>
      </c>
      <c r="AA92">
        <v>1</v>
      </c>
      <c r="AB92">
        <v>22</v>
      </c>
      <c r="AC92">
        <v>3</v>
      </c>
      <c r="AD92">
        <v>2</v>
      </c>
      <c r="AE92">
        <v>22</v>
      </c>
      <c r="AF92">
        <v>3</v>
      </c>
      <c r="AG92">
        <v>11</v>
      </c>
      <c r="AH92">
        <v>11</v>
      </c>
    </row>
    <row r="93" spans="1:34" x14ac:dyDescent="0.2">
      <c r="A93">
        <v>51</v>
      </c>
      <c r="B93" t="s">
        <v>42</v>
      </c>
      <c r="C93" t="s">
        <v>35</v>
      </c>
      <c r="D93" t="s">
        <v>36</v>
      </c>
      <c r="E93">
        <v>21</v>
      </c>
      <c r="F93">
        <v>4</v>
      </c>
      <c r="G93" t="s">
        <v>58</v>
      </c>
      <c r="H93">
        <v>1</v>
      </c>
      <c r="I93">
        <v>120</v>
      </c>
      <c r="J93">
        <v>3</v>
      </c>
      <c r="K93" t="s">
        <v>45</v>
      </c>
      <c r="L93">
        <v>71</v>
      </c>
      <c r="M93">
        <v>3</v>
      </c>
      <c r="N93">
        <v>2</v>
      </c>
      <c r="O93" t="s">
        <v>39</v>
      </c>
      <c r="P93">
        <v>4</v>
      </c>
      <c r="Q93" t="s">
        <v>40</v>
      </c>
      <c r="R93">
        <v>5441</v>
      </c>
      <c r="S93">
        <v>8423</v>
      </c>
      <c r="T93">
        <v>0</v>
      </c>
      <c r="U93" t="s">
        <v>41</v>
      </c>
      <c r="V93" t="s">
        <v>34</v>
      </c>
      <c r="W93">
        <v>22</v>
      </c>
      <c r="X93">
        <v>4</v>
      </c>
      <c r="Y93">
        <v>4</v>
      </c>
      <c r="Z93">
        <v>80</v>
      </c>
      <c r="AA93">
        <v>0</v>
      </c>
      <c r="AB93">
        <v>11</v>
      </c>
      <c r="AC93">
        <v>2</v>
      </c>
      <c r="AD93">
        <v>1</v>
      </c>
      <c r="AE93">
        <v>10</v>
      </c>
      <c r="AF93">
        <v>7</v>
      </c>
      <c r="AG93">
        <v>1</v>
      </c>
      <c r="AH93">
        <v>0</v>
      </c>
    </row>
    <row r="94" spans="1:34" x14ac:dyDescent="0.2">
      <c r="A94">
        <v>30</v>
      </c>
      <c r="B94" t="s">
        <v>42</v>
      </c>
      <c r="C94" t="s">
        <v>35</v>
      </c>
      <c r="D94" t="s">
        <v>36</v>
      </c>
      <c r="E94">
        <v>4</v>
      </c>
      <c r="F94">
        <v>2</v>
      </c>
      <c r="G94" t="s">
        <v>50</v>
      </c>
      <c r="H94">
        <v>1</v>
      </c>
      <c r="I94">
        <v>121</v>
      </c>
      <c r="J94">
        <v>3</v>
      </c>
      <c r="K94" t="s">
        <v>38</v>
      </c>
      <c r="L94">
        <v>63</v>
      </c>
      <c r="M94">
        <v>2</v>
      </c>
      <c r="N94">
        <v>2</v>
      </c>
      <c r="O94" t="s">
        <v>39</v>
      </c>
      <c r="P94">
        <v>2</v>
      </c>
      <c r="Q94" t="s">
        <v>51</v>
      </c>
      <c r="R94">
        <v>5209</v>
      </c>
      <c r="S94">
        <v>19760</v>
      </c>
      <c r="T94">
        <v>1</v>
      </c>
      <c r="U94" t="s">
        <v>41</v>
      </c>
      <c r="V94" t="s">
        <v>34</v>
      </c>
      <c r="W94">
        <v>12</v>
      </c>
      <c r="X94">
        <v>3</v>
      </c>
      <c r="Y94">
        <v>2</v>
      </c>
      <c r="Z94">
        <v>80</v>
      </c>
      <c r="AA94">
        <v>3</v>
      </c>
      <c r="AB94">
        <v>11</v>
      </c>
      <c r="AC94">
        <v>4</v>
      </c>
      <c r="AD94">
        <v>2</v>
      </c>
      <c r="AE94">
        <v>11</v>
      </c>
      <c r="AF94">
        <v>8</v>
      </c>
      <c r="AG94">
        <v>2</v>
      </c>
      <c r="AH94">
        <v>7</v>
      </c>
    </row>
    <row r="95" spans="1:34" x14ac:dyDescent="0.2">
      <c r="A95">
        <v>46</v>
      </c>
      <c r="B95" t="s">
        <v>42</v>
      </c>
      <c r="C95" t="s">
        <v>43</v>
      </c>
      <c r="D95" t="s">
        <v>44</v>
      </c>
      <c r="E95">
        <v>1</v>
      </c>
      <c r="F95">
        <v>3</v>
      </c>
      <c r="G95" t="s">
        <v>50</v>
      </c>
      <c r="H95">
        <v>1</v>
      </c>
      <c r="I95">
        <v>124</v>
      </c>
      <c r="J95">
        <v>3</v>
      </c>
      <c r="K95" t="s">
        <v>45</v>
      </c>
      <c r="L95">
        <v>40</v>
      </c>
      <c r="M95">
        <v>2</v>
      </c>
      <c r="N95">
        <v>3</v>
      </c>
      <c r="O95" t="s">
        <v>53</v>
      </c>
      <c r="P95">
        <v>1</v>
      </c>
      <c r="Q95" t="s">
        <v>47</v>
      </c>
      <c r="R95">
        <v>10673</v>
      </c>
      <c r="S95">
        <v>3142</v>
      </c>
      <c r="T95">
        <v>2</v>
      </c>
      <c r="U95" t="s">
        <v>41</v>
      </c>
      <c r="V95" t="s">
        <v>34</v>
      </c>
      <c r="W95">
        <v>13</v>
      </c>
      <c r="X95">
        <v>3</v>
      </c>
      <c r="Y95">
        <v>3</v>
      </c>
      <c r="Z95">
        <v>80</v>
      </c>
      <c r="AA95">
        <v>1</v>
      </c>
      <c r="AB95">
        <v>21</v>
      </c>
      <c r="AC95">
        <v>5</v>
      </c>
      <c r="AD95">
        <v>2</v>
      </c>
      <c r="AE95">
        <v>10</v>
      </c>
      <c r="AF95">
        <v>9</v>
      </c>
      <c r="AG95">
        <v>9</v>
      </c>
      <c r="AH95">
        <v>5</v>
      </c>
    </row>
    <row r="96" spans="1:34" x14ac:dyDescent="0.2">
      <c r="A96">
        <v>32</v>
      </c>
      <c r="B96" t="s">
        <v>42</v>
      </c>
      <c r="C96" t="s">
        <v>35</v>
      </c>
      <c r="D96" t="s">
        <v>36</v>
      </c>
      <c r="E96">
        <v>6</v>
      </c>
      <c r="F96">
        <v>4</v>
      </c>
      <c r="G96" t="s">
        <v>50</v>
      </c>
      <c r="H96">
        <v>1</v>
      </c>
      <c r="I96">
        <v>125</v>
      </c>
      <c r="J96">
        <v>2</v>
      </c>
      <c r="K96" t="s">
        <v>45</v>
      </c>
      <c r="L96">
        <v>87</v>
      </c>
      <c r="M96">
        <v>3</v>
      </c>
      <c r="N96">
        <v>2</v>
      </c>
      <c r="O96" t="s">
        <v>39</v>
      </c>
      <c r="P96">
        <v>3</v>
      </c>
      <c r="Q96" t="s">
        <v>40</v>
      </c>
      <c r="R96">
        <v>5010</v>
      </c>
      <c r="S96">
        <v>24301</v>
      </c>
      <c r="T96">
        <v>1</v>
      </c>
      <c r="U96" t="s">
        <v>41</v>
      </c>
      <c r="V96" t="s">
        <v>42</v>
      </c>
      <c r="W96">
        <v>16</v>
      </c>
      <c r="X96">
        <v>3</v>
      </c>
      <c r="Y96">
        <v>1</v>
      </c>
      <c r="Z96">
        <v>80</v>
      </c>
      <c r="AA96">
        <v>0</v>
      </c>
      <c r="AB96">
        <v>12</v>
      </c>
      <c r="AC96">
        <v>0</v>
      </c>
      <c r="AD96">
        <v>3</v>
      </c>
      <c r="AE96">
        <v>11</v>
      </c>
      <c r="AF96">
        <v>8</v>
      </c>
      <c r="AG96">
        <v>5</v>
      </c>
      <c r="AH96">
        <v>7</v>
      </c>
    </row>
    <row r="97" spans="1:34" x14ac:dyDescent="0.2">
      <c r="A97">
        <v>54</v>
      </c>
      <c r="B97" t="s">
        <v>42</v>
      </c>
      <c r="C97" t="s">
        <v>35</v>
      </c>
      <c r="D97" t="s">
        <v>44</v>
      </c>
      <c r="E97">
        <v>2</v>
      </c>
      <c r="F97">
        <v>4</v>
      </c>
      <c r="G97" t="s">
        <v>59</v>
      </c>
      <c r="H97">
        <v>1</v>
      </c>
      <c r="I97">
        <v>126</v>
      </c>
      <c r="J97">
        <v>1</v>
      </c>
      <c r="K97" t="s">
        <v>38</v>
      </c>
      <c r="L97">
        <v>60</v>
      </c>
      <c r="M97">
        <v>3</v>
      </c>
      <c r="N97">
        <v>3</v>
      </c>
      <c r="O97" t="s">
        <v>57</v>
      </c>
      <c r="P97">
        <v>3</v>
      </c>
      <c r="Q97" t="s">
        <v>47</v>
      </c>
      <c r="R97">
        <v>13549</v>
      </c>
      <c r="S97">
        <v>24001</v>
      </c>
      <c r="T97">
        <v>9</v>
      </c>
      <c r="U97" t="s">
        <v>41</v>
      </c>
      <c r="V97" t="s">
        <v>42</v>
      </c>
      <c r="W97">
        <v>12</v>
      </c>
      <c r="X97">
        <v>3</v>
      </c>
      <c r="Y97">
        <v>1</v>
      </c>
      <c r="Z97">
        <v>80</v>
      </c>
      <c r="AA97">
        <v>1</v>
      </c>
      <c r="AB97">
        <v>16</v>
      </c>
      <c r="AC97">
        <v>5</v>
      </c>
      <c r="AD97">
        <v>1</v>
      </c>
      <c r="AE97">
        <v>4</v>
      </c>
      <c r="AF97">
        <v>3</v>
      </c>
      <c r="AG97">
        <v>0</v>
      </c>
      <c r="AH97">
        <v>3</v>
      </c>
    </row>
    <row r="98" spans="1:34" x14ac:dyDescent="0.2">
      <c r="A98">
        <v>24</v>
      </c>
      <c r="B98" t="s">
        <v>42</v>
      </c>
      <c r="C98" t="s">
        <v>35</v>
      </c>
      <c r="D98" t="s">
        <v>36</v>
      </c>
      <c r="E98">
        <v>3</v>
      </c>
      <c r="F98">
        <v>2</v>
      </c>
      <c r="G98" t="s">
        <v>48</v>
      </c>
      <c r="H98">
        <v>1</v>
      </c>
      <c r="I98">
        <v>128</v>
      </c>
      <c r="J98">
        <v>1</v>
      </c>
      <c r="K98" t="s">
        <v>38</v>
      </c>
      <c r="L98">
        <v>33</v>
      </c>
      <c r="M98">
        <v>3</v>
      </c>
      <c r="N98">
        <v>2</v>
      </c>
      <c r="O98" t="s">
        <v>39</v>
      </c>
      <c r="P98">
        <v>3</v>
      </c>
      <c r="Q98" t="s">
        <v>47</v>
      </c>
      <c r="R98">
        <v>4999</v>
      </c>
      <c r="S98">
        <v>17519</v>
      </c>
      <c r="T98">
        <v>0</v>
      </c>
      <c r="U98" t="s">
        <v>41</v>
      </c>
      <c r="V98" t="s">
        <v>42</v>
      </c>
      <c r="W98">
        <v>21</v>
      </c>
      <c r="X98">
        <v>4</v>
      </c>
      <c r="Y98">
        <v>1</v>
      </c>
      <c r="Z98">
        <v>80</v>
      </c>
      <c r="AA98">
        <v>1</v>
      </c>
      <c r="AB98">
        <v>4</v>
      </c>
      <c r="AC98">
        <v>2</v>
      </c>
      <c r="AD98">
        <v>2</v>
      </c>
      <c r="AE98">
        <v>3</v>
      </c>
      <c r="AF98">
        <v>2</v>
      </c>
      <c r="AG98">
        <v>0</v>
      </c>
      <c r="AH98">
        <v>2</v>
      </c>
    </row>
    <row r="99" spans="1:34" x14ac:dyDescent="0.2">
      <c r="A99">
        <v>28</v>
      </c>
      <c r="B99" t="s">
        <v>42</v>
      </c>
      <c r="C99" t="s">
        <v>54</v>
      </c>
      <c r="D99" t="s">
        <v>36</v>
      </c>
      <c r="E99">
        <v>4</v>
      </c>
      <c r="F99">
        <v>3</v>
      </c>
      <c r="G99" t="s">
        <v>50</v>
      </c>
      <c r="H99">
        <v>1</v>
      </c>
      <c r="I99">
        <v>129</v>
      </c>
      <c r="J99">
        <v>2</v>
      </c>
      <c r="K99" t="s">
        <v>45</v>
      </c>
      <c r="L99">
        <v>43</v>
      </c>
      <c r="M99">
        <v>3</v>
      </c>
      <c r="N99">
        <v>2</v>
      </c>
      <c r="O99" t="s">
        <v>39</v>
      </c>
      <c r="P99">
        <v>3</v>
      </c>
      <c r="Q99" t="s">
        <v>47</v>
      </c>
      <c r="R99">
        <v>4221</v>
      </c>
      <c r="S99">
        <v>8863</v>
      </c>
      <c r="T99">
        <v>1</v>
      </c>
      <c r="U99" t="s">
        <v>41</v>
      </c>
      <c r="V99" t="s">
        <v>42</v>
      </c>
      <c r="W99">
        <v>15</v>
      </c>
      <c r="X99">
        <v>3</v>
      </c>
      <c r="Y99">
        <v>2</v>
      </c>
      <c r="Z99">
        <v>80</v>
      </c>
      <c r="AA99">
        <v>0</v>
      </c>
      <c r="AB99">
        <v>5</v>
      </c>
      <c r="AC99">
        <v>3</v>
      </c>
      <c r="AD99">
        <v>4</v>
      </c>
      <c r="AE99">
        <v>5</v>
      </c>
      <c r="AF99">
        <v>4</v>
      </c>
      <c r="AG99">
        <v>0</v>
      </c>
      <c r="AH99">
        <v>4</v>
      </c>
    </row>
    <row r="100" spans="1:34" x14ac:dyDescent="0.2">
      <c r="A100">
        <v>58</v>
      </c>
      <c r="B100" t="s">
        <v>42</v>
      </c>
      <c r="C100" t="s">
        <v>35</v>
      </c>
      <c r="D100" t="s">
        <v>36</v>
      </c>
      <c r="E100">
        <v>10</v>
      </c>
      <c r="F100">
        <v>4</v>
      </c>
      <c r="G100" t="s">
        <v>50</v>
      </c>
      <c r="H100">
        <v>1</v>
      </c>
      <c r="I100">
        <v>131</v>
      </c>
      <c r="J100">
        <v>4</v>
      </c>
      <c r="K100" t="s">
        <v>45</v>
      </c>
      <c r="L100">
        <v>37</v>
      </c>
      <c r="M100">
        <v>3</v>
      </c>
      <c r="N100">
        <v>4</v>
      </c>
      <c r="O100" t="s">
        <v>39</v>
      </c>
      <c r="P100">
        <v>3</v>
      </c>
      <c r="Q100" t="s">
        <v>40</v>
      </c>
      <c r="R100">
        <v>13872</v>
      </c>
      <c r="S100">
        <v>24409</v>
      </c>
      <c r="T100">
        <v>0</v>
      </c>
      <c r="U100" t="s">
        <v>41</v>
      </c>
      <c r="V100" t="s">
        <v>42</v>
      </c>
      <c r="W100">
        <v>13</v>
      </c>
      <c r="X100">
        <v>3</v>
      </c>
      <c r="Y100">
        <v>3</v>
      </c>
      <c r="Z100">
        <v>80</v>
      </c>
      <c r="AA100">
        <v>0</v>
      </c>
      <c r="AB100">
        <v>38</v>
      </c>
      <c r="AC100">
        <v>1</v>
      </c>
      <c r="AD100">
        <v>2</v>
      </c>
      <c r="AE100">
        <v>37</v>
      </c>
      <c r="AF100">
        <v>10</v>
      </c>
      <c r="AG100">
        <v>1</v>
      </c>
      <c r="AH100">
        <v>8</v>
      </c>
    </row>
    <row r="101" spans="1:34" x14ac:dyDescent="0.2">
      <c r="A101">
        <v>44</v>
      </c>
      <c r="B101" t="s">
        <v>42</v>
      </c>
      <c r="C101" t="s">
        <v>54</v>
      </c>
      <c r="D101" t="s">
        <v>44</v>
      </c>
      <c r="E101">
        <v>23</v>
      </c>
      <c r="F101">
        <v>3</v>
      </c>
      <c r="G101" t="s">
        <v>50</v>
      </c>
      <c r="H101">
        <v>1</v>
      </c>
      <c r="I101">
        <v>132</v>
      </c>
      <c r="J101">
        <v>2</v>
      </c>
      <c r="K101" t="s">
        <v>45</v>
      </c>
      <c r="L101">
        <v>67</v>
      </c>
      <c r="M101">
        <v>3</v>
      </c>
      <c r="N101">
        <v>2</v>
      </c>
      <c r="O101" t="s">
        <v>49</v>
      </c>
      <c r="P101">
        <v>2</v>
      </c>
      <c r="Q101" t="s">
        <v>47</v>
      </c>
      <c r="R101">
        <v>2042</v>
      </c>
      <c r="S101">
        <v>25043</v>
      </c>
      <c r="T101">
        <v>4</v>
      </c>
      <c r="U101" t="s">
        <v>41</v>
      </c>
      <c r="V101" t="s">
        <v>42</v>
      </c>
      <c r="W101">
        <v>12</v>
      </c>
      <c r="X101">
        <v>3</v>
      </c>
      <c r="Y101">
        <v>3</v>
      </c>
      <c r="Z101">
        <v>80</v>
      </c>
      <c r="AA101">
        <v>1</v>
      </c>
      <c r="AB101">
        <v>17</v>
      </c>
      <c r="AC101">
        <v>3</v>
      </c>
      <c r="AD101">
        <v>4</v>
      </c>
      <c r="AE101">
        <v>3</v>
      </c>
      <c r="AF101">
        <v>2</v>
      </c>
      <c r="AG101">
        <v>1</v>
      </c>
      <c r="AH101">
        <v>2</v>
      </c>
    </row>
    <row r="102" spans="1:34" x14ac:dyDescent="0.2">
      <c r="A102">
        <v>37</v>
      </c>
      <c r="B102" t="s">
        <v>34</v>
      </c>
      <c r="C102" t="s">
        <v>35</v>
      </c>
      <c r="D102" t="s">
        <v>60</v>
      </c>
      <c r="E102">
        <v>6</v>
      </c>
      <c r="F102">
        <v>4</v>
      </c>
      <c r="G102" t="s">
        <v>60</v>
      </c>
      <c r="H102">
        <v>1</v>
      </c>
      <c r="I102">
        <v>133</v>
      </c>
      <c r="J102">
        <v>3</v>
      </c>
      <c r="K102" t="s">
        <v>45</v>
      </c>
      <c r="L102">
        <v>63</v>
      </c>
      <c r="M102">
        <v>3</v>
      </c>
      <c r="N102">
        <v>1</v>
      </c>
      <c r="O102" t="s">
        <v>60</v>
      </c>
      <c r="P102">
        <v>1</v>
      </c>
      <c r="Q102" t="s">
        <v>51</v>
      </c>
      <c r="R102">
        <v>2073</v>
      </c>
      <c r="S102">
        <v>23648</v>
      </c>
      <c r="T102">
        <v>4</v>
      </c>
      <c r="U102" t="s">
        <v>41</v>
      </c>
      <c r="V102" t="s">
        <v>34</v>
      </c>
      <c r="W102">
        <v>22</v>
      </c>
      <c r="X102">
        <v>4</v>
      </c>
      <c r="Y102">
        <v>4</v>
      </c>
      <c r="Z102">
        <v>80</v>
      </c>
      <c r="AA102">
        <v>0</v>
      </c>
      <c r="AB102">
        <v>7</v>
      </c>
      <c r="AC102">
        <v>3</v>
      </c>
      <c r="AD102">
        <v>3</v>
      </c>
      <c r="AE102">
        <v>3</v>
      </c>
      <c r="AF102">
        <v>2</v>
      </c>
      <c r="AG102">
        <v>0</v>
      </c>
      <c r="AH102">
        <v>2</v>
      </c>
    </row>
    <row r="103" spans="1:34" x14ac:dyDescent="0.2">
      <c r="A103">
        <v>32</v>
      </c>
      <c r="B103" t="s">
        <v>42</v>
      </c>
      <c r="C103" t="s">
        <v>35</v>
      </c>
      <c r="D103" t="s">
        <v>44</v>
      </c>
      <c r="E103">
        <v>1</v>
      </c>
      <c r="F103">
        <v>1</v>
      </c>
      <c r="G103" t="s">
        <v>37</v>
      </c>
      <c r="H103">
        <v>1</v>
      </c>
      <c r="I103">
        <v>134</v>
      </c>
      <c r="J103">
        <v>4</v>
      </c>
      <c r="K103" t="s">
        <v>45</v>
      </c>
      <c r="L103">
        <v>71</v>
      </c>
      <c r="M103">
        <v>3</v>
      </c>
      <c r="N103">
        <v>1</v>
      </c>
      <c r="O103" t="s">
        <v>46</v>
      </c>
      <c r="P103">
        <v>1</v>
      </c>
      <c r="Q103" t="s">
        <v>40</v>
      </c>
      <c r="R103">
        <v>2956</v>
      </c>
      <c r="S103">
        <v>15178</v>
      </c>
      <c r="T103">
        <v>1</v>
      </c>
      <c r="U103" t="s">
        <v>41</v>
      </c>
      <c r="V103" t="s">
        <v>42</v>
      </c>
      <c r="W103">
        <v>13</v>
      </c>
      <c r="X103">
        <v>3</v>
      </c>
      <c r="Y103">
        <v>4</v>
      </c>
      <c r="Z103">
        <v>80</v>
      </c>
      <c r="AA103">
        <v>0</v>
      </c>
      <c r="AB103">
        <v>1</v>
      </c>
      <c r="AC103">
        <v>2</v>
      </c>
      <c r="AD103">
        <v>3</v>
      </c>
      <c r="AE103">
        <v>1</v>
      </c>
      <c r="AF103">
        <v>0</v>
      </c>
      <c r="AG103">
        <v>0</v>
      </c>
      <c r="AH103">
        <v>0</v>
      </c>
    </row>
    <row r="104" spans="1:34" x14ac:dyDescent="0.2">
      <c r="A104">
        <v>20</v>
      </c>
      <c r="B104" t="s">
        <v>34</v>
      </c>
      <c r="C104" t="s">
        <v>43</v>
      </c>
      <c r="D104" t="s">
        <v>44</v>
      </c>
      <c r="E104">
        <v>6</v>
      </c>
      <c r="F104">
        <v>3</v>
      </c>
      <c r="G104" t="s">
        <v>37</v>
      </c>
      <c r="H104">
        <v>1</v>
      </c>
      <c r="I104">
        <v>137</v>
      </c>
      <c r="J104">
        <v>4</v>
      </c>
      <c r="K104" t="s">
        <v>38</v>
      </c>
      <c r="L104">
        <v>66</v>
      </c>
      <c r="M104">
        <v>2</v>
      </c>
      <c r="N104">
        <v>1</v>
      </c>
      <c r="O104" t="s">
        <v>49</v>
      </c>
      <c r="P104">
        <v>4</v>
      </c>
      <c r="Q104" t="s">
        <v>40</v>
      </c>
      <c r="R104">
        <v>2926</v>
      </c>
      <c r="S104">
        <v>19783</v>
      </c>
      <c r="T104">
        <v>1</v>
      </c>
      <c r="U104" t="s">
        <v>41</v>
      </c>
      <c r="V104" t="s">
        <v>34</v>
      </c>
      <c r="W104">
        <v>18</v>
      </c>
      <c r="X104">
        <v>3</v>
      </c>
      <c r="Y104">
        <v>2</v>
      </c>
      <c r="Z104">
        <v>80</v>
      </c>
      <c r="AA104">
        <v>0</v>
      </c>
      <c r="AB104">
        <v>1</v>
      </c>
      <c r="AC104">
        <v>5</v>
      </c>
      <c r="AD104">
        <v>3</v>
      </c>
      <c r="AE104">
        <v>1</v>
      </c>
      <c r="AF104">
        <v>0</v>
      </c>
      <c r="AG104">
        <v>1</v>
      </c>
      <c r="AH104">
        <v>0</v>
      </c>
    </row>
    <row r="105" spans="1:34" x14ac:dyDescent="0.2">
      <c r="A105">
        <v>34</v>
      </c>
      <c r="B105" t="s">
        <v>42</v>
      </c>
      <c r="C105" t="s">
        <v>35</v>
      </c>
      <c r="D105" t="s">
        <v>44</v>
      </c>
      <c r="E105">
        <v>6</v>
      </c>
      <c r="F105">
        <v>4</v>
      </c>
      <c r="G105" t="s">
        <v>48</v>
      </c>
      <c r="H105">
        <v>1</v>
      </c>
      <c r="I105">
        <v>138</v>
      </c>
      <c r="J105">
        <v>1</v>
      </c>
      <c r="K105" t="s">
        <v>38</v>
      </c>
      <c r="L105">
        <v>41</v>
      </c>
      <c r="M105">
        <v>3</v>
      </c>
      <c r="N105">
        <v>2</v>
      </c>
      <c r="O105" t="s">
        <v>46</v>
      </c>
      <c r="P105">
        <v>3</v>
      </c>
      <c r="Q105" t="s">
        <v>40</v>
      </c>
      <c r="R105">
        <v>4809</v>
      </c>
      <c r="S105">
        <v>12482</v>
      </c>
      <c r="T105">
        <v>1</v>
      </c>
      <c r="U105" t="s">
        <v>41</v>
      </c>
      <c r="V105" t="s">
        <v>42</v>
      </c>
      <c r="W105">
        <v>14</v>
      </c>
      <c r="X105">
        <v>3</v>
      </c>
      <c r="Y105">
        <v>3</v>
      </c>
      <c r="Z105">
        <v>80</v>
      </c>
      <c r="AA105">
        <v>0</v>
      </c>
      <c r="AB105">
        <v>16</v>
      </c>
      <c r="AC105">
        <v>3</v>
      </c>
      <c r="AD105">
        <v>3</v>
      </c>
      <c r="AE105">
        <v>16</v>
      </c>
      <c r="AF105">
        <v>13</v>
      </c>
      <c r="AG105">
        <v>2</v>
      </c>
      <c r="AH105">
        <v>10</v>
      </c>
    </row>
    <row r="106" spans="1:34" x14ac:dyDescent="0.2">
      <c r="A106">
        <v>37</v>
      </c>
      <c r="B106" t="s">
        <v>42</v>
      </c>
      <c r="C106" t="s">
        <v>54</v>
      </c>
      <c r="D106" t="s">
        <v>44</v>
      </c>
      <c r="E106">
        <v>2</v>
      </c>
      <c r="F106">
        <v>2</v>
      </c>
      <c r="G106" t="s">
        <v>37</v>
      </c>
      <c r="H106">
        <v>1</v>
      </c>
      <c r="I106">
        <v>139</v>
      </c>
      <c r="J106">
        <v>3</v>
      </c>
      <c r="K106" t="s">
        <v>45</v>
      </c>
      <c r="L106">
        <v>100</v>
      </c>
      <c r="M106">
        <v>2</v>
      </c>
      <c r="N106">
        <v>2</v>
      </c>
      <c r="O106" t="s">
        <v>53</v>
      </c>
      <c r="P106">
        <v>4</v>
      </c>
      <c r="Q106" t="s">
        <v>51</v>
      </c>
      <c r="R106">
        <v>5163</v>
      </c>
      <c r="S106">
        <v>15850</v>
      </c>
      <c r="T106">
        <v>5</v>
      </c>
      <c r="U106" t="s">
        <v>41</v>
      </c>
      <c r="V106" t="s">
        <v>42</v>
      </c>
      <c r="W106">
        <v>14</v>
      </c>
      <c r="X106">
        <v>3</v>
      </c>
      <c r="Y106">
        <v>4</v>
      </c>
      <c r="Z106">
        <v>80</v>
      </c>
      <c r="AA106">
        <v>1</v>
      </c>
      <c r="AB106">
        <v>17</v>
      </c>
      <c r="AC106">
        <v>2</v>
      </c>
      <c r="AD106">
        <v>4</v>
      </c>
      <c r="AE106">
        <v>1</v>
      </c>
      <c r="AF106">
        <v>0</v>
      </c>
      <c r="AG106">
        <v>0</v>
      </c>
      <c r="AH106">
        <v>0</v>
      </c>
    </row>
    <row r="107" spans="1:34" x14ac:dyDescent="0.2">
      <c r="A107">
        <v>59</v>
      </c>
      <c r="B107" t="s">
        <v>42</v>
      </c>
      <c r="C107" t="s">
        <v>54</v>
      </c>
      <c r="D107" t="s">
        <v>60</v>
      </c>
      <c r="E107">
        <v>2</v>
      </c>
      <c r="F107">
        <v>4</v>
      </c>
      <c r="G107" t="s">
        <v>60</v>
      </c>
      <c r="H107">
        <v>1</v>
      </c>
      <c r="I107">
        <v>140</v>
      </c>
      <c r="J107">
        <v>3</v>
      </c>
      <c r="K107" t="s">
        <v>38</v>
      </c>
      <c r="L107">
        <v>32</v>
      </c>
      <c r="M107">
        <v>2</v>
      </c>
      <c r="N107">
        <v>5</v>
      </c>
      <c r="O107" t="s">
        <v>55</v>
      </c>
      <c r="P107">
        <v>4</v>
      </c>
      <c r="Q107" t="s">
        <v>47</v>
      </c>
      <c r="R107">
        <v>18844</v>
      </c>
      <c r="S107">
        <v>21922</v>
      </c>
      <c r="T107">
        <v>9</v>
      </c>
      <c r="U107" t="s">
        <v>41</v>
      </c>
      <c r="V107" t="s">
        <v>42</v>
      </c>
      <c r="W107">
        <v>21</v>
      </c>
      <c r="X107">
        <v>4</v>
      </c>
      <c r="Y107">
        <v>4</v>
      </c>
      <c r="Z107">
        <v>80</v>
      </c>
      <c r="AA107">
        <v>1</v>
      </c>
      <c r="AB107">
        <v>30</v>
      </c>
      <c r="AC107">
        <v>3</v>
      </c>
      <c r="AD107">
        <v>3</v>
      </c>
      <c r="AE107">
        <v>3</v>
      </c>
      <c r="AF107">
        <v>2</v>
      </c>
      <c r="AG107">
        <v>2</v>
      </c>
      <c r="AH107">
        <v>2</v>
      </c>
    </row>
    <row r="108" spans="1:34" x14ac:dyDescent="0.2">
      <c r="A108">
        <v>50</v>
      </c>
      <c r="B108" t="s">
        <v>42</v>
      </c>
      <c r="C108" t="s">
        <v>43</v>
      </c>
      <c r="D108" t="s">
        <v>44</v>
      </c>
      <c r="E108">
        <v>1</v>
      </c>
      <c r="F108">
        <v>3</v>
      </c>
      <c r="G108" t="s">
        <v>37</v>
      </c>
      <c r="H108">
        <v>1</v>
      </c>
      <c r="I108">
        <v>141</v>
      </c>
      <c r="J108">
        <v>1</v>
      </c>
      <c r="K108" t="s">
        <v>38</v>
      </c>
      <c r="L108">
        <v>73</v>
      </c>
      <c r="M108">
        <v>3</v>
      </c>
      <c r="N108">
        <v>5</v>
      </c>
      <c r="O108" t="s">
        <v>57</v>
      </c>
      <c r="P108">
        <v>2</v>
      </c>
      <c r="Q108" t="s">
        <v>47</v>
      </c>
      <c r="R108">
        <v>18172</v>
      </c>
      <c r="S108">
        <v>9755</v>
      </c>
      <c r="T108">
        <v>3</v>
      </c>
      <c r="U108" t="s">
        <v>41</v>
      </c>
      <c r="V108" t="s">
        <v>34</v>
      </c>
      <c r="W108">
        <v>19</v>
      </c>
      <c r="X108">
        <v>3</v>
      </c>
      <c r="Y108">
        <v>1</v>
      </c>
      <c r="Z108">
        <v>80</v>
      </c>
      <c r="AA108">
        <v>0</v>
      </c>
      <c r="AB108">
        <v>28</v>
      </c>
      <c r="AC108">
        <v>1</v>
      </c>
      <c r="AD108">
        <v>2</v>
      </c>
      <c r="AE108">
        <v>8</v>
      </c>
      <c r="AF108">
        <v>3</v>
      </c>
      <c r="AG108">
        <v>0</v>
      </c>
      <c r="AH108">
        <v>7</v>
      </c>
    </row>
    <row r="109" spans="1:34" x14ac:dyDescent="0.2">
      <c r="A109">
        <v>25</v>
      </c>
      <c r="B109" t="s">
        <v>34</v>
      </c>
      <c r="C109" t="s">
        <v>35</v>
      </c>
      <c r="D109" t="s">
        <v>36</v>
      </c>
      <c r="E109">
        <v>5</v>
      </c>
      <c r="F109">
        <v>3</v>
      </c>
      <c r="G109" t="s">
        <v>58</v>
      </c>
      <c r="H109">
        <v>1</v>
      </c>
      <c r="I109">
        <v>142</v>
      </c>
      <c r="J109">
        <v>3</v>
      </c>
      <c r="K109" t="s">
        <v>45</v>
      </c>
      <c r="L109">
        <v>46</v>
      </c>
      <c r="M109">
        <v>2</v>
      </c>
      <c r="N109">
        <v>2</v>
      </c>
      <c r="O109" t="s">
        <v>39</v>
      </c>
      <c r="P109">
        <v>3</v>
      </c>
      <c r="Q109" t="s">
        <v>40</v>
      </c>
      <c r="R109">
        <v>5744</v>
      </c>
      <c r="S109">
        <v>26959</v>
      </c>
      <c r="T109">
        <v>1</v>
      </c>
      <c r="U109" t="s">
        <v>41</v>
      </c>
      <c r="V109" t="s">
        <v>34</v>
      </c>
      <c r="W109">
        <v>11</v>
      </c>
      <c r="X109">
        <v>3</v>
      </c>
      <c r="Y109">
        <v>4</v>
      </c>
      <c r="Z109">
        <v>80</v>
      </c>
      <c r="AA109">
        <v>0</v>
      </c>
      <c r="AB109">
        <v>6</v>
      </c>
      <c r="AC109">
        <v>1</v>
      </c>
      <c r="AD109">
        <v>3</v>
      </c>
      <c r="AE109">
        <v>6</v>
      </c>
      <c r="AF109">
        <v>4</v>
      </c>
      <c r="AG109">
        <v>0</v>
      </c>
      <c r="AH109">
        <v>3</v>
      </c>
    </row>
    <row r="110" spans="1:34" x14ac:dyDescent="0.2">
      <c r="A110">
        <v>25</v>
      </c>
      <c r="B110" t="s">
        <v>42</v>
      </c>
      <c r="C110" t="s">
        <v>35</v>
      </c>
      <c r="D110" t="s">
        <v>44</v>
      </c>
      <c r="E110">
        <v>7</v>
      </c>
      <c r="F110">
        <v>1</v>
      </c>
      <c r="G110" t="s">
        <v>50</v>
      </c>
      <c r="H110">
        <v>1</v>
      </c>
      <c r="I110">
        <v>143</v>
      </c>
      <c r="J110">
        <v>4</v>
      </c>
      <c r="K110" t="s">
        <v>45</v>
      </c>
      <c r="L110">
        <v>64</v>
      </c>
      <c r="M110">
        <v>2</v>
      </c>
      <c r="N110">
        <v>1</v>
      </c>
      <c r="O110" t="s">
        <v>46</v>
      </c>
      <c r="P110">
        <v>4</v>
      </c>
      <c r="Q110" t="s">
        <v>47</v>
      </c>
      <c r="R110">
        <v>2889</v>
      </c>
      <c r="S110">
        <v>26897</v>
      </c>
      <c r="T110">
        <v>1</v>
      </c>
      <c r="U110" t="s">
        <v>41</v>
      </c>
      <c r="V110" t="s">
        <v>42</v>
      </c>
      <c r="W110">
        <v>11</v>
      </c>
      <c r="X110">
        <v>3</v>
      </c>
      <c r="Y110">
        <v>3</v>
      </c>
      <c r="Z110">
        <v>80</v>
      </c>
      <c r="AA110">
        <v>2</v>
      </c>
      <c r="AB110">
        <v>2</v>
      </c>
      <c r="AC110">
        <v>2</v>
      </c>
      <c r="AD110">
        <v>3</v>
      </c>
      <c r="AE110">
        <v>2</v>
      </c>
      <c r="AF110">
        <v>2</v>
      </c>
      <c r="AG110">
        <v>2</v>
      </c>
      <c r="AH110">
        <v>1</v>
      </c>
    </row>
    <row r="111" spans="1:34" x14ac:dyDescent="0.2">
      <c r="A111">
        <v>22</v>
      </c>
      <c r="B111" t="s">
        <v>42</v>
      </c>
      <c r="C111" t="s">
        <v>35</v>
      </c>
      <c r="D111" t="s">
        <v>44</v>
      </c>
      <c r="E111">
        <v>15</v>
      </c>
      <c r="F111">
        <v>3</v>
      </c>
      <c r="G111" t="s">
        <v>50</v>
      </c>
      <c r="H111">
        <v>1</v>
      </c>
      <c r="I111">
        <v>144</v>
      </c>
      <c r="J111">
        <v>2</v>
      </c>
      <c r="K111" t="s">
        <v>38</v>
      </c>
      <c r="L111">
        <v>59</v>
      </c>
      <c r="M111">
        <v>3</v>
      </c>
      <c r="N111">
        <v>1</v>
      </c>
      <c r="O111" t="s">
        <v>49</v>
      </c>
      <c r="P111">
        <v>4</v>
      </c>
      <c r="Q111" t="s">
        <v>40</v>
      </c>
      <c r="R111">
        <v>2871</v>
      </c>
      <c r="S111">
        <v>23785</v>
      </c>
      <c r="T111">
        <v>1</v>
      </c>
      <c r="U111" t="s">
        <v>41</v>
      </c>
      <c r="V111" t="s">
        <v>42</v>
      </c>
      <c r="W111">
        <v>15</v>
      </c>
      <c r="X111">
        <v>3</v>
      </c>
      <c r="Y111">
        <v>3</v>
      </c>
      <c r="Z111">
        <v>80</v>
      </c>
      <c r="AA111">
        <v>0</v>
      </c>
      <c r="AB111">
        <v>1</v>
      </c>
      <c r="AC111">
        <v>5</v>
      </c>
      <c r="AD111">
        <v>3</v>
      </c>
      <c r="AE111">
        <v>0</v>
      </c>
      <c r="AF111">
        <v>0</v>
      </c>
      <c r="AG111">
        <v>0</v>
      </c>
      <c r="AH111">
        <v>0</v>
      </c>
    </row>
    <row r="112" spans="1:34" x14ac:dyDescent="0.2">
      <c r="A112">
        <v>51</v>
      </c>
      <c r="B112" t="s">
        <v>42</v>
      </c>
      <c r="C112" t="s">
        <v>43</v>
      </c>
      <c r="D112" t="s">
        <v>44</v>
      </c>
      <c r="E112">
        <v>1</v>
      </c>
      <c r="F112">
        <v>4</v>
      </c>
      <c r="G112" t="s">
        <v>50</v>
      </c>
      <c r="H112">
        <v>1</v>
      </c>
      <c r="I112">
        <v>145</v>
      </c>
      <c r="J112">
        <v>1</v>
      </c>
      <c r="K112" t="s">
        <v>38</v>
      </c>
      <c r="L112">
        <v>30</v>
      </c>
      <c r="M112">
        <v>2</v>
      </c>
      <c r="N112">
        <v>3</v>
      </c>
      <c r="O112" t="s">
        <v>53</v>
      </c>
      <c r="P112">
        <v>1</v>
      </c>
      <c r="Q112" t="s">
        <v>40</v>
      </c>
      <c r="R112">
        <v>7484</v>
      </c>
      <c r="S112">
        <v>25796</v>
      </c>
      <c r="T112">
        <v>3</v>
      </c>
      <c r="U112" t="s">
        <v>41</v>
      </c>
      <c r="V112" t="s">
        <v>42</v>
      </c>
      <c r="W112">
        <v>20</v>
      </c>
      <c r="X112">
        <v>4</v>
      </c>
      <c r="Y112">
        <v>3</v>
      </c>
      <c r="Z112">
        <v>80</v>
      </c>
      <c r="AA112">
        <v>0</v>
      </c>
      <c r="AB112">
        <v>23</v>
      </c>
      <c r="AC112">
        <v>1</v>
      </c>
      <c r="AD112">
        <v>2</v>
      </c>
      <c r="AE112">
        <v>13</v>
      </c>
      <c r="AF112">
        <v>12</v>
      </c>
      <c r="AG112">
        <v>12</v>
      </c>
      <c r="AH112">
        <v>8</v>
      </c>
    </row>
    <row r="113" spans="1:34" x14ac:dyDescent="0.2">
      <c r="A113">
        <v>34</v>
      </c>
      <c r="B113" t="s">
        <v>34</v>
      </c>
      <c r="C113" t="s">
        <v>43</v>
      </c>
      <c r="D113" t="s">
        <v>44</v>
      </c>
      <c r="E113">
        <v>7</v>
      </c>
      <c r="F113">
        <v>3</v>
      </c>
      <c r="G113" t="s">
        <v>37</v>
      </c>
      <c r="H113">
        <v>1</v>
      </c>
      <c r="I113">
        <v>147</v>
      </c>
      <c r="J113">
        <v>1</v>
      </c>
      <c r="K113" t="s">
        <v>45</v>
      </c>
      <c r="L113">
        <v>66</v>
      </c>
      <c r="M113">
        <v>1</v>
      </c>
      <c r="N113">
        <v>2</v>
      </c>
      <c r="O113" t="s">
        <v>49</v>
      </c>
      <c r="P113">
        <v>3</v>
      </c>
      <c r="Q113" t="s">
        <v>40</v>
      </c>
      <c r="R113">
        <v>6074</v>
      </c>
      <c r="S113">
        <v>22887</v>
      </c>
      <c r="T113">
        <v>1</v>
      </c>
      <c r="U113" t="s">
        <v>41</v>
      </c>
      <c r="V113" t="s">
        <v>34</v>
      </c>
      <c r="W113">
        <v>24</v>
      </c>
      <c r="X113">
        <v>4</v>
      </c>
      <c r="Y113">
        <v>4</v>
      </c>
      <c r="Z113">
        <v>80</v>
      </c>
      <c r="AA113">
        <v>0</v>
      </c>
      <c r="AB113">
        <v>9</v>
      </c>
      <c r="AC113">
        <v>3</v>
      </c>
      <c r="AD113">
        <v>3</v>
      </c>
      <c r="AE113">
        <v>9</v>
      </c>
      <c r="AF113">
        <v>7</v>
      </c>
      <c r="AG113">
        <v>0</v>
      </c>
      <c r="AH113">
        <v>6</v>
      </c>
    </row>
    <row r="114" spans="1:34" x14ac:dyDescent="0.2">
      <c r="A114">
        <v>54</v>
      </c>
      <c r="B114" t="s">
        <v>42</v>
      </c>
      <c r="C114" t="s">
        <v>54</v>
      </c>
      <c r="D114" t="s">
        <v>60</v>
      </c>
      <c r="E114">
        <v>26</v>
      </c>
      <c r="F114">
        <v>3</v>
      </c>
      <c r="G114" t="s">
        <v>60</v>
      </c>
      <c r="H114">
        <v>1</v>
      </c>
      <c r="I114">
        <v>148</v>
      </c>
      <c r="J114">
        <v>4</v>
      </c>
      <c r="K114" t="s">
        <v>38</v>
      </c>
      <c r="L114">
        <v>30</v>
      </c>
      <c r="M114">
        <v>4</v>
      </c>
      <c r="N114">
        <v>4</v>
      </c>
      <c r="O114" t="s">
        <v>55</v>
      </c>
      <c r="P114">
        <v>4</v>
      </c>
      <c r="Q114" t="s">
        <v>40</v>
      </c>
      <c r="R114">
        <v>17328</v>
      </c>
      <c r="S114">
        <v>13871</v>
      </c>
      <c r="T114">
        <v>2</v>
      </c>
      <c r="U114" t="s">
        <v>41</v>
      </c>
      <c r="V114" t="s">
        <v>34</v>
      </c>
      <c r="W114">
        <v>12</v>
      </c>
      <c r="X114">
        <v>3</v>
      </c>
      <c r="Y114">
        <v>3</v>
      </c>
      <c r="Z114">
        <v>80</v>
      </c>
      <c r="AA114">
        <v>0</v>
      </c>
      <c r="AB114">
        <v>23</v>
      </c>
      <c r="AC114">
        <v>3</v>
      </c>
      <c r="AD114">
        <v>3</v>
      </c>
      <c r="AE114">
        <v>5</v>
      </c>
      <c r="AF114">
        <v>3</v>
      </c>
      <c r="AG114">
        <v>4</v>
      </c>
      <c r="AH114">
        <v>4</v>
      </c>
    </row>
    <row r="115" spans="1:34" x14ac:dyDescent="0.2">
      <c r="A115">
        <v>24</v>
      </c>
      <c r="B115" t="s">
        <v>42</v>
      </c>
      <c r="C115" t="s">
        <v>35</v>
      </c>
      <c r="D115" t="s">
        <v>44</v>
      </c>
      <c r="E115">
        <v>18</v>
      </c>
      <c r="F115">
        <v>1</v>
      </c>
      <c r="G115" t="s">
        <v>37</v>
      </c>
      <c r="H115">
        <v>1</v>
      </c>
      <c r="I115">
        <v>150</v>
      </c>
      <c r="J115">
        <v>2</v>
      </c>
      <c r="K115" t="s">
        <v>45</v>
      </c>
      <c r="L115">
        <v>52</v>
      </c>
      <c r="M115">
        <v>3</v>
      </c>
      <c r="N115">
        <v>1</v>
      </c>
      <c r="O115" t="s">
        <v>49</v>
      </c>
      <c r="P115">
        <v>3</v>
      </c>
      <c r="Q115" t="s">
        <v>47</v>
      </c>
      <c r="R115">
        <v>2774</v>
      </c>
      <c r="S115">
        <v>13257</v>
      </c>
      <c r="T115">
        <v>0</v>
      </c>
      <c r="U115" t="s">
        <v>41</v>
      </c>
      <c r="V115" t="s">
        <v>42</v>
      </c>
      <c r="W115">
        <v>12</v>
      </c>
      <c r="X115">
        <v>3</v>
      </c>
      <c r="Y115">
        <v>3</v>
      </c>
      <c r="Z115">
        <v>80</v>
      </c>
      <c r="AA115">
        <v>1</v>
      </c>
      <c r="AB115">
        <v>6</v>
      </c>
      <c r="AC115">
        <v>2</v>
      </c>
      <c r="AD115">
        <v>3</v>
      </c>
      <c r="AE115">
        <v>5</v>
      </c>
      <c r="AF115">
        <v>3</v>
      </c>
      <c r="AG115">
        <v>1</v>
      </c>
      <c r="AH115">
        <v>2</v>
      </c>
    </row>
    <row r="116" spans="1:34" x14ac:dyDescent="0.2">
      <c r="A116">
        <v>34</v>
      </c>
      <c r="B116" t="s">
        <v>42</v>
      </c>
      <c r="C116" t="s">
        <v>35</v>
      </c>
      <c r="D116" t="s">
        <v>44</v>
      </c>
      <c r="E116">
        <v>6</v>
      </c>
      <c r="F116">
        <v>4</v>
      </c>
      <c r="G116" t="s">
        <v>37</v>
      </c>
      <c r="H116">
        <v>1</v>
      </c>
      <c r="I116">
        <v>151</v>
      </c>
      <c r="J116">
        <v>3</v>
      </c>
      <c r="K116" t="s">
        <v>38</v>
      </c>
      <c r="L116">
        <v>45</v>
      </c>
      <c r="M116">
        <v>2</v>
      </c>
      <c r="N116">
        <v>2</v>
      </c>
      <c r="O116" t="s">
        <v>46</v>
      </c>
      <c r="P116">
        <v>2</v>
      </c>
      <c r="Q116" t="s">
        <v>51</v>
      </c>
      <c r="R116">
        <v>4505</v>
      </c>
      <c r="S116">
        <v>15000</v>
      </c>
      <c r="T116">
        <v>6</v>
      </c>
      <c r="U116" t="s">
        <v>41</v>
      </c>
      <c r="V116" t="s">
        <v>42</v>
      </c>
      <c r="W116">
        <v>15</v>
      </c>
      <c r="X116">
        <v>3</v>
      </c>
      <c r="Y116">
        <v>3</v>
      </c>
      <c r="Z116">
        <v>80</v>
      </c>
      <c r="AA116">
        <v>1</v>
      </c>
      <c r="AB116">
        <v>12</v>
      </c>
      <c r="AC116">
        <v>3</v>
      </c>
      <c r="AD116">
        <v>3</v>
      </c>
      <c r="AE116">
        <v>1</v>
      </c>
      <c r="AF116">
        <v>0</v>
      </c>
      <c r="AG116">
        <v>0</v>
      </c>
      <c r="AH116">
        <v>0</v>
      </c>
    </row>
    <row r="117" spans="1:34" x14ac:dyDescent="0.2">
      <c r="A117">
        <v>37</v>
      </c>
      <c r="B117" t="s">
        <v>42</v>
      </c>
      <c r="C117" t="s">
        <v>35</v>
      </c>
      <c r="D117" t="s">
        <v>36</v>
      </c>
      <c r="E117">
        <v>3</v>
      </c>
      <c r="F117">
        <v>3</v>
      </c>
      <c r="G117" t="s">
        <v>37</v>
      </c>
      <c r="H117">
        <v>1</v>
      </c>
      <c r="I117">
        <v>152</v>
      </c>
      <c r="J117">
        <v>3</v>
      </c>
      <c r="K117" t="s">
        <v>45</v>
      </c>
      <c r="L117">
        <v>87</v>
      </c>
      <c r="M117">
        <v>3</v>
      </c>
      <c r="N117">
        <v>3</v>
      </c>
      <c r="O117" t="s">
        <v>39</v>
      </c>
      <c r="P117">
        <v>4</v>
      </c>
      <c r="Q117" t="s">
        <v>40</v>
      </c>
      <c r="R117">
        <v>7428</v>
      </c>
      <c r="S117">
        <v>14506</v>
      </c>
      <c r="T117">
        <v>2</v>
      </c>
      <c r="U117" t="s">
        <v>41</v>
      </c>
      <c r="V117" t="s">
        <v>42</v>
      </c>
      <c r="W117">
        <v>12</v>
      </c>
      <c r="X117">
        <v>3</v>
      </c>
      <c r="Y117">
        <v>1</v>
      </c>
      <c r="Z117">
        <v>80</v>
      </c>
      <c r="AA117">
        <v>0</v>
      </c>
      <c r="AB117">
        <v>12</v>
      </c>
      <c r="AC117">
        <v>3</v>
      </c>
      <c r="AD117">
        <v>3</v>
      </c>
      <c r="AE117">
        <v>5</v>
      </c>
      <c r="AF117">
        <v>3</v>
      </c>
      <c r="AG117">
        <v>1</v>
      </c>
      <c r="AH117">
        <v>3</v>
      </c>
    </row>
    <row r="118" spans="1:34" x14ac:dyDescent="0.2">
      <c r="A118">
        <v>34</v>
      </c>
      <c r="B118" t="s">
        <v>42</v>
      </c>
      <c r="C118" t="s">
        <v>35</v>
      </c>
      <c r="D118" t="s">
        <v>44</v>
      </c>
      <c r="E118">
        <v>5</v>
      </c>
      <c r="F118">
        <v>3</v>
      </c>
      <c r="G118" t="s">
        <v>50</v>
      </c>
      <c r="H118">
        <v>1</v>
      </c>
      <c r="I118">
        <v>153</v>
      </c>
      <c r="J118">
        <v>3</v>
      </c>
      <c r="K118" t="s">
        <v>38</v>
      </c>
      <c r="L118">
        <v>45</v>
      </c>
      <c r="M118">
        <v>2</v>
      </c>
      <c r="N118">
        <v>3</v>
      </c>
      <c r="O118" t="s">
        <v>55</v>
      </c>
      <c r="P118">
        <v>1</v>
      </c>
      <c r="Q118" t="s">
        <v>40</v>
      </c>
      <c r="R118">
        <v>11631</v>
      </c>
      <c r="S118">
        <v>5615</v>
      </c>
      <c r="T118">
        <v>2</v>
      </c>
      <c r="U118" t="s">
        <v>41</v>
      </c>
      <c r="V118" t="s">
        <v>42</v>
      </c>
      <c r="W118">
        <v>12</v>
      </c>
      <c r="X118">
        <v>3</v>
      </c>
      <c r="Y118">
        <v>4</v>
      </c>
      <c r="Z118">
        <v>80</v>
      </c>
      <c r="AA118">
        <v>0</v>
      </c>
      <c r="AB118">
        <v>14</v>
      </c>
      <c r="AC118">
        <v>6</v>
      </c>
      <c r="AD118">
        <v>3</v>
      </c>
      <c r="AE118">
        <v>11</v>
      </c>
      <c r="AF118">
        <v>10</v>
      </c>
      <c r="AG118">
        <v>5</v>
      </c>
      <c r="AH118">
        <v>8</v>
      </c>
    </row>
    <row r="119" spans="1:34" x14ac:dyDescent="0.2">
      <c r="A119">
        <v>36</v>
      </c>
      <c r="B119" t="s">
        <v>42</v>
      </c>
      <c r="C119" t="s">
        <v>43</v>
      </c>
      <c r="D119" t="s">
        <v>36</v>
      </c>
      <c r="E119">
        <v>11</v>
      </c>
      <c r="F119">
        <v>2</v>
      </c>
      <c r="G119" t="s">
        <v>59</v>
      </c>
      <c r="H119">
        <v>1</v>
      </c>
      <c r="I119">
        <v>154</v>
      </c>
      <c r="J119">
        <v>2</v>
      </c>
      <c r="K119" t="s">
        <v>38</v>
      </c>
      <c r="L119">
        <v>92</v>
      </c>
      <c r="M119">
        <v>3</v>
      </c>
      <c r="N119">
        <v>3</v>
      </c>
      <c r="O119" t="s">
        <v>39</v>
      </c>
      <c r="P119">
        <v>4</v>
      </c>
      <c r="Q119" t="s">
        <v>47</v>
      </c>
      <c r="R119">
        <v>9738</v>
      </c>
      <c r="S119">
        <v>22952</v>
      </c>
      <c r="T119">
        <v>0</v>
      </c>
      <c r="U119" t="s">
        <v>41</v>
      </c>
      <c r="V119" t="s">
        <v>42</v>
      </c>
      <c r="W119">
        <v>14</v>
      </c>
      <c r="X119">
        <v>3</v>
      </c>
      <c r="Y119">
        <v>3</v>
      </c>
      <c r="Z119">
        <v>80</v>
      </c>
      <c r="AA119">
        <v>1</v>
      </c>
      <c r="AB119">
        <v>10</v>
      </c>
      <c r="AC119">
        <v>6</v>
      </c>
      <c r="AD119">
        <v>3</v>
      </c>
      <c r="AE119">
        <v>9</v>
      </c>
      <c r="AF119">
        <v>7</v>
      </c>
      <c r="AG119">
        <v>2</v>
      </c>
      <c r="AH119">
        <v>8</v>
      </c>
    </row>
    <row r="120" spans="1:34" x14ac:dyDescent="0.2">
      <c r="A120">
        <v>36</v>
      </c>
      <c r="B120" t="s">
        <v>42</v>
      </c>
      <c r="C120" t="s">
        <v>35</v>
      </c>
      <c r="D120" t="s">
        <v>44</v>
      </c>
      <c r="E120">
        <v>3</v>
      </c>
      <c r="F120">
        <v>2</v>
      </c>
      <c r="G120" t="s">
        <v>37</v>
      </c>
      <c r="H120">
        <v>1</v>
      </c>
      <c r="I120">
        <v>155</v>
      </c>
      <c r="J120">
        <v>1</v>
      </c>
      <c r="K120" t="s">
        <v>38</v>
      </c>
      <c r="L120">
        <v>39</v>
      </c>
      <c r="M120">
        <v>3</v>
      </c>
      <c r="N120">
        <v>1</v>
      </c>
      <c r="O120" t="s">
        <v>49</v>
      </c>
      <c r="P120">
        <v>4</v>
      </c>
      <c r="Q120" t="s">
        <v>51</v>
      </c>
      <c r="R120">
        <v>2835</v>
      </c>
      <c r="S120">
        <v>2561</v>
      </c>
      <c r="T120">
        <v>5</v>
      </c>
      <c r="U120" t="s">
        <v>41</v>
      </c>
      <c r="V120" t="s">
        <v>42</v>
      </c>
      <c r="W120">
        <v>22</v>
      </c>
      <c r="X120">
        <v>4</v>
      </c>
      <c r="Y120">
        <v>1</v>
      </c>
      <c r="Z120">
        <v>80</v>
      </c>
      <c r="AA120">
        <v>1</v>
      </c>
      <c r="AB120">
        <v>7</v>
      </c>
      <c r="AC120">
        <v>2</v>
      </c>
      <c r="AD120">
        <v>3</v>
      </c>
      <c r="AE120">
        <v>1</v>
      </c>
      <c r="AF120">
        <v>0</v>
      </c>
      <c r="AG120">
        <v>0</v>
      </c>
      <c r="AH120">
        <v>0</v>
      </c>
    </row>
    <row r="121" spans="1:34" x14ac:dyDescent="0.2">
      <c r="A121">
        <v>43</v>
      </c>
      <c r="B121" t="s">
        <v>42</v>
      </c>
      <c r="C121" t="s">
        <v>43</v>
      </c>
      <c r="D121" t="s">
        <v>36</v>
      </c>
      <c r="E121">
        <v>26</v>
      </c>
      <c r="F121">
        <v>2</v>
      </c>
      <c r="G121" t="s">
        <v>37</v>
      </c>
      <c r="H121">
        <v>1</v>
      </c>
      <c r="I121">
        <v>158</v>
      </c>
      <c r="J121">
        <v>3</v>
      </c>
      <c r="K121" t="s">
        <v>45</v>
      </c>
      <c r="L121">
        <v>92</v>
      </c>
      <c r="M121">
        <v>3</v>
      </c>
      <c r="N121">
        <v>4</v>
      </c>
      <c r="O121" t="s">
        <v>55</v>
      </c>
      <c r="P121">
        <v>4</v>
      </c>
      <c r="Q121" t="s">
        <v>47</v>
      </c>
      <c r="R121">
        <v>16959</v>
      </c>
      <c r="S121">
        <v>19494</v>
      </c>
      <c r="T121">
        <v>1</v>
      </c>
      <c r="U121" t="s">
        <v>41</v>
      </c>
      <c r="V121" t="s">
        <v>34</v>
      </c>
      <c r="W121">
        <v>12</v>
      </c>
      <c r="X121">
        <v>3</v>
      </c>
      <c r="Y121">
        <v>4</v>
      </c>
      <c r="Z121">
        <v>80</v>
      </c>
      <c r="AA121">
        <v>2</v>
      </c>
      <c r="AB121">
        <v>25</v>
      </c>
      <c r="AC121">
        <v>3</v>
      </c>
      <c r="AD121">
        <v>4</v>
      </c>
      <c r="AE121">
        <v>25</v>
      </c>
      <c r="AF121">
        <v>12</v>
      </c>
      <c r="AG121">
        <v>4</v>
      </c>
      <c r="AH121">
        <v>12</v>
      </c>
    </row>
    <row r="122" spans="1:34" x14ac:dyDescent="0.2">
      <c r="A122">
        <v>30</v>
      </c>
      <c r="B122" t="s">
        <v>42</v>
      </c>
      <c r="C122" t="s">
        <v>43</v>
      </c>
      <c r="D122" t="s">
        <v>44</v>
      </c>
      <c r="E122">
        <v>23</v>
      </c>
      <c r="F122">
        <v>3</v>
      </c>
      <c r="G122" t="s">
        <v>37</v>
      </c>
      <c r="H122">
        <v>1</v>
      </c>
      <c r="I122">
        <v>159</v>
      </c>
      <c r="J122">
        <v>1</v>
      </c>
      <c r="K122" t="s">
        <v>45</v>
      </c>
      <c r="L122">
        <v>96</v>
      </c>
      <c r="M122">
        <v>1</v>
      </c>
      <c r="N122">
        <v>1</v>
      </c>
      <c r="O122" t="s">
        <v>46</v>
      </c>
      <c r="P122">
        <v>3</v>
      </c>
      <c r="Q122" t="s">
        <v>51</v>
      </c>
      <c r="R122">
        <v>2613</v>
      </c>
      <c r="S122">
        <v>22310</v>
      </c>
      <c r="T122">
        <v>1</v>
      </c>
      <c r="U122" t="s">
        <v>41</v>
      </c>
      <c r="V122" t="s">
        <v>42</v>
      </c>
      <c r="W122">
        <v>25</v>
      </c>
      <c r="X122">
        <v>4</v>
      </c>
      <c r="Y122">
        <v>3</v>
      </c>
      <c r="Z122">
        <v>80</v>
      </c>
      <c r="AA122">
        <v>3</v>
      </c>
      <c r="AB122">
        <v>10</v>
      </c>
      <c r="AC122">
        <v>2</v>
      </c>
      <c r="AD122">
        <v>2</v>
      </c>
      <c r="AE122">
        <v>10</v>
      </c>
      <c r="AF122">
        <v>7</v>
      </c>
      <c r="AG122">
        <v>0</v>
      </c>
      <c r="AH122">
        <v>9</v>
      </c>
    </row>
    <row r="123" spans="1:34" x14ac:dyDescent="0.2">
      <c r="A123">
        <v>33</v>
      </c>
      <c r="B123" t="s">
        <v>42</v>
      </c>
      <c r="C123" t="s">
        <v>54</v>
      </c>
      <c r="D123" t="s">
        <v>36</v>
      </c>
      <c r="E123">
        <v>22</v>
      </c>
      <c r="F123">
        <v>2</v>
      </c>
      <c r="G123" t="s">
        <v>58</v>
      </c>
      <c r="H123">
        <v>1</v>
      </c>
      <c r="I123">
        <v>160</v>
      </c>
      <c r="J123">
        <v>3</v>
      </c>
      <c r="K123" t="s">
        <v>45</v>
      </c>
      <c r="L123">
        <v>95</v>
      </c>
      <c r="M123">
        <v>3</v>
      </c>
      <c r="N123">
        <v>2</v>
      </c>
      <c r="O123" t="s">
        <v>39</v>
      </c>
      <c r="P123">
        <v>2</v>
      </c>
      <c r="Q123" t="s">
        <v>47</v>
      </c>
      <c r="R123">
        <v>6146</v>
      </c>
      <c r="S123">
        <v>15480</v>
      </c>
      <c r="T123">
        <v>0</v>
      </c>
      <c r="U123" t="s">
        <v>41</v>
      </c>
      <c r="V123" t="s">
        <v>42</v>
      </c>
      <c r="W123">
        <v>13</v>
      </c>
      <c r="X123">
        <v>3</v>
      </c>
      <c r="Y123">
        <v>1</v>
      </c>
      <c r="Z123">
        <v>80</v>
      </c>
      <c r="AA123">
        <v>1</v>
      </c>
      <c r="AB123">
        <v>8</v>
      </c>
      <c r="AC123">
        <v>2</v>
      </c>
      <c r="AD123">
        <v>4</v>
      </c>
      <c r="AE123">
        <v>7</v>
      </c>
      <c r="AF123">
        <v>7</v>
      </c>
      <c r="AG123">
        <v>0</v>
      </c>
      <c r="AH123">
        <v>7</v>
      </c>
    </row>
    <row r="124" spans="1:34" x14ac:dyDescent="0.2">
      <c r="A124">
        <v>56</v>
      </c>
      <c r="B124" t="s">
        <v>34</v>
      </c>
      <c r="C124" t="s">
        <v>35</v>
      </c>
      <c r="D124" t="s">
        <v>44</v>
      </c>
      <c r="E124">
        <v>14</v>
      </c>
      <c r="F124">
        <v>4</v>
      </c>
      <c r="G124" t="s">
        <v>37</v>
      </c>
      <c r="H124">
        <v>1</v>
      </c>
      <c r="I124">
        <v>161</v>
      </c>
      <c r="J124">
        <v>2</v>
      </c>
      <c r="K124" t="s">
        <v>38</v>
      </c>
      <c r="L124">
        <v>72</v>
      </c>
      <c r="M124">
        <v>3</v>
      </c>
      <c r="N124">
        <v>1</v>
      </c>
      <c r="O124" t="s">
        <v>46</v>
      </c>
      <c r="P124">
        <v>2</v>
      </c>
      <c r="Q124" t="s">
        <v>47</v>
      </c>
      <c r="R124">
        <v>4963</v>
      </c>
      <c r="S124">
        <v>4510</v>
      </c>
      <c r="T124">
        <v>9</v>
      </c>
      <c r="U124" t="s">
        <v>41</v>
      </c>
      <c r="V124" t="s">
        <v>34</v>
      </c>
      <c r="W124">
        <v>18</v>
      </c>
      <c r="X124">
        <v>3</v>
      </c>
      <c r="Y124">
        <v>1</v>
      </c>
      <c r="Z124">
        <v>80</v>
      </c>
      <c r="AA124">
        <v>3</v>
      </c>
      <c r="AB124">
        <v>7</v>
      </c>
      <c r="AC124">
        <v>2</v>
      </c>
      <c r="AD124">
        <v>3</v>
      </c>
      <c r="AE124">
        <v>5</v>
      </c>
      <c r="AF124">
        <v>4</v>
      </c>
      <c r="AG124">
        <v>4</v>
      </c>
      <c r="AH124">
        <v>3</v>
      </c>
    </row>
    <row r="125" spans="1:34" x14ac:dyDescent="0.2">
      <c r="A125">
        <v>51</v>
      </c>
      <c r="B125" t="s">
        <v>42</v>
      </c>
      <c r="C125" t="s">
        <v>35</v>
      </c>
      <c r="D125" t="s">
        <v>44</v>
      </c>
      <c r="E125">
        <v>6</v>
      </c>
      <c r="F125">
        <v>3</v>
      </c>
      <c r="G125" t="s">
        <v>37</v>
      </c>
      <c r="H125">
        <v>1</v>
      </c>
      <c r="I125">
        <v>162</v>
      </c>
      <c r="J125">
        <v>1</v>
      </c>
      <c r="K125" t="s">
        <v>45</v>
      </c>
      <c r="L125">
        <v>51</v>
      </c>
      <c r="M125">
        <v>3</v>
      </c>
      <c r="N125">
        <v>5</v>
      </c>
      <c r="O125" t="s">
        <v>57</v>
      </c>
      <c r="P125">
        <v>3</v>
      </c>
      <c r="Q125" t="s">
        <v>40</v>
      </c>
      <c r="R125">
        <v>19537</v>
      </c>
      <c r="S125">
        <v>6462</v>
      </c>
      <c r="T125">
        <v>7</v>
      </c>
      <c r="U125" t="s">
        <v>41</v>
      </c>
      <c r="V125" t="s">
        <v>42</v>
      </c>
      <c r="W125">
        <v>13</v>
      </c>
      <c r="X125">
        <v>3</v>
      </c>
      <c r="Y125">
        <v>3</v>
      </c>
      <c r="Z125">
        <v>80</v>
      </c>
      <c r="AA125">
        <v>0</v>
      </c>
      <c r="AB125">
        <v>23</v>
      </c>
      <c r="AC125">
        <v>5</v>
      </c>
      <c r="AD125">
        <v>3</v>
      </c>
      <c r="AE125">
        <v>20</v>
      </c>
      <c r="AF125">
        <v>18</v>
      </c>
      <c r="AG125">
        <v>15</v>
      </c>
      <c r="AH125">
        <v>15</v>
      </c>
    </row>
    <row r="126" spans="1:34" x14ac:dyDescent="0.2">
      <c r="A126">
        <v>31</v>
      </c>
      <c r="B126" t="s">
        <v>34</v>
      </c>
      <c r="C126" t="s">
        <v>35</v>
      </c>
      <c r="D126" t="s">
        <v>36</v>
      </c>
      <c r="E126">
        <v>6</v>
      </c>
      <c r="F126">
        <v>4</v>
      </c>
      <c r="G126" t="s">
        <v>37</v>
      </c>
      <c r="H126">
        <v>1</v>
      </c>
      <c r="I126">
        <v>163</v>
      </c>
      <c r="J126">
        <v>2</v>
      </c>
      <c r="K126" t="s">
        <v>45</v>
      </c>
      <c r="L126">
        <v>76</v>
      </c>
      <c r="M126">
        <v>1</v>
      </c>
      <c r="N126">
        <v>2</v>
      </c>
      <c r="O126" t="s">
        <v>39</v>
      </c>
      <c r="P126">
        <v>3</v>
      </c>
      <c r="Q126" t="s">
        <v>47</v>
      </c>
      <c r="R126">
        <v>6172</v>
      </c>
      <c r="S126">
        <v>20739</v>
      </c>
      <c r="T126">
        <v>4</v>
      </c>
      <c r="U126" t="s">
        <v>41</v>
      </c>
      <c r="V126" t="s">
        <v>34</v>
      </c>
      <c r="W126">
        <v>18</v>
      </c>
      <c r="X126">
        <v>3</v>
      </c>
      <c r="Y126">
        <v>2</v>
      </c>
      <c r="Z126">
        <v>80</v>
      </c>
      <c r="AA126">
        <v>0</v>
      </c>
      <c r="AB126">
        <v>12</v>
      </c>
      <c r="AC126">
        <v>3</v>
      </c>
      <c r="AD126">
        <v>2</v>
      </c>
      <c r="AE126">
        <v>7</v>
      </c>
      <c r="AF126">
        <v>7</v>
      </c>
      <c r="AG126">
        <v>7</v>
      </c>
      <c r="AH126">
        <v>7</v>
      </c>
    </row>
    <row r="127" spans="1:34" x14ac:dyDescent="0.2">
      <c r="A127">
        <v>26</v>
      </c>
      <c r="B127" t="s">
        <v>42</v>
      </c>
      <c r="C127" t="s">
        <v>35</v>
      </c>
      <c r="D127" t="s">
        <v>44</v>
      </c>
      <c r="E127">
        <v>6</v>
      </c>
      <c r="F127">
        <v>3</v>
      </c>
      <c r="G127" t="s">
        <v>48</v>
      </c>
      <c r="H127">
        <v>1</v>
      </c>
      <c r="I127">
        <v>164</v>
      </c>
      <c r="J127">
        <v>3</v>
      </c>
      <c r="K127" t="s">
        <v>38</v>
      </c>
      <c r="L127">
        <v>46</v>
      </c>
      <c r="M127">
        <v>2</v>
      </c>
      <c r="N127">
        <v>1</v>
      </c>
      <c r="O127" t="s">
        <v>46</v>
      </c>
      <c r="P127">
        <v>2</v>
      </c>
      <c r="Q127" t="s">
        <v>47</v>
      </c>
      <c r="R127">
        <v>2368</v>
      </c>
      <c r="S127">
        <v>23300</v>
      </c>
      <c r="T127">
        <v>1</v>
      </c>
      <c r="U127" t="s">
        <v>41</v>
      </c>
      <c r="V127" t="s">
        <v>42</v>
      </c>
      <c r="W127">
        <v>19</v>
      </c>
      <c r="X127">
        <v>3</v>
      </c>
      <c r="Y127">
        <v>3</v>
      </c>
      <c r="Z127">
        <v>80</v>
      </c>
      <c r="AA127">
        <v>0</v>
      </c>
      <c r="AB127">
        <v>5</v>
      </c>
      <c r="AC127">
        <v>3</v>
      </c>
      <c r="AD127">
        <v>2</v>
      </c>
      <c r="AE127">
        <v>5</v>
      </c>
      <c r="AF127">
        <v>4</v>
      </c>
      <c r="AG127">
        <v>4</v>
      </c>
      <c r="AH127">
        <v>3</v>
      </c>
    </row>
    <row r="128" spans="1:34" x14ac:dyDescent="0.2">
      <c r="A128">
        <v>58</v>
      </c>
      <c r="B128" t="s">
        <v>34</v>
      </c>
      <c r="C128" t="s">
        <v>35</v>
      </c>
      <c r="D128" t="s">
        <v>44</v>
      </c>
      <c r="E128">
        <v>23</v>
      </c>
      <c r="F128">
        <v>4</v>
      </c>
      <c r="G128" t="s">
        <v>50</v>
      </c>
      <c r="H128">
        <v>1</v>
      </c>
      <c r="I128">
        <v>165</v>
      </c>
      <c r="J128">
        <v>4</v>
      </c>
      <c r="K128" t="s">
        <v>38</v>
      </c>
      <c r="L128">
        <v>94</v>
      </c>
      <c r="M128">
        <v>3</v>
      </c>
      <c r="N128">
        <v>3</v>
      </c>
      <c r="O128" t="s">
        <v>53</v>
      </c>
      <c r="P128">
        <v>4</v>
      </c>
      <c r="Q128" t="s">
        <v>47</v>
      </c>
      <c r="R128">
        <v>10312</v>
      </c>
      <c r="S128">
        <v>3465</v>
      </c>
      <c r="T128">
        <v>1</v>
      </c>
      <c r="U128" t="s">
        <v>41</v>
      </c>
      <c r="V128" t="s">
        <v>42</v>
      </c>
      <c r="W128">
        <v>12</v>
      </c>
      <c r="X128">
        <v>3</v>
      </c>
      <c r="Y128">
        <v>4</v>
      </c>
      <c r="Z128">
        <v>80</v>
      </c>
      <c r="AA128">
        <v>1</v>
      </c>
      <c r="AB128">
        <v>40</v>
      </c>
      <c r="AC128">
        <v>3</v>
      </c>
      <c r="AD128">
        <v>2</v>
      </c>
      <c r="AE128">
        <v>40</v>
      </c>
      <c r="AF128">
        <v>10</v>
      </c>
      <c r="AG128">
        <v>15</v>
      </c>
      <c r="AH128">
        <v>6</v>
      </c>
    </row>
    <row r="129" spans="1:34" x14ac:dyDescent="0.2">
      <c r="A129">
        <v>19</v>
      </c>
      <c r="B129" t="s">
        <v>34</v>
      </c>
      <c r="C129" t="s">
        <v>35</v>
      </c>
      <c r="D129" t="s">
        <v>36</v>
      </c>
      <c r="E129">
        <v>22</v>
      </c>
      <c r="F129">
        <v>1</v>
      </c>
      <c r="G129" t="s">
        <v>58</v>
      </c>
      <c r="H129">
        <v>1</v>
      </c>
      <c r="I129">
        <v>167</v>
      </c>
      <c r="J129">
        <v>4</v>
      </c>
      <c r="K129" t="s">
        <v>45</v>
      </c>
      <c r="L129">
        <v>50</v>
      </c>
      <c r="M129">
        <v>3</v>
      </c>
      <c r="N129">
        <v>1</v>
      </c>
      <c r="O129" t="s">
        <v>56</v>
      </c>
      <c r="P129">
        <v>3</v>
      </c>
      <c r="Q129" t="s">
        <v>40</v>
      </c>
      <c r="R129">
        <v>1675</v>
      </c>
      <c r="S129">
        <v>26820</v>
      </c>
      <c r="T129">
        <v>1</v>
      </c>
      <c r="U129" t="s">
        <v>41</v>
      </c>
      <c r="V129" t="s">
        <v>34</v>
      </c>
      <c r="W129">
        <v>19</v>
      </c>
      <c r="X129">
        <v>3</v>
      </c>
      <c r="Y129">
        <v>4</v>
      </c>
      <c r="Z129">
        <v>80</v>
      </c>
      <c r="AA129">
        <v>0</v>
      </c>
      <c r="AB129">
        <v>0</v>
      </c>
      <c r="AC129">
        <v>2</v>
      </c>
      <c r="AD129">
        <v>2</v>
      </c>
      <c r="AE129">
        <v>0</v>
      </c>
      <c r="AF129">
        <v>0</v>
      </c>
      <c r="AG129">
        <v>0</v>
      </c>
      <c r="AH129">
        <v>0</v>
      </c>
    </row>
    <row r="130" spans="1:34" x14ac:dyDescent="0.2">
      <c r="A130">
        <v>22</v>
      </c>
      <c r="B130" t="s">
        <v>42</v>
      </c>
      <c r="C130" t="s">
        <v>35</v>
      </c>
      <c r="D130" t="s">
        <v>44</v>
      </c>
      <c r="E130">
        <v>2</v>
      </c>
      <c r="F130">
        <v>1</v>
      </c>
      <c r="G130" t="s">
        <v>59</v>
      </c>
      <c r="H130">
        <v>1</v>
      </c>
      <c r="I130">
        <v>169</v>
      </c>
      <c r="J130">
        <v>3</v>
      </c>
      <c r="K130" t="s">
        <v>45</v>
      </c>
      <c r="L130">
        <v>100</v>
      </c>
      <c r="M130">
        <v>3</v>
      </c>
      <c r="N130">
        <v>1</v>
      </c>
      <c r="O130" t="s">
        <v>49</v>
      </c>
      <c r="P130">
        <v>4</v>
      </c>
      <c r="Q130" t="s">
        <v>47</v>
      </c>
      <c r="R130">
        <v>2523</v>
      </c>
      <c r="S130">
        <v>19299</v>
      </c>
      <c r="T130">
        <v>0</v>
      </c>
      <c r="U130" t="s">
        <v>41</v>
      </c>
      <c r="V130" t="s">
        <v>42</v>
      </c>
      <c r="W130">
        <v>14</v>
      </c>
      <c r="X130">
        <v>3</v>
      </c>
      <c r="Y130">
        <v>3</v>
      </c>
      <c r="Z130">
        <v>80</v>
      </c>
      <c r="AA130">
        <v>1</v>
      </c>
      <c r="AB130">
        <v>3</v>
      </c>
      <c r="AC130">
        <v>2</v>
      </c>
      <c r="AD130">
        <v>3</v>
      </c>
      <c r="AE130">
        <v>2</v>
      </c>
      <c r="AF130">
        <v>1</v>
      </c>
      <c r="AG130">
        <v>2</v>
      </c>
      <c r="AH130">
        <v>1</v>
      </c>
    </row>
    <row r="131" spans="1:34" x14ac:dyDescent="0.2">
      <c r="A131">
        <v>49</v>
      </c>
      <c r="B131" t="s">
        <v>42</v>
      </c>
      <c r="C131" t="s">
        <v>35</v>
      </c>
      <c r="D131" t="s">
        <v>44</v>
      </c>
      <c r="E131">
        <v>20</v>
      </c>
      <c r="F131">
        <v>4</v>
      </c>
      <c r="G131" t="s">
        <v>50</v>
      </c>
      <c r="H131">
        <v>1</v>
      </c>
      <c r="I131">
        <v>170</v>
      </c>
      <c r="J131">
        <v>3</v>
      </c>
      <c r="K131" t="s">
        <v>38</v>
      </c>
      <c r="L131">
        <v>96</v>
      </c>
      <c r="M131">
        <v>3</v>
      </c>
      <c r="N131">
        <v>2</v>
      </c>
      <c r="O131" t="s">
        <v>52</v>
      </c>
      <c r="P131">
        <v>1</v>
      </c>
      <c r="Q131" t="s">
        <v>47</v>
      </c>
      <c r="R131">
        <v>6567</v>
      </c>
      <c r="S131">
        <v>5549</v>
      </c>
      <c r="T131">
        <v>1</v>
      </c>
      <c r="U131" t="s">
        <v>41</v>
      </c>
      <c r="V131" t="s">
        <v>42</v>
      </c>
      <c r="W131">
        <v>14</v>
      </c>
      <c r="X131">
        <v>3</v>
      </c>
      <c r="Y131">
        <v>3</v>
      </c>
      <c r="Z131">
        <v>80</v>
      </c>
      <c r="AA131">
        <v>0</v>
      </c>
      <c r="AB131">
        <v>16</v>
      </c>
      <c r="AC131">
        <v>2</v>
      </c>
      <c r="AD131">
        <v>2</v>
      </c>
      <c r="AE131">
        <v>15</v>
      </c>
      <c r="AF131">
        <v>11</v>
      </c>
      <c r="AG131">
        <v>5</v>
      </c>
      <c r="AH131">
        <v>11</v>
      </c>
    </row>
    <row r="132" spans="1:34" x14ac:dyDescent="0.2">
      <c r="A132">
        <v>43</v>
      </c>
      <c r="B132" t="s">
        <v>42</v>
      </c>
      <c r="C132" t="s">
        <v>43</v>
      </c>
      <c r="D132" t="s">
        <v>44</v>
      </c>
      <c r="E132">
        <v>28</v>
      </c>
      <c r="F132">
        <v>3</v>
      </c>
      <c r="G132" t="s">
        <v>50</v>
      </c>
      <c r="H132">
        <v>1</v>
      </c>
      <c r="I132">
        <v>171</v>
      </c>
      <c r="J132">
        <v>2</v>
      </c>
      <c r="K132" t="s">
        <v>38</v>
      </c>
      <c r="L132">
        <v>72</v>
      </c>
      <c r="M132">
        <v>4</v>
      </c>
      <c r="N132">
        <v>1</v>
      </c>
      <c r="O132" t="s">
        <v>46</v>
      </c>
      <c r="P132">
        <v>3</v>
      </c>
      <c r="Q132" t="s">
        <v>40</v>
      </c>
      <c r="R132">
        <v>4739</v>
      </c>
      <c r="S132">
        <v>16090</v>
      </c>
      <c r="T132">
        <v>4</v>
      </c>
      <c r="U132" t="s">
        <v>41</v>
      </c>
      <c r="V132" t="s">
        <v>42</v>
      </c>
      <c r="W132">
        <v>12</v>
      </c>
      <c r="X132">
        <v>3</v>
      </c>
      <c r="Y132">
        <v>4</v>
      </c>
      <c r="Z132">
        <v>80</v>
      </c>
      <c r="AA132">
        <v>0</v>
      </c>
      <c r="AB132">
        <v>18</v>
      </c>
      <c r="AC132">
        <v>2</v>
      </c>
      <c r="AD132">
        <v>3</v>
      </c>
      <c r="AE132">
        <v>3</v>
      </c>
      <c r="AF132">
        <v>2</v>
      </c>
      <c r="AG132">
        <v>1</v>
      </c>
      <c r="AH132">
        <v>2</v>
      </c>
    </row>
    <row r="133" spans="1:34" x14ac:dyDescent="0.2">
      <c r="A133">
        <v>50</v>
      </c>
      <c r="B133" t="s">
        <v>42</v>
      </c>
      <c r="C133" t="s">
        <v>43</v>
      </c>
      <c r="D133" t="s">
        <v>36</v>
      </c>
      <c r="E133">
        <v>12</v>
      </c>
      <c r="F133">
        <v>3</v>
      </c>
      <c r="G133" t="s">
        <v>58</v>
      </c>
      <c r="H133">
        <v>1</v>
      </c>
      <c r="I133">
        <v>174</v>
      </c>
      <c r="J133">
        <v>3</v>
      </c>
      <c r="K133" t="s">
        <v>38</v>
      </c>
      <c r="L133">
        <v>77</v>
      </c>
      <c r="M133">
        <v>3</v>
      </c>
      <c r="N133">
        <v>3</v>
      </c>
      <c r="O133" t="s">
        <v>39</v>
      </c>
      <c r="P133">
        <v>4</v>
      </c>
      <c r="Q133" t="s">
        <v>40</v>
      </c>
      <c r="R133">
        <v>9208</v>
      </c>
      <c r="S133">
        <v>6645</v>
      </c>
      <c r="T133">
        <v>4</v>
      </c>
      <c r="U133" t="s">
        <v>41</v>
      </c>
      <c r="V133" t="s">
        <v>42</v>
      </c>
      <c r="W133">
        <v>11</v>
      </c>
      <c r="X133">
        <v>3</v>
      </c>
      <c r="Y133">
        <v>4</v>
      </c>
      <c r="Z133">
        <v>80</v>
      </c>
      <c r="AA133">
        <v>0</v>
      </c>
      <c r="AB133">
        <v>16</v>
      </c>
      <c r="AC133">
        <v>3</v>
      </c>
      <c r="AD133">
        <v>3</v>
      </c>
      <c r="AE133">
        <v>2</v>
      </c>
      <c r="AF133">
        <v>2</v>
      </c>
      <c r="AG133">
        <v>2</v>
      </c>
      <c r="AH133">
        <v>1</v>
      </c>
    </row>
    <row r="134" spans="1:34" x14ac:dyDescent="0.2">
      <c r="A134">
        <v>31</v>
      </c>
      <c r="B134" t="s">
        <v>34</v>
      </c>
      <c r="C134" t="s">
        <v>35</v>
      </c>
      <c r="D134" t="s">
        <v>36</v>
      </c>
      <c r="E134">
        <v>20</v>
      </c>
      <c r="F134">
        <v>3</v>
      </c>
      <c r="G134" t="s">
        <v>37</v>
      </c>
      <c r="H134">
        <v>1</v>
      </c>
      <c r="I134">
        <v>175</v>
      </c>
      <c r="J134">
        <v>2</v>
      </c>
      <c r="K134" t="s">
        <v>38</v>
      </c>
      <c r="L134">
        <v>71</v>
      </c>
      <c r="M134">
        <v>1</v>
      </c>
      <c r="N134">
        <v>2</v>
      </c>
      <c r="O134" t="s">
        <v>39</v>
      </c>
      <c r="P134">
        <v>3</v>
      </c>
      <c r="Q134" t="s">
        <v>47</v>
      </c>
      <c r="R134">
        <v>4559</v>
      </c>
      <c r="S134">
        <v>24788</v>
      </c>
      <c r="T134">
        <v>3</v>
      </c>
      <c r="U134" t="s">
        <v>41</v>
      </c>
      <c r="V134" t="s">
        <v>34</v>
      </c>
      <c r="W134">
        <v>11</v>
      </c>
      <c r="X134">
        <v>3</v>
      </c>
      <c r="Y134">
        <v>3</v>
      </c>
      <c r="Z134">
        <v>80</v>
      </c>
      <c r="AA134">
        <v>1</v>
      </c>
      <c r="AB134">
        <v>4</v>
      </c>
      <c r="AC134">
        <v>2</v>
      </c>
      <c r="AD134">
        <v>3</v>
      </c>
      <c r="AE134">
        <v>2</v>
      </c>
      <c r="AF134">
        <v>2</v>
      </c>
      <c r="AG134">
        <v>2</v>
      </c>
      <c r="AH134">
        <v>2</v>
      </c>
    </row>
    <row r="135" spans="1:34" x14ac:dyDescent="0.2">
      <c r="A135">
        <v>41</v>
      </c>
      <c r="B135" t="s">
        <v>42</v>
      </c>
      <c r="C135" t="s">
        <v>35</v>
      </c>
      <c r="D135" t="s">
        <v>36</v>
      </c>
      <c r="E135">
        <v>9</v>
      </c>
      <c r="F135">
        <v>1</v>
      </c>
      <c r="G135" t="s">
        <v>37</v>
      </c>
      <c r="H135">
        <v>1</v>
      </c>
      <c r="I135">
        <v>176</v>
      </c>
      <c r="J135">
        <v>3</v>
      </c>
      <c r="K135" t="s">
        <v>45</v>
      </c>
      <c r="L135">
        <v>96</v>
      </c>
      <c r="M135">
        <v>3</v>
      </c>
      <c r="N135">
        <v>3</v>
      </c>
      <c r="O135" t="s">
        <v>39</v>
      </c>
      <c r="P135">
        <v>3</v>
      </c>
      <c r="Q135" t="s">
        <v>51</v>
      </c>
      <c r="R135">
        <v>8189</v>
      </c>
      <c r="S135">
        <v>21196</v>
      </c>
      <c r="T135">
        <v>3</v>
      </c>
      <c r="U135" t="s">
        <v>41</v>
      </c>
      <c r="V135" t="s">
        <v>34</v>
      </c>
      <c r="W135">
        <v>13</v>
      </c>
      <c r="X135">
        <v>3</v>
      </c>
      <c r="Y135">
        <v>3</v>
      </c>
      <c r="Z135">
        <v>80</v>
      </c>
      <c r="AA135">
        <v>1</v>
      </c>
      <c r="AB135">
        <v>12</v>
      </c>
      <c r="AC135">
        <v>2</v>
      </c>
      <c r="AD135">
        <v>3</v>
      </c>
      <c r="AE135">
        <v>9</v>
      </c>
      <c r="AF135">
        <v>7</v>
      </c>
      <c r="AG135">
        <v>0</v>
      </c>
      <c r="AH135">
        <v>7</v>
      </c>
    </row>
    <row r="136" spans="1:34" x14ac:dyDescent="0.2">
      <c r="A136">
        <v>26</v>
      </c>
      <c r="B136" t="s">
        <v>42</v>
      </c>
      <c r="C136" t="s">
        <v>35</v>
      </c>
      <c r="D136" t="s">
        <v>60</v>
      </c>
      <c r="E136">
        <v>25</v>
      </c>
      <c r="F136">
        <v>1</v>
      </c>
      <c r="G136" t="s">
        <v>37</v>
      </c>
      <c r="H136">
        <v>1</v>
      </c>
      <c r="I136">
        <v>177</v>
      </c>
      <c r="J136">
        <v>3</v>
      </c>
      <c r="K136" t="s">
        <v>38</v>
      </c>
      <c r="L136">
        <v>61</v>
      </c>
      <c r="M136">
        <v>3</v>
      </c>
      <c r="N136">
        <v>1</v>
      </c>
      <c r="O136" t="s">
        <v>60</v>
      </c>
      <c r="P136">
        <v>3</v>
      </c>
      <c r="Q136" t="s">
        <v>47</v>
      </c>
      <c r="R136">
        <v>2942</v>
      </c>
      <c r="S136">
        <v>8916</v>
      </c>
      <c r="T136">
        <v>1</v>
      </c>
      <c r="U136" t="s">
        <v>41</v>
      </c>
      <c r="V136" t="s">
        <v>42</v>
      </c>
      <c r="W136">
        <v>23</v>
      </c>
      <c r="X136">
        <v>4</v>
      </c>
      <c r="Y136">
        <v>4</v>
      </c>
      <c r="Z136">
        <v>80</v>
      </c>
      <c r="AA136">
        <v>1</v>
      </c>
      <c r="AB136">
        <v>8</v>
      </c>
      <c r="AC136">
        <v>3</v>
      </c>
      <c r="AD136">
        <v>3</v>
      </c>
      <c r="AE136">
        <v>8</v>
      </c>
      <c r="AF136">
        <v>7</v>
      </c>
      <c r="AG136">
        <v>5</v>
      </c>
      <c r="AH136">
        <v>7</v>
      </c>
    </row>
    <row r="137" spans="1:34" x14ac:dyDescent="0.2">
      <c r="A137">
        <v>36</v>
      </c>
      <c r="B137" t="s">
        <v>42</v>
      </c>
      <c r="C137" t="s">
        <v>35</v>
      </c>
      <c r="D137" t="s">
        <v>44</v>
      </c>
      <c r="E137">
        <v>6</v>
      </c>
      <c r="F137">
        <v>2</v>
      </c>
      <c r="G137" t="s">
        <v>50</v>
      </c>
      <c r="H137">
        <v>1</v>
      </c>
      <c r="I137">
        <v>178</v>
      </c>
      <c r="J137">
        <v>2</v>
      </c>
      <c r="K137" t="s">
        <v>45</v>
      </c>
      <c r="L137">
        <v>84</v>
      </c>
      <c r="M137">
        <v>3</v>
      </c>
      <c r="N137">
        <v>2</v>
      </c>
      <c r="O137" t="s">
        <v>52</v>
      </c>
      <c r="P137">
        <v>2</v>
      </c>
      <c r="Q137" t="s">
        <v>51</v>
      </c>
      <c r="R137">
        <v>4941</v>
      </c>
      <c r="S137">
        <v>2819</v>
      </c>
      <c r="T137">
        <v>6</v>
      </c>
      <c r="U137" t="s">
        <v>41</v>
      </c>
      <c r="V137" t="s">
        <v>42</v>
      </c>
      <c r="W137">
        <v>20</v>
      </c>
      <c r="X137">
        <v>4</v>
      </c>
      <c r="Y137">
        <v>4</v>
      </c>
      <c r="Z137">
        <v>80</v>
      </c>
      <c r="AA137">
        <v>2</v>
      </c>
      <c r="AB137">
        <v>7</v>
      </c>
      <c r="AC137">
        <v>0</v>
      </c>
      <c r="AD137">
        <v>3</v>
      </c>
      <c r="AE137">
        <v>3</v>
      </c>
      <c r="AF137">
        <v>2</v>
      </c>
      <c r="AG137">
        <v>0</v>
      </c>
      <c r="AH137">
        <v>1</v>
      </c>
    </row>
    <row r="138" spans="1:34" x14ac:dyDescent="0.2">
      <c r="A138">
        <v>51</v>
      </c>
      <c r="B138" t="s">
        <v>34</v>
      </c>
      <c r="C138" t="s">
        <v>43</v>
      </c>
      <c r="D138" t="s">
        <v>44</v>
      </c>
      <c r="E138">
        <v>8</v>
      </c>
      <c r="F138">
        <v>4</v>
      </c>
      <c r="G138" t="s">
        <v>37</v>
      </c>
      <c r="H138">
        <v>1</v>
      </c>
      <c r="I138">
        <v>179</v>
      </c>
      <c r="J138">
        <v>1</v>
      </c>
      <c r="K138" t="s">
        <v>45</v>
      </c>
      <c r="L138">
        <v>53</v>
      </c>
      <c r="M138">
        <v>1</v>
      </c>
      <c r="N138">
        <v>3</v>
      </c>
      <c r="O138" t="s">
        <v>52</v>
      </c>
      <c r="P138">
        <v>4</v>
      </c>
      <c r="Q138" t="s">
        <v>40</v>
      </c>
      <c r="R138">
        <v>10650</v>
      </c>
      <c r="S138">
        <v>25150</v>
      </c>
      <c r="T138">
        <v>2</v>
      </c>
      <c r="U138" t="s">
        <v>41</v>
      </c>
      <c r="V138" t="s">
        <v>42</v>
      </c>
      <c r="W138">
        <v>15</v>
      </c>
      <c r="X138">
        <v>3</v>
      </c>
      <c r="Y138">
        <v>4</v>
      </c>
      <c r="Z138">
        <v>80</v>
      </c>
      <c r="AA138">
        <v>0</v>
      </c>
      <c r="AB138">
        <v>18</v>
      </c>
      <c r="AC138">
        <v>2</v>
      </c>
      <c r="AD138">
        <v>3</v>
      </c>
      <c r="AE138">
        <v>4</v>
      </c>
      <c r="AF138">
        <v>2</v>
      </c>
      <c r="AG138">
        <v>0</v>
      </c>
      <c r="AH138">
        <v>3</v>
      </c>
    </row>
    <row r="139" spans="1:34" x14ac:dyDescent="0.2">
      <c r="A139">
        <v>39</v>
      </c>
      <c r="B139" t="s">
        <v>42</v>
      </c>
      <c r="C139" t="s">
        <v>35</v>
      </c>
      <c r="D139" t="s">
        <v>36</v>
      </c>
      <c r="E139">
        <v>4</v>
      </c>
      <c r="F139">
        <v>4</v>
      </c>
      <c r="G139" t="s">
        <v>37</v>
      </c>
      <c r="H139">
        <v>1</v>
      </c>
      <c r="I139">
        <v>182</v>
      </c>
      <c r="J139">
        <v>4</v>
      </c>
      <c r="K139" t="s">
        <v>38</v>
      </c>
      <c r="L139">
        <v>47</v>
      </c>
      <c r="M139">
        <v>2</v>
      </c>
      <c r="N139">
        <v>2</v>
      </c>
      <c r="O139" t="s">
        <v>39</v>
      </c>
      <c r="P139">
        <v>3</v>
      </c>
      <c r="Q139" t="s">
        <v>47</v>
      </c>
      <c r="R139">
        <v>5902</v>
      </c>
      <c r="S139">
        <v>14590</v>
      </c>
      <c r="T139">
        <v>4</v>
      </c>
      <c r="U139" t="s">
        <v>41</v>
      </c>
      <c r="V139" t="s">
        <v>42</v>
      </c>
      <c r="W139">
        <v>14</v>
      </c>
      <c r="X139">
        <v>3</v>
      </c>
      <c r="Y139">
        <v>3</v>
      </c>
      <c r="Z139">
        <v>80</v>
      </c>
      <c r="AA139">
        <v>1</v>
      </c>
      <c r="AB139">
        <v>17</v>
      </c>
      <c r="AC139">
        <v>1</v>
      </c>
      <c r="AD139">
        <v>4</v>
      </c>
      <c r="AE139">
        <v>15</v>
      </c>
      <c r="AF139">
        <v>11</v>
      </c>
      <c r="AG139">
        <v>5</v>
      </c>
      <c r="AH139">
        <v>9</v>
      </c>
    </row>
    <row r="140" spans="1:34" x14ac:dyDescent="0.2">
      <c r="A140">
        <v>25</v>
      </c>
      <c r="B140" t="s">
        <v>42</v>
      </c>
      <c r="C140" t="s">
        <v>35</v>
      </c>
      <c r="D140" t="s">
        <v>36</v>
      </c>
      <c r="E140">
        <v>28</v>
      </c>
      <c r="F140">
        <v>3</v>
      </c>
      <c r="G140" t="s">
        <v>37</v>
      </c>
      <c r="H140">
        <v>1</v>
      </c>
      <c r="I140">
        <v>183</v>
      </c>
      <c r="J140">
        <v>1</v>
      </c>
      <c r="K140" t="s">
        <v>45</v>
      </c>
      <c r="L140">
        <v>41</v>
      </c>
      <c r="M140">
        <v>2</v>
      </c>
      <c r="N140">
        <v>2</v>
      </c>
      <c r="O140" t="s">
        <v>39</v>
      </c>
      <c r="P140">
        <v>3</v>
      </c>
      <c r="Q140" t="s">
        <v>47</v>
      </c>
      <c r="R140">
        <v>8639</v>
      </c>
      <c r="S140">
        <v>24835</v>
      </c>
      <c r="T140">
        <v>2</v>
      </c>
      <c r="U140" t="s">
        <v>41</v>
      </c>
      <c r="V140" t="s">
        <v>42</v>
      </c>
      <c r="W140">
        <v>18</v>
      </c>
      <c r="X140">
        <v>3</v>
      </c>
      <c r="Y140">
        <v>4</v>
      </c>
      <c r="Z140">
        <v>80</v>
      </c>
      <c r="AA140">
        <v>0</v>
      </c>
      <c r="AB140">
        <v>6</v>
      </c>
      <c r="AC140">
        <v>3</v>
      </c>
      <c r="AD140">
        <v>3</v>
      </c>
      <c r="AE140">
        <v>2</v>
      </c>
      <c r="AF140">
        <v>2</v>
      </c>
      <c r="AG140">
        <v>2</v>
      </c>
      <c r="AH140">
        <v>2</v>
      </c>
    </row>
    <row r="141" spans="1:34" x14ac:dyDescent="0.2">
      <c r="A141">
        <v>30</v>
      </c>
      <c r="B141" t="s">
        <v>42</v>
      </c>
      <c r="C141" t="s">
        <v>35</v>
      </c>
      <c r="D141" t="s">
        <v>60</v>
      </c>
      <c r="E141">
        <v>9</v>
      </c>
      <c r="F141">
        <v>3</v>
      </c>
      <c r="G141" t="s">
        <v>60</v>
      </c>
      <c r="H141">
        <v>1</v>
      </c>
      <c r="I141">
        <v>184</v>
      </c>
      <c r="J141">
        <v>3</v>
      </c>
      <c r="K141" t="s">
        <v>45</v>
      </c>
      <c r="L141">
        <v>48</v>
      </c>
      <c r="M141">
        <v>3</v>
      </c>
      <c r="N141">
        <v>2</v>
      </c>
      <c r="O141" t="s">
        <v>60</v>
      </c>
      <c r="P141">
        <v>4</v>
      </c>
      <c r="Q141" t="s">
        <v>47</v>
      </c>
      <c r="R141">
        <v>6347</v>
      </c>
      <c r="S141">
        <v>13982</v>
      </c>
      <c r="T141">
        <v>0</v>
      </c>
      <c r="U141" t="s">
        <v>41</v>
      </c>
      <c r="V141" t="s">
        <v>34</v>
      </c>
      <c r="W141">
        <v>19</v>
      </c>
      <c r="X141">
        <v>3</v>
      </c>
      <c r="Y141">
        <v>4</v>
      </c>
      <c r="Z141">
        <v>80</v>
      </c>
      <c r="AA141">
        <v>0</v>
      </c>
      <c r="AB141">
        <v>12</v>
      </c>
      <c r="AC141">
        <v>2</v>
      </c>
      <c r="AD141">
        <v>1</v>
      </c>
      <c r="AE141">
        <v>11</v>
      </c>
      <c r="AF141">
        <v>9</v>
      </c>
      <c r="AG141">
        <v>4</v>
      </c>
      <c r="AH141">
        <v>7</v>
      </c>
    </row>
    <row r="142" spans="1:34" x14ac:dyDescent="0.2">
      <c r="A142">
        <v>32</v>
      </c>
      <c r="B142" t="s">
        <v>34</v>
      </c>
      <c r="C142" t="s">
        <v>35</v>
      </c>
      <c r="D142" t="s">
        <v>44</v>
      </c>
      <c r="E142">
        <v>9</v>
      </c>
      <c r="F142">
        <v>3</v>
      </c>
      <c r="G142" t="s">
        <v>50</v>
      </c>
      <c r="H142">
        <v>1</v>
      </c>
      <c r="I142">
        <v>190</v>
      </c>
      <c r="J142">
        <v>1</v>
      </c>
      <c r="K142" t="s">
        <v>38</v>
      </c>
      <c r="L142">
        <v>41</v>
      </c>
      <c r="M142">
        <v>3</v>
      </c>
      <c r="N142">
        <v>1</v>
      </c>
      <c r="O142" t="s">
        <v>49</v>
      </c>
      <c r="P142">
        <v>1</v>
      </c>
      <c r="Q142" t="s">
        <v>40</v>
      </c>
      <c r="R142">
        <v>4200</v>
      </c>
      <c r="S142">
        <v>10224</v>
      </c>
      <c r="T142">
        <v>7</v>
      </c>
      <c r="U142" t="s">
        <v>41</v>
      </c>
      <c r="V142" t="s">
        <v>42</v>
      </c>
      <c r="W142">
        <v>22</v>
      </c>
      <c r="X142">
        <v>4</v>
      </c>
      <c r="Y142">
        <v>1</v>
      </c>
      <c r="Z142">
        <v>80</v>
      </c>
      <c r="AA142">
        <v>0</v>
      </c>
      <c r="AB142">
        <v>10</v>
      </c>
      <c r="AC142">
        <v>2</v>
      </c>
      <c r="AD142">
        <v>4</v>
      </c>
      <c r="AE142">
        <v>5</v>
      </c>
      <c r="AF142">
        <v>4</v>
      </c>
      <c r="AG142">
        <v>0</v>
      </c>
      <c r="AH142">
        <v>4</v>
      </c>
    </row>
    <row r="143" spans="1:34" x14ac:dyDescent="0.2">
      <c r="A143">
        <v>45</v>
      </c>
      <c r="B143" t="s">
        <v>42</v>
      </c>
      <c r="C143" t="s">
        <v>35</v>
      </c>
      <c r="D143" t="s">
        <v>44</v>
      </c>
      <c r="E143">
        <v>29</v>
      </c>
      <c r="F143">
        <v>3</v>
      </c>
      <c r="G143" t="s">
        <v>50</v>
      </c>
      <c r="H143">
        <v>1</v>
      </c>
      <c r="I143">
        <v>192</v>
      </c>
      <c r="J143">
        <v>3</v>
      </c>
      <c r="K143" t="s">
        <v>45</v>
      </c>
      <c r="L143">
        <v>83</v>
      </c>
      <c r="M143">
        <v>3</v>
      </c>
      <c r="N143">
        <v>1</v>
      </c>
      <c r="O143" t="s">
        <v>46</v>
      </c>
      <c r="P143">
        <v>4</v>
      </c>
      <c r="Q143" t="s">
        <v>40</v>
      </c>
      <c r="R143">
        <v>3452</v>
      </c>
      <c r="S143">
        <v>9752</v>
      </c>
      <c r="T143">
        <v>5</v>
      </c>
      <c r="U143" t="s">
        <v>41</v>
      </c>
      <c r="V143" t="s">
        <v>42</v>
      </c>
      <c r="W143">
        <v>13</v>
      </c>
      <c r="X143">
        <v>3</v>
      </c>
      <c r="Y143">
        <v>2</v>
      </c>
      <c r="Z143">
        <v>80</v>
      </c>
      <c r="AA143">
        <v>0</v>
      </c>
      <c r="AB143">
        <v>9</v>
      </c>
      <c r="AC143">
        <v>2</v>
      </c>
      <c r="AD143">
        <v>2</v>
      </c>
      <c r="AE143">
        <v>6</v>
      </c>
      <c r="AF143">
        <v>5</v>
      </c>
      <c r="AG143">
        <v>0</v>
      </c>
      <c r="AH143">
        <v>3</v>
      </c>
    </row>
    <row r="144" spans="1:34" x14ac:dyDescent="0.2">
      <c r="A144">
        <v>38</v>
      </c>
      <c r="B144" t="s">
        <v>42</v>
      </c>
      <c r="C144" t="s">
        <v>35</v>
      </c>
      <c r="D144" t="s">
        <v>44</v>
      </c>
      <c r="E144">
        <v>3</v>
      </c>
      <c r="F144">
        <v>5</v>
      </c>
      <c r="G144" t="s">
        <v>59</v>
      </c>
      <c r="H144">
        <v>1</v>
      </c>
      <c r="I144">
        <v>193</v>
      </c>
      <c r="J144">
        <v>4</v>
      </c>
      <c r="K144" t="s">
        <v>38</v>
      </c>
      <c r="L144">
        <v>32</v>
      </c>
      <c r="M144">
        <v>3</v>
      </c>
      <c r="N144">
        <v>2</v>
      </c>
      <c r="O144" t="s">
        <v>46</v>
      </c>
      <c r="P144">
        <v>3</v>
      </c>
      <c r="Q144" t="s">
        <v>40</v>
      </c>
      <c r="R144">
        <v>4317</v>
      </c>
      <c r="S144">
        <v>2302</v>
      </c>
      <c r="T144">
        <v>3</v>
      </c>
      <c r="U144" t="s">
        <v>41</v>
      </c>
      <c r="V144" t="s">
        <v>34</v>
      </c>
      <c r="W144">
        <v>20</v>
      </c>
      <c r="X144">
        <v>4</v>
      </c>
      <c r="Y144">
        <v>2</v>
      </c>
      <c r="Z144">
        <v>80</v>
      </c>
      <c r="AA144">
        <v>0</v>
      </c>
      <c r="AB144">
        <v>19</v>
      </c>
      <c r="AC144">
        <v>2</v>
      </c>
      <c r="AD144">
        <v>3</v>
      </c>
      <c r="AE144">
        <v>3</v>
      </c>
      <c r="AF144">
        <v>2</v>
      </c>
      <c r="AG144">
        <v>2</v>
      </c>
      <c r="AH144">
        <v>2</v>
      </c>
    </row>
    <row r="145" spans="1:34" x14ac:dyDescent="0.2">
      <c r="A145">
        <v>30</v>
      </c>
      <c r="B145" t="s">
        <v>42</v>
      </c>
      <c r="C145" t="s">
        <v>35</v>
      </c>
      <c r="D145" t="s">
        <v>44</v>
      </c>
      <c r="E145">
        <v>18</v>
      </c>
      <c r="F145">
        <v>3</v>
      </c>
      <c r="G145" t="s">
        <v>37</v>
      </c>
      <c r="H145">
        <v>1</v>
      </c>
      <c r="I145">
        <v>194</v>
      </c>
      <c r="J145">
        <v>1</v>
      </c>
      <c r="K145" t="s">
        <v>38</v>
      </c>
      <c r="L145">
        <v>75</v>
      </c>
      <c r="M145">
        <v>3</v>
      </c>
      <c r="N145">
        <v>1</v>
      </c>
      <c r="O145" t="s">
        <v>46</v>
      </c>
      <c r="P145">
        <v>3</v>
      </c>
      <c r="Q145" t="s">
        <v>40</v>
      </c>
      <c r="R145">
        <v>2632</v>
      </c>
      <c r="S145">
        <v>23910</v>
      </c>
      <c r="T145">
        <v>1</v>
      </c>
      <c r="U145" t="s">
        <v>41</v>
      </c>
      <c r="V145" t="s">
        <v>42</v>
      </c>
      <c r="W145">
        <v>14</v>
      </c>
      <c r="X145">
        <v>3</v>
      </c>
      <c r="Y145">
        <v>3</v>
      </c>
      <c r="Z145">
        <v>80</v>
      </c>
      <c r="AA145">
        <v>0</v>
      </c>
      <c r="AB145">
        <v>5</v>
      </c>
      <c r="AC145">
        <v>4</v>
      </c>
      <c r="AD145">
        <v>2</v>
      </c>
      <c r="AE145">
        <v>5</v>
      </c>
      <c r="AF145">
        <v>4</v>
      </c>
      <c r="AG145">
        <v>0</v>
      </c>
      <c r="AH145">
        <v>4</v>
      </c>
    </row>
    <row r="146" spans="1:34" x14ac:dyDescent="0.2">
      <c r="A146">
        <v>32</v>
      </c>
      <c r="B146" t="s">
        <v>42</v>
      </c>
      <c r="C146" t="s">
        <v>43</v>
      </c>
      <c r="D146" t="s">
        <v>36</v>
      </c>
      <c r="E146">
        <v>9</v>
      </c>
      <c r="F146">
        <v>2</v>
      </c>
      <c r="G146" t="s">
        <v>50</v>
      </c>
      <c r="H146">
        <v>1</v>
      </c>
      <c r="I146">
        <v>195</v>
      </c>
      <c r="J146">
        <v>4</v>
      </c>
      <c r="K146" t="s">
        <v>45</v>
      </c>
      <c r="L146">
        <v>35</v>
      </c>
      <c r="M146">
        <v>1</v>
      </c>
      <c r="N146">
        <v>2</v>
      </c>
      <c r="O146" t="s">
        <v>39</v>
      </c>
      <c r="P146">
        <v>4</v>
      </c>
      <c r="Q146" t="s">
        <v>51</v>
      </c>
      <c r="R146">
        <v>4668</v>
      </c>
      <c r="S146">
        <v>22812</v>
      </c>
      <c r="T146">
        <v>0</v>
      </c>
      <c r="U146" t="s">
        <v>41</v>
      </c>
      <c r="V146" t="s">
        <v>42</v>
      </c>
      <c r="W146">
        <v>17</v>
      </c>
      <c r="X146">
        <v>3</v>
      </c>
      <c r="Y146">
        <v>4</v>
      </c>
      <c r="Z146">
        <v>80</v>
      </c>
      <c r="AA146">
        <v>3</v>
      </c>
      <c r="AB146">
        <v>9</v>
      </c>
      <c r="AC146">
        <v>2</v>
      </c>
      <c r="AD146">
        <v>4</v>
      </c>
      <c r="AE146">
        <v>8</v>
      </c>
      <c r="AF146">
        <v>7</v>
      </c>
      <c r="AG146">
        <v>0</v>
      </c>
      <c r="AH146">
        <v>7</v>
      </c>
    </row>
    <row r="147" spans="1:34" x14ac:dyDescent="0.2">
      <c r="A147">
        <v>30</v>
      </c>
      <c r="B147" t="s">
        <v>42</v>
      </c>
      <c r="C147" t="s">
        <v>35</v>
      </c>
      <c r="D147" t="s">
        <v>44</v>
      </c>
      <c r="E147">
        <v>5</v>
      </c>
      <c r="F147">
        <v>3</v>
      </c>
      <c r="G147" t="s">
        <v>59</v>
      </c>
      <c r="H147">
        <v>1</v>
      </c>
      <c r="I147">
        <v>197</v>
      </c>
      <c r="J147">
        <v>4</v>
      </c>
      <c r="K147" t="s">
        <v>38</v>
      </c>
      <c r="L147">
        <v>84</v>
      </c>
      <c r="M147">
        <v>3</v>
      </c>
      <c r="N147">
        <v>1</v>
      </c>
      <c r="O147" t="s">
        <v>46</v>
      </c>
      <c r="P147">
        <v>1</v>
      </c>
      <c r="Q147" t="s">
        <v>51</v>
      </c>
      <c r="R147">
        <v>3204</v>
      </c>
      <c r="S147">
        <v>10415</v>
      </c>
      <c r="T147">
        <v>5</v>
      </c>
      <c r="U147" t="s">
        <v>41</v>
      </c>
      <c r="V147" t="s">
        <v>42</v>
      </c>
      <c r="W147">
        <v>14</v>
      </c>
      <c r="X147">
        <v>3</v>
      </c>
      <c r="Y147">
        <v>4</v>
      </c>
      <c r="Z147">
        <v>80</v>
      </c>
      <c r="AA147">
        <v>1</v>
      </c>
      <c r="AB147">
        <v>8</v>
      </c>
      <c r="AC147">
        <v>3</v>
      </c>
      <c r="AD147">
        <v>3</v>
      </c>
      <c r="AE147">
        <v>3</v>
      </c>
      <c r="AF147">
        <v>2</v>
      </c>
      <c r="AG147">
        <v>2</v>
      </c>
      <c r="AH147">
        <v>2</v>
      </c>
    </row>
    <row r="148" spans="1:34" x14ac:dyDescent="0.2">
      <c r="A148">
        <v>30</v>
      </c>
      <c r="B148" t="s">
        <v>42</v>
      </c>
      <c r="C148" t="s">
        <v>35</v>
      </c>
      <c r="D148" t="s">
        <v>44</v>
      </c>
      <c r="E148">
        <v>2</v>
      </c>
      <c r="F148">
        <v>1</v>
      </c>
      <c r="G148" t="s">
        <v>50</v>
      </c>
      <c r="H148">
        <v>1</v>
      </c>
      <c r="I148">
        <v>198</v>
      </c>
      <c r="J148">
        <v>2</v>
      </c>
      <c r="K148" t="s">
        <v>45</v>
      </c>
      <c r="L148">
        <v>35</v>
      </c>
      <c r="M148">
        <v>2</v>
      </c>
      <c r="N148">
        <v>1</v>
      </c>
      <c r="O148" t="s">
        <v>49</v>
      </c>
      <c r="P148">
        <v>4</v>
      </c>
      <c r="Q148" t="s">
        <v>40</v>
      </c>
      <c r="R148">
        <v>2720</v>
      </c>
      <c r="S148">
        <v>11162</v>
      </c>
      <c r="T148">
        <v>0</v>
      </c>
      <c r="U148" t="s">
        <v>41</v>
      </c>
      <c r="V148" t="s">
        <v>42</v>
      </c>
      <c r="W148">
        <v>13</v>
      </c>
      <c r="X148">
        <v>3</v>
      </c>
      <c r="Y148">
        <v>4</v>
      </c>
      <c r="Z148">
        <v>80</v>
      </c>
      <c r="AA148">
        <v>0</v>
      </c>
      <c r="AB148">
        <v>6</v>
      </c>
      <c r="AC148">
        <v>3</v>
      </c>
      <c r="AD148">
        <v>3</v>
      </c>
      <c r="AE148">
        <v>5</v>
      </c>
      <c r="AF148">
        <v>3</v>
      </c>
      <c r="AG148">
        <v>1</v>
      </c>
      <c r="AH148">
        <v>2</v>
      </c>
    </row>
    <row r="149" spans="1:34" x14ac:dyDescent="0.2">
      <c r="A149">
        <v>41</v>
      </c>
      <c r="B149" t="s">
        <v>42</v>
      </c>
      <c r="C149" t="s">
        <v>43</v>
      </c>
      <c r="D149" t="s">
        <v>44</v>
      </c>
      <c r="E149">
        <v>10</v>
      </c>
      <c r="F149">
        <v>3</v>
      </c>
      <c r="G149" t="s">
        <v>37</v>
      </c>
      <c r="H149">
        <v>1</v>
      </c>
      <c r="I149">
        <v>199</v>
      </c>
      <c r="J149">
        <v>4</v>
      </c>
      <c r="K149" t="s">
        <v>45</v>
      </c>
      <c r="L149">
        <v>91</v>
      </c>
      <c r="M149">
        <v>2</v>
      </c>
      <c r="N149">
        <v>4</v>
      </c>
      <c r="O149" t="s">
        <v>55</v>
      </c>
      <c r="P149">
        <v>1</v>
      </c>
      <c r="Q149" t="s">
        <v>51</v>
      </c>
      <c r="R149">
        <v>17181</v>
      </c>
      <c r="S149">
        <v>12888</v>
      </c>
      <c r="T149">
        <v>4</v>
      </c>
      <c r="U149" t="s">
        <v>41</v>
      </c>
      <c r="V149" t="s">
        <v>42</v>
      </c>
      <c r="W149">
        <v>13</v>
      </c>
      <c r="X149">
        <v>3</v>
      </c>
      <c r="Y149">
        <v>2</v>
      </c>
      <c r="Z149">
        <v>80</v>
      </c>
      <c r="AA149">
        <v>1</v>
      </c>
      <c r="AB149">
        <v>21</v>
      </c>
      <c r="AC149">
        <v>2</v>
      </c>
      <c r="AD149">
        <v>2</v>
      </c>
      <c r="AE149">
        <v>7</v>
      </c>
      <c r="AF149">
        <v>6</v>
      </c>
      <c r="AG149">
        <v>7</v>
      </c>
      <c r="AH149">
        <v>7</v>
      </c>
    </row>
    <row r="150" spans="1:34" x14ac:dyDescent="0.2">
      <c r="A150">
        <v>41</v>
      </c>
      <c r="B150" t="s">
        <v>42</v>
      </c>
      <c r="C150" t="s">
        <v>35</v>
      </c>
      <c r="D150" t="s">
        <v>44</v>
      </c>
      <c r="E150">
        <v>9</v>
      </c>
      <c r="F150">
        <v>4</v>
      </c>
      <c r="G150" t="s">
        <v>37</v>
      </c>
      <c r="H150">
        <v>1</v>
      </c>
      <c r="I150">
        <v>200</v>
      </c>
      <c r="J150">
        <v>3</v>
      </c>
      <c r="K150" t="s">
        <v>45</v>
      </c>
      <c r="L150">
        <v>94</v>
      </c>
      <c r="M150">
        <v>3</v>
      </c>
      <c r="N150">
        <v>1</v>
      </c>
      <c r="O150" t="s">
        <v>49</v>
      </c>
      <c r="P150">
        <v>1</v>
      </c>
      <c r="Q150" t="s">
        <v>47</v>
      </c>
      <c r="R150">
        <v>2238</v>
      </c>
      <c r="S150">
        <v>6961</v>
      </c>
      <c r="T150">
        <v>2</v>
      </c>
      <c r="U150" t="s">
        <v>41</v>
      </c>
      <c r="V150" t="s">
        <v>42</v>
      </c>
      <c r="W150">
        <v>21</v>
      </c>
      <c r="X150">
        <v>4</v>
      </c>
      <c r="Y150">
        <v>4</v>
      </c>
      <c r="Z150">
        <v>80</v>
      </c>
      <c r="AA150">
        <v>1</v>
      </c>
      <c r="AB150">
        <v>7</v>
      </c>
      <c r="AC150">
        <v>2</v>
      </c>
      <c r="AD150">
        <v>3</v>
      </c>
      <c r="AE150">
        <v>5</v>
      </c>
      <c r="AF150">
        <v>0</v>
      </c>
      <c r="AG150">
        <v>1</v>
      </c>
      <c r="AH150">
        <v>4</v>
      </c>
    </row>
    <row r="151" spans="1:34" x14ac:dyDescent="0.2">
      <c r="A151">
        <v>19</v>
      </c>
      <c r="B151" t="s">
        <v>42</v>
      </c>
      <c r="C151" t="s">
        <v>35</v>
      </c>
      <c r="D151" t="s">
        <v>44</v>
      </c>
      <c r="E151">
        <v>3</v>
      </c>
      <c r="F151">
        <v>1</v>
      </c>
      <c r="G151" t="s">
        <v>50</v>
      </c>
      <c r="H151">
        <v>1</v>
      </c>
      <c r="I151">
        <v>201</v>
      </c>
      <c r="J151">
        <v>2</v>
      </c>
      <c r="K151" t="s">
        <v>38</v>
      </c>
      <c r="L151">
        <v>79</v>
      </c>
      <c r="M151">
        <v>3</v>
      </c>
      <c r="N151">
        <v>1</v>
      </c>
      <c r="O151" t="s">
        <v>49</v>
      </c>
      <c r="P151">
        <v>2</v>
      </c>
      <c r="Q151" t="s">
        <v>40</v>
      </c>
      <c r="R151">
        <v>1483</v>
      </c>
      <c r="S151">
        <v>16102</v>
      </c>
      <c r="T151">
        <v>1</v>
      </c>
      <c r="U151" t="s">
        <v>41</v>
      </c>
      <c r="V151" t="s">
        <v>42</v>
      </c>
      <c r="W151">
        <v>14</v>
      </c>
      <c r="X151">
        <v>3</v>
      </c>
      <c r="Y151">
        <v>4</v>
      </c>
      <c r="Z151">
        <v>80</v>
      </c>
      <c r="AA151">
        <v>0</v>
      </c>
      <c r="AB151">
        <v>1</v>
      </c>
      <c r="AC151">
        <v>3</v>
      </c>
      <c r="AD151">
        <v>3</v>
      </c>
      <c r="AE151">
        <v>1</v>
      </c>
      <c r="AF151">
        <v>0</v>
      </c>
      <c r="AG151">
        <v>0</v>
      </c>
      <c r="AH151">
        <v>0</v>
      </c>
    </row>
    <row r="152" spans="1:34" x14ac:dyDescent="0.2">
      <c r="A152">
        <v>40</v>
      </c>
      <c r="B152" t="s">
        <v>42</v>
      </c>
      <c r="C152" t="s">
        <v>43</v>
      </c>
      <c r="D152" t="s">
        <v>44</v>
      </c>
      <c r="E152">
        <v>26</v>
      </c>
      <c r="F152">
        <v>3</v>
      </c>
      <c r="G152" t="s">
        <v>50</v>
      </c>
      <c r="H152">
        <v>1</v>
      </c>
      <c r="I152">
        <v>202</v>
      </c>
      <c r="J152">
        <v>2</v>
      </c>
      <c r="K152" t="s">
        <v>38</v>
      </c>
      <c r="L152">
        <v>54</v>
      </c>
      <c r="M152">
        <v>3</v>
      </c>
      <c r="N152">
        <v>2</v>
      </c>
      <c r="O152" t="s">
        <v>46</v>
      </c>
      <c r="P152">
        <v>2</v>
      </c>
      <c r="Q152" t="s">
        <v>51</v>
      </c>
      <c r="R152">
        <v>5605</v>
      </c>
      <c r="S152">
        <v>8504</v>
      </c>
      <c r="T152">
        <v>1</v>
      </c>
      <c r="U152" t="s">
        <v>41</v>
      </c>
      <c r="V152" t="s">
        <v>42</v>
      </c>
      <c r="W152">
        <v>11</v>
      </c>
      <c r="X152">
        <v>3</v>
      </c>
      <c r="Y152">
        <v>1</v>
      </c>
      <c r="Z152">
        <v>80</v>
      </c>
      <c r="AA152">
        <v>1</v>
      </c>
      <c r="AB152">
        <v>20</v>
      </c>
      <c r="AC152">
        <v>2</v>
      </c>
      <c r="AD152">
        <v>3</v>
      </c>
      <c r="AE152">
        <v>20</v>
      </c>
      <c r="AF152">
        <v>7</v>
      </c>
      <c r="AG152">
        <v>2</v>
      </c>
      <c r="AH152">
        <v>13</v>
      </c>
    </row>
    <row r="153" spans="1:34" x14ac:dyDescent="0.2">
      <c r="A153">
        <v>35</v>
      </c>
      <c r="B153" t="s">
        <v>42</v>
      </c>
      <c r="C153" t="s">
        <v>35</v>
      </c>
      <c r="D153" t="s">
        <v>36</v>
      </c>
      <c r="E153">
        <v>1</v>
      </c>
      <c r="F153">
        <v>5</v>
      </c>
      <c r="G153" t="s">
        <v>58</v>
      </c>
      <c r="H153">
        <v>1</v>
      </c>
      <c r="I153">
        <v>204</v>
      </c>
      <c r="J153">
        <v>3</v>
      </c>
      <c r="K153" t="s">
        <v>45</v>
      </c>
      <c r="L153">
        <v>94</v>
      </c>
      <c r="M153">
        <v>3</v>
      </c>
      <c r="N153">
        <v>3</v>
      </c>
      <c r="O153" t="s">
        <v>39</v>
      </c>
      <c r="P153">
        <v>2</v>
      </c>
      <c r="Q153" t="s">
        <v>47</v>
      </c>
      <c r="R153">
        <v>7295</v>
      </c>
      <c r="S153">
        <v>11439</v>
      </c>
      <c r="T153">
        <v>1</v>
      </c>
      <c r="U153" t="s">
        <v>41</v>
      </c>
      <c r="V153" t="s">
        <v>42</v>
      </c>
      <c r="W153">
        <v>13</v>
      </c>
      <c r="X153">
        <v>3</v>
      </c>
      <c r="Y153">
        <v>1</v>
      </c>
      <c r="Z153">
        <v>80</v>
      </c>
      <c r="AA153">
        <v>2</v>
      </c>
      <c r="AB153">
        <v>10</v>
      </c>
      <c r="AC153">
        <v>3</v>
      </c>
      <c r="AD153">
        <v>3</v>
      </c>
      <c r="AE153">
        <v>10</v>
      </c>
      <c r="AF153">
        <v>8</v>
      </c>
      <c r="AG153">
        <v>0</v>
      </c>
      <c r="AH153">
        <v>6</v>
      </c>
    </row>
    <row r="154" spans="1:34" x14ac:dyDescent="0.2">
      <c r="A154">
        <v>53</v>
      </c>
      <c r="B154" t="s">
        <v>42</v>
      </c>
      <c r="C154" t="s">
        <v>35</v>
      </c>
      <c r="D154" t="s">
        <v>36</v>
      </c>
      <c r="E154">
        <v>6</v>
      </c>
      <c r="F154">
        <v>2</v>
      </c>
      <c r="G154" t="s">
        <v>58</v>
      </c>
      <c r="H154">
        <v>1</v>
      </c>
      <c r="I154">
        <v>205</v>
      </c>
      <c r="J154">
        <v>2</v>
      </c>
      <c r="K154" t="s">
        <v>45</v>
      </c>
      <c r="L154">
        <v>34</v>
      </c>
      <c r="M154">
        <v>3</v>
      </c>
      <c r="N154">
        <v>2</v>
      </c>
      <c r="O154" t="s">
        <v>56</v>
      </c>
      <c r="P154">
        <v>3</v>
      </c>
      <c r="Q154" t="s">
        <v>47</v>
      </c>
      <c r="R154">
        <v>2306</v>
      </c>
      <c r="S154">
        <v>16047</v>
      </c>
      <c r="T154">
        <v>2</v>
      </c>
      <c r="U154" t="s">
        <v>41</v>
      </c>
      <c r="V154" t="s">
        <v>34</v>
      </c>
      <c r="W154">
        <v>20</v>
      </c>
      <c r="X154">
        <v>4</v>
      </c>
      <c r="Y154">
        <v>4</v>
      </c>
      <c r="Z154">
        <v>80</v>
      </c>
      <c r="AA154">
        <v>1</v>
      </c>
      <c r="AB154">
        <v>13</v>
      </c>
      <c r="AC154">
        <v>3</v>
      </c>
      <c r="AD154">
        <v>1</v>
      </c>
      <c r="AE154">
        <v>7</v>
      </c>
      <c r="AF154">
        <v>7</v>
      </c>
      <c r="AG154">
        <v>4</v>
      </c>
      <c r="AH154">
        <v>5</v>
      </c>
    </row>
    <row r="155" spans="1:34" x14ac:dyDescent="0.2">
      <c r="A155">
        <v>45</v>
      </c>
      <c r="B155" t="s">
        <v>42</v>
      </c>
      <c r="C155" t="s">
        <v>35</v>
      </c>
      <c r="D155" t="s">
        <v>44</v>
      </c>
      <c r="E155">
        <v>9</v>
      </c>
      <c r="F155">
        <v>3</v>
      </c>
      <c r="G155" t="s">
        <v>37</v>
      </c>
      <c r="H155">
        <v>1</v>
      </c>
      <c r="I155">
        <v>206</v>
      </c>
      <c r="J155">
        <v>2</v>
      </c>
      <c r="K155" t="s">
        <v>45</v>
      </c>
      <c r="L155">
        <v>60</v>
      </c>
      <c r="M155">
        <v>3</v>
      </c>
      <c r="N155">
        <v>2</v>
      </c>
      <c r="O155" t="s">
        <v>49</v>
      </c>
      <c r="P155">
        <v>2</v>
      </c>
      <c r="Q155" t="s">
        <v>51</v>
      </c>
      <c r="R155">
        <v>2348</v>
      </c>
      <c r="S155">
        <v>10901</v>
      </c>
      <c r="T155">
        <v>8</v>
      </c>
      <c r="U155" t="s">
        <v>41</v>
      </c>
      <c r="V155" t="s">
        <v>42</v>
      </c>
      <c r="W155">
        <v>18</v>
      </c>
      <c r="X155">
        <v>3</v>
      </c>
      <c r="Y155">
        <v>3</v>
      </c>
      <c r="Z155">
        <v>80</v>
      </c>
      <c r="AA155">
        <v>1</v>
      </c>
      <c r="AB155">
        <v>20</v>
      </c>
      <c r="AC155">
        <v>2</v>
      </c>
      <c r="AD155">
        <v>1</v>
      </c>
      <c r="AE155">
        <v>17</v>
      </c>
      <c r="AF155">
        <v>9</v>
      </c>
      <c r="AG155">
        <v>0</v>
      </c>
      <c r="AH155">
        <v>15</v>
      </c>
    </row>
    <row r="156" spans="1:34" x14ac:dyDescent="0.2">
      <c r="A156">
        <v>32</v>
      </c>
      <c r="B156" t="s">
        <v>42</v>
      </c>
      <c r="C156" t="s">
        <v>43</v>
      </c>
      <c r="D156" t="s">
        <v>36</v>
      </c>
      <c r="E156">
        <v>8</v>
      </c>
      <c r="F156">
        <v>3</v>
      </c>
      <c r="G156" t="s">
        <v>58</v>
      </c>
      <c r="H156">
        <v>1</v>
      </c>
      <c r="I156">
        <v>207</v>
      </c>
      <c r="J156">
        <v>2</v>
      </c>
      <c r="K156" t="s">
        <v>38</v>
      </c>
      <c r="L156">
        <v>43</v>
      </c>
      <c r="M156">
        <v>3</v>
      </c>
      <c r="N156">
        <v>3</v>
      </c>
      <c r="O156" t="s">
        <v>39</v>
      </c>
      <c r="P156">
        <v>4</v>
      </c>
      <c r="Q156" t="s">
        <v>40</v>
      </c>
      <c r="R156">
        <v>8998</v>
      </c>
      <c r="S156">
        <v>15589</v>
      </c>
      <c r="T156">
        <v>1</v>
      </c>
      <c r="U156" t="s">
        <v>41</v>
      </c>
      <c r="V156" t="s">
        <v>42</v>
      </c>
      <c r="W156">
        <v>14</v>
      </c>
      <c r="X156">
        <v>3</v>
      </c>
      <c r="Y156">
        <v>4</v>
      </c>
      <c r="Z156">
        <v>80</v>
      </c>
      <c r="AA156">
        <v>0</v>
      </c>
      <c r="AB156">
        <v>9</v>
      </c>
      <c r="AC156">
        <v>2</v>
      </c>
      <c r="AD156">
        <v>3</v>
      </c>
      <c r="AE156">
        <v>9</v>
      </c>
      <c r="AF156">
        <v>8</v>
      </c>
      <c r="AG156">
        <v>3</v>
      </c>
      <c r="AH156">
        <v>7</v>
      </c>
    </row>
    <row r="157" spans="1:34" x14ac:dyDescent="0.2">
      <c r="A157">
        <v>29</v>
      </c>
      <c r="B157" t="s">
        <v>42</v>
      </c>
      <c r="C157" t="s">
        <v>54</v>
      </c>
      <c r="D157" t="s">
        <v>44</v>
      </c>
      <c r="E157">
        <v>1</v>
      </c>
      <c r="F157">
        <v>1</v>
      </c>
      <c r="G157" t="s">
        <v>59</v>
      </c>
      <c r="H157">
        <v>1</v>
      </c>
      <c r="I157">
        <v>208</v>
      </c>
      <c r="J157">
        <v>4</v>
      </c>
      <c r="K157" t="s">
        <v>45</v>
      </c>
      <c r="L157">
        <v>41</v>
      </c>
      <c r="M157">
        <v>3</v>
      </c>
      <c r="N157">
        <v>2</v>
      </c>
      <c r="O157" t="s">
        <v>52</v>
      </c>
      <c r="P157">
        <v>3</v>
      </c>
      <c r="Q157" t="s">
        <v>47</v>
      </c>
      <c r="R157">
        <v>4319</v>
      </c>
      <c r="S157">
        <v>26283</v>
      </c>
      <c r="T157">
        <v>1</v>
      </c>
      <c r="U157" t="s">
        <v>41</v>
      </c>
      <c r="V157" t="s">
        <v>42</v>
      </c>
      <c r="W157">
        <v>13</v>
      </c>
      <c r="X157">
        <v>3</v>
      </c>
      <c r="Y157">
        <v>1</v>
      </c>
      <c r="Z157">
        <v>80</v>
      </c>
      <c r="AA157">
        <v>1</v>
      </c>
      <c r="AB157">
        <v>10</v>
      </c>
      <c r="AC157">
        <v>1</v>
      </c>
      <c r="AD157">
        <v>3</v>
      </c>
      <c r="AE157">
        <v>10</v>
      </c>
      <c r="AF157">
        <v>7</v>
      </c>
      <c r="AG157">
        <v>0</v>
      </c>
      <c r="AH157">
        <v>9</v>
      </c>
    </row>
    <row r="158" spans="1:34" x14ac:dyDescent="0.2">
      <c r="A158">
        <v>51</v>
      </c>
      <c r="B158" t="s">
        <v>42</v>
      </c>
      <c r="C158" t="s">
        <v>35</v>
      </c>
      <c r="D158" t="s">
        <v>44</v>
      </c>
      <c r="E158">
        <v>7</v>
      </c>
      <c r="F158">
        <v>4</v>
      </c>
      <c r="G158" t="s">
        <v>50</v>
      </c>
      <c r="H158">
        <v>1</v>
      </c>
      <c r="I158">
        <v>211</v>
      </c>
      <c r="J158">
        <v>2</v>
      </c>
      <c r="K158" t="s">
        <v>45</v>
      </c>
      <c r="L158">
        <v>34</v>
      </c>
      <c r="M158">
        <v>2</v>
      </c>
      <c r="N158">
        <v>2</v>
      </c>
      <c r="O158" t="s">
        <v>52</v>
      </c>
      <c r="P158">
        <v>3</v>
      </c>
      <c r="Q158" t="s">
        <v>47</v>
      </c>
      <c r="R158">
        <v>6132</v>
      </c>
      <c r="S158">
        <v>13983</v>
      </c>
      <c r="T158">
        <v>2</v>
      </c>
      <c r="U158" t="s">
        <v>41</v>
      </c>
      <c r="V158" t="s">
        <v>42</v>
      </c>
      <c r="W158">
        <v>17</v>
      </c>
      <c r="X158">
        <v>3</v>
      </c>
      <c r="Y158">
        <v>3</v>
      </c>
      <c r="Z158">
        <v>80</v>
      </c>
      <c r="AA158">
        <v>0</v>
      </c>
      <c r="AB158">
        <v>10</v>
      </c>
      <c r="AC158">
        <v>2</v>
      </c>
      <c r="AD158">
        <v>3</v>
      </c>
      <c r="AE158">
        <v>1</v>
      </c>
      <c r="AF158">
        <v>0</v>
      </c>
      <c r="AG158">
        <v>0</v>
      </c>
      <c r="AH158">
        <v>0</v>
      </c>
    </row>
    <row r="159" spans="1:34" x14ac:dyDescent="0.2">
      <c r="A159">
        <v>58</v>
      </c>
      <c r="B159" t="s">
        <v>42</v>
      </c>
      <c r="C159" t="s">
        <v>35</v>
      </c>
      <c r="D159" t="s">
        <v>44</v>
      </c>
      <c r="E159">
        <v>9</v>
      </c>
      <c r="F159">
        <v>3</v>
      </c>
      <c r="G159" t="s">
        <v>50</v>
      </c>
      <c r="H159">
        <v>1</v>
      </c>
      <c r="I159">
        <v>214</v>
      </c>
      <c r="J159">
        <v>2</v>
      </c>
      <c r="K159" t="s">
        <v>38</v>
      </c>
      <c r="L159">
        <v>75</v>
      </c>
      <c r="M159">
        <v>2</v>
      </c>
      <c r="N159">
        <v>1</v>
      </c>
      <c r="O159" t="s">
        <v>46</v>
      </c>
      <c r="P159">
        <v>2</v>
      </c>
      <c r="Q159" t="s">
        <v>47</v>
      </c>
      <c r="R159">
        <v>3346</v>
      </c>
      <c r="S159">
        <v>11873</v>
      </c>
      <c r="T159">
        <v>4</v>
      </c>
      <c r="U159" t="s">
        <v>41</v>
      </c>
      <c r="V159" t="s">
        <v>34</v>
      </c>
      <c r="W159">
        <v>20</v>
      </c>
      <c r="X159">
        <v>4</v>
      </c>
      <c r="Y159">
        <v>2</v>
      </c>
      <c r="Z159">
        <v>80</v>
      </c>
      <c r="AA159">
        <v>1</v>
      </c>
      <c r="AB159">
        <v>9</v>
      </c>
      <c r="AC159">
        <v>3</v>
      </c>
      <c r="AD159">
        <v>2</v>
      </c>
      <c r="AE159">
        <v>1</v>
      </c>
      <c r="AF159">
        <v>0</v>
      </c>
      <c r="AG159">
        <v>0</v>
      </c>
      <c r="AH159">
        <v>0</v>
      </c>
    </row>
    <row r="160" spans="1:34" x14ac:dyDescent="0.2">
      <c r="A160">
        <v>40</v>
      </c>
      <c r="B160" t="s">
        <v>42</v>
      </c>
      <c r="C160" t="s">
        <v>35</v>
      </c>
      <c r="D160" t="s">
        <v>36</v>
      </c>
      <c r="E160">
        <v>4</v>
      </c>
      <c r="F160">
        <v>4</v>
      </c>
      <c r="G160" t="s">
        <v>58</v>
      </c>
      <c r="H160">
        <v>1</v>
      </c>
      <c r="I160">
        <v>215</v>
      </c>
      <c r="J160">
        <v>3</v>
      </c>
      <c r="K160" t="s">
        <v>45</v>
      </c>
      <c r="L160">
        <v>67</v>
      </c>
      <c r="M160">
        <v>2</v>
      </c>
      <c r="N160">
        <v>3</v>
      </c>
      <c r="O160" t="s">
        <v>39</v>
      </c>
      <c r="P160">
        <v>4</v>
      </c>
      <c r="Q160" t="s">
        <v>47</v>
      </c>
      <c r="R160">
        <v>10855</v>
      </c>
      <c r="S160">
        <v>8552</v>
      </c>
      <c r="T160">
        <v>7</v>
      </c>
      <c r="U160" t="s">
        <v>41</v>
      </c>
      <c r="V160" t="s">
        <v>42</v>
      </c>
      <c r="W160">
        <v>11</v>
      </c>
      <c r="X160">
        <v>3</v>
      </c>
      <c r="Y160">
        <v>1</v>
      </c>
      <c r="Z160">
        <v>80</v>
      </c>
      <c r="AA160">
        <v>1</v>
      </c>
      <c r="AB160">
        <v>15</v>
      </c>
      <c r="AC160">
        <v>2</v>
      </c>
      <c r="AD160">
        <v>2</v>
      </c>
      <c r="AE160">
        <v>12</v>
      </c>
      <c r="AF160">
        <v>11</v>
      </c>
      <c r="AG160">
        <v>2</v>
      </c>
      <c r="AH160">
        <v>11</v>
      </c>
    </row>
    <row r="161" spans="1:34" x14ac:dyDescent="0.2">
      <c r="A161">
        <v>34</v>
      </c>
      <c r="B161" t="s">
        <v>42</v>
      </c>
      <c r="C161" t="s">
        <v>43</v>
      </c>
      <c r="D161" t="s">
        <v>36</v>
      </c>
      <c r="E161">
        <v>2</v>
      </c>
      <c r="F161">
        <v>4</v>
      </c>
      <c r="G161" t="s">
        <v>58</v>
      </c>
      <c r="H161">
        <v>1</v>
      </c>
      <c r="I161">
        <v>216</v>
      </c>
      <c r="J161">
        <v>3</v>
      </c>
      <c r="K161" t="s">
        <v>38</v>
      </c>
      <c r="L161">
        <v>75</v>
      </c>
      <c r="M161">
        <v>3</v>
      </c>
      <c r="N161">
        <v>1</v>
      </c>
      <c r="O161" t="s">
        <v>56</v>
      </c>
      <c r="P161">
        <v>3</v>
      </c>
      <c r="Q161" t="s">
        <v>47</v>
      </c>
      <c r="R161">
        <v>2231</v>
      </c>
      <c r="S161">
        <v>11314</v>
      </c>
      <c r="T161">
        <v>6</v>
      </c>
      <c r="U161" t="s">
        <v>41</v>
      </c>
      <c r="V161" t="s">
        <v>42</v>
      </c>
      <c r="W161">
        <v>18</v>
      </c>
      <c r="X161">
        <v>3</v>
      </c>
      <c r="Y161">
        <v>4</v>
      </c>
      <c r="Z161">
        <v>80</v>
      </c>
      <c r="AA161">
        <v>1</v>
      </c>
      <c r="AB161">
        <v>6</v>
      </c>
      <c r="AC161">
        <v>3</v>
      </c>
      <c r="AD161">
        <v>3</v>
      </c>
      <c r="AE161">
        <v>4</v>
      </c>
      <c r="AF161">
        <v>3</v>
      </c>
      <c r="AG161">
        <v>1</v>
      </c>
      <c r="AH161">
        <v>2</v>
      </c>
    </row>
    <row r="162" spans="1:34" x14ac:dyDescent="0.2">
      <c r="A162">
        <v>22</v>
      </c>
      <c r="B162" t="s">
        <v>42</v>
      </c>
      <c r="C162" t="s">
        <v>35</v>
      </c>
      <c r="D162" t="s">
        <v>44</v>
      </c>
      <c r="E162">
        <v>19</v>
      </c>
      <c r="F162">
        <v>1</v>
      </c>
      <c r="G162" t="s">
        <v>50</v>
      </c>
      <c r="H162">
        <v>1</v>
      </c>
      <c r="I162">
        <v>217</v>
      </c>
      <c r="J162">
        <v>3</v>
      </c>
      <c r="K162" t="s">
        <v>45</v>
      </c>
      <c r="L162">
        <v>80</v>
      </c>
      <c r="M162">
        <v>3</v>
      </c>
      <c r="N162">
        <v>1</v>
      </c>
      <c r="O162" t="s">
        <v>46</v>
      </c>
      <c r="P162">
        <v>4</v>
      </c>
      <c r="Q162" t="s">
        <v>47</v>
      </c>
      <c r="R162">
        <v>2323</v>
      </c>
      <c r="S162">
        <v>11992</v>
      </c>
      <c r="T162">
        <v>1</v>
      </c>
      <c r="U162" t="s">
        <v>41</v>
      </c>
      <c r="V162" t="s">
        <v>42</v>
      </c>
      <c r="W162">
        <v>24</v>
      </c>
      <c r="X162">
        <v>4</v>
      </c>
      <c r="Y162">
        <v>1</v>
      </c>
      <c r="Z162">
        <v>80</v>
      </c>
      <c r="AA162">
        <v>2</v>
      </c>
      <c r="AB162">
        <v>2</v>
      </c>
      <c r="AC162">
        <v>6</v>
      </c>
      <c r="AD162">
        <v>3</v>
      </c>
      <c r="AE162">
        <v>2</v>
      </c>
      <c r="AF162">
        <v>2</v>
      </c>
      <c r="AG162">
        <v>2</v>
      </c>
      <c r="AH162">
        <v>2</v>
      </c>
    </row>
    <row r="163" spans="1:34" x14ac:dyDescent="0.2">
      <c r="A163">
        <v>27</v>
      </c>
      <c r="B163" t="s">
        <v>42</v>
      </c>
      <c r="C163" t="s">
        <v>54</v>
      </c>
      <c r="D163" t="s">
        <v>44</v>
      </c>
      <c r="E163">
        <v>9</v>
      </c>
      <c r="F163">
        <v>3</v>
      </c>
      <c r="G163" t="s">
        <v>50</v>
      </c>
      <c r="H163">
        <v>1</v>
      </c>
      <c r="I163">
        <v>218</v>
      </c>
      <c r="J163">
        <v>4</v>
      </c>
      <c r="K163" t="s">
        <v>45</v>
      </c>
      <c r="L163">
        <v>57</v>
      </c>
      <c r="M163">
        <v>3</v>
      </c>
      <c r="N163">
        <v>1</v>
      </c>
      <c r="O163" t="s">
        <v>46</v>
      </c>
      <c r="P163">
        <v>2</v>
      </c>
      <c r="Q163" t="s">
        <v>51</v>
      </c>
      <c r="R163">
        <v>2024</v>
      </c>
      <c r="S163">
        <v>5970</v>
      </c>
      <c r="T163">
        <v>6</v>
      </c>
      <c r="U163" t="s">
        <v>41</v>
      </c>
      <c r="V163" t="s">
        <v>42</v>
      </c>
      <c r="W163">
        <v>18</v>
      </c>
      <c r="X163">
        <v>3</v>
      </c>
      <c r="Y163">
        <v>4</v>
      </c>
      <c r="Z163">
        <v>80</v>
      </c>
      <c r="AA163">
        <v>1</v>
      </c>
      <c r="AB163">
        <v>6</v>
      </c>
      <c r="AC163">
        <v>1</v>
      </c>
      <c r="AD163">
        <v>1</v>
      </c>
      <c r="AE163">
        <v>2</v>
      </c>
      <c r="AF163">
        <v>2</v>
      </c>
      <c r="AG163">
        <v>2</v>
      </c>
      <c r="AH163">
        <v>2</v>
      </c>
    </row>
    <row r="164" spans="1:34" x14ac:dyDescent="0.2">
      <c r="A164">
        <v>28</v>
      </c>
      <c r="B164" t="s">
        <v>42</v>
      </c>
      <c r="C164" t="s">
        <v>35</v>
      </c>
      <c r="D164" t="s">
        <v>44</v>
      </c>
      <c r="E164">
        <v>21</v>
      </c>
      <c r="F164">
        <v>3</v>
      </c>
      <c r="G164" t="s">
        <v>50</v>
      </c>
      <c r="H164">
        <v>1</v>
      </c>
      <c r="I164">
        <v>221</v>
      </c>
      <c r="J164">
        <v>3</v>
      </c>
      <c r="K164" t="s">
        <v>45</v>
      </c>
      <c r="L164">
        <v>42</v>
      </c>
      <c r="M164">
        <v>3</v>
      </c>
      <c r="N164">
        <v>1</v>
      </c>
      <c r="O164" t="s">
        <v>46</v>
      </c>
      <c r="P164">
        <v>4</v>
      </c>
      <c r="Q164" t="s">
        <v>47</v>
      </c>
      <c r="R164">
        <v>2713</v>
      </c>
      <c r="S164">
        <v>6672</v>
      </c>
      <c r="T164">
        <v>1</v>
      </c>
      <c r="U164" t="s">
        <v>41</v>
      </c>
      <c r="V164" t="s">
        <v>42</v>
      </c>
      <c r="W164">
        <v>11</v>
      </c>
      <c r="X164">
        <v>3</v>
      </c>
      <c r="Y164">
        <v>3</v>
      </c>
      <c r="Z164">
        <v>80</v>
      </c>
      <c r="AA164">
        <v>1</v>
      </c>
      <c r="AB164">
        <v>5</v>
      </c>
      <c r="AC164">
        <v>2</v>
      </c>
      <c r="AD164">
        <v>1</v>
      </c>
      <c r="AE164">
        <v>5</v>
      </c>
      <c r="AF164">
        <v>2</v>
      </c>
      <c r="AG164">
        <v>0</v>
      </c>
      <c r="AH164">
        <v>2</v>
      </c>
    </row>
    <row r="165" spans="1:34" x14ac:dyDescent="0.2">
      <c r="A165">
        <v>57</v>
      </c>
      <c r="B165" t="s">
        <v>42</v>
      </c>
      <c r="C165" t="s">
        <v>35</v>
      </c>
      <c r="D165" t="s">
        <v>44</v>
      </c>
      <c r="E165">
        <v>24</v>
      </c>
      <c r="F165">
        <v>2</v>
      </c>
      <c r="G165" t="s">
        <v>37</v>
      </c>
      <c r="H165">
        <v>1</v>
      </c>
      <c r="I165">
        <v>223</v>
      </c>
      <c r="J165">
        <v>3</v>
      </c>
      <c r="K165" t="s">
        <v>45</v>
      </c>
      <c r="L165">
        <v>83</v>
      </c>
      <c r="M165">
        <v>4</v>
      </c>
      <c r="N165">
        <v>3</v>
      </c>
      <c r="O165" t="s">
        <v>53</v>
      </c>
      <c r="P165">
        <v>4</v>
      </c>
      <c r="Q165" t="s">
        <v>51</v>
      </c>
      <c r="R165">
        <v>9439</v>
      </c>
      <c r="S165">
        <v>23402</v>
      </c>
      <c r="T165">
        <v>3</v>
      </c>
      <c r="U165" t="s">
        <v>41</v>
      </c>
      <c r="V165" t="s">
        <v>34</v>
      </c>
      <c r="W165">
        <v>16</v>
      </c>
      <c r="X165">
        <v>3</v>
      </c>
      <c r="Y165">
        <v>2</v>
      </c>
      <c r="Z165">
        <v>80</v>
      </c>
      <c r="AA165">
        <v>1</v>
      </c>
      <c r="AB165">
        <v>12</v>
      </c>
      <c r="AC165">
        <v>2</v>
      </c>
      <c r="AD165">
        <v>1</v>
      </c>
      <c r="AE165">
        <v>5</v>
      </c>
      <c r="AF165">
        <v>3</v>
      </c>
      <c r="AG165">
        <v>1</v>
      </c>
      <c r="AH165">
        <v>4</v>
      </c>
    </row>
    <row r="166" spans="1:34" x14ac:dyDescent="0.2">
      <c r="A166">
        <v>27</v>
      </c>
      <c r="B166" t="s">
        <v>42</v>
      </c>
      <c r="C166" t="s">
        <v>54</v>
      </c>
      <c r="D166" t="s">
        <v>44</v>
      </c>
      <c r="E166">
        <v>3</v>
      </c>
      <c r="F166">
        <v>3</v>
      </c>
      <c r="G166" t="s">
        <v>50</v>
      </c>
      <c r="H166">
        <v>1</v>
      </c>
      <c r="I166">
        <v>224</v>
      </c>
      <c r="J166">
        <v>3</v>
      </c>
      <c r="K166" t="s">
        <v>45</v>
      </c>
      <c r="L166">
        <v>79</v>
      </c>
      <c r="M166">
        <v>2</v>
      </c>
      <c r="N166">
        <v>1</v>
      </c>
      <c r="O166" t="s">
        <v>46</v>
      </c>
      <c r="P166">
        <v>3</v>
      </c>
      <c r="Q166" t="s">
        <v>51</v>
      </c>
      <c r="R166">
        <v>2566</v>
      </c>
      <c r="S166">
        <v>25326</v>
      </c>
      <c r="T166">
        <v>1</v>
      </c>
      <c r="U166" t="s">
        <v>41</v>
      </c>
      <c r="V166" t="s">
        <v>34</v>
      </c>
      <c r="W166">
        <v>15</v>
      </c>
      <c r="X166">
        <v>3</v>
      </c>
      <c r="Y166">
        <v>4</v>
      </c>
      <c r="Z166">
        <v>80</v>
      </c>
      <c r="AA166">
        <v>1</v>
      </c>
      <c r="AB166">
        <v>1</v>
      </c>
      <c r="AC166">
        <v>2</v>
      </c>
      <c r="AD166">
        <v>2</v>
      </c>
      <c r="AE166">
        <v>1</v>
      </c>
      <c r="AF166">
        <v>1</v>
      </c>
      <c r="AG166">
        <v>0</v>
      </c>
      <c r="AH166">
        <v>1</v>
      </c>
    </row>
    <row r="167" spans="1:34" x14ac:dyDescent="0.2">
      <c r="A167">
        <v>50</v>
      </c>
      <c r="B167" t="s">
        <v>42</v>
      </c>
      <c r="C167" t="s">
        <v>35</v>
      </c>
      <c r="D167" t="s">
        <v>44</v>
      </c>
      <c r="E167">
        <v>11</v>
      </c>
      <c r="F167">
        <v>3</v>
      </c>
      <c r="G167" t="s">
        <v>37</v>
      </c>
      <c r="H167">
        <v>1</v>
      </c>
      <c r="I167">
        <v>226</v>
      </c>
      <c r="J167">
        <v>3</v>
      </c>
      <c r="K167" t="s">
        <v>38</v>
      </c>
      <c r="L167">
        <v>53</v>
      </c>
      <c r="M167">
        <v>3</v>
      </c>
      <c r="N167">
        <v>5</v>
      </c>
      <c r="O167" t="s">
        <v>55</v>
      </c>
      <c r="P167">
        <v>2</v>
      </c>
      <c r="Q167" t="s">
        <v>40</v>
      </c>
      <c r="R167">
        <v>19926</v>
      </c>
      <c r="S167">
        <v>17053</v>
      </c>
      <c r="T167">
        <v>3</v>
      </c>
      <c r="U167" t="s">
        <v>41</v>
      </c>
      <c r="V167" t="s">
        <v>42</v>
      </c>
      <c r="W167">
        <v>15</v>
      </c>
      <c r="X167">
        <v>3</v>
      </c>
      <c r="Y167">
        <v>2</v>
      </c>
      <c r="Z167">
        <v>80</v>
      </c>
      <c r="AA167">
        <v>0</v>
      </c>
      <c r="AB167">
        <v>21</v>
      </c>
      <c r="AC167">
        <v>5</v>
      </c>
      <c r="AD167">
        <v>3</v>
      </c>
      <c r="AE167">
        <v>5</v>
      </c>
      <c r="AF167">
        <v>4</v>
      </c>
      <c r="AG167">
        <v>4</v>
      </c>
      <c r="AH167">
        <v>4</v>
      </c>
    </row>
    <row r="168" spans="1:34" x14ac:dyDescent="0.2">
      <c r="A168">
        <v>41</v>
      </c>
      <c r="B168" t="s">
        <v>42</v>
      </c>
      <c r="C168" t="s">
        <v>35</v>
      </c>
      <c r="D168" t="s">
        <v>44</v>
      </c>
      <c r="E168">
        <v>14</v>
      </c>
      <c r="F168">
        <v>3</v>
      </c>
      <c r="G168" t="s">
        <v>37</v>
      </c>
      <c r="H168">
        <v>1</v>
      </c>
      <c r="I168">
        <v>227</v>
      </c>
      <c r="J168">
        <v>1</v>
      </c>
      <c r="K168" t="s">
        <v>45</v>
      </c>
      <c r="L168">
        <v>56</v>
      </c>
      <c r="M168">
        <v>3</v>
      </c>
      <c r="N168">
        <v>1</v>
      </c>
      <c r="O168" t="s">
        <v>46</v>
      </c>
      <c r="P168">
        <v>3</v>
      </c>
      <c r="Q168" t="s">
        <v>51</v>
      </c>
      <c r="R168">
        <v>2451</v>
      </c>
      <c r="S168">
        <v>4609</v>
      </c>
      <c r="T168">
        <v>4</v>
      </c>
      <c r="U168" t="s">
        <v>41</v>
      </c>
      <c r="V168" t="s">
        <v>42</v>
      </c>
      <c r="W168">
        <v>12</v>
      </c>
      <c r="X168">
        <v>3</v>
      </c>
      <c r="Y168">
        <v>1</v>
      </c>
      <c r="Z168">
        <v>80</v>
      </c>
      <c r="AA168">
        <v>1</v>
      </c>
      <c r="AB168">
        <v>13</v>
      </c>
      <c r="AC168">
        <v>2</v>
      </c>
      <c r="AD168">
        <v>3</v>
      </c>
      <c r="AE168">
        <v>9</v>
      </c>
      <c r="AF168">
        <v>8</v>
      </c>
      <c r="AG168">
        <v>1</v>
      </c>
      <c r="AH168">
        <v>8</v>
      </c>
    </row>
    <row r="169" spans="1:34" x14ac:dyDescent="0.2">
      <c r="A169">
        <v>30</v>
      </c>
      <c r="B169" t="s">
        <v>42</v>
      </c>
      <c r="C169" t="s">
        <v>35</v>
      </c>
      <c r="D169" t="s">
        <v>36</v>
      </c>
      <c r="E169">
        <v>5</v>
      </c>
      <c r="F169">
        <v>3</v>
      </c>
      <c r="G169" t="s">
        <v>37</v>
      </c>
      <c r="H169">
        <v>1</v>
      </c>
      <c r="I169">
        <v>228</v>
      </c>
      <c r="J169">
        <v>2</v>
      </c>
      <c r="K169" t="s">
        <v>38</v>
      </c>
      <c r="L169">
        <v>41</v>
      </c>
      <c r="M169">
        <v>3</v>
      </c>
      <c r="N169">
        <v>3</v>
      </c>
      <c r="O169" t="s">
        <v>39</v>
      </c>
      <c r="P169">
        <v>4</v>
      </c>
      <c r="Q169" t="s">
        <v>47</v>
      </c>
      <c r="R169">
        <v>9419</v>
      </c>
      <c r="S169">
        <v>8053</v>
      </c>
      <c r="T169">
        <v>2</v>
      </c>
      <c r="U169" t="s">
        <v>41</v>
      </c>
      <c r="V169" t="s">
        <v>42</v>
      </c>
      <c r="W169">
        <v>12</v>
      </c>
      <c r="X169">
        <v>3</v>
      </c>
      <c r="Y169">
        <v>3</v>
      </c>
      <c r="Z169">
        <v>80</v>
      </c>
      <c r="AA169">
        <v>1</v>
      </c>
      <c r="AB169">
        <v>12</v>
      </c>
      <c r="AC169">
        <v>2</v>
      </c>
      <c r="AD169">
        <v>3</v>
      </c>
      <c r="AE169">
        <v>10</v>
      </c>
      <c r="AF169">
        <v>9</v>
      </c>
      <c r="AG169">
        <v>7</v>
      </c>
      <c r="AH169">
        <v>4</v>
      </c>
    </row>
    <row r="170" spans="1:34" x14ac:dyDescent="0.2">
      <c r="A170">
        <v>38</v>
      </c>
      <c r="B170" t="s">
        <v>42</v>
      </c>
      <c r="C170" t="s">
        <v>35</v>
      </c>
      <c r="D170" t="s">
        <v>36</v>
      </c>
      <c r="E170">
        <v>1</v>
      </c>
      <c r="F170">
        <v>4</v>
      </c>
      <c r="G170" t="s">
        <v>37</v>
      </c>
      <c r="H170">
        <v>1</v>
      </c>
      <c r="I170">
        <v>230</v>
      </c>
      <c r="J170">
        <v>1</v>
      </c>
      <c r="K170" t="s">
        <v>38</v>
      </c>
      <c r="L170">
        <v>59</v>
      </c>
      <c r="M170">
        <v>2</v>
      </c>
      <c r="N170">
        <v>2</v>
      </c>
      <c r="O170" t="s">
        <v>39</v>
      </c>
      <c r="P170">
        <v>4</v>
      </c>
      <c r="Q170" t="s">
        <v>40</v>
      </c>
      <c r="R170">
        <v>8686</v>
      </c>
      <c r="S170">
        <v>12930</v>
      </c>
      <c r="T170">
        <v>4</v>
      </c>
      <c r="U170" t="s">
        <v>41</v>
      </c>
      <c r="V170" t="s">
        <v>42</v>
      </c>
      <c r="W170">
        <v>22</v>
      </c>
      <c r="X170">
        <v>4</v>
      </c>
      <c r="Y170">
        <v>3</v>
      </c>
      <c r="Z170">
        <v>80</v>
      </c>
      <c r="AA170">
        <v>0</v>
      </c>
      <c r="AB170">
        <v>12</v>
      </c>
      <c r="AC170">
        <v>2</v>
      </c>
      <c r="AD170">
        <v>4</v>
      </c>
      <c r="AE170">
        <v>8</v>
      </c>
      <c r="AF170">
        <v>3</v>
      </c>
      <c r="AG170">
        <v>0</v>
      </c>
      <c r="AH170">
        <v>7</v>
      </c>
    </row>
    <row r="171" spans="1:34" x14ac:dyDescent="0.2">
      <c r="A171">
        <v>32</v>
      </c>
      <c r="B171" t="s">
        <v>42</v>
      </c>
      <c r="C171" t="s">
        <v>35</v>
      </c>
      <c r="D171" t="s">
        <v>44</v>
      </c>
      <c r="E171">
        <v>6</v>
      </c>
      <c r="F171">
        <v>5</v>
      </c>
      <c r="G171" t="s">
        <v>37</v>
      </c>
      <c r="H171">
        <v>1</v>
      </c>
      <c r="I171">
        <v>231</v>
      </c>
      <c r="J171">
        <v>3</v>
      </c>
      <c r="K171" t="s">
        <v>45</v>
      </c>
      <c r="L171">
        <v>43</v>
      </c>
      <c r="M171">
        <v>3</v>
      </c>
      <c r="N171">
        <v>1</v>
      </c>
      <c r="O171" t="s">
        <v>46</v>
      </c>
      <c r="P171">
        <v>3</v>
      </c>
      <c r="Q171" t="s">
        <v>40</v>
      </c>
      <c r="R171">
        <v>3038</v>
      </c>
      <c r="S171">
        <v>12430</v>
      </c>
      <c r="T171">
        <v>3</v>
      </c>
      <c r="U171" t="s">
        <v>41</v>
      </c>
      <c r="V171" t="s">
        <v>42</v>
      </c>
      <c r="W171">
        <v>20</v>
      </c>
      <c r="X171">
        <v>4</v>
      </c>
      <c r="Y171">
        <v>1</v>
      </c>
      <c r="Z171">
        <v>80</v>
      </c>
      <c r="AA171">
        <v>0</v>
      </c>
      <c r="AB171">
        <v>8</v>
      </c>
      <c r="AC171">
        <v>2</v>
      </c>
      <c r="AD171">
        <v>3</v>
      </c>
      <c r="AE171">
        <v>5</v>
      </c>
      <c r="AF171">
        <v>4</v>
      </c>
      <c r="AG171">
        <v>1</v>
      </c>
      <c r="AH171">
        <v>4</v>
      </c>
    </row>
    <row r="172" spans="1:34" x14ac:dyDescent="0.2">
      <c r="A172">
        <v>27</v>
      </c>
      <c r="B172" t="s">
        <v>42</v>
      </c>
      <c r="C172" t="s">
        <v>35</v>
      </c>
      <c r="D172" t="s">
        <v>44</v>
      </c>
      <c r="E172">
        <v>17</v>
      </c>
      <c r="F172">
        <v>3</v>
      </c>
      <c r="G172" t="s">
        <v>59</v>
      </c>
      <c r="H172">
        <v>1</v>
      </c>
      <c r="I172">
        <v>233</v>
      </c>
      <c r="J172">
        <v>3</v>
      </c>
      <c r="K172" t="s">
        <v>45</v>
      </c>
      <c r="L172">
        <v>51</v>
      </c>
      <c r="M172">
        <v>3</v>
      </c>
      <c r="N172">
        <v>1</v>
      </c>
      <c r="O172" t="s">
        <v>46</v>
      </c>
      <c r="P172">
        <v>2</v>
      </c>
      <c r="Q172" t="s">
        <v>47</v>
      </c>
      <c r="R172">
        <v>3058</v>
      </c>
      <c r="S172">
        <v>13364</v>
      </c>
      <c r="T172">
        <v>0</v>
      </c>
      <c r="U172" t="s">
        <v>41</v>
      </c>
      <c r="V172" t="s">
        <v>34</v>
      </c>
      <c r="W172">
        <v>16</v>
      </c>
      <c r="X172">
        <v>3</v>
      </c>
      <c r="Y172">
        <v>4</v>
      </c>
      <c r="Z172">
        <v>80</v>
      </c>
      <c r="AA172">
        <v>1</v>
      </c>
      <c r="AB172">
        <v>6</v>
      </c>
      <c r="AC172">
        <v>3</v>
      </c>
      <c r="AD172">
        <v>2</v>
      </c>
      <c r="AE172">
        <v>5</v>
      </c>
      <c r="AF172">
        <v>2</v>
      </c>
      <c r="AG172">
        <v>1</v>
      </c>
      <c r="AH172">
        <v>1</v>
      </c>
    </row>
    <row r="173" spans="1:34" x14ac:dyDescent="0.2">
      <c r="A173">
        <v>19</v>
      </c>
      <c r="B173" t="s">
        <v>34</v>
      </c>
      <c r="C173" t="s">
        <v>43</v>
      </c>
      <c r="D173" t="s">
        <v>36</v>
      </c>
      <c r="E173">
        <v>1</v>
      </c>
      <c r="F173">
        <v>1</v>
      </c>
      <c r="G173" t="s">
        <v>59</v>
      </c>
      <c r="H173">
        <v>1</v>
      </c>
      <c r="I173">
        <v>235</v>
      </c>
      <c r="J173">
        <v>3</v>
      </c>
      <c r="K173" t="s">
        <v>38</v>
      </c>
      <c r="L173">
        <v>100</v>
      </c>
      <c r="M173">
        <v>1</v>
      </c>
      <c r="N173">
        <v>1</v>
      </c>
      <c r="O173" t="s">
        <v>56</v>
      </c>
      <c r="P173">
        <v>1</v>
      </c>
      <c r="Q173" t="s">
        <v>40</v>
      </c>
      <c r="R173">
        <v>2325</v>
      </c>
      <c r="S173">
        <v>20989</v>
      </c>
      <c r="T173">
        <v>0</v>
      </c>
      <c r="U173" t="s">
        <v>41</v>
      </c>
      <c r="V173" t="s">
        <v>42</v>
      </c>
      <c r="W173">
        <v>21</v>
      </c>
      <c r="X173">
        <v>4</v>
      </c>
      <c r="Y173">
        <v>1</v>
      </c>
      <c r="Z173">
        <v>80</v>
      </c>
      <c r="AA173">
        <v>0</v>
      </c>
      <c r="AB173">
        <v>1</v>
      </c>
      <c r="AC173">
        <v>5</v>
      </c>
      <c r="AD173">
        <v>4</v>
      </c>
      <c r="AE173">
        <v>0</v>
      </c>
      <c r="AF173">
        <v>0</v>
      </c>
      <c r="AG173">
        <v>0</v>
      </c>
      <c r="AH173">
        <v>0</v>
      </c>
    </row>
    <row r="174" spans="1:34" x14ac:dyDescent="0.2">
      <c r="A174">
        <v>36</v>
      </c>
      <c r="B174" t="s">
        <v>42</v>
      </c>
      <c r="C174" t="s">
        <v>43</v>
      </c>
      <c r="D174" t="s">
        <v>44</v>
      </c>
      <c r="E174">
        <v>3</v>
      </c>
      <c r="F174">
        <v>2</v>
      </c>
      <c r="G174" t="s">
        <v>50</v>
      </c>
      <c r="H174">
        <v>1</v>
      </c>
      <c r="I174">
        <v>238</v>
      </c>
      <c r="J174">
        <v>4</v>
      </c>
      <c r="K174" t="s">
        <v>45</v>
      </c>
      <c r="L174">
        <v>30</v>
      </c>
      <c r="M174">
        <v>3</v>
      </c>
      <c r="N174">
        <v>1</v>
      </c>
      <c r="O174" t="s">
        <v>49</v>
      </c>
      <c r="P174">
        <v>2</v>
      </c>
      <c r="Q174" t="s">
        <v>40</v>
      </c>
      <c r="R174">
        <v>2088</v>
      </c>
      <c r="S174">
        <v>15062</v>
      </c>
      <c r="T174">
        <v>4</v>
      </c>
      <c r="U174" t="s">
        <v>41</v>
      </c>
      <c r="V174" t="s">
        <v>42</v>
      </c>
      <c r="W174">
        <v>12</v>
      </c>
      <c r="X174">
        <v>3</v>
      </c>
      <c r="Y174">
        <v>3</v>
      </c>
      <c r="Z174">
        <v>80</v>
      </c>
      <c r="AA174">
        <v>0</v>
      </c>
      <c r="AB174">
        <v>13</v>
      </c>
      <c r="AC174">
        <v>3</v>
      </c>
      <c r="AD174">
        <v>2</v>
      </c>
      <c r="AE174">
        <v>8</v>
      </c>
      <c r="AF174">
        <v>7</v>
      </c>
      <c r="AG174">
        <v>7</v>
      </c>
      <c r="AH174">
        <v>2</v>
      </c>
    </row>
    <row r="175" spans="1:34" x14ac:dyDescent="0.2">
      <c r="A175">
        <v>30</v>
      </c>
      <c r="B175" t="s">
        <v>42</v>
      </c>
      <c r="C175" t="s">
        <v>54</v>
      </c>
      <c r="D175" t="s">
        <v>44</v>
      </c>
      <c r="E175">
        <v>9</v>
      </c>
      <c r="F175">
        <v>3</v>
      </c>
      <c r="G175" t="s">
        <v>50</v>
      </c>
      <c r="H175">
        <v>1</v>
      </c>
      <c r="I175">
        <v>239</v>
      </c>
      <c r="J175">
        <v>3</v>
      </c>
      <c r="K175" t="s">
        <v>45</v>
      </c>
      <c r="L175">
        <v>66</v>
      </c>
      <c r="M175">
        <v>3</v>
      </c>
      <c r="N175">
        <v>2</v>
      </c>
      <c r="O175" t="s">
        <v>49</v>
      </c>
      <c r="P175">
        <v>1</v>
      </c>
      <c r="Q175" t="s">
        <v>51</v>
      </c>
      <c r="R175">
        <v>3072</v>
      </c>
      <c r="S175">
        <v>11012</v>
      </c>
      <c r="T175">
        <v>1</v>
      </c>
      <c r="U175" t="s">
        <v>41</v>
      </c>
      <c r="V175" t="s">
        <v>42</v>
      </c>
      <c r="W175">
        <v>11</v>
      </c>
      <c r="X175">
        <v>3</v>
      </c>
      <c r="Y175">
        <v>3</v>
      </c>
      <c r="Z175">
        <v>80</v>
      </c>
      <c r="AA175">
        <v>2</v>
      </c>
      <c r="AB175">
        <v>12</v>
      </c>
      <c r="AC175">
        <v>4</v>
      </c>
      <c r="AD175">
        <v>3</v>
      </c>
      <c r="AE175">
        <v>12</v>
      </c>
      <c r="AF175">
        <v>9</v>
      </c>
      <c r="AG175">
        <v>6</v>
      </c>
      <c r="AH175">
        <v>10</v>
      </c>
    </row>
    <row r="176" spans="1:34" x14ac:dyDescent="0.2">
      <c r="A176">
        <v>45</v>
      </c>
      <c r="B176" t="s">
        <v>42</v>
      </c>
      <c r="C176" t="s">
        <v>35</v>
      </c>
      <c r="D176" t="s">
        <v>36</v>
      </c>
      <c r="E176">
        <v>4</v>
      </c>
      <c r="F176">
        <v>2</v>
      </c>
      <c r="G176" t="s">
        <v>37</v>
      </c>
      <c r="H176">
        <v>1</v>
      </c>
      <c r="I176">
        <v>240</v>
      </c>
      <c r="J176">
        <v>3</v>
      </c>
      <c r="K176" t="s">
        <v>38</v>
      </c>
      <c r="L176">
        <v>30</v>
      </c>
      <c r="M176">
        <v>3</v>
      </c>
      <c r="N176">
        <v>2</v>
      </c>
      <c r="O176" t="s">
        <v>39</v>
      </c>
      <c r="P176">
        <v>1</v>
      </c>
      <c r="Q176" t="s">
        <v>51</v>
      </c>
      <c r="R176">
        <v>5006</v>
      </c>
      <c r="S176">
        <v>6319</v>
      </c>
      <c r="T176">
        <v>4</v>
      </c>
      <c r="U176" t="s">
        <v>41</v>
      </c>
      <c r="V176" t="s">
        <v>34</v>
      </c>
      <c r="W176">
        <v>11</v>
      </c>
      <c r="X176">
        <v>3</v>
      </c>
      <c r="Y176">
        <v>1</v>
      </c>
      <c r="Z176">
        <v>80</v>
      </c>
      <c r="AA176">
        <v>1</v>
      </c>
      <c r="AB176">
        <v>9</v>
      </c>
      <c r="AC176">
        <v>3</v>
      </c>
      <c r="AD176">
        <v>4</v>
      </c>
      <c r="AE176">
        <v>5</v>
      </c>
      <c r="AF176">
        <v>4</v>
      </c>
      <c r="AG176">
        <v>0</v>
      </c>
      <c r="AH176">
        <v>3</v>
      </c>
    </row>
    <row r="177" spans="1:34" x14ac:dyDescent="0.2">
      <c r="A177">
        <v>56</v>
      </c>
      <c r="B177" t="s">
        <v>42</v>
      </c>
      <c r="C177" t="s">
        <v>35</v>
      </c>
      <c r="D177" t="s">
        <v>44</v>
      </c>
      <c r="E177">
        <v>8</v>
      </c>
      <c r="F177">
        <v>3</v>
      </c>
      <c r="G177" t="s">
        <v>37</v>
      </c>
      <c r="H177">
        <v>1</v>
      </c>
      <c r="I177">
        <v>241</v>
      </c>
      <c r="J177">
        <v>3</v>
      </c>
      <c r="K177" t="s">
        <v>38</v>
      </c>
      <c r="L177">
        <v>67</v>
      </c>
      <c r="M177">
        <v>3</v>
      </c>
      <c r="N177">
        <v>1</v>
      </c>
      <c r="O177" t="s">
        <v>46</v>
      </c>
      <c r="P177">
        <v>1</v>
      </c>
      <c r="Q177" t="s">
        <v>51</v>
      </c>
      <c r="R177">
        <v>4257</v>
      </c>
      <c r="S177">
        <v>13939</v>
      </c>
      <c r="T177">
        <v>4</v>
      </c>
      <c r="U177" t="s">
        <v>41</v>
      </c>
      <c r="V177" t="s">
        <v>34</v>
      </c>
      <c r="W177">
        <v>18</v>
      </c>
      <c r="X177">
        <v>3</v>
      </c>
      <c r="Y177">
        <v>3</v>
      </c>
      <c r="Z177">
        <v>80</v>
      </c>
      <c r="AA177">
        <v>1</v>
      </c>
      <c r="AB177">
        <v>19</v>
      </c>
      <c r="AC177">
        <v>3</v>
      </c>
      <c r="AD177">
        <v>3</v>
      </c>
      <c r="AE177">
        <v>2</v>
      </c>
      <c r="AF177">
        <v>2</v>
      </c>
      <c r="AG177">
        <v>2</v>
      </c>
      <c r="AH177">
        <v>2</v>
      </c>
    </row>
    <row r="178" spans="1:34" x14ac:dyDescent="0.2">
      <c r="A178">
        <v>33</v>
      </c>
      <c r="B178" t="s">
        <v>42</v>
      </c>
      <c r="C178" t="s">
        <v>35</v>
      </c>
      <c r="D178" t="s">
        <v>44</v>
      </c>
      <c r="E178">
        <v>2</v>
      </c>
      <c r="F178">
        <v>3</v>
      </c>
      <c r="G178" t="s">
        <v>37</v>
      </c>
      <c r="H178">
        <v>1</v>
      </c>
      <c r="I178">
        <v>242</v>
      </c>
      <c r="J178">
        <v>3</v>
      </c>
      <c r="K178" t="s">
        <v>45</v>
      </c>
      <c r="L178">
        <v>90</v>
      </c>
      <c r="M178">
        <v>3</v>
      </c>
      <c r="N178">
        <v>1</v>
      </c>
      <c r="O178" t="s">
        <v>46</v>
      </c>
      <c r="P178">
        <v>4</v>
      </c>
      <c r="Q178" t="s">
        <v>40</v>
      </c>
      <c r="R178">
        <v>2500</v>
      </c>
      <c r="S178">
        <v>10515</v>
      </c>
      <c r="T178">
        <v>0</v>
      </c>
      <c r="U178" t="s">
        <v>41</v>
      </c>
      <c r="V178" t="s">
        <v>42</v>
      </c>
      <c r="W178">
        <v>14</v>
      </c>
      <c r="X178">
        <v>3</v>
      </c>
      <c r="Y178">
        <v>1</v>
      </c>
      <c r="Z178">
        <v>80</v>
      </c>
      <c r="AA178">
        <v>0</v>
      </c>
      <c r="AB178">
        <v>4</v>
      </c>
      <c r="AC178">
        <v>2</v>
      </c>
      <c r="AD178">
        <v>4</v>
      </c>
      <c r="AE178">
        <v>3</v>
      </c>
      <c r="AF178">
        <v>1</v>
      </c>
      <c r="AG178">
        <v>0</v>
      </c>
      <c r="AH178">
        <v>2</v>
      </c>
    </row>
    <row r="179" spans="1:34" x14ac:dyDescent="0.2">
      <c r="A179">
        <v>19</v>
      </c>
      <c r="B179" t="s">
        <v>34</v>
      </c>
      <c r="C179" t="s">
        <v>35</v>
      </c>
      <c r="D179" t="s">
        <v>44</v>
      </c>
      <c r="E179">
        <v>2</v>
      </c>
      <c r="F179">
        <v>3</v>
      </c>
      <c r="G179" t="s">
        <v>37</v>
      </c>
      <c r="H179">
        <v>1</v>
      </c>
      <c r="I179">
        <v>243</v>
      </c>
      <c r="J179">
        <v>2</v>
      </c>
      <c r="K179" t="s">
        <v>45</v>
      </c>
      <c r="L179">
        <v>47</v>
      </c>
      <c r="M179">
        <v>2</v>
      </c>
      <c r="N179">
        <v>1</v>
      </c>
      <c r="O179" t="s">
        <v>49</v>
      </c>
      <c r="P179">
        <v>4</v>
      </c>
      <c r="Q179" t="s">
        <v>40</v>
      </c>
      <c r="R179">
        <v>1102</v>
      </c>
      <c r="S179">
        <v>9241</v>
      </c>
      <c r="T179">
        <v>1</v>
      </c>
      <c r="U179" t="s">
        <v>41</v>
      </c>
      <c r="V179" t="s">
        <v>42</v>
      </c>
      <c r="W179">
        <v>22</v>
      </c>
      <c r="X179">
        <v>4</v>
      </c>
      <c r="Y179">
        <v>3</v>
      </c>
      <c r="Z179">
        <v>80</v>
      </c>
      <c r="AA179">
        <v>0</v>
      </c>
      <c r="AB179">
        <v>1</v>
      </c>
      <c r="AC179">
        <v>3</v>
      </c>
      <c r="AD179">
        <v>2</v>
      </c>
      <c r="AE179">
        <v>1</v>
      </c>
      <c r="AF179">
        <v>0</v>
      </c>
      <c r="AG179">
        <v>1</v>
      </c>
      <c r="AH179">
        <v>0</v>
      </c>
    </row>
    <row r="180" spans="1:34" x14ac:dyDescent="0.2">
      <c r="A180">
        <v>46</v>
      </c>
      <c r="B180" t="s">
        <v>42</v>
      </c>
      <c r="C180" t="s">
        <v>35</v>
      </c>
      <c r="D180" t="s">
        <v>36</v>
      </c>
      <c r="E180">
        <v>1</v>
      </c>
      <c r="F180">
        <v>2</v>
      </c>
      <c r="G180" t="s">
        <v>58</v>
      </c>
      <c r="H180">
        <v>1</v>
      </c>
      <c r="I180">
        <v>244</v>
      </c>
      <c r="J180">
        <v>2</v>
      </c>
      <c r="K180" t="s">
        <v>38</v>
      </c>
      <c r="L180">
        <v>92</v>
      </c>
      <c r="M180">
        <v>3</v>
      </c>
      <c r="N180">
        <v>3</v>
      </c>
      <c r="O180" t="s">
        <v>39</v>
      </c>
      <c r="P180">
        <v>1</v>
      </c>
      <c r="Q180" t="s">
        <v>51</v>
      </c>
      <c r="R180">
        <v>10453</v>
      </c>
      <c r="S180">
        <v>2137</v>
      </c>
      <c r="T180">
        <v>1</v>
      </c>
      <c r="U180" t="s">
        <v>41</v>
      </c>
      <c r="V180" t="s">
        <v>42</v>
      </c>
      <c r="W180">
        <v>25</v>
      </c>
      <c r="X180">
        <v>4</v>
      </c>
      <c r="Y180">
        <v>3</v>
      </c>
      <c r="Z180">
        <v>80</v>
      </c>
      <c r="AA180">
        <v>3</v>
      </c>
      <c r="AB180">
        <v>24</v>
      </c>
      <c r="AC180">
        <v>2</v>
      </c>
      <c r="AD180">
        <v>3</v>
      </c>
      <c r="AE180">
        <v>24</v>
      </c>
      <c r="AF180">
        <v>13</v>
      </c>
      <c r="AG180">
        <v>15</v>
      </c>
      <c r="AH180">
        <v>7</v>
      </c>
    </row>
    <row r="181" spans="1:34" x14ac:dyDescent="0.2">
      <c r="A181">
        <v>38</v>
      </c>
      <c r="B181" t="s">
        <v>42</v>
      </c>
      <c r="C181" t="s">
        <v>35</v>
      </c>
      <c r="D181" t="s">
        <v>44</v>
      </c>
      <c r="E181">
        <v>9</v>
      </c>
      <c r="F181">
        <v>2</v>
      </c>
      <c r="G181" t="s">
        <v>37</v>
      </c>
      <c r="H181">
        <v>1</v>
      </c>
      <c r="I181">
        <v>245</v>
      </c>
      <c r="J181">
        <v>3</v>
      </c>
      <c r="K181" t="s">
        <v>38</v>
      </c>
      <c r="L181">
        <v>75</v>
      </c>
      <c r="M181">
        <v>3</v>
      </c>
      <c r="N181">
        <v>1</v>
      </c>
      <c r="O181" t="s">
        <v>49</v>
      </c>
      <c r="P181">
        <v>4</v>
      </c>
      <c r="Q181" t="s">
        <v>40</v>
      </c>
      <c r="R181">
        <v>2288</v>
      </c>
      <c r="S181">
        <v>6319</v>
      </c>
      <c r="T181">
        <v>1</v>
      </c>
      <c r="U181" t="s">
        <v>41</v>
      </c>
      <c r="V181" t="s">
        <v>42</v>
      </c>
      <c r="W181">
        <v>12</v>
      </c>
      <c r="X181">
        <v>3</v>
      </c>
      <c r="Y181">
        <v>3</v>
      </c>
      <c r="Z181">
        <v>80</v>
      </c>
      <c r="AA181">
        <v>0</v>
      </c>
      <c r="AB181">
        <v>2</v>
      </c>
      <c r="AC181">
        <v>3</v>
      </c>
      <c r="AD181">
        <v>3</v>
      </c>
      <c r="AE181">
        <v>2</v>
      </c>
      <c r="AF181">
        <v>2</v>
      </c>
      <c r="AG181">
        <v>2</v>
      </c>
      <c r="AH181">
        <v>1</v>
      </c>
    </row>
    <row r="182" spans="1:34" x14ac:dyDescent="0.2">
      <c r="A182">
        <v>31</v>
      </c>
      <c r="B182" t="s">
        <v>42</v>
      </c>
      <c r="C182" t="s">
        <v>35</v>
      </c>
      <c r="D182" t="s">
        <v>44</v>
      </c>
      <c r="E182">
        <v>12</v>
      </c>
      <c r="F182">
        <v>1</v>
      </c>
      <c r="G182" t="s">
        <v>50</v>
      </c>
      <c r="H182">
        <v>1</v>
      </c>
      <c r="I182">
        <v>246</v>
      </c>
      <c r="J182">
        <v>3</v>
      </c>
      <c r="K182" t="s">
        <v>38</v>
      </c>
      <c r="L182">
        <v>95</v>
      </c>
      <c r="M182">
        <v>3</v>
      </c>
      <c r="N182">
        <v>1</v>
      </c>
      <c r="O182" t="s">
        <v>46</v>
      </c>
      <c r="P182">
        <v>4</v>
      </c>
      <c r="Q182" t="s">
        <v>47</v>
      </c>
      <c r="R182">
        <v>3929</v>
      </c>
      <c r="S182">
        <v>6984</v>
      </c>
      <c r="T182">
        <v>8</v>
      </c>
      <c r="U182" t="s">
        <v>41</v>
      </c>
      <c r="V182" t="s">
        <v>34</v>
      </c>
      <c r="W182">
        <v>23</v>
      </c>
      <c r="X182">
        <v>4</v>
      </c>
      <c r="Y182">
        <v>3</v>
      </c>
      <c r="Z182">
        <v>80</v>
      </c>
      <c r="AA182">
        <v>1</v>
      </c>
      <c r="AB182">
        <v>7</v>
      </c>
      <c r="AC182">
        <v>0</v>
      </c>
      <c r="AD182">
        <v>3</v>
      </c>
      <c r="AE182">
        <v>4</v>
      </c>
      <c r="AF182">
        <v>2</v>
      </c>
      <c r="AG182">
        <v>0</v>
      </c>
      <c r="AH182">
        <v>2</v>
      </c>
    </row>
    <row r="183" spans="1:34" x14ac:dyDescent="0.2">
      <c r="A183">
        <v>34</v>
      </c>
      <c r="B183" t="s">
        <v>42</v>
      </c>
      <c r="C183" t="s">
        <v>35</v>
      </c>
      <c r="D183" t="s">
        <v>44</v>
      </c>
      <c r="E183">
        <v>27</v>
      </c>
      <c r="F183">
        <v>2</v>
      </c>
      <c r="G183" t="s">
        <v>50</v>
      </c>
      <c r="H183">
        <v>1</v>
      </c>
      <c r="I183">
        <v>247</v>
      </c>
      <c r="J183">
        <v>4</v>
      </c>
      <c r="K183" t="s">
        <v>38</v>
      </c>
      <c r="L183">
        <v>95</v>
      </c>
      <c r="M183">
        <v>3</v>
      </c>
      <c r="N183">
        <v>1</v>
      </c>
      <c r="O183" t="s">
        <v>46</v>
      </c>
      <c r="P183">
        <v>2</v>
      </c>
      <c r="Q183" t="s">
        <v>40</v>
      </c>
      <c r="R183">
        <v>2311</v>
      </c>
      <c r="S183">
        <v>5711</v>
      </c>
      <c r="T183">
        <v>2</v>
      </c>
      <c r="U183" t="s">
        <v>41</v>
      </c>
      <c r="V183" t="s">
        <v>42</v>
      </c>
      <c r="W183">
        <v>15</v>
      </c>
      <c r="X183">
        <v>3</v>
      </c>
      <c r="Y183">
        <v>4</v>
      </c>
      <c r="Z183">
        <v>80</v>
      </c>
      <c r="AA183">
        <v>0</v>
      </c>
      <c r="AB183">
        <v>9</v>
      </c>
      <c r="AC183">
        <v>3</v>
      </c>
      <c r="AD183">
        <v>3</v>
      </c>
      <c r="AE183">
        <v>3</v>
      </c>
      <c r="AF183">
        <v>2</v>
      </c>
      <c r="AG183">
        <v>1</v>
      </c>
      <c r="AH183">
        <v>2</v>
      </c>
    </row>
    <row r="184" spans="1:34" x14ac:dyDescent="0.2">
      <c r="A184">
        <v>41</v>
      </c>
      <c r="B184" t="s">
        <v>34</v>
      </c>
      <c r="C184" t="s">
        <v>35</v>
      </c>
      <c r="D184" t="s">
        <v>36</v>
      </c>
      <c r="E184">
        <v>20</v>
      </c>
      <c r="F184">
        <v>2</v>
      </c>
      <c r="G184" t="s">
        <v>58</v>
      </c>
      <c r="H184">
        <v>1</v>
      </c>
      <c r="I184">
        <v>248</v>
      </c>
      <c r="J184">
        <v>2</v>
      </c>
      <c r="K184" t="s">
        <v>38</v>
      </c>
      <c r="L184">
        <v>70</v>
      </c>
      <c r="M184">
        <v>3</v>
      </c>
      <c r="N184">
        <v>1</v>
      </c>
      <c r="O184" t="s">
        <v>56</v>
      </c>
      <c r="P184">
        <v>2</v>
      </c>
      <c r="Q184" t="s">
        <v>40</v>
      </c>
      <c r="R184">
        <v>3140</v>
      </c>
      <c r="S184">
        <v>21728</v>
      </c>
      <c r="T184">
        <v>1</v>
      </c>
      <c r="U184" t="s">
        <v>41</v>
      </c>
      <c r="V184" t="s">
        <v>34</v>
      </c>
      <c r="W184">
        <v>22</v>
      </c>
      <c r="X184">
        <v>4</v>
      </c>
      <c r="Y184">
        <v>4</v>
      </c>
      <c r="Z184">
        <v>80</v>
      </c>
      <c r="AA184">
        <v>0</v>
      </c>
      <c r="AB184">
        <v>4</v>
      </c>
      <c r="AC184">
        <v>5</v>
      </c>
      <c r="AD184">
        <v>2</v>
      </c>
      <c r="AE184">
        <v>4</v>
      </c>
      <c r="AF184">
        <v>3</v>
      </c>
      <c r="AG184">
        <v>0</v>
      </c>
      <c r="AH184">
        <v>2</v>
      </c>
    </row>
    <row r="185" spans="1:34" x14ac:dyDescent="0.2">
      <c r="A185">
        <v>50</v>
      </c>
      <c r="B185" t="s">
        <v>42</v>
      </c>
      <c r="C185" t="s">
        <v>35</v>
      </c>
      <c r="D185" t="s">
        <v>44</v>
      </c>
      <c r="E185">
        <v>1</v>
      </c>
      <c r="F185">
        <v>3</v>
      </c>
      <c r="G185" t="s">
        <v>50</v>
      </c>
      <c r="H185">
        <v>1</v>
      </c>
      <c r="I185">
        <v>249</v>
      </c>
      <c r="J185">
        <v>3</v>
      </c>
      <c r="K185" t="s">
        <v>45</v>
      </c>
      <c r="L185">
        <v>86</v>
      </c>
      <c r="M185">
        <v>2</v>
      </c>
      <c r="N185">
        <v>1</v>
      </c>
      <c r="O185" t="s">
        <v>49</v>
      </c>
      <c r="P185">
        <v>3</v>
      </c>
      <c r="Q185" t="s">
        <v>47</v>
      </c>
      <c r="R185">
        <v>3690</v>
      </c>
      <c r="S185">
        <v>3425</v>
      </c>
      <c r="T185">
        <v>2</v>
      </c>
      <c r="U185" t="s">
        <v>41</v>
      </c>
      <c r="V185" t="s">
        <v>42</v>
      </c>
      <c r="W185">
        <v>15</v>
      </c>
      <c r="X185">
        <v>3</v>
      </c>
      <c r="Y185">
        <v>4</v>
      </c>
      <c r="Z185">
        <v>80</v>
      </c>
      <c r="AA185">
        <v>1</v>
      </c>
      <c r="AB185">
        <v>5</v>
      </c>
      <c r="AC185">
        <v>2</v>
      </c>
      <c r="AD185">
        <v>2</v>
      </c>
      <c r="AE185">
        <v>3</v>
      </c>
      <c r="AF185">
        <v>2</v>
      </c>
      <c r="AG185">
        <v>0</v>
      </c>
      <c r="AH185">
        <v>2</v>
      </c>
    </row>
    <row r="186" spans="1:34" x14ac:dyDescent="0.2">
      <c r="A186">
        <v>53</v>
      </c>
      <c r="B186" t="s">
        <v>42</v>
      </c>
      <c r="C186" t="s">
        <v>35</v>
      </c>
      <c r="D186" t="s">
        <v>44</v>
      </c>
      <c r="E186">
        <v>13</v>
      </c>
      <c r="F186">
        <v>2</v>
      </c>
      <c r="G186" t="s">
        <v>50</v>
      </c>
      <c r="H186">
        <v>1</v>
      </c>
      <c r="I186">
        <v>250</v>
      </c>
      <c r="J186">
        <v>4</v>
      </c>
      <c r="K186" t="s">
        <v>38</v>
      </c>
      <c r="L186">
        <v>57</v>
      </c>
      <c r="M186">
        <v>4</v>
      </c>
      <c r="N186">
        <v>2</v>
      </c>
      <c r="O186" t="s">
        <v>52</v>
      </c>
      <c r="P186">
        <v>1</v>
      </c>
      <c r="Q186" t="s">
        <v>51</v>
      </c>
      <c r="R186">
        <v>4450</v>
      </c>
      <c r="S186">
        <v>26250</v>
      </c>
      <c r="T186">
        <v>1</v>
      </c>
      <c r="U186" t="s">
        <v>41</v>
      </c>
      <c r="V186" t="s">
        <v>42</v>
      </c>
      <c r="W186">
        <v>11</v>
      </c>
      <c r="X186">
        <v>3</v>
      </c>
      <c r="Y186">
        <v>3</v>
      </c>
      <c r="Z186">
        <v>80</v>
      </c>
      <c r="AA186">
        <v>2</v>
      </c>
      <c r="AB186">
        <v>5</v>
      </c>
      <c r="AC186">
        <v>3</v>
      </c>
      <c r="AD186">
        <v>3</v>
      </c>
      <c r="AE186">
        <v>4</v>
      </c>
      <c r="AF186">
        <v>2</v>
      </c>
      <c r="AG186">
        <v>1</v>
      </c>
      <c r="AH186">
        <v>3</v>
      </c>
    </row>
    <row r="187" spans="1:34" x14ac:dyDescent="0.2">
      <c r="A187">
        <v>33</v>
      </c>
      <c r="B187" t="s">
        <v>42</v>
      </c>
      <c r="C187" t="s">
        <v>35</v>
      </c>
      <c r="D187" t="s">
        <v>44</v>
      </c>
      <c r="E187">
        <v>14</v>
      </c>
      <c r="F187">
        <v>3</v>
      </c>
      <c r="G187" t="s">
        <v>50</v>
      </c>
      <c r="H187">
        <v>1</v>
      </c>
      <c r="I187">
        <v>252</v>
      </c>
      <c r="J187">
        <v>4</v>
      </c>
      <c r="K187" t="s">
        <v>38</v>
      </c>
      <c r="L187">
        <v>72</v>
      </c>
      <c r="M187">
        <v>3</v>
      </c>
      <c r="N187">
        <v>1</v>
      </c>
      <c r="O187" t="s">
        <v>46</v>
      </c>
      <c r="P187">
        <v>2</v>
      </c>
      <c r="Q187" t="s">
        <v>47</v>
      </c>
      <c r="R187">
        <v>2756</v>
      </c>
      <c r="S187">
        <v>4673</v>
      </c>
      <c r="T187">
        <v>1</v>
      </c>
      <c r="U187" t="s">
        <v>41</v>
      </c>
      <c r="V187" t="s">
        <v>42</v>
      </c>
      <c r="W187">
        <v>13</v>
      </c>
      <c r="X187">
        <v>3</v>
      </c>
      <c r="Y187">
        <v>4</v>
      </c>
      <c r="Z187">
        <v>80</v>
      </c>
      <c r="AA187">
        <v>1</v>
      </c>
      <c r="AB187">
        <v>8</v>
      </c>
      <c r="AC187">
        <v>5</v>
      </c>
      <c r="AD187">
        <v>3</v>
      </c>
      <c r="AE187">
        <v>8</v>
      </c>
      <c r="AF187">
        <v>7</v>
      </c>
      <c r="AG187">
        <v>1</v>
      </c>
      <c r="AH187">
        <v>6</v>
      </c>
    </row>
    <row r="188" spans="1:34" x14ac:dyDescent="0.2">
      <c r="A188">
        <v>40</v>
      </c>
      <c r="B188" t="s">
        <v>42</v>
      </c>
      <c r="C188" t="s">
        <v>35</v>
      </c>
      <c r="D188" t="s">
        <v>44</v>
      </c>
      <c r="E188">
        <v>4</v>
      </c>
      <c r="F188">
        <v>1</v>
      </c>
      <c r="G188" t="s">
        <v>50</v>
      </c>
      <c r="H188">
        <v>1</v>
      </c>
      <c r="I188">
        <v>253</v>
      </c>
      <c r="J188">
        <v>4</v>
      </c>
      <c r="K188" t="s">
        <v>38</v>
      </c>
      <c r="L188">
        <v>46</v>
      </c>
      <c r="M188">
        <v>3</v>
      </c>
      <c r="N188">
        <v>5</v>
      </c>
      <c r="O188" t="s">
        <v>55</v>
      </c>
      <c r="P188">
        <v>3</v>
      </c>
      <c r="Q188" t="s">
        <v>47</v>
      </c>
      <c r="R188">
        <v>19033</v>
      </c>
      <c r="S188">
        <v>6499</v>
      </c>
      <c r="T188">
        <v>1</v>
      </c>
      <c r="U188" t="s">
        <v>41</v>
      </c>
      <c r="V188" t="s">
        <v>42</v>
      </c>
      <c r="W188">
        <v>14</v>
      </c>
      <c r="X188">
        <v>3</v>
      </c>
      <c r="Y188">
        <v>2</v>
      </c>
      <c r="Z188">
        <v>80</v>
      </c>
      <c r="AA188">
        <v>1</v>
      </c>
      <c r="AB188">
        <v>21</v>
      </c>
      <c r="AC188">
        <v>2</v>
      </c>
      <c r="AD188">
        <v>3</v>
      </c>
      <c r="AE188">
        <v>20</v>
      </c>
      <c r="AF188">
        <v>8</v>
      </c>
      <c r="AG188">
        <v>9</v>
      </c>
      <c r="AH188">
        <v>9</v>
      </c>
    </row>
    <row r="189" spans="1:34" x14ac:dyDescent="0.2">
      <c r="A189">
        <v>55</v>
      </c>
      <c r="B189" t="s">
        <v>42</v>
      </c>
      <c r="C189" t="s">
        <v>35</v>
      </c>
      <c r="D189" t="s">
        <v>44</v>
      </c>
      <c r="E189">
        <v>14</v>
      </c>
      <c r="F189">
        <v>4</v>
      </c>
      <c r="G189" t="s">
        <v>50</v>
      </c>
      <c r="H189">
        <v>1</v>
      </c>
      <c r="I189">
        <v>254</v>
      </c>
      <c r="J189">
        <v>3</v>
      </c>
      <c r="K189" t="s">
        <v>45</v>
      </c>
      <c r="L189">
        <v>61</v>
      </c>
      <c r="M189">
        <v>4</v>
      </c>
      <c r="N189">
        <v>5</v>
      </c>
      <c r="O189" t="s">
        <v>57</v>
      </c>
      <c r="P189">
        <v>2</v>
      </c>
      <c r="Q189" t="s">
        <v>40</v>
      </c>
      <c r="R189">
        <v>18722</v>
      </c>
      <c r="S189">
        <v>13339</v>
      </c>
      <c r="T189">
        <v>8</v>
      </c>
      <c r="U189" t="s">
        <v>41</v>
      </c>
      <c r="V189" t="s">
        <v>42</v>
      </c>
      <c r="W189">
        <v>11</v>
      </c>
      <c r="X189">
        <v>3</v>
      </c>
      <c r="Y189">
        <v>4</v>
      </c>
      <c r="Z189">
        <v>80</v>
      </c>
      <c r="AA189">
        <v>0</v>
      </c>
      <c r="AB189">
        <v>36</v>
      </c>
      <c r="AC189">
        <v>3</v>
      </c>
      <c r="AD189">
        <v>3</v>
      </c>
      <c r="AE189">
        <v>24</v>
      </c>
      <c r="AF189">
        <v>15</v>
      </c>
      <c r="AG189">
        <v>2</v>
      </c>
      <c r="AH189">
        <v>15</v>
      </c>
    </row>
    <row r="190" spans="1:34" x14ac:dyDescent="0.2">
      <c r="A190">
        <v>34</v>
      </c>
      <c r="B190" t="s">
        <v>42</v>
      </c>
      <c r="C190" t="s">
        <v>43</v>
      </c>
      <c r="D190" t="s">
        <v>44</v>
      </c>
      <c r="E190">
        <v>2</v>
      </c>
      <c r="F190">
        <v>1</v>
      </c>
      <c r="G190" t="s">
        <v>37</v>
      </c>
      <c r="H190">
        <v>1</v>
      </c>
      <c r="I190">
        <v>256</v>
      </c>
      <c r="J190">
        <v>4</v>
      </c>
      <c r="K190" t="s">
        <v>45</v>
      </c>
      <c r="L190">
        <v>45</v>
      </c>
      <c r="M190">
        <v>2</v>
      </c>
      <c r="N190">
        <v>2</v>
      </c>
      <c r="O190" t="s">
        <v>52</v>
      </c>
      <c r="P190">
        <v>3</v>
      </c>
      <c r="Q190" t="s">
        <v>47</v>
      </c>
      <c r="R190">
        <v>9547</v>
      </c>
      <c r="S190">
        <v>14074</v>
      </c>
      <c r="T190">
        <v>1</v>
      </c>
      <c r="U190" t="s">
        <v>41</v>
      </c>
      <c r="V190" t="s">
        <v>42</v>
      </c>
      <c r="W190">
        <v>17</v>
      </c>
      <c r="X190">
        <v>3</v>
      </c>
      <c r="Y190">
        <v>3</v>
      </c>
      <c r="Z190">
        <v>80</v>
      </c>
      <c r="AA190">
        <v>0</v>
      </c>
      <c r="AB190">
        <v>10</v>
      </c>
      <c r="AC190">
        <v>2</v>
      </c>
      <c r="AD190">
        <v>2</v>
      </c>
      <c r="AE190">
        <v>10</v>
      </c>
      <c r="AF190">
        <v>9</v>
      </c>
      <c r="AG190">
        <v>1</v>
      </c>
      <c r="AH190">
        <v>9</v>
      </c>
    </row>
    <row r="191" spans="1:34" x14ac:dyDescent="0.2">
      <c r="A191">
        <v>51</v>
      </c>
      <c r="B191" t="s">
        <v>42</v>
      </c>
      <c r="C191" t="s">
        <v>35</v>
      </c>
      <c r="D191" t="s">
        <v>44</v>
      </c>
      <c r="E191">
        <v>3</v>
      </c>
      <c r="F191">
        <v>3</v>
      </c>
      <c r="G191" t="s">
        <v>50</v>
      </c>
      <c r="H191">
        <v>1</v>
      </c>
      <c r="I191">
        <v>258</v>
      </c>
      <c r="J191">
        <v>4</v>
      </c>
      <c r="K191" t="s">
        <v>38</v>
      </c>
      <c r="L191">
        <v>98</v>
      </c>
      <c r="M191">
        <v>3</v>
      </c>
      <c r="N191">
        <v>4</v>
      </c>
      <c r="O191" t="s">
        <v>53</v>
      </c>
      <c r="P191">
        <v>2</v>
      </c>
      <c r="Q191" t="s">
        <v>40</v>
      </c>
      <c r="R191">
        <v>13734</v>
      </c>
      <c r="S191">
        <v>7192</v>
      </c>
      <c r="T191">
        <v>3</v>
      </c>
      <c r="U191" t="s">
        <v>41</v>
      </c>
      <c r="V191" t="s">
        <v>42</v>
      </c>
      <c r="W191">
        <v>18</v>
      </c>
      <c r="X191">
        <v>3</v>
      </c>
      <c r="Y191">
        <v>3</v>
      </c>
      <c r="Z191">
        <v>80</v>
      </c>
      <c r="AA191">
        <v>0</v>
      </c>
      <c r="AB191">
        <v>21</v>
      </c>
      <c r="AC191">
        <v>6</v>
      </c>
      <c r="AD191">
        <v>3</v>
      </c>
      <c r="AE191">
        <v>7</v>
      </c>
      <c r="AF191">
        <v>7</v>
      </c>
      <c r="AG191">
        <v>1</v>
      </c>
      <c r="AH191">
        <v>0</v>
      </c>
    </row>
    <row r="192" spans="1:34" x14ac:dyDescent="0.2">
      <c r="A192">
        <v>52</v>
      </c>
      <c r="B192" t="s">
        <v>42</v>
      </c>
      <c r="C192" t="s">
        <v>35</v>
      </c>
      <c r="D192" t="s">
        <v>44</v>
      </c>
      <c r="E192">
        <v>1</v>
      </c>
      <c r="F192">
        <v>4</v>
      </c>
      <c r="G192" t="s">
        <v>37</v>
      </c>
      <c r="H192">
        <v>1</v>
      </c>
      <c r="I192">
        <v>259</v>
      </c>
      <c r="J192">
        <v>3</v>
      </c>
      <c r="K192" t="s">
        <v>45</v>
      </c>
      <c r="L192">
        <v>65</v>
      </c>
      <c r="M192">
        <v>2</v>
      </c>
      <c r="N192">
        <v>5</v>
      </c>
      <c r="O192" t="s">
        <v>55</v>
      </c>
      <c r="P192">
        <v>3</v>
      </c>
      <c r="Q192" t="s">
        <v>47</v>
      </c>
      <c r="R192">
        <v>19999</v>
      </c>
      <c r="S192">
        <v>5678</v>
      </c>
      <c r="T192">
        <v>0</v>
      </c>
      <c r="U192" t="s">
        <v>41</v>
      </c>
      <c r="V192" t="s">
        <v>42</v>
      </c>
      <c r="W192">
        <v>14</v>
      </c>
      <c r="X192">
        <v>3</v>
      </c>
      <c r="Y192">
        <v>1</v>
      </c>
      <c r="Z192">
        <v>80</v>
      </c>
      <c r="AA192">
        <v>1</v>
      </c>
      <c r="AB192">
        <v>34</v>
      </c>
      <c r="AC192">
        <v>5</v>
      </c>
      <c r="AD192">
        <v>3</v>
      </c>
      <c r="AE192">
        <v>33</v>
      </c>
      <c r="AF192">
        <v>18</v>
      </c>
      <c r="AG192">
        <v>11</v>
      </c>
      <c r="AH192">
        <v>9</v>
      </c>
    </row>
    <row r="193" spans="1:34" x14ac:dyDescent="0.2">
      <c r="A193">
        <v>27</v>
      </c>
      <c r="B193" t="s">
        <v>42</v>
      </c>
      <c r="C193" t="s">
        <v>35</v>
      </c>
      <c r="D193" t="s">
        <v>44</v>
      </c>
      <c r="E193">
        <v>9</v>
      </c>
      <c r="F193">
        <v>3</v>
      </c>
      <c r="G193" t="s">
        <v>50</v>
      </c>
      <c r="H193">
        <v>1</v>
      </c>
      <c r="I193">
        <v>260</v>
      </c>
      <c r="J193">
        <v>4</v>
      </c>
      <c r="K193" t="s">
        <v>38</v>
      </c>
      <c r="L193">
        <v>99</v>
      </c>
      <c r="M193">
        <v>3</v>
      </c>
      <c r="N193">
        <v>1</v>
      </c>
      <c r="O193" t="s">
        <v>46</v>
      </c>
      <c r="P193">
        <v>2</v>
      </c>
      <c r="Q193" t="s">
        <v>40</v>
      </c>
      <c r="R193">
        <v>2279</v>
      </c>
      <c r="S193">
        <v>11781</v>
      </c>
      <c r="T193">
        <v>1</v>
      </c>
      <c r="U193" t="s">
        <v>41</v>
      </c>
      <c r="V193" t="s">
        <v>42</v>
      </c>
      <c r="W193">
        <v>16</v>
      </c>
      <c r="X193">
        <v>3</v>
      </c>
      <c r="Y193">
        <v>4</v>
      </c>
      <c r="Z193">
        <v>80</v>
      </c>
      <c r="AA193">
        <v>0</v>
      </c>
      <c r="AB193">
        <v>7</v>
      </c>
      <c r="AC193">
        <v>2</v>
      </c>
      <c r="AD193">
        <v>2</v>
      </c>
      <c r="AE193">
        <v>7</v>
      </c>
      <c r="AF193">
        <v>7</v>
      </c>
      <c r="AG193">
        <v>0</v>
      </c>
      <c r="AH193">
        <v>3</v>
      </c>
    </row>
    <row r="194" spans="1:34" x14ac:dyDescent="0.2">
      <c r="A194">
        <v>35</v>
      </c>
      <c r="B194" t="s">
        <v>34</v>
      </c>
      <c r="C194" t="s">
        <v>35</v>
      </c>
      <c r="D194" t="s">
        <v>44</v>
      </c>
      <c r="E194">
        <v>23</v>
      </c>
      <c r="F194">
        <v>2</v>
      </c>
      <c r="G194" t="s">
        <v>37</v>
      </c>
      <c r="H194">
        <v>1</v>
      </c>
      <c r="I194">
        <v>261</v>
      </c>
      <c r="J194">
        <v>2</v>
      </c>
      <c r="K194" t="s">
        <v>45</v>
      </c>
      <c r="L194">
        <v>50</v>
      </c>
      <c r="M194">
        <v>2</v>
      </c>
      <c r="N194">
        <v>2</v>
      </c>
      <c r="O194" t="s">
        <v>52</v>
      </c>
      <c r="P194">
        <v>3</v>
      </c>
      <c r="Q194" t="s">
        <v>47</v>
      </c>
      <c r="R194">
        <v>5916</v>
      </c>
      <c r="S194">
        <v>15497</v>
      </c>
      <c r="T194">
        <v>3</v>
      </c>
      <c r="U194" t="s">
        <v>41</v>
      </c>
      <c r="V194" t="s">
        <v>34</v>
      </c>
      <c r="W194">
        <v>13</v>
      </c>
      <c r="X194">
        <v>3</v>
      </c>
      <c r="Y194">
        <v>1</v>
      </c>
      <c r="Z194">
        <v>80</v>
      </c>
      <c r="AA194">
        <v>0</v>
      </c>
      <c r="AB194">
        <v>8</v>
      </c>
      <c r="AC194">
        <v>1</v>
      </c>
      <c r="AD194">
        <v>3</v>
      </c>
      <c r="AE194">
        <v>1</v>
      </c>
      <c r="AF194">
        <v>0</v>
      </c>
      <c r="AG194">
        <v>0</v>
      </c>
      <c r="AH194">
        <v>1</v>
      </c>
    </row>
    <row r="195" spans="1:34" x14ac:dyDescent="0.2">
      <c r="A195">
        <v>43</v>
      </c>
      <c r="B195" t="s">
        <v>42</v>
      </c>
      <c r="C195" t="s">
        <v>54</v>
      </c>
      <c r="D195" t="s">
        <v>44</v>
      </c>
      <c r="E195">
        <v>7</v>
      </c>
      <c r="F195">
        <v>3</v>
      </c>
      <c r="G195" t="s">
        <v>50</v>
      </c>
      <c r="H195">
        <v>1</v>
      </c>
      <c r="I195">
        <v>262</v>
      </c>
      <c r="J195">
        <v>4</v>
      </c>
      <c r="K195" t="s">
        <v>45</v>
      </c>
      <c r="L195">
        <v>37</v>
      </c>
      <c r="M195">
        <v>4</v>
      </c>
      <c r="N195">
        <v>1</v>
      </c>
      <c r="O195" t="s">
        <v>46</v>
      </c>
      <c r="P195">
        <v>4</v>
      </c>
      <c r="Q195" t="s">
        <v>51</v>
      </c>
      <c r="R195">
        <v>2089</v>
      </c>
      <c r="S195">
        <v>5228</v>
      </c>
      <c r="T195">
        <v>4</v>
      </c>
      <c r="U195" t="s">
        <v>41</v>
      </c>
      <c r="V195" t="s">
        <v>42</v>
      </c>
      <c r="W195">
        <v>14</v>
      </c>
      <c r="X195">
        <v>3</v>
      </c>
      <c r="Y195">
        <v>4</v>
      </c>
      <c r="Z195">
        <v>80</v>
      </c>
      <c r="AA195">
        <v>3</v>
      </c>
      <c r="AB195">
        <v>7</v>
      </c>
      <c r="AC195">
        <v>3</v>
      </c>
      <c r="AD195">
        <v>4</v>
      </c>
      <c r="AE195">
        <v>5</v>
      </c>
      <c r="AF195">
        <v>4</v>
      </c>
      <c r="AG195">
        <v>2</v>
      </c>
      <c r="AH195">
        <v>2</v>
      </c>
    </row>
    <row r="196" spans="1:34" x14ac:dyDescent="0.2">
      <c r="A196">
        <v>45</v>
      </c>
      <c r="B196" t="s">
        <v>42</v>
      </c>
      <c r="C196" t="s">
        <v>54</v>
      </c>
      <c r="D196" t="s">
        <v>44</v>
      </c>
      <c r="E196">
        <v>2</v>
      </c>
      <c r="F196">
        <v>2</v>
      </c>
      <c r="G196" t="s">
        <v>50</v>
      </c>
      <c r="H196">
        <v>1</v>
      </c>
      <c r="I196">
        <v>264</v>
      </c>
      <c r="J196">
        <v>1</v>
      </c>
      <c r="K196" t="s">
        <v>45</v>
      </c>
      <c r="L196">
        <v>65</v>
      </c>
      <c r="M196">
        <v>2</v>
      </c>
      <c r="N196">
        <v>4</v>
      </c>
      <c r="O196" t="s">
        <v>55</v>
      </c>
      <c r="P196">
        <v>4</v>
      </c>
      <c r="Q196" t="s">
        <v>47</v>
      </c>
      <c r="R196">
        <v>16792</v>
      </c>
      <c r="S196">
        <v>20462</v>
      </c>
      <c r="T196">
        <v>9</v>
      </c>
      <c r="U196" t="s">
        <v>41</v>
      </c>
      <c r="V196" t="s">
        <v>42</v>
      </c>
      <c r="W196">
        <v>23</v>
      </c>
      <c r="X196">
        <v>4</v>
      </c>
      <c r="Y196">
        <v>4</v>
      </c>
      <c r="Z196">
        <v>80</v>
      </c>
      <c r="AA196">
        <v>1</v>
      </c>
      <c r="AB196">
        <v>22</v>
      </c>
      <c r="AC196">
        <v>1</v>
      </c>
      <c r="AD196">
        <v>3</v>
      </c>
      <c r="AE196">
        <v>20</v>
      </c>
      <c r="AF196">
        <v>8</v>
      </c>
      <c r="AG196">
        <v>11</v>
      </c>
      <c r="AH196">
        <v>8</v>
      </c>
    </row>
    <row r="197" spans="1:34" x14ac:dyDescent="0.2">
      <c r="A197">
        <v>37</v>
      </c>
      <c r="B197" t="s">
        <v>42</v>
      </c>
      <c r="C197" t="s">
        <v>35</v>
      </c>
      <c r="D197" t="s">
        <v>44</v>
      </c>
      <c r="E197">
        <v>21</v>
      </c>
      <c r="F197">
        <v>3</v>
      </c>
      <c r="G197" t="s">
        <v>37</v>
      </c>
      <c r="H197">
        <v>1</v>
      </c>
      <c r="I197">
        <v>267</v>
      </c>
      <c r="J197">
        <v>2</v>
      </c>
      <c r="K197" t="s">
        <v>45</v>
      </c>
      <c r="L197">
        <v>65</v>
      </c>
      <c r="M197">
        <v>4</v>
      </c>
      <c r="N197">
        <v>1</v>
      </c>
      <c r="O197" t="s">
        <v>46</v>
      </c>
      <c r="P197">
        <v>1</v>
      </c>
      <c r="Q197" t="s">
        <v>47</v>
      </c>
      <c r="R197">
        <v>3564</v>
      </c>
      <c r="S197">
        <v>22977</v>
      </c>
      <c r="T197">
        <v>1</v>
      </c>
      <c r="U197" t="s">
        <v>41</v>
      </c>
      <c r="V197" t="s">
        <v>34</v>
      </c>
      <c r="W197">
        <v>12</v>
      </c>
      <c r="X197">
        <v>3</v>
      </c>
      <c r="Y197">
        <v>1</v>
      </c>
      <c r="Z197">
        <v>80</v>
      </c>
      <c r="AA197">
        <v>1</v>
      </c>
      <c r="AB197">
        <v>8</v>
      </c>
      <c r="AC197">
        <v>3</v>
      </c>
      <c r="AD197">
        <v>2</v>
      </c>
      <c r="AE197">
        <v>8</v>
      </c>
      <c r="AF197">
        <v>7</v>
      </c>
      <c r="AG197">
        <v>1</v>
      </c>
      <c r="AH197">
        <v>7</v>
      </c>
    </row>
    <row r="198" spans="1:34" x14ac:dyDescent="0.2">
      <c r="A198">
        <v>35</v>
      </c>
      <c r="B198" t="s">
        <v>42</v>
      </c>
      <c r="C198" t="s">
        <v>43</v>
      </c>
      <c r="D198" t="s">
        <v>44</v>
      </c>
      <c r="E198">
        <v>2</v>
      </c>
      <c r="F198">
        <v>3</v>
      </c>
      <c r="G198" t="s">
        <v>50</v>
      </c>
      <c r="H198">
        <v>1</v>
      </c>
      <c r="I198">
        <v>269</v>
      </c>
      <c r="J198">
        <v>2</v>
      </c>
      <c r="K198" t="s">
        <v>38</v>
      </c>
      <c r="L198">
        <v>37</v>
      </c>
      <c r="M198">
        <v>3</v>
      </c>
      <c r="N198">
        <v>2</v>
      </c>
      <c r="O198" t="s">
        <v>49</v>
      </c>
      <c r="P198">
        <v>2</v>
      </c>
      <c r="Q198" t="s">
        <v>40</v>
      </c>
      <c r="R198">
        <v>4425</v>
      </c>
      <c r="S198">
        <v>15986</v>
      </c>
      <c r="T198">
        <v>5</v>
      </c>
      <c r="U198" t="s">
        <v>41</v>
      </c>
      <c r="V198" t="s">
        <v>42</v>
      </c>
      <c r="W198">
        <v>11</v>
      </c>
      <c r="X198">
        <v>3</v>
      </c>
      <c r="Y198">
        <v>4</v>
      </c>
      <c r="Z198">
        <v>80</v>
      </c>
      <c r="AA198">
        <v>0</v>
      </c>
      <c r="AB198">
        <v>10</v>
      </c>
      <c r="AC198">
        <v>5</v>
      </c>
      <c r="AD198">
        <v>3</v>
      </c>
      <c r="AE198">
        <v>6</v>
      </c>
      <c r="AF198">
        <v>2</v>
      </c>
      <c r="AG198">
        <v>1</v>
      </c>
      <c r="AH198">
        <v>2</v>
      </c>
    </row>
    <row r="199" spans="1:34" x14ac:dyDescent="0.2">
      <c r="A199">
        <v>42</v>
      </c>
      <c r="B199" t="s">
        <v>42</v>
      </c>
      <c r="C199" t="s">
        <v>54</v>
      </c>
      <c r="D199" t="s">
        <v>44</v>
      </c>
      <c r="E199">
        <v>21</v>
      </c>
      <c r="F199">
        <v>2</v>
      </c>
      <c r="G199" t="s">
        <v>50</v>
      </c>
      <c r="H199">
        <v>1</v>
      </c>
      <c r="I199">
        <v>270</v>
      </c>
      <c r="J199">
        <v>3</v>
      </c>
      <c r="K199" t="s">
        <v>38</v>
      </c>
      <c r="L199">
        <v>36</v>
      </c>
      <c r="M199">
        <v>3</v>
      </c>
      <c r="N199">
        <v>2</v>
      </c>
      <c r="O199" t="s">
        <v>52</v>
      </c>
      <c r="P199">
        <v>3</v>
      </c>
      <c r="Q199" t="s">
        <v>51</v>
      </c>
      <c r="R199">
        <v>5265</v>
      </c>
      <c r="S199">
        <v>16439</v>
      </c>
      <c r="T199">
        <v>2</v>
      </c>
      <c r="U199" t="s">
        <v>41</v>
      </c>
      <c r="V199" t="s">
        <v>42</v>
      </c>
      <c r="W199">
        <v>16</v>
      </c>
      <c r="X199">
        <v>3</v>
      </c>
      <c r="Y199">
        <v>2</v>
      </c>
      <c r="Z199">
        <v>80</v>
      </c>
      <c r="AA199">
        <v>1</v>
      </c>
      <c r="AB199">
        <v>11</v>
      </c>
      <c r="AC199">
        <v>5</v>
      </c>
      <c r="AD199">
        <v>3</v>
      </c>
      <c r="AE199">
        <v>5</v>
      </c>
      <c r="AF199">
        <v>3</v>
      </c>
      <c r="AG199">
        <v>0</v>
      </c>
      <c r="AH199">
        <v>2</v>
      </c>
    </row>
    <row r="200" spans="1:34" x14ac:dyDescent="0.2">
      <c r="A200">
        <v>38</v>
      </c>
      <c r="B200" t="s">
        <v>42</v>
      </c>
      <c r="C200" t="s">
        <v>35</v>
      </c>
      <c r="D200" t="s">
        <v>44</v>
      </c>
      <c r="E200">
        <v>2</v>
      </c>
      <c r="F200">
        <v>4</v>
      </c>
      <c r="G200" t="s">
        <v>37</v>
      </c>
      <c r="H200">
        <v>1</v>
      </c>
      <c r="I200">
        <v>271</v>
      </c>
      <c r="J200">
        <v>4</v>
      </c>
      <c r="K200" t="s">
        <v>45</v>
      </c>
      <c r="L200">
        <v>88</v>
      </c>
      <c r="M200">
        <v>3</v>
      </c>
      <c r="N200">
        <v>2</v>
      </c>
      <c r="O200" t="s">
        <v>52</v>
      </c>
      <c r="P200">
        <v>3</v>
      </c>
      <c r="Q200" t="s">
        <v>47</v>
      </c>
      <c r="R200">
        <v>6553</v>
      </c>
      <c r="S200">
        <v>7259</v>
      </c>
      <c r="T200">
        <v>9</v>
      </c>
      <c r="U200" t="s">
        <v>41</v>
      </c>
      <c r="V200" t="s">
        <v>42</v>
      </c>
      <c r="W200">
        <v>14</v>
      </c>
      <c r="X200">
        <v>3</v>
      </c>
      <c r="Y200">
        <v>2</v>
      </c>
      <c r="Z200">
        <v>80</v>
      </c>
      <c r="AA200">
        <v>0</v>
      </c>
      <c r="AB200">
        <v>14</v>
      </c>
      <c r="AC200">
        <v>3</v>
      </c>
      <c r="AD200">
        <v>3</v>
      </c>
      <c r="AE200">
        <v>1</v>
      </c>
      <c r="AF200">
        <v>0</v>
      </c>
      <c r="AG200">
        <v>0</v>
      </c>
      <c r="AH200">
        <v>0</v>
      </c>
    </row>
    <row r="201" spans="1:34" x14ac:dyDescent="0.2">
      <c r="A201">
        <v>38</v>
      </c>
      <c r="B201" t="s">
        <v>42</v>
      </c>
      <c r="C201" t="s">
        <v>35</v>
      </c>
      <c r="D201" t="s">
        <v>44</v>
      </c>
      <c r="E201">
        <v>29</v>
      </c>
      <c r="F201">
        <v>3</v>
      </c>
      <c r="G201" t="s">
        <v>59</v>
      </c>
      <c r="H201">
        <v>1</v>
      </c>
      <c r="I201">
        <v>273</v>
      </c>
      <c r="J201">
        <v>4</v>
      </c>
      <c r="K201" t="s">
        <v>45</v>
      </c>
      <c r="L201">
        <v>54</v>
      </c>
      <c r="M201">
        <v>3</v>
      </c>
      <c r="N201">
        <v>2</v>
      </c>
      <c r="O201" t="s">
        <v>52</v>
      </c>
      <c r="P201">
        <v>4</v>
      </c>
      <c r="Q201" t="s">
        <v>47</v>
      </c>
      <c r="R201">
        <v>6261</v>
      </c>
      <c r="S201">
        <v>4185</v>
      </c>
      <c r="T201">
        <v>3</v>
      </c>
      <c r="U201" t="s">
        <v>41</v>
      </c>
      <c r="V201" t="s">
        <v>42</v>
      </c>
      <c r="W201">
        <v>18</v>
      </c>
      <c r="X201">
        <v>3</v>
      </c>
      <c r="Y201">
        <v>1</v>
      </c>
      <c r="Z201">
        <v>80</v>
      </c>
      <c r="AA201">
        <v>1</v>
      </c>
      <c r="AB201">
        <v>9</v>
      </c>
      <c r="AC201">
        <v>3</v>
      </c>
      <c r="AD201">
        <v>1</v>
      </c>
      <c r="AE201">
        <v>7</v>
      </c>
      <c r="AF201">
        <v>7</v>
      </c>
      <c r="AG201">
        <v>1</v>
      </c>
      <c r="AH201">
        <v>7</v>
      </c>
    </row>
    <row r="202" spans="1:34" x14ac:dyDescent="0.2">
      <c r="A202">
        <v>27</v>
      </c>
      <c r="B202" t="s">
        <v>42</v>
      </c>
      <c r="C202" t="s">
        <v>43</v>
      </c>
      <c r="D202" t="s">
        <v>44</v>
      </c>
      <c r="E202">
        <v>1</v>
      </c>
      <c r="F202">
        <v>1</v>
      </c>
      <c r="G202" t="s">
        <v>59</v>
      </c>
      <c r="H202">
        <v>1</v>
      </c>
      <c r="I202">
        <v>274</v>
      </c>
      <c r="J202">
        <v>3</v>
      </c>
      <c r="K202" t="s">
        <v>45</v>
      </c>
      <c r="L202">
        <v>60</v>
      </c>
      <c r="M202">
        <v>2</v>
      </c>
      <c r="N202">
        <v>2</v>
      </c>
      <c r="O202" t="s">
        <v>52</v>
      </c>
      <c r="P202">
        <v>1</v>
      </c>
      <c r="Q202" t="s">
        <v>47</v>
      </c>
      <c r="R202">
        <v>4298</v>
      </c>
      <c r="S202">
        <v>9679</v>
      </c>
      <c r="T202">
        <v>5</v>
      </c>
      <c r="U202" t="s">
        <v>41</v>
      </c>
      <c r="V202" t="s">
        <v>42</v>
      </c>
      <c r="W202">
        <v>19</v>
      </c>
      <c r="X202">
        <v>3</v>
      </c>
      <c r="Y202">
        <v>3</v>
      </c>
      <c r="Z202">
        <v>80</v>
      </c>
      <c r="AA202">
        <v>1</v>
      </c>
      <c r="AB202">
        <v>6</v>
      </c>
      <c r="AC202">
        <v>1</v>
      </c>
      <c r="AD202">
        <v>3</v>
      </c>
      <c r="AE202">
        <v>2</v>
      </c>
      <c r="AF202">
        <v>2</v>
      </c>
      <c r="AG202">
        <v>2</v>
      </c>
      <c r="AH202">
        <v>0</v>
      </c>
    </row>
    <row r="203" spans="1:34" x14ac:dyDescent="0.2">
      <c r="A203">
        <v>49</v>
      </c>
      <c r="B203" t="s">
        <v>42</v>
      </c>
      <c r="C203" t="s">
        <v>54</v>
      </c>
      <c r="D203" t="s">
        <v>44</v>
      </c>
      <c r="E203">
        <v>18</v>
      </c>
      <c r="F203">
        <v>4</v>
      </c>
      <c r="G203" t="s">
        <v>37</v>
      </c>
      <c r="H203">
        <v>1</v>
      </c>
      <c r="I203">
        <v>275</v>
      </c>
      <c r="J203">
        <v>4</v>
      </c>
      <c r="K203" t="s">
        <v>45</v>
      </c>
      <c r="L203">
        <v>92</v>
      </c>
      <c r="M203">
        <v>3</v>
      </c>
      <c r="N203">
        <v>2</v>
      </c>
      <c r="O203" t="s">
        <v>52</v>
      </c>
      <c r="P203">
        <v>4</v>
      </c>
      <c r="Q203" t="s">
        <v>51</v>
      </c>
      <c r="R203">
        <v>6804</v>
      </c>
      <c r="S203">
        <v>23793</v>
      </c>
      <c r="T203">
        <v>1</v>
      </c>
      <c r="U203" t="s">
        <v>41</v>
      </c>
      <c r="V203" t="s">
        <v>34</v>
      </c>
      <c r="W203">
        <v>15</v>
      </c>
      <c r="X203">
        <v>3</v>
      </c>
      <c r="Y203">
        <v>1</v>
      </c>
      <c r="Z203">
        <v>80</v>
      </c>
      <c r="AA203">
        <v>2</v>
      </c>
      <c r="AB203">
        <v>7</v>
      </c>
      <c r="AC203">
        <v>0</v>
      </c>
      <c r="AD203">
        <v>3</v>
      </c>
      <c r="AE203">
        <v>7</v>
      </c>
      <c r="AF203">
        <v>7</v>
      </c>
      <c r="AG203">
        <v>1</v>
      </c>
      <c r="AH203">
        <v>7</v>
      </c>
    </row>
    <row r="204" spans="1:34" x14ac:dyDescent="0.2">
      <c r="A204">
        <v>34</v>
      </c>
      <c r="B204" t="s">
        <v>42</v>
      </c>
      <c r="C204" t="s">
        <v>43</v>
      </c>
      <c r="D204" t="s">
        <v>44</v>
      </c>
      <c r="E204">
        <v>10</v>
      </c>
      <c r="F204">
        <v>4</v>
      </c>
      <c r="G204" t="s">
        <v>50</v>
      </c>
      <c r="H204">
        <v>1</v>
      </c>
      <c r="I204">
        <v>277</v>
      </c>
      <c r="J204">
        <v>4</v>
      </c>
      <c r="K204" t="s">
        <v>45</v>
      </c>
      <c r="L204">
        <v>43</v>
      </c>
      <c r="M204">
        <v>3</v>
      </c>
      <c r="N204">
        <v>1</v>
      </c>
      <c r="O204" t="s">
        <v>46</v>
      </c>
      <c r="P204">
        <v>3</v>
      </c>
      <c r="Q204" t="s">
        <v>51</v>
      </c>
      <c r="R204">
        <v>3815</v>
      </c>
      <c r="S204">
        <v>5972</v>
      </c>
      <c r="T204">
        <v>1</v>
      </c>
      <c r="U204" t="s">
        <v>41</v>
      </c>
      <c r="V204" t="s">
        <v>34</v>
      </c>
      <c r="W204">
        <v>17</v>
      </c>
      <c r="X204">
        <v>3</v>
      </c>
      <c r="Y204">
        <v>4</v>
      </c>
      <c r="Z204">
        <v>80</v>
      </c>
      <c r="AA204">
        <v>1</v>
      </c>
      <c r="AB204">
        <v>5</v>
      </c>
      <c r="AC204">
        <v>4</v>
      </c>
      <c r="AD204">
        <v>4</v>
      </c>
      <c r="AE204">
        <v>5</v>
      </c>
      <c r="AF204">
        <v>3</v>
      </c>
      <c r="AG204">
        <v>2</v>
      </c>
      <c r="AH204">
        <v>0</v>
      </c>
    </row>
    <row r="205" spans="1:34" x14ac:dyDescent="0.2">
      <c r="A205">
        <v>40</v>
      </c>
      <c r="B205" t="s">
        <v>42</v>
      </c>
      <c r="C205" t="s">
        <v>35</v>
      </c>
      <c r="D205" t="s">
        <v>44</v>
      </c>
      <c r="E205">
        <v>19</v>
      </c>
      <c r="F205">
        <v>2</v>
      </c>
      <c r="G205" t="s">
        <v>50</v>
      </c>
      <c r="H205">
        <v>1</v>
      </c>
      <c r="I205">
        <v>281</v>
      </c>
      <c r="J205">
        <v>3</v>
      </c>
      <c r="K205" t="s">
        <v>45</v>
      </c>
      <c r="L205">
        <v>99</v>
      </c>
      <c r="M205">
        <v>3</v>
      </c>
      <c r="N205">
        <v>2</v>
      </c>
      <c r="O205" t="s">
        <v>49</v>
      </c>
      <c r="P205">
        <v>4</v>
      </c>
      <c r="Q205" t="s">
        <v>47</v>
      </c>
      <c r="R205">
        <v>2741</v>
      </c>
      <c r="S205">
        <v>16523</v>
      </c>
      <c r="T205">
        <v>8</v>
      </c>
      <c r="U205" t="s">
        <v>41</v>
      </c>
      <c r="V205" t="s">
        <v>34</v>
      </c>
      <c r="W205">
        <v>15</v>
      </c>
      <c r="X205">
        <v>3</v>
      </c>
      <c r="Y205">
        <v>3</v>
      </c>
      <c r="Z205">
        <v>80</v>
      </c>
      <c r="AA205">
        <v>1</v>
      </c>
      <c r="AB205">
        <v>15</v>
      </c>
      <c r="AC205">
        <v>2</v>
      </c>
      <c r="AD205">
        <v>4</v>
      </c>
      <c r="AE205">
        <v>7</v>
      </c>
      <c r="AF205">
        <v>2</v>
      </c>
      <c r="AG205">
        <v>3</v>
      </c>
      <c r="AH205">
        <v>7</v>
      </c>
    </row>
    <row r="206" spans="1:34" x14ac:dyDescent="0.2">
      <c r="A206">
        <v>38</v>
      </c>
      <c r="B206" t="s">
        <v>34</v>
      </c>
      <c r="C206" t="s">
        <v>35</v>
      </c>
      <c r="D206" t="s">
        <v>44</v>
      </c>
      <c r="E206">
        <v>29</v>
      </c>
      <c r="F206">
        <v>1</v>
      </c>
      <c r="G206" t="s">
        <v>50</v>
      </c>
      <c r="H206">
        <v>1</v>
      </c>
      <c r="I206">
        <v>282</v>
      </c>
      <c r="J206">
        <v>2</v>
      </c>
      <c r="K206" t="s">
        <v>45</v>
      </c>
      <c r="L206">
        <v>70</v>
      </c>
      <c r="M206">
        <v>3</v>
      </c>
      <c r="N206">
        <v>2</v>
      </c>
      <c r="O206" t="s">
        <v>53</v>
      </c>
      <c r="P206">
        <v>1</v>
      </c>
      <c r="Q206" t="s">
        <v>47</v>
      </c>
      <c r="R206">
        <v>6673</v>
      </c>
      <c r="S206">
        <v>11354</v>
      </c>
      <c r="T206">
        <v>7</v>
      </c>
      <c r="U206" t="s">
        <v>41</v>
      </c>
      <c r="V206" t="s">
        <v>34</v>
      </c>
      <c r="W206">
        <v>19</v>
      </c>
      <c r="X206">
        <v>3</v>
      </c>
      <c r="Y206">
        <v>2</v>
      </c>
      <c r="Z206">
        <v>80</v>
      </c>
      <c r="AA206">
        <v>0</v>
      </c>
      <c r="AB206">
        <v>17</v>
      </c>
      <c r="AC206">
        <v>2</v>
      </c>
      <c r="AD206">
        <v>3</v>
      </c>
      <c r="AE206">
        <v>1</v>
      </c>
      <c r="AF206">
        <v>0</v>
      </c>
      <c r="AG206">
        <v>0</v>
      </c>
      <c r="AH206">
        <v>0</v>
      </c>
    </row>
    <row r="207" spans="1:34" x14ac:dyDescent="0.2">
      <c r="A207">
        <v>29</v>
      </c>
      <c r="B207" t="s">
        <v>34</v>
      </c>
      <c r="C207" t="s">
        <v>35</v>
      </c>
      <c r="D207" t="s">
        <v>36</v>
      </c>
      <c r="E207">
        <v>27</v>
      </c>
      <c r="F207">
        <v>3</v>
      </c>
      <c r="G207" t="s">
        <v>58</v>
      </c>
      <c r="H207">
        <v>1</v>
      </c>
      <c r="I207">
        <v>283</v>
      </c>
      <c r="J207">
        <v>2</v>
      </c>
      <c r="K207" t="s">
        <v>38</v>
      </c>
      <c r="L207">
        <v>35</v>
      </c>
      <c r="M207">
        <v>3</v>
      </c>
      <c r="N207">
        <v>3</v>
      </c>
      <c r="O207" t="s">
        <v>39</v>
      </c>
      <c r="P207">
        <v>4</v>
      </c>
      <c r="Q207" t="s">
        <v>47</v>
      </c>
      <c r="R207">
        <v>7639</v>
      </c>
      <c r="S207">
        <v>24525</v>
      </c>
      <c r="T207">
        <v>1</v>
      </c>
      <c r="U207" t="s">
        <v>41</v>
      </c>
      <c r="V207" t="s">
        <v>42</v>
      </c>
      <c r="W207">
        <v>22</v>
      </c>
      <c r="X207">
        <v>4</v>
      </c>
      <c r="Y207">
        <v>4</v>
      </c>
      <c r="Z207">
        <v>80</v>
      </c>
      <c r="AA207">
        <v>3</v>
      </c>
      <c r="AB207">
        <v>10</v>
      </c>
      <c r="AC207">
        <v>3</v>
      </c>
      <c r="AD207">
        <v>2</v>
      </c>
      <c r="AE207">
        <v>10</v>
      </c>
      <c r="AF207">
        <v>4</v>
      </c>
      <c r="AG207">
        <v>1</v>
      </c>
      <c r="AH207">
        <v>9</v>
      </c>
    </row>
    <row r="208" spans="1:34" x14ac:dyDescent="0.2">
      <c r="A208">
        <v>22</v>
      </c>
      <c r="B208" t="s">
        <v>42</v>
      </c>
      <c r="C208" t="s">
        <v>35</v>
      </c>
      <c r="D208" t="s">
        <v>44</v>
      </c>
      <c r="E208">
        <v>5</v>
      </c>
      <c r="F208">
        <v>3</v>
      </c>
      <c r="G208" t="s">
        <v>37</v>
      </c>
      <c r="H208">
        <v>1</v>
      </c>
      <c r="I208">
        <v>284</v>
      </c>
      <c r="J208">
        <v>4</v>
      </c>
      <c r="K208" t="s">
        <v>45</v>
      </c>
      <c r="L208">
        <v>60</v>
      </c>
      <c r="M208">
        <v>4</v>
      </c>
      <c r="N208">
        <v>1</v>
      </c>
      <c r="O208" t="s">
        <v>46</v>
      </c>
      <c r="P208">
        <v>2</v>
      </c>
      <c r="Q208" t="s">
        <v>51</v>
      </c>
      <c r="R208">
        <v>2328</v>
      </c>
      <c r="S208">
        <v>12392</v>
      </c>
      <c r="T208">
        <v>1</v>
      </c>
      <c r="U208" t="s">
        <v>41</v>
      </c>
      <c r="V208" t="s">
        <v>34</v>
      </c>
      <c r="W208">
        <v>16</v>
      </c>
      <c r="X208">
        <v>3</v>
      </c>
      <c r="Y208">
        <v>1</v>
      </c>
      <c r="Z208">
        <v>80</v>
      </c>
      <c r="AA208">
        <v>1</v>
      </c>
      <c r="AB208">
        <v>4</v>
      </c>
      <c r="AC208">
        <v>2</v>
      </c>
      <c r="AD208">
        <v>2</v>
      </c>
      <c r="AE208">
        <v>4</v>
      </c>
      <c r="AF208">
        <v>2</v>
      </c>
      <c r="AG208">
        <v>2</v>
      </c>
      <c r="AH208">
        <v>2</v>
      </c>
    </row>
    <row r="209" spans="1:34" x14ac:dyDescent="0.2">
      <c r="A209">
        <v>36</v>
      </c>
      <c r="B209" t="s">
        <v>42</v>
      </c>
      <c r="C209" t="s">
        <v>43</v>
      </c>
      <c r="D209" t="s">
        <v>44</v>
      </c>
      <c r="E209">
        <v>18</v>
      </c>
      <c r="F209">
        <v>1</v>
      </c>
      <c r="G209" t="s">
        <v>50</v>
      </c>
      <c r="H209">
        <v>1</v>
      </c>
      <c r="I209">
        <v>286</v>
      </c>
      <c r="J209">
        <v>2</v>
      </c>
      <c r="K209" t="s">
        <v>38</v>
      </c>
      <c r="L209">
        <v>73</v>
      </c>
      <c r="M209">
        <v>3</v>
      </c>
      <c r="N209">
        <v>1</v>
      </c>
      <c r="O209" t="s">
        <v>49</v>
      </c>
      <c r="P209">
        <v>4</v>
      </c>
      <c r="Q209" t="s">
        <v>40</v>
      </c>
      <c r="R209">
        <v>2153</v>
      </c>
      <c r="S209">
        <v>7703</v>
      </c>
      <c r="T209">
        <v>1</v>
      </c>
      <c r="U209" t="s">
        <v>41</v>
      </c>
      <c r="V209" t="s">
        <v>42</v>
      </c>
      <c r="W209">
        <v>13</v>
      </c>
      <c r="X209">
        <v>3</v>
      </c>
      <c r="Y209">
        <v>1</v>
      </c>
      <c r="Z209">
        <v>80</v>
      </c>
      <c r="AA209">
        <v>0</v>
      </c>
      <c r="AB209">
        <v>8</v>
      </c>
      <c r="AC209">
        <v>2</v>
      </c>
      <c r="AD209">
        <v>3</v>
      </c>
      <c r="AE209">
        <v>8</v>
      </c>
      <c r="AF209">
        <v>1</v>
      </c>
      <c r="AG209">
        <v>1</v>
      </c>
      <c r="AH209">
        <v>7</v>
      </c>
    </row>
    <row r="210" spans="1:34" x14ac:dyDescent="0.2">
      <c r="A210">
        <v>40</v>
      </c>
      <c r="B210" t="s">
        <v>42</v>
      </c>
      <c r="C210" t="s">
        <v>54</v>
      </c>
      <c r="D210" t="s">
        <v>44</v>
      </c>
      <c r="E210">
        <v>9</v>
      </c>
      <c r="F210">
        <v>5</v>
      </c>
      <c r="G210" t="s">
        <v>37</v>
      </c>
      <c r="H210">
        <v>1</v>
      </c>
      <c r="I210">
        <v>287</v>
      </c>
      <c r="J210">
        <v>4</v>
      </c>
      <c r="K210" t="s">
        <v>45</v>
      </c>
      <c r="L210">
        <v>63</v>
      </c>
      <c r="M210">
        <v>2</v>
      </c>
      <c r="N210">
        <v>2</v>
      </c>
      <c r="O210" t="s">
        <v>53</v>
      </c>
      <c r="P210">
        <v>4</v>
      </c>
      <c r="Q210" t="s">
        <v>47</v>
      </c>
      <c r="R210">
        <v>4876</v>
      </c>
      <c r="S210">
        <v>14242</v>
      </c>
      <c r="T210">
        <v>9</v>
      </c>
      <c r="U210" t="s">
        <v>41</v>
      </c>
      <c r="V210" t="s">
        <v>42</v>
      </c>
      <c r="W210">
        <v>14</v>
      </c>
      <c r="X210">
        <v>3</v>
      </c>
      <c r="Y210">
        <v>4</v>
      </c>
      <c r="Z210">
        <v>80</v>
      </c>
      <c r="AA210">
        <v>1</v>
      </c>
      <c r="AB210">
        <v>5</v>
      </c>
      <c r="AC210">
        <v>5</v>
      </c>
      <c r="AD210">
        <v>1</v>
      </c>
      <c r="AE210">
        <v>3</v>
      </c>
      <c r="AF210">
        <v>2</v>
      </c>
      <c r="AG210">
        <v>0</v>
      </c>
      <c r="AH210">
        <v>2</v>
      </c>
    </row>
    <row r="211" spans="1:34" x14ac:dyDescent="0.2">
      <c r="A211">
        <v>46</v>
      </c>
      <c r="B211" t="s">
        <v>42</v>
      </c>
      <c r="C211" t="s">
        <v>35</v>
      </c>
      <c r="D211" t="s">
        <v>44</v>
      </c>
      <c r="E211">
        <v>1</v>
      </c>
      <c r="F211">
        <v>4</v>
      </c>
      <c r="G211" t="s">
        <v>50</v>
      </c>
      <c r="H211">
        <v>1</v>
      </c>
      <c r="I211">
        <v>288</v>
      </c>
      <c r="J211">
        <v>4</v>
      </c>
      <c r="K211" t="s">
        <v>45</v>
      </c>
      <c r="L211">
        <v>97</v>
      </c>
      <c r="M211">
        <v>3</v>
      </c>
      <c r="N211">
        <v>3</v>
      </c>
      <c r="O211" t="s">
        <v>53</v>
      </c>
      <c r="P211">
        <v>1</v>
      </c>
      <c r="Q211" t="s">
        <v>51</v>
      </c>
      <c r="R211">
        <v>9396</v>
      </c>
      <c r="S211">
        <v>12368</v>
      </c>
      <c r="T211">
        <v>7</v>
      </c>
      <c r="U211" t="s">
        <v>41</v>
      </c>
      <c r="V211" t="s">
        <v>42</v>
      </c>
      <c r="W211">
        <v>16</v>
      </c>
      <c r="X211">
        <v>3</v>
      </c>
      <c r="Y211">
        <v>3</v>
      </c>
      <c r="Z211">
        <v>80</v>
      </c>
      <c r="AA211">
        <v>1</v>
      </c>
      <c r="AB211">
        <v>17</v>
      </c>
      <c r="AC211">
        <v>3</v>
      </c>
      <c r="AD211">
        <v>3</v>
      </c>
      <c r="AE211">
        <v>4</v>
      </c>
      <c r="AF211">
        <v>2</v>
      </c>
      <c r="AG211">
        <v>0</v>
      </c>
      <c r="AH211">
        <v>3</v>
      </c>
    </row>
    <row r="212" spans="1:34" x14ac:dyDescent="0.2">
      <c r="A212">
        <v>32</v>
      </c>
      <c r="B212" t="s">
        <v>34</v>
      </c>
      <c r="C212" t="s">
        <v>35</v>
      </c>
      <c r="D212" t="s">
        <v>36</v>
      </c>
      <c r="E212">
        <v>4</v>
      </c>
      <c r="F212">
        <v>4</v>
      </c>
      <c r="G212" t="s">
        <v>50</v>
      </c>
      <c r="H212">
        <v>1</v>
      </c>
      <c r="I212">
        <v>291</v>
      </c>
      <c r="J212">
        <v>4</v>
      </c>
      <c r="K212" t="s">
        <v>45</v>
      </c>
      <c r="L212">
        <v>32</v>
      </c>
      <c r="M212">
        <v>1</v>
      </c>
      <c r="N212">
        <v>3</v>
      </c>
      <c r="O212" t="s">
        <v>39</v>
      </c>
      <c r="P212">
        <v>4</v>
      </c>
      <c r="Q212" t="s">
        <v>47</v>
      </c>
      <c r="R212">
        <v>10400</v>
      </c>
      <c r="S212">
        <v>25812</v>
      </c>
      <c r="T212">
        <v>1</v>
      </c>
      <c r="U212" t="s">
        <v>41</v>
      </c>
      <c r="V212" t="s">
        <v>42</v>
      </c>
      <c r="W212">
        <v>11</v>
      </c>
      <c r="X212">
        <v>3</v>
      </c>
      <c r="Y212">
        <v>3</v>
      </c>
      <c r="Z212">
        <v>80</v>
      </c>
      <c r="AA212">
        <v>0</v>
      </c>
      <c r="AB212">
        <v>14</v>
      </c>
      <c r="AC212">
        <v>2</v>
      </c>
      <c r="AD212">
        <v>2</v>
      </c>
      <c r="AE212">
        <v>14</v>
      </c>
      <c r="AF212">
        <v>8</v>
      </c>
      <c r="AG212">
        <v>9</v>
      </c>
      <c r="AH212">
        <v>8</v>
      </c>
    </row>
    <row r="213" spans="1:34" x14ac:dyDescent="0.2">
      <c r="A213">
        <v>30</v>
      </c>
      <c r="B213" t="s">
        <v>42</v>
      </c>
      <c r="C213" t="s">
        <v>54</v>
      </c>
      <c r="D213" t="s">
        <v>44</v>
      </c>
      <c r="E213">
        <v>1</v>
      </c>
      <c r="F213">
        <v>1</v>
      </c>
      <c r="G213" t="s">
        <v>37</v>
      </c>
      <c r="H213">
        <v>1</v>
      </c>
      <c r="I213">
        <v>292</v>
      </c>
      <c r="J213">
        <v>3</v>
      </c>
      <c r="K213" t="s">
        <v>45</v>
      </c>
      <c r="L213">
        <v>88</v>
      </c>
      <c r="M213">
        <v>2</v>
      </c>
      <c r="N213">
        <v>3</v>
      </c>
      <c r="O213" t="s">
        <v>52</v>
      </c>
      <c r="P213">
        <v>3</v>
      </c>
      <c r="Q213" t="s">
        <v>40</v>
      </c>
      <c r="R213">
        <v>8474</v>
      </c>
      <c r="S213">
        <v>20925</v>
      </c>
      <c r="T213">
        <v>1</v>
      </c>
      <c r="U213" t="s">
        <v>41</v>
      </c>
      <c r="V213" t="s">
        <v>42</v>
      </c>
      <c r="W213">
        <v>22</v>
      </c>
      <c r="X213">
        <v>4</v>
      </c>
      <c r="Y213">
        <v>3</v>
      </c>
      <c r="Z213">
        <v>80</v>
      </c>
      <c r="AA213">
        <v>0</v>
      </c>
      <c r="AB213">
        <v>12</v>
      </c>
      <c r="AC213">
        <v>2</v>
      </c>
      <c r="AD213">
        <v>3</v>
      </c>
      <c r="AE213">
        <v>11</v>
      </c>
      <c r="AF213">
        <v>8</v>
      </c>
      <c r="AG213">
        <v>5</v>
      </c>
      <c r="AH213">
        <v>8</v>
      </c>
    </row>
    <row r="214" spans="1:34" x14ac:dyDescent="0.2">
      <c r="A214">
        <v>27</v>
      </c>
      <c r="B214" t="s">
        <v>42</v>
      </c>
      <c r="C214" t="s">
        <v>43</v>
      </c>
      <c r="D214" t="s">
        <v>36</v>
      </c>
      <c r="E214">
        <v>20</v>
      </c>
      <c r="F214">
        <v>3</v>
      </c>
      <c r="G214" t="s">
        <v>37</v>
      </c>
      <c r="H214">
        <v>1</v>
      </c>
      <c r="I214">
        <v>293</v>
      </c>
      <c r="J214">
        <v>4</v>
      </c>
      <c r="K214" t="s">
        <v>38</v>
      </c>
      <c r="L214">
        <v>90</v>
      </c>
      <c r="M214">
        <v>3</v>
      </c>
      <c r="N214">
        <v>2</v>
      </c>
      <c r="O214" t="s">
        <v>39</v>
      </c>
      <c r="P214">
        <v>3</v>
      </c>
      <c r="Q214" t="s">
        <v>40</v>
      </c>
      <c r="R214">
        <v>9981</v>
      </c>
      <c r="S214">
        <v>12916</v>
      </c>
      <c r="T214">
        <v>1</v>
      </c>
      <c r="U214" t="s">
        <v>41</v>
      </c>
      <c r="V214" t="s">
        <v>42</v>
      </c>
      <c r="W214">
        <v>14</v>
      </c>
      <c r="X214">
        <v>3</v>
      </c>
      <c r="Y214">
        <v>4</v>
      </c>
      <c r="Z214">
        <v>80</v>
      </c>
      <c r="AA214">
        <v>0</v>
      </c>
      <c r="AB214">
        <v>7</v>
      </c>
      <c r="AC214">
        <v>2</v>
      </c>
      <c r="AD214">
        <v>3</v>
      </c>
      <c r="AE214">
        <v>7</v>
      </c>
      <c r="AF214">
        <v>7</v>
      </c>
      <c r="AG214">
        <v>0</v>
      </c>
      <c r="AH214">
        <v>7</v>
      </c>
    </row>
    <row r="215" spans="1:34" x14ac:dyDescent="0.2">
      <c r="A215">
        <v>51</v>
      </c>
      <c r="B215" t="s">
        <v>42</v>
      </c>
      <c r="C215" t="s">
        <v>35</v>
      </c>
      <c r="D215" t="s">
        <v>44</v>
      </c>
      <c r="E215">
        <v>8</v>
      </c>
      <c r="F215">
        <v>4</v>
      </c>
      <c r="G215" t="s">
        <v>37</v>
      </c>
      <c r="H215">
        <v>1</v>
      </c>
      <c r="I215">
        <v>296</v>
      </c>
      <c r="J215">
        <v>2</v>
      </c>
      <c r="K215" t="s">
        <v>45</v>
      </c>
      <c r="L215">
        <v>81</v>
      </c>
      <c r="M215">
        <v>2</v>
      </c>
      <c r="N215">
        <v>3</v>
      </c>
      <c r="O215" t="s">
        <v>57</v>
      </c>
      <c r="P215">
        <v>2</v>
      </c>
      <c r="Q215" t="s">
        <v>47</v>
      </c>
      <c r="R215">
        <v>12490</v>
      </c>
      <c r="S215">
        <v>15736</v>
      </c>
      <c r="T215">
        <v>5</v>
      </c>
      <c r="U215" t="s">
        <v>41</v>
      </c>
      <c r="V215" t="s">
        <v>42</v>
      </c>
      <c r="W215">
        <v>16</v>
      </c>
      <c r="X215">
        <v>3</v>
      </c>
      <c r="Y215">
        <v>4</v>
      </c>
      <c r="Z215">
        <v>80</v>
      </c>
      <c r="AA215">
        <v>2</v>
      </c>
      <c r="AB215">
        <v>16</v>
      </c>
      <c r="AC215">
        <v>5</v>
      </c>
      <c r="AD215">
        <v>1</v>
      </c>
      <c r="AE215">
        <v>10</v>
      </c>
      <c r="AF215">
        <v>9</v>
      </c>
      <c r="AG215">
        <v>4</v>
      </c>
      <c r="AH215">
        <v>7</v>
      </c>
    </row>
    <row r="216" spans="1:34" x14ac:dyDescent="0.2">
      <c r="A216">
        <v>30</v>
      </c>
      <c r="B216" t="s">
        <v>34</v>
      </c>
      <c r="C216" t="s">
        <v>35</v>
      </c>
      <c r="D216" t="s">
        <v>44</v>
      </c>
      <c r="E216">
        <v>3</v>
      </c>
      <c r="F216">
        <v>3</v>
      </c>
      <c r="G216" t="s">
        <v>59</v>
      </c>
      <c r="H216">
        <v>1</v>
      </c>
      <c r="I216">
        <v>297</v>
      </c>
      <c r="J216">
        <v>4</v>
      </c>
      <c r="K216" t="s">
        <v>38</v>
      </c>
      <c r="L216">
        <v>88</v>
      </c>
      <c r="M216">
        <v>3</v>
      </c>
      <c r="N216">
        <v>1</v>
      </c>
      <c r="O216" t="s">
        <v>46</v>
      </c>
      <c r="P216">
        <v>1</v>
      </c>
      <c r="Q216" t="s">
        <v>40</v>
      </c>
      <c r="R216">
        <v>2657</v>
      </c>
      <c r="S216">
        <v>8556</v>
      </c>
      <c r="T216">
        <v>5</v>
      </c>
      <c r="U216" t="s">
        <v>41</v>
      </c>
      <c r="V216" t="s">
        <v>34</v>
      </c>
      <c r="W216">
        <v>11</v>
      </c>
      <c r="X216">
        <v>3</v>
      </c>
      <c r="Y216">
        <v>3</v>
      </c>
      <c r="Z216">
        <v>80</v>
      </c>
      <c r="AA216">
        <v>0</v>
      </c>
      <c r="AB216">
        <v>8</v>
      </c>
      <c r="AC216">
        <v>5</v>
      </c>
      <c r="AD216">
        <v>3</v>
      </c>
      <c r="AE216">
        <v>5</v>
      </c>
      <c r="AF216">
        <v>2</v>
      </c>
      <c r="AG216">
        <v>0</v>
      </c>
      <c r="AH216">
        <v>4</v>
      </c>
    </row>
    <row r="217" spans="1:34" x14ac:dyDescent="0.2">
      <c r="A217">
        <v>41</v>
      </c>
      <c r="B217" t="s">
        <v>42</v>
      </c>
      <c r="C217" t="s">
        <v>35</v>
      </c>
      <c r="D217" t="s">
        <v>36</v>
      </c>
      <c r="E217">
        <v>6</v>
      </c>
      <c r="F217">
        <v>3</v>
      </c>
      <c r="G217" t="s">
        <v>37</v>
      </c>
      <c r="H217">
        <v>1</v>
      </c>
      <c r="I217">
        <v>298</v>
      </c>
      <c r="J217">
        <v>4</v>
      </c>
      <c r="K217" t="s">
        <v>38</v>
      </c>
      <c r="L217">
        <v>75</v>
      </c>
      <c r="M217">
        <v>3</v>
      </c>
      <c r="N217">
        <v>3</v>
      </c>
      <c r="O217" t="s">
        <v>55</v>
      </c>
      <c r="P217">
        <v>4</v>
      </c>
      <c r="Q217" t="s">
        <v>40</v>
      </c>
      <c r="R217">
        <v>13591</v>
      </c>
      <c r="S217">
        <v>14674</v>
      </c>
      <c r="T217">
        <v>3</v>
      </c>
      <c r="U217" t="s">
        <v>41</v>
      </c>
      <c r="V217" t="s">
        <v>34</v>
      </c>
      <c r="W217">
        <v>18</v>
      </c>
      <c r="X217">
        <v>3</v>
      </c>
      <c r="Y217">
        <v>3</v>
      </c>
      <c r="Z217">
        <v>80</v>
      </c>
      <c r="AA217">
        <v>0</v>
      </c>
      <c r="AB217">
        <v>16</v>
      </c>
      <c r="AC217">
        <v>3</v>
      </c>
      <c r="AD217">
        <v>3</v>
      </c>
      <c r="AE217">
        <v>1</v>
      </c>
      <c r="AF217">
        <v>0</v>
      </c>
      <c r="AG217">
        <v>0</v>
      </c>
      <c r="AH217">
        <v>0</v>
      </c>
    </row>
    <row r="218" spans="1:34" x14ac:dyDescent="0.2">
      <c r="A218">
        <v>30</v>
      </c>
      <c r="B218" t="s">
        <v>34</v>
      </c>
      <c r="C218" t="s">
        <v>43</v>
      </c>
      <c r="D218" t="s">
        <v>36</v>
      </c>
      <c r="E218">
        <v>26</v>
      </c>
      <c r="F218">
        <v>4</v>
      </c>
      <c r="G218" t="s">
        <v>58</v>
      </c>
      <c r="H218">
        <v>1</v>
      </c>
      <c r="I218">
        <v>299</v>
      </c>
      <c r="J218">
        <v>3</v>
      </c>
      <c r="K218" t="s">
        <v>38</v>
      </c>
      <c r="L218">
        <v>52</v>
      </c>
      <c r="M218">
        <v>2</v>
      </c>
      <c r="N218">
        <v>2</v>
      </c>
      <c r="O218" t="s">
        <v>39</v>
      </c>
      <c r="P218">
        <v>1</v>
      </c>
      <c r="Q218" t="s">
        <v>40</v>
      </c>
      <c r="R218">
        <v>6696</v>
      </c>
      <c r="S218">
        <v>22967</v>
      </c>
      <c r="T218">
        <v>5</v>
      </c>
      <c r="U218" t="s">
        <v>41</v>
      </c>
      <c r="V218" t="s">
        <v>42</v>
      </c>
      <c r="W218">
        <v>15</v>
      </c>
      <c r="X218">
        <v>3</v>
      </c>
      <c r="Y218">
        <v>3</v>
      </c>
      <c r="Z218">
        <v>80</v>
      </c>
      <c r="AA218">
        <v>0</v>
      </c>
      <c r="AB218">
        <v>9</v>
      </c>
      <c r="AC218">
        <v>5</v>
      </c>
      <c r="AD218">
        <v>2</v>
      </c>
      <c r="AE218">
        <v>6</v>
      </c>
      <c r="AF218">
        <v>3</v>
      </c>
      <c r="AG218">
        <v>0</v>
      </c>
      <c r="AH218">
        <v>1</v>
      </c>
    </row>
    <row r="219" spans="1:34" x14ac:dyDescent="0.2">
      <c r="A219">
        <v>29</v>
      </c>
      <c r="B219" t="s">
        <v>34</v>
      </c>
      <c r="C219" t="s">
        <v>35</v>
      </c>
      <c r="D219" t="s">
        <v>44</v>
      </c>
      <c r="E219">
        <v>1</v>
      </c>
      <c r="F219">
        <v>3</v>
      </c>
      <c r="G219" t="s">
        <v>59</v>
      </c>
      <c r="H219">
        <v>1</v>
      </c>
      <c r="I219">
        <v>300</v>
      </c>
      <c r="J219">
        <v>3</v>
      </c>
      <c r="K219" t="s">
        <v>45</v>
      </c>
      <c r="L219">
        <v>85</v>
      </c>
      <c r="M219">
        <v>3</v>
      </c>
      <c r="N219">
        <v>1</v>
      </c>
      <c r="O219" t="s">
        <v>46</v>
      </c>
      <c r="P219">
        <v>3</v>
      </c>
      <c r="Q219" t="s">
        <v>40</v>
      </c>
      <c r="R219">
        <v>2058</v>
      </c>
      <c r="S219">
        <v>19757</v>
      </c>
      <c r="T219">
        <v>0</v>
      </c>
      <c r="U219" t="s">
        <v>41</v>
      </c>
      <c r="V219" t="s">
        <v>42</v>
      </c>
      <c r="W219">
        <v>14</v>
      </c>
      <c r="X219">
        <v>3</v>
      </c>
      <c r="Y219">
        <v>4</v>
      </c>
      <c r="Z219">
        <v>80</v>
      </c>
      <c r="AA219">
        <v>0</v>
      </c>
      <c r="AB219">
        <v>7</v>
      </c>
      <c r="AC219">
        <v>1</v>
      </c>
      <c r="AD219">
        <v>2</v>
      </c>
      <c r="AE219">
        <v>6</v>
      </c>
      <c r="AF219">
        <v>2</v>
      </c>
      <c r="AG219">
        <v>1</v>
      </c>
      <c r="AH219">
        <v>5</v>
      </c>
    </row>
    <row r="220" spans="1:34" x14ac:dyDescent="0.2">
      <c r="A220">
        <v>45</v>
      </c>
      <c r="B220" t="s">
        <v>42</v>
      </c>
      <c r="C220" t="s">
        <v>54</v>
      </c>
      <c r="D220" t="s">
        <v>36</v>
      </c>
      <c r="E220">
        <v>6</v>
      </c>
      <c r="F220">
        <v>3</v>
      </c>
      <c r="G220" t="s">
        <v>50</v>
      </c>
      <c r="H220">
        <v>1</v>
      </c>
      <c r="I220">
        <v>302</v>
      </c>
      <c r="J220">
        <v>4</v>
      </c>
      <c r="K220" t="s">
        <v>38</v>
      </c>
      <c r="L220">
        <v>57</v>
      </c>
      <c r="M220">
        <v>2</v>
      </c>
      <c r="N220">
        <v>3</v>
      </c>
      <c r="O220" t="s">
        <v>39</v>
      </c>
      <c r="P220">
        <v>4</v>
      </c>
      <c r="Q220" t="s">
        <v>40</v>
      </c>
      <c r="R220">
        <v>8865</v>
      </c>
      <c r="S220">
        <v>16840</v>
      </c>
      <c r="T220">
        <v>6</v>
      </c>
      <c r="U220" t="s">
        <v>41</v>
      </c>
      <c r="V220" t="s">
        <v>42</v>
      </c>
      <c r="W220">
        <v>12</v>
      </c>
      <c r="X220">
        <v>3</v>
      </c>
      <c r="Y220">
        <v>4</v>
      </c>
      <c r="Z220">
        <v>80</v>
      </c>
      <c r="AA220">
        <v>0</v>
      </c>
      <c r="AB220">
        <v>23</v>
      </c>
      <c r="AC220">
        <v>2</v>
      </c>
      <c r="AD220">
        <v>3</v>
      </c>
      <c r="AE220">
        <v>19</v>
      </c>
      <c r="AF220">
        <v>7</v>
      </c>
      <c r="AG220">
        <v>12</v>
      </c>
      <c r="AH220">
        <v>8</v>
      </c>
    </row>
    <row r="221" spans="1:34" x14ac:dyDescent="0.2">
      <c r="A221">
        <v>54</v>
      </c>
      <c r="B221" t="s">
        <v>42</v>
      </c>
      <c r="C221" t="s">
        <v>35</v>
      </c>
      <c r="D221" t="s">
        <v>36</v>
      </c>
      <c r="E221">
        <v>3</v>
      </c>
      <c r="F221">
        <v>3</v>
      </c>
      <c r="G221" t="s">
        <v>58</v>
      </c>
      <c r="H221">
        <v>1</v>
      </c>
      <c r="I221">
        <v>303</v>
      </c>
      <c r="J221">
        <v>4</v>
      </c>
      <c r="K221" t="s">
        <v>38</v>
      </c>
      <c r="L221">
        <v>52</v>
      </c>
      <c r="M221">
        <v>3</v>
      </c>
      <c r="N221">
        <v>2</v>
      </c>
      <c r="O221" t="s">
        <v>39</v>
      </c>
      <c r="P221">
        <v>1</v>
      </c>
      <c r="Q221" t="s">
        <v>47</v>
      </c>
      <c r="R221">
        <v>5940</v>
      </c>
      <c r="S221">
        <v>17011</v>
      </c>
      <c r="T221">
        <v>2</v>
      </c>
      <c r="U221" t="s">
        <v>41</v>
      </c>
      <c r="V221" t="s">
        <v>42</v>
      </c>
      <c r="W221">
        <v>14</v>
      </c>
      <c r="X221">
        <v>3</v>
      </c>
      <c r="Y221">
        <v>4</v>
      </c>
      <c r="Z221">
        <v>80</v>
      </c>
      <c r="AA221">
        <v>1</v>
      </c>
      <c r="AB221">
        <v>16</v>
      </c>
      <c r="AC221">
        <v>4</v>
      </c>
      <c r="AD221">
        <v>3</v>
      </c>
      <c r="AE221">
        <v>6</v>
      </c>
      <c r="AF221">
        <v>2</v>
      </c>
      <c r="AG221">
        <v>0</v>
      </c>
      <c r="AH221">
        <v>5</v>
      </c>
    </row>
    <row r="222" spans="1:34" x14ac:dyDescent="0.2">
      <c r="A222">
        <v>36</v>
      </c>
      <c r="B222" t="s">
        <v>42</v>
      </c>
      <c r="C222" t="s">
        <v>35</v>
      </c>
      <c r="D222" t="s">
        <v>44</v>
      </c>
      <c r="E222">
        <v>5</v>
      </c>
      <c r="F222">
        <v>2</v>
      </c>
      <c r="G222" t="s">
        <v>37</v>
      </c>
      <c r="H222">
        <v>1</v>
      </c>
      <c r="I222">
        <v>304</v>
      </c>
      <c r="J222">
        <v>4</v>
      </c>
      <c r="K222" t="s">
        <v>45</v>
      </c>
      <c r="L222">
        <v>62</v>
      </c>
      <c r="M222">
        <v>3</v>
      </c>
      <c r="N222">
        <v>2</v>
      </c>
      <c r="O222" t="s">
        <v>49</v>
      </c>
      <c r="P222">
        <v>2</v>
      </c>
      <c r="Q222" t="s">
        <v>40</v>
      </c>
      <c r="R222">
        <v>5914</v>
      </c>
      <c r="S222">
        <v>9945</v>
      </c>
      <c r="T222">
        <v>8</v>
      </c>
      <c r="U222" t="s">
        <v>41</v>
      </c>
      <c r="V222" t="s">
        <v>42</v>
      </c>
      <c r="W222">
        <v>16</v>
      </c>
      <c r="X222">
        <v>3</v>
      </c>
      <c r="Y222">
        <v>4</v>
      </c>
      <c r="Z222">
        <v>80</v>
      </c>
      <c r="AA222">
        <v>0</v>
      </c>
      <c r="AB222">
        <v>16</v>
      </c>
      <c r="AC222">
        <v>3</v>
      </c>
      <c r="AD222">
        <v>4</v>
      </c>
      <c r="AE222">
        <v>13</v>
      </c>
      <c r="AF222">
        <v>11</v>
      </c>
      <c r="AG222">
        <v>3</v>
      </c>
      <c r="AH222">
        <v>7</v>
      </c>
    </row>
    <row r="223" spans="1:34" x14ac:dyDescent="0.2">
      <c r="A223">
        <v>33</v>
      </c>
      <c r="B223" t="s">
        <v>42</v>
      </c>
      <c r="C223" t="s">
        <v>35</v>
      </c>
      <c r="D223" t="s">
        <v>44</v>
      </c>
      <c r="E223">
        <v>4</v>
      </c>
      <c r="F223">
        <v>4</v>
      </c>
      <c r="G223" t="s">
        <v>50</v>
      </c>
      <c r="H223">
        <v>1</v>
      </c>
      <c r="I223">
        <v>305</v>
      </c>
      <c r="J223">
        <v>3</v>
      </c>
      <c r="K223" t="s">
        <v>38</v>
      </c>
      <c r="L223">
        <v>47</v>
      </c>
      <c r="M223">
        <v>2</v>
      </c>
      <c r="N223">
        <v>1</v>
      </c>
      <c r="O223" t="s">
        <v>46</v>
      </c>
      <c r="P223">
        <v>2</v>
      </c>
      <c r="Q223" t="s">
        <v>47</v>
      </c>
      <c r="R223">
        <v>2622</v>
      </c>
      <c r="S223">
        <v>13248</v>
      </c>
      <c r="T223">
        <v>6</v>
      </c>
      <c r="U223" t="s">
        <v>41</v>
      </c>
      <c r="V223" t="s">
        <v>42</v>
      </c>
      <c r="W223">
        <v>21</v>
      </c>
      <c r="X223">
        <v>4</v>
      </c>
      <c r="Y223">
        <v>4</v>
      </c>
      <c r="Z223">
        <v>80</v>
      </c>
      <c r="AA223">
        <v>0</v>
      </c>
      <c r="AB223">
        <v>7</v>
      </c>
      <c r="AC223">
        <v>3</v>
      </c>
      <c r="AD223">
        <v>3</v>
      </c>
      <c r="AE223">
        <v>3</v>
      </c>
      <c r="AF223">
        <v>2</v>
      </c>
      <c r="AG223">
        <v>1</v>
      </c>
      <c r="AH223">
        <v>1</v>
      </c>
    </row>
    <row r="224" spans="1:34" x14ac:dyDescent="0.2">
      <c r="A224">
        <v>37</v>
      </c>
      <c r="B224" t="s">
        <v>42</v>
      </c>
      <c r="C224" t="s">
        <v>43</v>
      </c>
      <c r="D224" t="s">
        <v>44</v>
      </c>
      <c r="E224">
        <v>11</v>
      </c>
      <c r="F224">
        <v>3</v>
      </c>
      <c r="G224" t="s">
        <v>48</v>
      </c>
      <c r="H224">
        <v>1</v>
      </c>
      <c r="I224">
        <v>306</v>
      </c>
      <c r="J224">
        <v>2</v>
      </c>
      <c r="K224" t="s">
        <v>45</v>
      </c>
      <c r="L224">
        <v>47</v>
      </c>
      <c r="M224">
        <v>3</v>
      </c>
      <c r="N224">
        <v>3</v>
      </c>
      <c r="O224" t="s">
        <v>57</v>
      </c>
      <c r="P224">
        <v>4</v>
      </c>
      <c r="Q224" t="s">
        <v>51</v>
      </c>
      <c r="R224">
        <v>12185</v>
      </c>
      <c r="S224">
        <v>10056</v>
      </c>
      <c r="T224">
        <v>1</v>
      </c>
      <c r="U224" t="s">
        <v>41</v>
      </c>
      <c r="V224" t="s">
        <v>34</v>
      </c>
      <c r="W224">
        <v>14</v>
      </c>
      <c r="X224">
        <v>3</v>
      </c>
      <c r="Y224">
        <v>3</v>
      </c>
      <c r="Z224">
        <v>80</v>
      </c>
      <c r="AA224">
        <v>3</v>
      </c>
      <c r="AB224">
        <v>10</v>
      </c>
      <c r="AC224">
        <v>1</v>
      </c>
      <c r="AD224">
        <v>3</v>
      </c>
      <c r="AE224">
        <v>10</v>
      </c>
      <c r="AF224">
        <v>8</v>
      </c>
      <c r="AG224">
        <v>0</v>
      </c>
      <c r="AH224">
        <v>7</v>
      </c>
    </row>
    <row r="225" spans="1:34" x14ac:dyDescent="0.2">
      <c r="A225">
        <v>38</v>
      </c>
      <c r="B225" t="s">
        <v>42</v>
      </c>
      <c r="C225" t="s">
        <v>35</v>
      </c>
      <c r="D225" t="s">
        <v>36</v>
      </c>
      <c r="E225">
        <v>3</v>
      </c>
      <c r="F225">
        <v>3</v>
      </c>
      <c r="G225" t="s">
        <v>37</v>
      </c>
      <c r="H225">
        <v>1</v>
      </c>
      <c r="I225">
        <v>307</v>
      </c>
      <c r="J225">
        <v>1</v>
      </c>
      <c r="K225" t="s">
        <v>45</v>
      </c>
      <c r="L225">
        <v>76</v>
      </c>
      <c r="M225">
        <v>3</v>
      </c>
      <c r="N225">
        <v>3</v>
      </c>
      <c r="O225" t="s">
        <v>39</v>
      </c>
      <c r="P225">
        <v>3</v>
      </c>
      <c r="Q225" t="s">
        <v>51</v>
      </c>
      <c r="R225">
        <v>10609</v>
      </c>
      <c r="S225">
        <v>9647</v>
      </c>
      <c r="T225">
        <v>0</v>
      </c>
      <c r="U225" t="s">
        <v>41</v>
      </c>
      <c r="V225" t="s">
        <v>42</v>
      </c>
      <c r="W225">
        <v>12</v>
      </c>
      <c r="X225">
        <v>3</v>
      </c>
      <c r="Y225">
        <v>3</v>
      </c>
      <c r="Z225">
        <v>80</v>
      </c>
      <c r="AA225">
        <v>2</v>
      </c>
      <c r="AB225">
        <v>17</v>
      </c>
      <c r="AC225">
        <v>6</v>
      </c>
      <c r="AD225">
        <v>2</v>
      </c>
      <c r="AE225">
        <v>16</v>
      </c>
      <c r="AF225">
        <v>10</v>
      </c>
      <c r="AG225">
        <v>5</v>
      </c>
      <c r="AH225">
        <v>13</v>
      </c>
    </row>
    <row r="226" spans="1:34" x14ac:dyDescent="0.2">
      <c r="A226">
        <v>31</v>
      </c>
      <c r="B226" t="s">
        <v>42</v>
      </c>
      <c r="C226" t="s">
        <v>54</v>
      </c>
      <c r="D226" t="s">
        <v>44</v>
      </c>
      <c r="E226">
        <v>1</v>
      </c>
      <c r="F226">
        <v>4</v>
      </c>
      <c r="G226" t="s">
        <v>50</v>
      </c>
      <c r="H226">
        <v>1</v>
      </c>
      <c r="I226">
        <v>308</v>
      </c>
      <c r="J226">
        <v>3</v>
      </c>
      <c r="K226" t="s">
        <v>45</v>
      </c>
      <c r="L226">
        <v>90</v>
      </c>
      <c r="M226">
        <v>1</v>
      </c>
      <c r="N226">
        <v>2</v>
      </c>
      <c r="O226" t="s">
        <v>52</v>
      </c>
      <c r="P226">
        <v>3</v>
      </c>
      <c r="Q226" t="s">
        <v>47</v>
      </c>
      <c r="R226">
        <v>4345</v>
      </c>
      <c r="S226">
        <v>4381</v>
      </c>
      <c r="T226">
        <v>0</v>
      </c>
      <c r="U226" t="s">
        <v>41</v>
      </c>
      <c r="V226" t="s">
        <v>42</v>
      </c>
      <c r="W226">
        <v>12</v>
      </c>
      <c r="X226">
        <v>3</v>
      </c>
      <c r="Y226">
        <v>4</v>
      </c>
      <c r="Z226">
        <v>80</v>
      </c>
      <c r="AA226">
        <v>1</v>
      </c>
      <c r="AB226">
        <v>6</v>
      </c>
      <c r="AC226">
        <v>2</v>
      </c>
      <c r="AD226">
        <v>3</v>
      </c>
      <c r="AE226">
        <v>5</v>
      </c>
      <c r="AF226">
        <v>4</v>
      </c>
      <c r="AG226">
        <v>1</v>
      </c>
      <c r="AH226">
        <v>4</v>
      </c>
    </row>
    <row r="227" spans="1:34" x14ac:dyDescent="0.2">
      <c r="A227">
        <v>59</v>
      </c>
      <c r="B227" t="s">
        <v>42</v>
      </c>
      <c r="C227" t="s">
        <v>35</v>
      </c>
      <c r="D227" t="s">
        <v>44</v>
      </c>
      <c r="E227">
        <v>3</v>
      </c>
      <c r="F227">
        <v>3</v>
      </c>
      <c r="G227" t="s">
        <v>37</v>
      </c>
      <c r="H227">
        <v>1</v>
      </c>
      <c r="I227">
        <v>309</v>
      </c>
      <c r="J227">
        <v>3</v>
      </c>
      <c r="K227" t="s">
        <v>45</v>
      </c>
      <c r="L227">
        <v>70</v>
      </c>
      <c r="M227">
        <v>2</v>
      </c>
      <c r="N227">
        <v>1</v>
      </c>
      <c r="O227" t="s">
        <v>46</v>
      </c>
      <c r="P227">
        <v>4</v>
      </c>
      <c r="Q227" t="s">
        <v>47</v>
      </c>
      <c r="R227">
        <v>2177</v>
      </c>
      <c r="S227">
        <v>8456</v>
      </c>
      <c r="T227">
        <v>3</v>
      </c>
      <c r="U227" t="s">
        <v>41</v>
      </c>
      <c r="V227" t="s">
        <v>42</v>
      </c>
      <c r="W227">
        <v>17</v>
      </c>
      <c r="X227">
        <v>3</v>
      </c>
      <c r="Y227">
        <v>1</v>
      </c>
      <c r="Z227">
        <v>80</v>
      </c>
      <c r="AA227">
        <v>1</v>
      </c>
      <c r="AB227">
        <v>7</v>
      </c>
      <c r="AC227">
        <v>6</v>
      </c>
      <c r="AD227">
        <v>3</v>
      </c>
      <c r="AE227">
        <v>1</v>
      </c>
      <c r="AF227">
        <v>0</v>
      </c>
      <c r="AG227">
        <v>0</v>
      </c>
      <c r="AH227">
        <v>0</v>
      </c>
    </row>
    <row r="228" spans="1:34" x14ac:dyDescent="0.2">
      <c r="A228">
        <v>37</v>
      </c>
      <c r="B228" t="s">
        <v>42</v>
      </c>
      <c r="C228" t="s">
        <v>43</v>
      </c>
      <c r="D228" t="s">
        <v>36</v>
      </c>
      <c r="E228">
        <v>4</v>
      </c>
      <c r="F228">
        <v>4</v>
      </c>
      <c r="G228" t="s">
        <v>58</v>
      </c>
      <c r="H228">
        <v>1</v>
      </c>
      <c r="I228">
        <v>311</v>
      </c>
      <c r="J228">
        <v>1</v>
      </c>
      <c r="K228" t="s">
        <v>45</v>
      </c>
      <c r="L228">
        <v>41</v>
      </c>
      <c r="M228">
        <v>3</v>
      </c>
      <c r="N228">
        <v>1</v>
      </c>
      <c r="O228" t="s">
        <v>56</v>
      </c>
      <c r="P228">
        <v>4</v>
      </c>
      <c r="Q228" t="s">
        <v>51</v>
      </c>
      <c r="R228">
        <v>2793</v>
      </c>
      <c r="S228">
        <v>2539</v>
      </c>
      <c r="T228">
        <v>4</v>
      </c>
      <c r="U228" t="s">
        <v>41</v>
      </c>
      <c r="V228" t="s">
        <v>42</v>
      </c>
      <c r="W228">
        <v>17</v>
      </c>
      <c r="X228">
        <v>3</v>
      </c>
      <c r="Y228">
        <v>3</v>
      </c>
      <c r="Z228">
        <v>80</v>
      </c>
      <c r="AA228">
        <v>1</v>
      </c>
      <c r="AB228">
        <v>13</v>
      </c>
      <c r="AC228">
        <v>2</v>
      </c>
      <c r="AD228">
        <v>3</v>
      </c>
      <c r="AE228">
        <v>9</v>
      </c>
      <c r="AF228">
        <v>8</v>
      </c>
      <c r="AG228">
        <v>5</v>
      </c>
      <c r="AH228">
        <v>8</v>
      </c>
    </row>
    <row r="229" spans="1:34" x14ac:dyDescent="0.2">
      <c r="A229">
        <v>29</v>
      </c>
      <c r="B229" t="s">
        <v>42</v>
      </c>
      <c r="C229" t="s">
        <v>43</v>
      </c>
      <c r="D229" t="s">
        <v>36</v>
      </c>
      <c r="E229">
        <v>1</v>
      </c>
      <c r="F229">
        <v>1</v>
      </c>
      <c r="G229" t="s">
        <v>50</v>
      </c>
      <c r="H229">
        <v>1</v>
      </c>
      <c r="I229">
        <v>312</v>
      </c>
      <c r="J229">
        <v>2</v>
      </c>
      <c r="K229" t="s">
        <v>38</v>
      </c>
      <c r="L229">
        <v>42</v>
      </c>
      <c r="M229">
        <v>3</v>
      </c>
      <c r="N229">
        <v>3</v>
      </c>
      <c r="O229" t="s">
        <v>39</v>
      </c>
      <c r="P229">
        <v>4</v>
      </c>
      <c r="Q229" t="s">
        <v>47</v>
      </c>
      <c r="R229">
        <v>7918</v>
      </c>
      <c r="S229">
        <v>6599</v>
      </c>
      <c r="T229">
        <v>1</v>
      </c>
      <c r="U229" t="s">
        <v>41</v>
      </c>
      <c r="V229" t="s">
        <v>42</v>
      </c>
      <c r="W229">
        <v>14</v>
      </c>
      <c r="X229">
        <v>3</v>
      </c>
      <c r="Y229">
        <v>4</v>
      </c>
      <c r="Z229">
        <v>80</v>
      </c>
      <c r="AA229">
        <v>1</v>
      </c>
      <c r="AB229">
        <v>11</v>
      </c>
      <c r="AC229">
        <v>5</v>
      </c>
      <c r="AD229">
        <v>3</v>
      </c>
      <c r="AE229">
        <v>11</v>
      </c>
      <c r="AF229">
        <v>10</v>
      </c>
      <c r="AG229">
        <v>4</v>
      </c>
      <c r="AH229">
        <v>1</v>
      </c>
    </row>
    <row r="230" spans="1:34" x14ac:dyDescent="0.2">
      <c r="A230">
        <v>35</v>
      </c>
      <c r="B230" t="s">
        <v>42</v>
      </c>
      <c r="C230" t="s">
        <v>43</v>
      </c>
      <c r="D230" t="s">
        <v>36</v>
      </c>
      <c r="E230">
        <v>1</v>
      </c>
      <c r="F230">
        <v>3</v>
      </c>
      <c r="G230" t="s">
        <v>58</v>
      </c>
      <c r="H230">
        <v>1</v>
      </c>
      <c r="I230">
        <v>314</v>
      </c>
      <c r="J230">
        <v>3</v>
      </c>
      <c r="K230" t="s">
        <v>38</v>
      </c>
      <c r="L230">
        <v>92</v>
      </c>
      <c r="M230">
        <v>3</v>
      </c>
      <c r="N230">
        <v>3</v>
      </c>
      <c r="O230" t="s">
        <v>39</v>
      </c>
      <c r="P230">
        <v>3</v>
      </c>
      <c r="Q230" t="s">
        <v>40</v>
      </c>
      <c r="R230">
        <v>8789</v>
      </c>
      <c r="S230">
        <v>9096</v>
      </c>
      <c r="T230">
        <v>1</v>
      </c>
      <c r="U230" t="s">
        <v>41</v>
      </c>
      <c r="V230" t="s">
        <v>42</v>
      </c>
      <c r="W230">
        <v>14</v>
      </c>
      <c r="X230">
        <v>3</v>
      </c>
      <c r="Y230">
        <v>1</v>
      </c>
      <c r="Z230">
        <v>80</v>
      </c>
      <c r="AA230">
        <v>0</v>
      </c>
      <c r="AB230">
        <v>10</v>
      </c>
      <c r="AC230">
        <v>3</v>
      </c>
      <c r="AD230">
        <v>4</v>
      </c>
      <c r="AE230">
        <v>10</v>
      </c>
      <c r="AF230">
        <v>7</v>
      </c>
      <c r="AG230">
        <v>0</v>
      </c>
      <c r="AH230">
        <v>8</v>
      </c>
    </row>
    <row r="231" spans="1:34" x14ac:dyDescent="0.2">
      <c r="A231">
        <v>29</v>
      </c>
      <c r="B231" t="s">
        <v>34</v>
      </c>
      <c r="C231" t="s">
        <v>35</v>
      </c>
      <c r="D231" t="s">
        <v>44</v>
      </c>
      <c r="E231">
        <v>18</v>
      </c>
      <c r="F231">
        <v>1</v>
      </c>
      <c r="G231" t="s">
        <v>50</v>
      </c>
      <c r="H231">
        <v>1</v>
      </c>
      <c r="I231">
        <v>315</v>
      </c>
      <c r="J231">
        <v>3</v>
      </c>
      <c r="K231" t="s">
        <v>45</v>
      </c>
      <c r="L231">
        <v>86</v>
      </c>
      <c r="M231">
        <v>2</v>
      </c>
      <c r="N231">
        <v>1</v>
      </c>
      <c r="O231" t="s">
        <v>46</v>
      </c>
      <c r="P231">
        <v>4</v>
      </c>
      <c r="Q231" t="s">
        <v>40</v>
      </c>
      <c r="R231">
        <v>2389</v>
      </c>
      <c r="S231">
        <v>14961</v>
      </c>
      <c r="T231">
        <v>1</v>
      </c>
      <c r="U231" t="s">
        <v>41</v>
      </c>
      <c r="V231" t="s">
        <v>34</v>
      </c>
      <c r="W231">
        <v>13</v>
      </c>
      <c r="X231">
        <v>3</v>
      </c>
      <c r="Y231">
        <v>3</v>
      </c>
      <c r="Z231">
        <v>80</v>
      </c>
      <c r="AA231">
        <v>0</v>
      </c>
      <c r="AB231">
        <v>4</v>
      </c>
      <c r="AC231">
        <v>3</v>
      </c>
      <c r="AD231">
        <v>2</v>
      </c>
      <c r="AE231">
        <v>4</v>
      </c>
      <c r="AF231">
        <v>3</v>
      </c>
      <c r="AG231">
        <v>0</v>
      </c>
      <c r="AH231">
        <v>1</v>
      </c>
    </row>
    <row r="232" spans="1:34" x14ac:dyDescent="0.2">
      <c r="A232">
        <v>52</v>
      </c>
      <c r="B232" t="s">
        <v>42</v>
      </c>
      <c r="C232" t="s">
        <v>35</v>
      </c>
      <c r="D232" t="s">
        <v>44</v>
      </c>
      <c r="E232">
        <v>2</v>
      </c>
      <c r="F232">
        <v>3</v>
      </c>
      <c r="G232" t="s">
        <v>37</v>
      </c>
      <c r="H232">
        <v>1</v>
      </c>
      <c r="I232">
        <v>316</v>
      </c>
      <c r="J232">
        <v>3</v>
      </c>
      <c r="K232" t="s">
        <v>38</v>
      </c>
      <c r="L232">
        <v>89</v>
      </c>
      <c r="M232">
        <v>2</v>
      </c>
      <c r="N232">
        <v>1</v>
      </c>
      <c r="O232" t="s">
        <v>49</v>
      </c>
      <c r="P232">
        <v>4</v>
      </c>
      <c r="Q232" t="s">
        <v>40</v>
      </c>
      <c r="R232">
        <v>3212</v>
      </c>
      <c r="S232">
        <v>3300</v>
      </c>
      <c r="T232">
        <v>7</v>
      </c>
      <c r="U232" t="s">
        <v>41</v>
      </c>
      <c r="V232" t="s">
        <v>42</v>
      </c>
      <c r="W232">
        <v>15</v>
      </c>
      <c r="X232">
        <v>3</v>
      </c>
      <c r="Y232">
        <v>2</v>
      </c>
      <c r="Z232">
        <v>80</v>
      </c>
      <c r="AA232">
        <v>0</v>
      </c>
      <c r="AB232">
        <v>6</v>
      </c>
      <c r="AC232">
        <v>3</v>
      </c>
      <c r="AD232">
        <v>2</v>
      </c>
      <c r="AE232">
        <v>2</v>
      </c>
      <c r="AF232">
        <v>2</v>
      </c>
      <c r="AG232">
        <v>2</v>
      </c>
      <c r="AH232">
        <v>2</v>
      </c>
    </row>
    <row r="233" spans="1:34" x14ac:dyDescent="0.2">
      <c r="A233">
        <v>42</v>
      </c>
      <c r="B233" t="s">
        <v>42</v>
      </c>
      <c r="C233" t="s">
        <v>35</v>
      </c>
      <c r="D233" t="s">
        <v>44</v>
      </c>
      <c r="E233">
        <v>4</v>
      </c>
      <c r="F233">
        <v>2</v>
      </c>
      <c r="G233" t="s">
        <v>59</v>
      </c>
      <c r="H233">
        <v>1</v>
      </c>
      <c r="I233">
        <v>319</v>
      </c>
      <c r="J233">
        <v>3</v>
      </c>
      <c r="K233" t="s">
        <v>45</v>
      </c>
      <c r="L233">
        <v>58</v>
      </c>
      <c r="M233">
        <v>3</v>
      </c>
      <c r="N233">
        <v>5</v>
      </c>
      <c r="O233" t="s">
        <v>55</v>
      </c>
      <c r="P233">
        <v>4</v>
      </c>
      <c r="Q233" t="s">
        <v>47</v>
      </c>
      <c r="R233">
        <v>19232</v>
      </c>
      <c r="S233">
        <v>4933</v>
      </c>
      <c r="T233">
        <v>1</v>
      </c>
      <c r="U233" t="s">
        <v>41</v>
      </c>
      <c r="V233" t="s">
        <v>42</v>
      </c>
      <c r="W233">
        <v>11</v>
      </c>
      <c r="X233">
        <v>3</v>
      </c>
      <c r="Y233">
        <v>4</v>
      </c>
      <c r="Z233">
        <v>80</v>
      </c>
      <c r="AA233">
        <v>0</v>
      </c>
      <c r="AB233">
        <v>22</v>
      </c>
      <c r="AC233">
        <v>3</v>
      </c>
      <c r="AD233">
        <v>3</v>
      </c>
      <c r="AE233">
        <v>22</v>
      </c>
      <c r="AF233">
        <v>17</v>
      </c>
      <c r="AG233">
        <v>11</v>
      </c>
      <c r="AH233">
        <v>15</v>
      </c>
    </row>
    <row r="234" spans="1:34" x14ac:dyDescent="0.2">
      <c r="A234">
        <v>59</v>
      </c>
      <c r="B234" t="s">
        <v>42</v>
      </c>
      <c r="C234" t="s">
        <v>35</v>
      </c>
      <c r="D234" t="s">
        <v>60</v>
      </c>
      <c r="E234">
        <v>6</v>
      </c>
      <c r="F234">
        <v>2</v>
      </c>
      <c r="G234" t="s">
        <v>50</v>
      </c>
      <c r="H234">
        <v>1</v>
      </c>
      <c r="I234">
        <v>321</v>
      </c>
      <c r="J234">
        <v>2</v>
      </c>
      <c r="K234" t="s">
        <v>45</v>
      </c>
      <c r="L234">
        <v>52</v>
      </c>
      <c r="M234">
        <v>3</v>
      </c>
      <c r="N234">
        <v>1</v>
      </c>
      <c r="O234" t="s">
        <v>60</v>
      </c>
      <c r="P234">
        <v>3</v>
      </c>
      <c r="Q234" t="s">
        <v>47</v>
      </c>
      <c r="R234">
        <v>2267</v>
      </c>
      <c r="S234">
        <v>25657</v>
      </c>
      <c r="T234">
        <v>8</v>
      </c>
      <c r="U234" t="s">
        <v>41</v>
      </c>
      <c r="V234" t="s">
        <v>42</v>
      </c>
      <c r="W234">
        <v>17</v>
      </c>
      <c r="X234">
        <v>3</v>
      </c>
      <c r="Y234">
        <v>4</v>
      </c>
      <c r="Z234">
        <v>80</v>
      </c>
      <c r="AA234">
        <v>0</v>
      </c>
      <c r="AB234">
        <v>7</v>
      </c>
      <c r="AC234">
        <v>2</v>
      </c>
      <c r="AD234">
        <v>2</v>
      </c>
      <c r="AE234">
        <v>2</v>
      </c>
      <c r="AF234">
        <v>2</v>
      </c>
      <c r="AG234">
        <v>2</v>
      </c>
      <c r="AH234">
        <v>2</v>
      </c>
    </row>
    <row r="235" spans="1:34" x14ac:dyDescent="0.2">
      <c r="A235">
        <v>50</v>
      </c>
      <c r="B235" t="s">
        <v>42</v>
      </c>
      <c r="C235" t="s">
        <v>35</v>
      </c>
      <c r="D235" t="s">
        <v>36</v>
      </c>
      <c r="E235">
        <v>1</v>
      </c>
      <c r="F235">
        <v>4</v>
      </c>
      <c r="G235" t="s">
        <v>50</v>
      </c>
      <c r="H235">
        <v>1</v>
      </c>
      <c r="I235">
        <v>323</v>
      </c>
      <c r="J235">
        <v>4</v>
      </c>
      <c r="K235" t="s">
        <v>38</v>
      </c>
      <c r="L235">
        <v>68</v>
      </c>
      <c r="M235">
        <v>3</v>
      </c>
      <c r="N235">
        <v>5</v>
      </c>
      <c r="O235" t="s">
        <v>55</v>
      </c>
      <c r="P235">
        <v>4</v>
      </c>
      <c r="Q235" t="s">
        <v>51</v>
      </c>
      <c r="R235">
        <v>19517</v>
      </c>
      <c r="S235">
        <v>24118</v>
      </c>
      <c r="T235">
        <v>3</v>
      </c>
      <c r="U235" t="s">
        <v>41</v>
      </c>
      <c r="V235" t="s">
        <v>42</v>
      </c>
      <c r="W235">
        <v>11</v>
      </c>
      <c r="X235">
        <v>3</v>
      </c>
      <c r="Y235">
        <v>3</v>
      </c>
      <c r="Z235">
        <v>80</v>
      </c>
      <c r="AA235">
        <v>1</v>
      </c>
      <c r="AB235">
        <v>32</v>
      </c>
      <c r="AC235">
        <v>3</v>
      </c>
      <c r="AD235">
        <v>2</v>
      </c>
      <c r="AE235">
        <v>7</v>
      </c>
      <c r="AF235">
        <v>0</v>
      </c>
      <c r="AG235">
        <v>0</v>
      </c>
      <c r="AH235">
        <v>6</v>
      </c>
    </row>
    <row r="236" spans="1:34" x14ac:dyDescent="0.2">
      <c r="A236">
        <v>33</v>
      </c>
      <c r="B236" t="s">
        <v>34</v>
      </c>
      <c r="C236" t="s">
        <v>35</v>
      </c>
      <c r="D236" t="s">
        <v>44</v>
      </c>
      <c r="E236">
        <v>14</v>
      </c>
      <c r="F236">
        <v>3</v>
      </c>
      <c r="G236" t="s">
        <v>50</v>
      </c>
      <c r="H236">
        <v>1</v>
      </c>
      <c r="I236">
        <v>325</v>
      </c>
      <c r="J236">
        <v>3</v>
      </c>
      <c r="K236" t="s">
        <v>45</v>
      </c>
      <c r="L236">
        <v>58</v>
      </c>
      <c r="M236">
        <v>3</v>
      </c>
      <c r="N236">
        <v>1</v>
      </c>
      <c r="O236" t="s">
        <v>49</v>
      </c>
      <c r="P236">
        <v>4</v>
      </c>
      <c r="Q236" t="s">
        <v>47</v>
      </c>
      <c r="R236">
        <v>2436</v>
      </c>
      <c r="S236">
        <v>22149</v>
      </c>
      <c r="T236">
        <v>5</v>
      </c>
      <c r="U236" t="s">
        <v>41</v>
      </c>
      <c r="V236" t="s">
        <v>34</v>
      </c>
      <c r="W236">
        <v>13</v>
      </c>
      <c r="X236">
        <v>3</v>
      </c>
      <c r="Y236">
        <v>3</v>
      </c>
      <c r="Z236">
        <v>80</v>
      </c>
      <c r="AA236">
        <v>1</v>
      </c>
      <c r="AB236">
        <v>8</v>
      </c>
      <c r="AC236">
        <v>2</v>
      </c>
      <c r="AD236">
        <v>1</v>
      </c>
      <c r="AE236">
        <v>5</v>
      </c>
      <c r="AF236">
        <v>4</v>
      </c>
      <c r="AG236">
        <v>0</v>
      </c>
      <c r="AH236">
        <v>4</v>
      </c>
    </row>
    <row r="237" spans="1:34" x14ac:dyDescent="0.2">
      <c r="A237">
        <v>43</v>
      </c>
      <c r="B237" t="s">
        <v>42</v>
      </c>
      <c r="C237" t="s">
        <v>35</v>
      </c>
      <c r="D237" t="s">
        <v>36</v>
      </c>
      <c r="E237">
        <v>16</v>
      </c>
      <c r="F237">
        <v>3</v>
      </c>
      <c r="G237" t="s">
        <v>58</v>
      </c>
      <c r="H237">
        <v>1</v>
      </c>
      <c r="I237">
        <v>327</v>
      </c>
      <c r="J237">
        <v>4</v>
      </c>
      <c r="K237" t="s">
        <v>38</v>
      </c>
      <c r="L237">
        <v>80</v>
      </c>
      <c r="M237">
        <v>3</v>
      </c>
      <c r="N237">
        <v>4</v>
      </c>
      <c r="O237" t="s">
        <v>55</v>
      </c>
      <c r="P237">
        <v>4</v>
      </c>
      <c r="Q237" t="s">
        <v>47</v>
      </c>
      <c r="R237">
        <v>16064</v>
      </c>
      <c r="S237">
        <v>7744</v>
      </c>
      <c r="T237">
        <v>5</v>
      </c>
      <c r="U237" t="s">
        <v>41</v>
      </c>
      <c r="V237" t="s">
        <v>34</v>
      </c>
      <c r="W237">
        <v>22</v>
      </c>
      <c r="X237">
        <v>4</v>
      </c>
      <c r="Y237">
        <v>3</v>
      </c>
      <c r="Z237">
        <v>80</v>
      </c>
      <c r="AA237">
        <v>1</v>
      </c>
      <c r="AB237">
        <v>22</v>
      </c>
      <c r="AC237">
        <v>3</v>
      </c>
      <c r="AD237">
        <v>3</v>
      </c>
      <c r="AE237">
        <v>17</v>
      </c>
      <c r="AF237">
        <v>13</v>
      </c>
      <c r="AG237">
        <v>1</v>
      </c>
      <c r="AH237">
        <v>9</v>
      </c>
    </row>
    <row r="238" spans="1:34" x14ac:dyDescent="0.2">
      <c r="A238">
        <v>33</v>
      </c>
      <c r="B238" t="s">
        <v>34</v>
      </c>
      <c r="C238" t="s">
        <v>35</v>
      </c>
      <c r="D238" t="s">
        <v>44</v>
      </c>
      <c r="E238">
        <v>2</v>
      </c>
      <c r="F238">
        <v>2</v>
      </c>
      <c r="G238" t="s">
        <v>37</v>
      </c>
      <c r="H238">
        <v>1</v>
      </c>
      <c r="I238">
        <v>328</v>
      </c>
      <c r="J238">
        <v>1</v>
      </c>
      <c r="K238" t="s">
        <v>38</v>
      </c>
      <c r="L238">
        <v>39</v>
      </c>
      <c r="M238">
        <v>3</v>
      </c>
      <c r="N238">
        <v>1</v>
      </c>
      <c r="O238" t="s">
        <v>49</v>
      </c>
      <c r="P238">
        <v>1</v>
      </c>
      <c r="Q238" t="s">
        <v>47</v>
      </c>
      <c r="R238">
        <v>2707</v>
      </c>
      <c r="S238">
        <v>21509</v>
      </c>
      <c r="T238">
        <v>7</v>
      </c>
      <c r="U238" t="s">
        <v>41</v>
      </c>
      <c r="V238" t="s">
        <v>42</v>
      </c>
      <c r="W238">
        <v>20</v>
      </c>
      <c r="X238">
        <v>4</v>
      </c>
      <c r="Y238">
        <v>1</v>
      </c>
      <c r="Z238">
        <v>80</v>
      </c>
      <c r="AA238">
        <v>0</v>
      </c>
      <c r="AB238">
        <v>13</v>
      </c>
      <c r="AC238">
        <v>3</v>
      </c>
      <c r="AD238">
        <v>4</v>
      </c>
      <c r="AE238">
        <v>9</v>
      </c>
      <c r="AF238">
        <v>7</v>
      </c>
      <c r="AG238">
        <v>1</v>
      </c>
      <c r="AH238">
        <v>7</v>
      </c>
    </row>
    <row r="239" spans="1:34" x14ac:dyDescent="0.2">
      <c r="A239">
        <v>52</v>
      </c>
      <c r="B239" t="s">
        <v>42</v>
      </c>
      <c r="C239" t="s">
        <v>54</v>
      </c>
      <c r="D239" t="s">
        <v>36</v>
      </c>
      <c r="E239">
        <v>2</v>
      </c>
      <c r="F239">
        <v>4</v>
      </c>
      <c r="G239" t="s">
        <v>37</v>
      </c>
      <c r="H239">
        <v>1</v>
      </c>
      <c r="I239">
        <v>329</v>
      </c>
      <c r="J239">
        <v>1</v>
      </c>
      <c r="K239" t="s">
        <v>45</v>
      </c>
      <c r="L239">
        <v>79</v>
      </c>
      <c r="M239">
        <v>2</v>
      </c>
      <c r="N239">
        <v>5</v>
      </c>
      <c r="O239" t="s">
        <v>55</v>
      </c>
      <c r="P239">
        <v>3</v>
      </c>
      <c r="Q239" t="s">
        <v>40</v>
      </c>
      <c r="R239">
        <v>19068</v>
      </c>
      <c r="S239">
        <v>21030</v>
      </c>
      <c r="T239">
        <v>1</v>
      </c>
      <c r="U239" t="s">
        <v>41</v>
      </c>
      <c r="V239" t="s">
        <v>34</v>
      </c>
      <c r="W239">
        <v>18</v>
      </c>
      <c r="X239">
        <v>3</v>
      </c>
      <c r="Y239">
        <v>4</v>
      </c>
      <c r="Z239">
        <v>80</v>
      </c>
      <c r="AA239">
        <v>0</v>
      </c>
      <c r="AB239">
        <v>33</v>
      </c>
      <c r="AC239">
        <v>2</v>
      </c>
      <c r="AD239">
        <v>4</v>
      </c>
      <c r="AE239">
        <v>33</v>
      </c>
      <c r="AF239">
        <v>7</v>
      </c>
      <c r="AG239">
        <v>15</v>
      </c>
      <c r="AH239">
        <v>12</v>
      </c>
    </row>
    <row r="240" spans="1:34" x14ac:dyDescent="0.2">
      <c r="A240">
        <v>32</v>
      </c>
      <c r="B240" t="s">
        <v>42</v>
      </c>
      <c r="C240" t="s">
        <v>35</v>
      </c>
      <c r="D240" t="s">
        <v>36</v>
      </c>
      <c r="E240">
        <v>4</v>
      </c>
      <c r="F240">
        <v>2</v>
      </c>
      <c r="G240" t="s">
        <v>37</v>
      </c>
      <c r="H240">
        <v>1</v>
      </c>
      <c r="I240">
        <v>330</v>
      </c>
      <c r="J240">
        <v>3</v>
      </c>
      <c r="K240" t="s">
        <v>38</v>
      </c>
      <c r="L240">
        <v>56</v>
      </c>
      <c r="M240">
        <v>3</v>
      </c>
      <c r="N240">
        <v>1</v>
      </c>
      <c r="O240" t="s">
        <v>56</v>
      </c>
      <c r="P240">
        <v>2</v>
      </c>
      <c r="Q240" t="s">
        <v>47</v>
      </c>
      <c r="R240">
        <v>3931</v>
      </c>
      <c r="S240">
        <v>20990</v>
      </c>
      <c r="T240">
        <v>2</v>
      </c>
      <c r="U240" t="s">
        <v>41</v>
      </c>
      <c r="V240" t="s">
        <v>42</v>
      </c>
      <c r="W240">
        <v>11</v>
      </c>
      <c r="X240">
        <v>3</v>
      </c>
      <c r="Y240">
        <v>1</v>
      </c>
      <c r="Z240">
        <v>80</v>
      </c>
      <c r="AA240">
        <v>1</v>
      </c>
      <c r="AB240">
        <v>6</v>
      </c>
      <c r="AC240">
        <v>5</v>
      </c>
      <c r="AD240">
        <v>3</v>
      </c>
      <c r="AE240">
        <v>4</v>
      </c>
      <c r="AF240">
        <v>3</v>
      </c>
      <c r="AG240">
        <v>1</v>
      </c>
      <c r="AH240">
        <v>2</v>
      </c>
    </row>
    <row r="241" spans="1:34" x14ac:dyDescent="0.2">
      <c r="A241">
        <v>32</v>
      </c>
      <c r="B241" t="s">
        <v>34</v>
      </c>
      <c r="C241" t="s">
        <v>35</v>
      </c>
      <c r="D241" t="s">
        <v>44</v>
      </c>
      <c r="E241">
        <v>1</v>
      </c>
      <c r="F241">
        <v>3</v>
      </c>
      <c r="G241" t="s">
        <v>37</v>
      </c>
      <c r="H241">
        <v>1</v>
      </c>
      <c r="I241">
        <v>331</v>
      </c>
      <c r="J241">
        <v>4</v>
      </c>
      <c r="K241" t="s">
        <v>45</v>
      </c>
      <c r="L241">
        <v>62</v>
      </c>
      <c r="M241">
        <v>2</v>
      </c>
      <c r="N241">
        <v>1</v>
      </c>
      <c r="O241" t="s">
        <v>49</v>
      </c>
      <c r="P241">
        <v>3</v>
      </c>
      <c r="Q241" t="s">
        <v>40</v>
      </c>
      <c r="R241">
        <v>3730</v>
      </c>
      <c r="S241">
        <v>9571</v>
      </c>
      <c r="T241">
        <v>0</v>
      </c>
      <c r="U241" t="s">
        <v>41</v>
      </c>
      <c r="V241" t="s">
        <v>34</v>
      </c>
      <c r="W241">
        <v>14</v>
      </c>
      <c r="X241">
        <v>3</v>
      </c>
      <c r="Y241">
        <v>4</v>
      </c>
      <c r="Z241">
        <v>80</v>
      </c>
      <c r="AA241">
        <v>0</v>
      </c>
      <c r="AB241">
        <v>4</v>
      </c>
      <c r="AC241">
        <v>2</v>
      </c>
      <c r="AD241">
        <v>1</v>
      </c>
      <c r="AE241">
        <v>3</v>
      </c>
      <c r="AF241">
        <v>2</v>
      </c>
      <c r="AG241">
        <v>1</v>
      </c>
      <c r="AH241">
        <v>2</v>
      </c>
    </row>
    <row r="242" spans="1:34" x14ac:dyDescent="0.2">
      <c r="A242">
        <v>39</v>
      </c>
      <c r="B242" t="s">
        <v>42</v>
      </c>
      <c r="C242" t="s">
        <v>35</v>
      </c>
      <c r="D242" t="s">
        <v>44</v>
      </c>
      <c r="E242">
        <v>1</v>
      </c>
      <c r="F242">
        <v>4</v>
      </c>
      <c r="G242" t="s">
        <v>50</v>
      </c>
      <c r="H242">
        <v>1</v>
      </c>
      <c r="I242">
        <v>332</v>
      </c>
      <c r="J242">
        <v>3</v>
      </c>
      <c r="K242" t="s">
        <v>38</v>
      </c>
      <c r="L242">
        <v>96</v>
      </c>
      <c r="M242">
        <v>3</v>
      </c>
      <c r="N242">
        <v>1</v>
      </c>
      <c r="O242" t="s">
        <v>49</v>
      </c>
      <c r="P242">
        <v>3</v>
      </c>
      <c r="Q242" t="s">
        <v>51</v>
      </c>
      <c r="R242">
        <v>2232</v>
      </c>
      <c r="S242">
        <v>15417</v>
      </c>
      <c r="T242">
        <v>7</v>
      </c>
      <c r="U242" t="s">
        <v>41</v>
      </c>
      <c r="V242" t="s">
        <v>42</v>
      </c>
      <c r="W242">
        <v>14</v>
      </c>
      <c r="X242">
        <v>3</v>
      </c>
      <c r="Y242">
        <v>3</v>
      </c>
      <c r="Z242">
        <v>80</v>
      </c>
      <c r="AA242">
        <v>3</v>
      </c>
      <c r="AB242">
        <v>7</v>
      </c>
      <c r="AC242">
        <v>1</v>
      </c>
      <c r="AD242">
        <v>3</v>
      </c>
      <c r="AE242">
        <v>3</v>
      </c>
      <c r="AF242">
        <v>2</v>
      </c>
      <c r="AG242">
        <v>1</v>
      </c>
      <c r="AH242">
        <v>2</v>
      </c>
    </row>
    <row r="243" spans="1:34" x14ac:dyDescent="0.2">
      <c r="A243">
        <v>32</v>
      </c>
      <c r="B243" t="s">
        <v>42</v>
      </c>
      <c r="C243" t="s">
        <v>54</v>
      </c>
      <c r="D243" t="s">
        <v>36</v>
      </c>
      <c r="E243">
        <v>26</v>
      </c>
      <c r="F243">
        <v>4</v>
      </c>
      <c r="G243" t="s">
        <v>58</v>
      </c>
      <c r="H243">
        <v>1</v>
      </c>
      <c r="I243">
        <v>333</v>
      </c>
      <c r="J243">
        <v>3</v>
      </c>
      <c r="K243" t="s">
        <v>45</v>
      </c>
      <c r="L243">
        <v>100</v>
      </c>
      <c r="M243">
        <v>3</v>
      </c>
      <c r="N243">
        <v>2</v>
      </c>
      <c r="O243" t="s">
        <v>39</v>
      </c>
      <c r="P243">
        <v>4</v>
      </c>
      <c r="Q243" t="s">
        <v>47</v>
      </c>
      <c r="R243">
        <v>4465</v>
      </c>
      <c r="S243">
        <v>12069</v>
      </c>
      <c r="T243">
        <v>0</v>
      </c>
      <c r="U243" t="s">
        <v>41</v>
      </c>
      <c r="V243" t="s">
        <v>42</v>
      </c>
      <c r="W243">
        <v>18</v>
      </c>
      <c r="X243">
        <v>3</v>
      </c>
      <c r="Y243">
        <v>1</v>
      </c>
      <c r="Z243">
        <v>80</v>
      </c>
      <c r="AA243">
        <v>0</v>
      </c>
      <c r="AB243">
        <v>4</v>
      </c>
      <c r="AC243">
        <v>2</v>
      </c>
      <c r="AD243">
        <v>3</v>
      </c>
      <c r="AE243">
        <v>3</v>
      </c>
      <c r="AF243">
        <v>2</v>
      </c>
      <c r="AG243">
        <v>2</v>
      </c>
      <c r="AH243">
        <v>2</v>
      </c>
    </row>
    <row r="244" spans="1:34" x14ac:dyDescent="0.2">
      <c r="A244">
        <v>41</v>
      </c>
      <c r="B244" t="s">
        <v>42</v>
      </c>
      <c r="C244" t="s">
        <v>35</v>
      </c>
      <c r="D244" t="s">
        <v>44</v>
      </c>
      <c r="E244">
        <v>19</v>
      </c>
      <c r="F244">
        <v>2</v>
      </c>
      <c r="G244" t="s">
        <v>37</v>
      </c>
      <c r="H244">
        <v>1</v>
      </c>
      <c r="I244">
        <v>334</v>
      </c>
      <c r="J244">
        <v>3</v>
      </c>
      <c r="K244" t="s">
        <v>45</v>
      </c>
      <c r="L244">
        <v>36</v>
      </c>
      <c r="M244">
        <v>3</v>
      </c>
      <c r="N244">
        <v>2</v>
      </c>
      <c r="O244" t="s">
        <v>46</v>
      </c>
      <c r="P244">
        <v>1</v>
      </c>
      <c r="Q244" t="s">
        <v>51</v>
      </c>
      <c r="R244">
        <v>3072</v>
      </c>
      <c r="S244">
        <v>19877</v>
      </c>
      <c r="T244">
        <v>2</v>
      </c>
      <c r="U244" t="s">
        <v>41</v>
      </c>
      <c r="V244" t="s">
        <v>42</v>
      </c>
      <c r="W244">
        <v>16</v>
      </c>
      <c r="X244">
        <v>3</v>
      </c>
      <c r="Y244">
        <v>1</v>
      </c>
      <c r="Z244">
        <v>80</v>
      </c>
      <c r="AA244">
        <v>2</v>
      </c>
      <c r="AB244">
        <v>17</v>
      </c>
      <c r="AC244">
        <v>2</v>
      </c>
      <c r="AD244">
        <v>2</v>
      </c>
      <c r="AE244">
        <v>1</v>
      </c>
      <c r="AF244">
        <v>0</v>
      </c>
      <c r="AG244">
        <v>0</v>
      </c>
      <c r="AH244">
        <v>0</v>
      </c>
    </row>
    <row r="245" spans="1:34" x14ac:dyDescent="0.2">
      <c r="A245">
        <v>40</v>
      </c>
      <c r="B245" t="s">
        <v>42</v>
      </c>
      <c r="C245" t="s">
        <v>35</v>
      </c>
      <c r="D245" t="s">
        <v>44</v>
      </c>
      <c r="E245">
        <v>24</v>
      </c>
      <c r="F245">
        <v>2</v>
      </c>
      <c r="G245" t="s">
        <v>59</v>
      </c>
      <c r="H245">
        <v>1</v>
      </c>
      <c r="I245">
        <v>335</v>
      </c>
      <c r="J245">
        <v>1</v>
      </c>
      <c r="K245" t="s">
        <v>45</v>
      </c>
      <c r="L245">
        <v>62</v>
      </c>
      <c r="M245">
        <v>3</v>
      </c>
      <c r="N245">
        <v>2</v>
      </c>
      <c r="O245" t="s">
        <v>46</v>
      </c>
      <c r="P245">
        <v>4</v>
      </c>
      <c r="Q245" t="s">
        <v>51</v>
      </c>
      <c r="R245">
        <v>3319</v>
      </c>
      <c r="S245">
        <v>24447</v>
      </c>
      <c r="T245">
        <v>1</v>
      </c>
      <c r="U245" t="s">
        <v>41</v>
      </c>
      <c r="V245" t="s">
        <v>42</v>
      </c>
      <c r="W245">
        <v>17</v>
      </c>
      <c r="X245">
        <v>3</v>
      </c>
      <c r="Y245">
        <v>1</v>
      </c>
      <c r="Z245">
        <v>80</v>
      </c>
      <c r="AA245">
        <v>2</v>
      </c>
      <c r="AB245">
        <v>9</v>
      </c>
      <c r="AC245">
        <v>3</v>
      </c>
      <c r="AD245">
        <v>3</v>
      </c>
      <c r="AE245">
        <v>9</v>
      </c>
      <c r="AF245">
        <v>8</v>
      </c>
      <c r="AG245">
        <v>4</v>
      </c>
      <c r="AH245">
        <v>7</v>
      </c>
    </row>
    <row r="246" spans="1:34" x14ac:dyDescent="0.2">
      <c r="A246">
        <v>45</v>
      </c>
      <c r="B246" t="s">
        <v>42</v>
      </c>
      <c r="C246" t="s">
        <v>35</v>
      </c>
      <c r="D246" t="s">
        <v>44</v>
      </c>
      <c r="E246">
        <v>1</v>
      </c>
      <c r="F246">
        <v>3</v>
      </c>
      <c r="G246" t="s">
        <v>48</v>
      </c>
      <c r="H246">
        <v>1</v>
      </c>
      <c r="I246">
        <v>336</v>
      </c>
      <c r="J246">
        <v>3</v>
      </c>
      <c r="K246" t="s">
        <v>45</v>
      </c>
      <c r="L246">
        <v>70</v>
      </c>
      <c r="M246">
        <v>4</v>
      </c>
      <c r="N246">
        <v>5</v>
      </c>
      <c r="O246" t="s">
        <v>55</v>
      </c>
      <c r="P246">
        <v>4</v>
      </c>
      <c r="Q246" t="s">
        <v>47</v>
      </c>
      <c r="R246">
        <v>19202</v>
      </c>
      <c r="S246">
        <v>15970</v>
      </c>
      <c r="T246">
        <v>0</v>
      </c>
      <c r="U246" t="s">
        <v>41</v>
      </c>
      <c r="V246" t="s">
        <v>42</v>
      </c>
      <c r="W246">
        <v>11</v>
      </c>
      <c r="X246">
        <v>3</v>
      </c>
      <c r="Y246">
        <v>3</v>
      </c>
      <c r="Z246">
        <v>80</v>
      </c>
      <c r="AA246">
        <v>1</v>
      </c>
      <c r="AB246">
        <v>25</v>
      </c>
      <c r="AC246">
        <v>2</v>
      </c>
      <c r="AD246">
        <v>3</v>
      </c>
      <c r="AE246">
        <v>24</v>
      </c>
      <c r="AF246">
        <v>0</v>
      </c>
      <c r="AG246">
        <v>1</v>
      </c>
      <c r="AH246">
        <v>7</v>
      </c>
    </row>
    <row r="247" spans="1:34" x14ac:dyDescent="0.2">
      <c r="A247">
        <v>31</v>
      </c>
      <c r="B247" t="s">
        <v>42</v>
      </c>
      <c r="C247" t="s">
        <v>43</v>
      </c>
      <c r="D247" t="s">
        <v>44</v>
      </c>
      <c r="E247">
        <v>3</v>
      </c>
      <c r="F247">
        <v>4</v>
      </c>
      <c r="G247" t="s">
        <v>50</v>
      </c>
      <c r="H247">
        <v>1</v>
      </c>
      <c r="I247">
        <v>337</v>
      </c>
      <c r="J247">
        <v>2</v>
      </c>
      <c r="K247" t="s">
        <v>45</v>
      </c>
      <c r="L247">
        <v>73</v>
      </c>
      <c r="M247">
        <v>3</v>
      </c>
      <c r="N247">
        <v>3</v>
      </c>
      <c r="O247" t="s">
        <v>57</v>
      </c>
      <c r="P247">
        <v>3</v>
      </c>
      <c r="Q247" t="s">
        <v>51</v>
      </c>
      <c r="R247">
        <v>13675</v>
      </c>
      <c r="S247">
        <v>13523</v>
      </c>
      <c r="T247">
        <v>9</v>
      </c>
      <c r="U247" t="s">
        <v>41</v>
      </c>
      <c r="V247" t="s">
        <v>42</v>
      </c>
      <c r="W247">
        <v>12</v>
      </c>
      <c r="X247">
        <v>3</v>
      </c>
      <c r="Y247">
        <v>1</v>
      </c>
      <c r="Z247">
        <v>80</v>
      </c>
      <c r="AA247">
        <v>1</v>
      </c>
      <c r="AB247">
        <v>9</v>
      </c>
      <c r="AC247">
        <v>3</v>
      </c>
      <c r="AD247">
        <v>3</v>
      </c>
      <c r="AE247">
        <v>2</v>
      </c>
      <c r="AF247">
        <v>2</v>
      </c>
      <c r="AG247">
        <v>2</v>
      </c>
      <c r="AH247">
        <v>2</v>
      </c>
    </row>
    <row r="248" spans="1:34" x14ac:dyDescent="0.2">
      <c r="A248">
        <v>33</v>
      </c>
      <c r="B248" t="s">
        <v>42</v>
      </c>
      <c r="C248" t="s">
        <v>35</v>
      </c>
      <c r="D248" t="s">
        <v>44</v>
      </c>
      <c r="E248">
        <v>5</v>
      </c>
      <c r="F248">
        <v>4</v>
      </c>
      <c r="G248" t="s">
        <v>37</v>
      </c>
      <c r="H248">
        <v>1</v>
      </c>
      <c r="I248">
        <v>338</v>
      </c>
      <c r="J248">
        <v>3</v>
      </c>
      <c r="K248" t="s">
        <v>38</v>
      </c>
      <c r="L248">
        <v>63</v>
      </c>
      <c r="M248">
        <v>2</v>
      </c>
      <c r="N248">
        <v>1</v>
      </c>
      <c r="O248" t="s">
        <v>46</v>
      </c>
      <c r="P248">
        <v>4</v>
      </c>
      <c r="Q248" t="s">
        <v>47</v>
      </c>
      <c r="R248">
        <v>2911</v>
      </c>
      <c r="S248">
        <v>14776</v>
      </c>
      <c r="T248">
        <v>1</v>
      </c>
      <c r="U248" t="s">
        <v>41</v>
      </c>
      <c r="V248" t="s">
        <v>42</v>
      </c>
      <c r="W248">
        <v>13</v>
      </c>
      <c r="X248">
        <v>3</v>
      </c>
      <c r="Y248">
        <v>3</v>
      </c>
      <c r="Z248">
        <v>80</v>
      </c>
      <c r="AA248">
        <v>1</v>
      </c>
      <c r="AB248">
        <v>2</v>
      </c>
      <c r="AC248">
        <v>2</v>
      </c>
      <c r="AD248">
        <v>2</v>
      </c>
      <c r="AE248">
        <v>2</v>
      </c>
      <c r="AF248">
        <v>2</v>
      </c>
      <c r="AG248">
        <v>0</v>
      </c>
      <c r="AH248">
        <v>2</v>
      </c>
    </row>
    <row r="249" spans="1:34" x14ac:dyDescent="0.2">
      <c r="A249">
        <v>34</v>
      </c>
      <c r="B249" t="s">
        <v>42</v>
      </c>
      <c r="C249" t="s">
        <v>35</v>
      </c>
      <c r="D249" t="s">
        <v>44</v>
      </c>
      <c r="E249">
        <v>2</v>
      </c>
      <c r="F249">
        <v>4</v>
      </c>
      <c r="G249" t="s">
        <v>37</v>
      </c>
      <c r="H249">
        <v>1</v>
      </c>
      <c r="I249">
        <v>339</v>
      </c>
      <c r="J249">
        <v>4</v>
      </c>
      <c r="K249" t="s">
        <v>45</v>
      </c>
      <c r="L249">
        <v>84</v>
      </c>
      <c r="M249">
        <v>2</v>
      </c>
      <c r="N249">
        <v>2</v>
      </c>
      <c r="O249" t="s">
        <v>52</v>
      </c>
      <c r="P249">
        <v>1</v>
      </c>
      <c r="Q249" t="s">
        <v>47</v>
      </c>
      <c r="R249">
        <v>5957</v>
      </c>
      <c r="S249">
        <v>23687</v>
      </c>
      <c r="T249">
        <v>6</v>
      </c>
      <c r="U249" t="s">
        <v>41</v>
      </c>
      <c r="V249" t="s">
        <v>42</v>
      </c>
      <c r="W249">
        <v>13</v>
      </c>
      <c r="X249">
        <v>3</v>
      </c>
      <c r="Y249">
        <v>2</v>
      </c>
      <c r="Z249">
        <v>80</v>
      </c>
      <c r="AA249">
        <v>1</v>
      </c>
      <c r="AB249">
        <v>13</v>
      </c>
      <c r="AC249">
        <v>3</v>
      </c>
      <c r="AD249">
        <v>3</v>
      </c>
      <c r="AE249">
        <v>11</v>
      </c>
      <c r="AF249">
        <v>9</v>
      </c>
      <c r="AG249">
        <v>5</v>
      </c>
      <c r="AH249">
        <v>9</v>
      </c>
    </row>
    <row r="250" spans="1:34" x14ac:dyDescent="0.2">
      <c r="A250">
        <v>37</v>
      </c>
      <c r="B250" t="s">
        <v>42</v>
      </c>
      <c r="C250" t="s">
        <v>35</v>
      </c>
      <c r="D250" t="s">
        <v>44</v>
      </c>
      <c r="E250">
        <v>1</v>
      </c>
      <c r="F250">
        <v>2</v>
      </c>
      <c r="G250" t="s">
        <v>50</v>
      </c>
      <c r="H250">
        <v>1</v>
      </c>
      <c r="I250">
        <v>340</v>
      </c>
      <c r="J250">
        <v>3</v>
      </c>
      <c r="K250" t="s">
        <v>38</v>
      </c>
      <c r="L250">
        <v>83</v>
      </c>
      <c r="M250">
        <v>2</v>
      </c>
      <c r="N250">
        <v>1</v>
      </c>
      <c r="O250" t="s">
        <v>46</v>
      </c>
      <c r="P250">
        <v>1</v>
      </c>
      <c r="Q250" t="s">
        <v>47</v>
      </c>
      <c r="R250">
        <v>3920</v>
      </c>
      <c r="S250">
        <v>18697</v>
      </c>
      <c r="T250">
        <v>2</v>
      </c>
      <c r="U250" t="s">
        <v>41</v>
      </c>
      <c r="V250" t="s">
        <v>42</v>
      </c>
      <c r="W250">
        <v>14</v>
      </c>
      <c r="X250">
        <v>3</v>
      </c>
      <c r="Y250">
        <v>1</v>
      </c>
      <c r="Z250">
        <v>80</v>
      </c>
      <c r="AA250">
        <v>1</v>
      </c>
      <c r="AB250">
        <v>17</v>
      </c>
      <c r="AC250">
        <v>2</v>
      </c>
      <c r="AD250">
        <v>2</v>
      </c>
      <c r="AE250">
        <v>3</v>
      </c>
      <c r="AF250">
        <v>1</v>
      </c>
      <c r="AG250">
        <v>0</v>
      </c>
      <c r="AH250">
        <v>2</v>
      </c>
    </row>
    <row r="251" spans="1:34" x14ac:dyDescent="0.2">
      <c r="A251">
        <v>45</v>
      </c>
      <c r="B251" t="s">
        <v>42</v>
      </c>
      <c r="C251" t="s">
        <v>43</v>
      </c>
      <c r="D251" t="s">
        <v>44</v>
      </c>
      <c r="E251">
        <v>7</v>
      </c>
      <c r="F251">
        <v>4</v>
      </c>
      <c r="G251" t="s">
        <v>37</v>
      </c>
      <c r="H251">
        <v>1</v>
      </c>
      <c r="I251">
        <v>341</v>
      </c>
      <c r="J251">
        <v>1</v>
      </c>
      <c r="K251" t="s">
        <v>45</v>
      </c>
      <c r="L251">
        <v>77</v>
      </c>
      <c r="M251">
        <v>4</v>
      </c>
      <c r="N251">
        <v>2</v>
      </c>
      <c r="O251" t="s">
        <v>52</v>
      </c>
      <c r="P251">
        <v>3</v>
      </c>
      <c r="Q251" t="s">
        <v>47</v>
      </c>
      <c r="R251">
        <v>6434</v>
      </c>
      <c r="S251">
        <v>5118</v>
      </c>
      <c r="T251">
        <v>4</v>
      </c>
      <c r="U251" t="s">
        <v>41</v>
      </c>
      <c r="V251" t="s">
        <v>42</v>
      </c>
      <c r="W251">
        <v>17</v>
      </c>
      <c r="X251">
        <v>3</v>
      </c>
      <c r="Y251">
        <v>4</v>
      </c>
      <c r="Z251">
        <v>80</v>
      </c>
      <c r="AA251">
        <v>1</v>
      </c>
      <c r="AB251">
        <v>9</v>
      </c>
      <c r="AC251">
        <v>1</v>
      </c>
      <c r="AD251">
        <v>3</v>
      </c>
      <c r="AE251">
        <v>3</v>
      </c>
      <c r="AF251">
        <v>2</v>
      </c>
      <c r="AG251">
        <v>0</v>
      </c>
      <c r="AH251">
        <v>2</v>
      </c>
    </row>
    <row r="252" spans="1:34" x14ac:dyDescent="0.2">
      <c r="A252">
        <v>37</v>
      </c>
      <c r="B252" t="s">
        <v>34</v>
      </c>
      <c r="C252" t="s">
        <v>43</v>
      </c>
      <c r="D252" t="s">
        <v>44</v>
      </c>
      <c r="E252">
        <v>10</v>
      </c>
      <c r="F252">
        <v>3</v>
      </c>
      <c r="G252" t="s">
        <v>50</v>
      </c>
      <c r="H252">
        <v>1</v>
      </c>
      <c r="I252">
        <v>342</v>
      </c>
      <c r="J252">
        <v>1</v>
      </c>
      <c r="K252" t="s">
        <v>45</v>
      </c>
      <c r="L252">
        <v>61</v>
      </c>
      <c r="M252">
        <v>3</v>
      </c>
      <c r="N252">
        <v>3</v>
      </c>
      <c r="O252" t="s">
        <v>52</v>
      </c>
      <c r="P252">
        <v>3</v>
      </c>
      <c r="Q252" t="s">
        <v>51</v>
      </c>
      <c r="R252">
        <v>10048</v>
      </c>
      <c r="S252">
        <v>22573</v>
      </c>
      <c r="T252">
        <v>6</v>
      </c>
      <c r="U252" t="s">
        <v>41</v>
      </c>
      <c r="V252" t="s">
        <v>42</v>
      </c>
      <c r="W252">
        <v>11</v>
      </c>
      <c r="X252">
        <v>3</v>
      </c>
      <c r="Y252">
        <v>2</v>
      </c>
      <c r="Z252">
        <v>80</v>
      </c>
      <c r="AA252">
        <v>2</v>
      </c>
      <c r="AB252">
        <v>17</v>
      </c>
      <c r="AC252">
        <v>5</v>
      </c>
      <c r="AD252">
        <v>3</v>
      </c>
      <c r="AE252">
        <v>1</v>
      </c>
      <c r="AF252">
        <v>0</v>
      </c>
      <c r="AG252">
        <v>0</v>
      </c>
      <c r="AH252">
        <v>0</v>
      </c>
    </row>
    <row r="253" spans="1:34" x14ac:dyDescent="0.2">
      <c r="A253">
        <v>39</v>
      </c>
      <c r="B253" t="s">
        <v>42</v>
      </c>
      <c r="C253" t="s">
        <v>43</v>
      </c>
      <c r="D253" t="s">
        <v>44</v>
      </c>
      <c r="E253">
        <v>2</v>
      </c>
      <c r="F253">
        <v>4</v>
      </c>
      <c r="G253" t="s">
        <v>59</v>
      </c>
      <c r="H253">
        <v>1</v>
      </c>
      <c r="I253">
        <v>343</v>
      </c>
      <c r="J253">
        <v>3</v>
      </c>
      <c r="K253" t="s">
        <v>38</v>
      </c>
      <c r="L253">
        <v>64</v>
      </c>
      <c r="M253">
        <v>3</v>
      </c>
      <c r="N253">
        <v>3</v>
      </c>
      <c r="O253" t="s">
        <v>53</v>
      </c>
      <c r="P253">
        <v>3</v>
      </c>
      <c r="Q253" t="s">
        <v>40</v>
      </c>
      <c r="R253">
        <v>10938</v>
      </c>
      <c r="S253">
        <v>6420</v>
      </c>
      <c r="T253">
        <v>0</v>
      </c>
      <c r="U253" t="s">
        <v>41</v>
      </c>
      <c r="V253" t="s">
        <v>42</v>
      </c>
      <c r="W253">
        <v>25</v>
      </c>
      <c r="X253">
        <v>4</v>
      </c>
      <c r="Y253">
        <v>4</v>
      </c>
      <c r="Z253">
        <v>80</v>
      </c>
      <c r="AA253">
        <v>0</v>
      </c>
      <c r="AB253">
        <v>20</v>
      </c>
      <c r="AC253">
        <v>1</v>
      </c>
      <c r="AD253">
        <v>3</v>
      </c>
      <c r="AE253">
        <v>19</v>
      </c>
      <c r="AF253">
        <v>6</v>
      </c>
      <c r="AG253">
        <v>11</v>
      </c>
      <c r="AH253">
        <v>8</v>
      </c>
    </row>
    <row r="254" spans="1:34" x14ac:dyDescent="0.2">
      <c r="A254">
        <v>29</v>
      </c>
      <c r="B254" t="s">
        <v>42</v>
      </c>
      <c r="C254" t="s">
        <v>35</v>
      </c>
      <c r="D254" t="s">
        <v>44</v>
      </c>
      <c r="E254">
        <v>15</v>
      </c>
      <c r="F254">
        <v>3</v>
      </c>
      <c r="G254" t="s">
        <v>37</v>
      </c>
      <c r="H254">
        <v>1</v>
      </c>
      <c r="I254">
        <v>346</v>
      </c>
      <c r="J254">
        <v>3</v>
      </c>
      <c r="K254" t="s">
        <v>45</v>
      </c>
      <c r="L254">
        <v>60</v>
      </c>
      <c r="M254">
        <v>3</v>
      </c>
      <c r="N254">
        <v>1</v>
      </c>
      <c r="O254" t="s">
        <v>46</v>
      </c>
      <c r="P254">
        <v>4</v>
      </c>
      <c r="Q254" t="s">
        <v>40</v>
      </c>
      <c r="R254">
        <v>2340</v>
      </c>
      <c r="S254">
        <v>22673</v>
      </c>
      <c r="T254">
        <v>1</v>
      </c>
      <c r="U254" t="s">
        <v>41</v>
      </c>
      <c r="V254" t="s">
        <v>42</v>
      </c>
      <c r="W254">
        <v>19</v>
      </c>
      <c r="X254">
        <v>3</v>
      </c>
      <c r="Y254">
        <v>1</v>
      </c>
      <c r="Z254">
        <v>80</v>
      </c>
      <c r="AA254">
        <v>0</v>
      </c>
      <c r="AB254">
        <v>6</v>
      </c>
      <c r="AC254">
        <v>1</v>
      </c>
      <c r="AD254">
        <v>3</v>
      </c>
      <c r="AE254">
        <v>6</v>
      </c>
      <c r="AF254">
        <v>5</v>
      </c>
      <c r="AG254">
        <v>1</v>
      </c>
      <c r="AH254">
        <v>5</v>
      </c>
    </row>
    <row r="255" spans="1:34" x14ac:dyDescent="0.2">
      <c r="A255">
        <v>42</v>
      </c>
      <c r="B255" t="s">
        <v>42</v>
      </c>
      <c r="C255" t="s">
        <v>35</v>
      </c>
      <c r="D255" t="s">
        <v>44</v>
      </c>
      <c r="E255">
        <v>17</v>
      </c>
      <c r="F255">
        <v>2</v>
      </c>
      <c r="G255" t="s">
        <v>37</v>
      </c>
      <c r="H255">
        <v>1</v>
      </c>
      <c r="I255">
        <v>347</v>
      </c>
      <c r="J255">
        <v>4</v>
      </c>
      <c r="K255" t="s">
        <v>38</v>
      </c>
      <c r="L255">
        <v>82</v>
      </c>
      <c r="M255">
        <v>4</v>
      </c>
      <c r="N255">
        <v>2</v>
      </c>
      <c r="O255" t="s">
        <v>46</v>
      </c>
      <c r="P255">
        <v>1</v>
      </c>
      <c r="Q255" t="s">
        <v>40</v>
      </c>
      <c r="R255">
        <v>6545</v>
      </c>
      <c r="S255">
        <v>23016</v>
      </c>
      <c r="T255">
        <v>3</v>
      </c>
      <c r="U255" t="s">
        <v>41</v>
      </c>
      <c r="V255" t="s">
        <v>34</v>
      </c>
      <c r="W255">
        <v>13</v>
      </c>
      <c r="X255">
        <v>3</v>
      </c>
      <c r="Y255">
        <v>3</v>
      </c>
      <c r="Z255">
        <v>80</v>
      </c>
      <c r="AA255">
        <v>0</v>
      </c>
      <c r="AB255">
        <v>10</v>
      </c>
      <c r="AC255">
        <v>1</v>
      </c>
      <c r="AD255">
        <v>3</v>
      </c>
      <c r="AE255">
        <v>3</v>
      </c>
      <c r="AF255">
        <v>2</v>
      </c>
      <c r="AG255">
        <v>0</v>
      </c>
      <c r="AH255">
        <v>2</v>
      </c>
    </row>
    <row r="256" spans="1:34" x14ac:dyDescent="0.2">
      <c r="A256">
        <v>29</v>
      </c>
      <c r="B256" t="s">
        <v>42</v>
      </c>
      <c r="C256" t="s">
        <v>35</v>
      </c>
      <c r="D256" t="s">
        <v>36</v>
      </c>
      <c r="E256">
        <v>20</v>
      </c>
      <c r="F256">
        <v>2</v>
      </c>
      <c r="G256" t="s">
        <v>58</v>
      </c>
      <c r="H256">
        <v>1</v>
      </c>
      <c r="I256">
        <v>349</v>
      </c>
      <c r="J256">
        <v>4</v>
      </c>
      <c r="K256" t="s">
        <v>45</v>
      </c>
      <c r="L256">
        <v>45</v>
      </c>
      <c r="M256">
        <v>3</v>
      </c>
      <c r="N256">
        <v>2</v>
      </c>
      <c r="O256" t="s">
        <v>39</v>
      </c>
      <c r="P256">
        <v>4</v>
      </c>
      <c r="Q256" t="s">
        <v>51</v>
      </c>
      <c r="R256">
        <v>6931</v>
      </c>
      <c r="S256">
        <v>10732</v>
      </c>
      <c r="T256">
        <v>2</v>
      </c>
      <c r="U256" t="s">
        <v>41</v>
      </c>
      <c r="V256" t="s">
        <v>42</v>
      </c>
      <c r="W256">
        <v>14</v>
      </c>
      <c r="X256">
        <v>3</v>
      </c>
      <c r="Y256">
        <v>4</v>
      </c>
      <c r="Z256">
        <v>80</v>
      </c>
      <c r="AA256">
        <v>1</v>
      </c>
      <c r="AB256">
        <v>10</v>
      </c>
      <c r="AC256">
        <v>2</v>
      </c>
      <c r="AD256">
        <v>3</v>
      </c>
      <c r="AE256">
        <v>3</v>
      </c>
      <c r="AF256">
        <v>2</v>
      </c>
      <c r="AG256">
        <v>0</v>
      </c>
      <c r="AH256">
        <v>2</v>
      </c>
    </row>
    <row r="257" spans="1:34" x14ac:dyDescent="0.2">
      <c r="A257">
        <v>25</v>
      </c>
      <c r="B257" t="s">
        <v>42</v>
      </c>
      <c r="C257" t="s">
        <v>35</v>
      </c>
      <c r="D257" t="s">
        <v>44</v>
      </c>
      <c r="E257">
        <v>1</v>
      </c>
      <c r="F257">
        <v>3</v>
      </c>
      <c r="G257" t="s">
        <v>37</v>
      </c>
      <c r="H257">
        <v>1</v>
      </c>
      <c r="I257">
        <v>350</v>
      </c>
      <c r="J257">
        <v>1</v>
      </c>
      <c r="K257" t="s">
        <v>38</v>
      </c>
      <c r="L257">
        <v>62</v>
      </c>
      <c r="M257">
        <v>3</v>
      </c>
      <c r="N257">
        <v>2</v>
      </c>
      <c r="O257" t="s">
        <v>52</v>
      </c>
      <c r="P257">
        <v>3</v>
      </c>
      <c r="Q257" t="s">
        <v>47</v>
      </c>
      <c r="R257">
        <v>4898</v>
      </c>
      <c r="S257">
        <v>7505</v>
      </c>
      <c r="T257">
        <v>0</v>
      </c>
      <c r="U257" t="s">
        <v>41</v>
      </c>
      <c r="V257" t="s">
        <v>42</v>
      </c>
      <c r="W257">
        <v>12</v>
      </c>
      <c r="X257">
        <v>3</v>
      </c>
      <c r="Y257">
        <v>4</v>
      </c>
      <c r="Z257">
        <v>80</v>
      </c>
      <c r="AA257">
        <v>2</v>
      </c>
      <c r="AB257">
        <v>5</v>
      </c>
      <c r="AC257">
        <v>3</v>
      </c>
      <c r="AD257">
        <v>3</v>
      </c>
      <c r="AE257">
        <v>4</v>
      </c>
      <c r="AF257">
        <v>2</v>
      </c>
      <c r="AG257">
        <v>1</v>
      </c>
      <c r="AH257">
        <v>2</v>
      </c>
    </row>
    <row r="258" spans="1:34" x14ac:dyDescent="0.2">
      <c r="A258">
        <v>42</v>
      </c>
      <c r="B258" t="s">
        <v>42</v>
      </c>
      <c r="C258" t="s">
        <v>35</v>
      </c>
      <c r="D258" t="s">
        <v>44</v>
      </c>
      <c r="E258">
        <v>2</v>
      </c>
      <c r="F258">
        <v>3</v>
      </c>
      <c r="G258" t="s">
        <v>50</v>
      </c>
      <c r="H258">
        <v>1</v>
      </c>
      <c r="I258">
        <v>351</v>
      </c>
      <c r="J258">
        <v>4</v>
      </c>
      <c r="K258" t="s">
        <v>38</v>
      </c>
      <c r="L258">
        <v>56</v>
      </c>
      <c r="M258">
        <v>2</v>
      </c>
      <c r="N258">
        <v>1</v>
      </c>
      <c r="O258" t="s">
        <v>49</v>
      </c>
      <c r="P258">
        <v>1</v>
      </c>
      <c r="Q258" t="s">
        <v>51</v>
      </c>
      <c r="R258">
        <v>2593</v>
      </c>
      <c r="S258">
        <v>8007</v>
      </c>
      <c r="T258">
        <v>0</v>
      </c>
      <c r="U258" t="s">
        <v>41</v>
      </c>
      <c r="V258" t="s">
        <v>34</v>
      </c>
      <c r="W258">
        <v>11</v>
      </c>
      <c r="X258">
        <v>3</v>
      </c>
      <c r="Y258">
        <v>3</v>
      </c>
      <c r="Z258">
        <v>80</v>
      </c>
      <c r="AA258">
        <v>1</v>
      </c>
      <c r="AB258">
        <v>10</v>
      </c>
      <c r="AC258">
        <v>4</v>
      </c>
      <c r="AD258">
        <v>3</v>
      </c>
      <c r="AE258">
        <v>9</v>
      </c>
      <c r="AF258">
        <v>6</v>
      </c>
      <c r="AG258">
        <v>7</v>
      </c>
      <c r="AH258">
        <v>8</v>
      </c>
    </row>
    <row r="259" spans="1:34" x14ac:dyDescent="0.2">
      <c r="A259">
        <v>40</v>
      </c>
      <c r="B259" t="s">
        <v>42</v>
      </c>
      <c r="C259" t="s">
        <v>35</v>
      </c>
      <c r="D259" t="s">
        <v>44</v>
      </c>
      <c r="E259">
        <v>2</v>
      </c>
      <c r="F259">
        <v>2</v>
      </c>
      <c r="G259" t="s">
        <v>50</v>
      </c>
      <c r="H259">
        <v>1</v>
      </c>
      <c r="I259">
        <v>352</v>
      </c>
      <c r="J259">
        <v>1</v>
      </c>
      <c r="K259" t="s">
        <v>45</v>
      </c>
      <c r="L259">
        <v>49</v>
      </c>
      <c r="M259">
        <v>3</v>
      </c>
      <c r="N259">
        <v>5</v>
      </c>
      <c r="O259" t="s">
        <v>57</v>
      </c>
      <c r="P259">
        <v>3</v>
      </c>
      <c r="Q259" t="s">
        <v>51</v>
      </c>
      <c r="R259">
        <v>19436</v>
      </c>
      <c r="S259">
        <v>5949</v>
      </c>
      <c r="T259">
        <v>0</v>
      </c>
      <c r="U259" t="s">
        <v>41</v>
      </c>
      <c r="V259" t="s">
        <v>42</v>
      </c>
      <c r="W259">
        <v>19</v>
      </c>
      <c r="X259">
        <v>3</v>
      </c>
      <c r="Y259">
        <v>4</v>
      </c>
      <c r="Z259">
        <v>80</v>
      </c>
      <c r="AA259">
        <v>1</v>
      </c>
      <c r="AB259">
        <v>22</v>
      </c>
      <c r="AC259">
        <v>5</v>
      </c>
      <c r="AD259">
        <v>3</v>
      </c>
      <c r="AE259">
        <v>21</v>
      </c>
      <c r="AF259">
        <v>7</v>
      </c>
      <c r="AG259">
        <v>3</v>
      </c>
      <c r="AH259">
        <v>9</v>
      </c>
    </row>
    <row r="260" spans="1:34" x14ac:dyDescent="0.2">
      <c r="A260">
        <v>51</v>
      </c>
      <c r="B260" t="s">
        <v>42</v>
      </c>
      <c r="C260" t="s">
        <v>35</v>
      </c>
      <c r="D260" t="s">
        <v>44</v>
      </c>
      <c r="E260">
        <v>1</v>
      </c>
      <c r="F260">
        <v>3</v>
      </c>
      <c r="G260" t="s">
        <v>37</v>
      </c>
      <c r="H260">
        <v>1</v>
      </c>
      <c r="I260">
        <v>353</v>
      </c>
      <c r="J260">
        <v>3</v>
      </c>
      <c r="K260" t="s">
        <v>45</v>
      </c>
      <c r="L260">
        <v>96</v>
      </c>
      <c r="M260">
        <v>3</v>
      </c>
      <c r="N260">
        <v>1</v>
      </c>
      <c r="O260" t="s">
        <v>46</v>
      </c>
      <c r="P260">
        <v>4</v>
      </c>
      <c r="Q260" t="s">
        <v>47</v>
      </c>
      <c r="R260">
        <v>2723</v>
      </c>
      <c r="S260">
        <v>23231</v>
      </c>
      <c r="T260">
        <v>1</v>
      </c>
      <c r="U260" t="s">
        <v>41</v>
      </c>
      <c r="V260" t="s">
        <v>42</v>
      </c>
      <c r="W260">
        <v>11</v>
      </c>
      <c r="X260">
        <v>3</v>
      </c>
      <c r="Y260">
        <v>2</v>
      </c>
      <c r="Z260">
        <v>80</v>
      </c>
      <c r="AA260">
        <v>0</v>
      </c>
      <c r="AB260">
        <v>1</v>
      </c>
      <c r="AC260">
        <v>0</v>
      </c>
      <c r="AD260">
        <v>2</v>
      </c>
      <c r="AE260">
        <v>1</v>
      </c>
      <c r="AF260">
        <v>0</v>
      </c>
      <c r="AG260">
        <v>0</v>
      </c>
      <c r="AH260">
        <v>0</v>
      </c>
    </row>
    <row r="261" spans="1:34" x14ac:dyDescent="0.2">
      <c r="A261">
        <v>31</v>
      </c>
      <c r="B261" t="s">
        <v>34</v>
      </c>
      <c r="C261" t="s">
        <v>43</v>
      </c>
      <c r="D261" t="s">
        <v>44</v>
      </c>
      <c r="E261">
        <v>29</v>
      </c>
      <c r="F261">
        <v>2</v>
      </c>
      <c r="G261" t="s">
        <v>50</v>
      </c>
      <c r="H261">
        <v>1</v>
      </c>
      <c r="I261">
        <v>355</v>
      </c>
      <c r="J261">
        <v>3</v>
      </c>
      <c r="K261" t="s">
        <v>45</v>
      </c>
      <c r="L261">
        <v>71</v>
      </c>
      <c r="M261">
        <v>2</v>
      </c>
      <c r="N261">
        <v>1</v>
      </c>
      <c r="O261" t="s">
        <v>49</v>
      </c>
      <c r="P261">
        <v>2</v>
      </c>
      <c r="Q261" t="s">
        <v>40</v>
      </c>
      <c r="R261">
        <v>3479</v>
      </c>
      <c r="S261">
        <v>11652</v>
      </c>
      <c r="T261">
        <v>0</v>
      </c>
      <c r="U261" t="s">
        <v>41</v>
      </c>
      <c r="V261" t="s">
        <v>42</v>
      </c>
      <c r="W261">
        <v>11</v>
      </c>
      <c r="X261">
        <v>3</v>
      </c>
      <c r="Y261">
        <v>2</v>
      </c>
      <c r="Z261">
        <v>80</v>
      </c>
      <c r="AA261">
        <v>0</v>
      </c>
      <c r="AB261">
        <v>6</v>
      </c>
      <c r="AC261">
        <v>2</v>
      </c>
      <c r="AD261">
        <v>4</v>
      </c>
      <c r="AE261">
        <v>5</v>
      </c>
      <c r="AF261">
        <v>4</v>
      </c>
      <c r="AG261">
        <v>1</v>
      </c>
      <c r="AH261">
        <v>4</v>
      </c>
    </row>
    <row r="262" spans="1:34" x14ac:dyDescent="0.2">
      <c r="A262">
        <v>32</v>
      </c>
      <c r="B262" t="s">
        <v>42</v>
      </c>
      <c r="C262" t="s">
        <v>43</v>
      </c>
      <c r="D262" t="s">
        <v>44</v>
      </c>
      <c r="E262">
        <v>7</v>
      </c>
      <c r="F262">
        <v>3</v>
      </c>
      <c r="G262" t="s">
        <v>37</v>
      </c>
      <c r="H262">
        <v>1</v>
      </c>
      <c r="I262">
        <v>359</v>
      </c>
      <c r="J262">
        <v>2</v>
      </c>
      <c r="K262" t="s">
        <v>45</v>
      </c>
      <c r="L262">
        <v>100</v>
      </c>
      <c r="M262">
        <v>4</v>
      </c>
      <c r="N262">
        <v>1</v>
      </c>
      <c r="O262" t="s">
        <v>49</v>
      </c>
      <c r="P262">
        <v>2</v>
      </c>
      <c r="Q262" t="s">
        <v>47</v>
      </c>
      <c r="R262">
        <v>2794</v>
      </c>
      <c r="S262">
        <v>26062</v>
      </c>
      <c r="T262">
        <v>1</v>
      </c>
      <c r="U262" t="s">
        <v>41</v>
      </c>
      <c r="V262" t="s">
        <v>42</v>
      </c>
      <c r="W262">
        <v>20</v>
      </c>
      <c r="X262">
        <v>4</v>
      </c>
      <c r="Y262">
        <v>3</v>
      </c>
      <c r="Z262">
        <v>80</v>
      </c>
      <c r="AA262">
        <v>0</v>
      </c>
      <c r="AB262">
        <v>5</v>
      </c>
      <c r="AC262">
        <v>3</v>
      </c>
      <c r="AD262">
        <v>1</v>
      </c>
      <c r="AE262">
        <v>5</v>
      </c>
      <c r="AF262">
        <v>1</v>
      </c>
      <c r="AG262">
        <v>0</v>
      </c>
      <c r="AH262">
        <v>3</v>
      </c>
    </row>
    <row r="263" spans="1:34" x14ac:dyDescent="0.2">
      <c r="A263">
        <v>38</v>
      </c>
      <c r="B263" t="s">
        <v>42</v>
      </c>
      <c r="C263" t="s">
        <v>54</v>
      </c>
      <c r="D263" t="s">
        <v>36</v>
      </c>
      <c r="E263">
        <v>2</v>
      </c>
      <c r="F263">
        <v>2</v>
      </c>
      <c r="G263" t="s">
        <v>37</v>
      </c>
      <c r="H263">
        <v>1</v>
      </c>
      <c r="I263">
        <v>361</v>
      </c>
      <c r="J263">
        <v>4</v>
      </c>
      <c r="K263" t="s">
        <v>45</v>
      </c>
      <c r="L263">
        <v>39</v>
      </c>
      <c r="M263">
        <v>2</v>
      </c>
      <c r="N263">
        <v>2</v>
      </c>
      <c r="O263" t="s">
        <v>39</v>
      </c>
      <c r="P263">
        <v>4</v>
      </c>
      <c r="Q263" t="s">
        <v>47</v>
      </c>
      <c r="R263">
        <v>5249</v>
      </c>
      <c r="S263">
        <v>19682</v>
      </c>
      <c r="T263">
        <v>3</v>
      </c>
      <c r="U263" t="s">
        <v>41</v>
      </c>
      <c r="V263" t="s">
        <v>42</v>
      </c>
      <c r="W263">
        <v>18</v>
      </c>
      <c r="X263">
        <v>3</v>
      </c>
      <c r="Y263">
        <v>4</v>
      </c>
      <c r="Z263">
        <v>80</v>
      </c>
      <c r="AA263">
        <v>1</v>
      </c>
      <c r="AB263">
        <v>13</v>
      </c>
      <c r="AC263">
        <v>0</v>
      </c>
      <c r="AD263">
        <v>3</v>
      </c>
      <c r="AE263">
        <v>8</v>
      </c>
      <c r="AF263">
        <v>7</v>
      </c>
      <c r="AG263">
        <v>7</v>
      </c>
      <c r="AH263">
        <v>5</v>
      </c>
    </row>
    <row r="264" spans="1:34" x14ac:dyDescent="0.2">
      <c r="A264">
        <v>32</v>
      </c>
      <c r="B264" t="s">
        <v>42</v>
      </c>
      <c r="C264" t="s">
        <v>35</v>
      </c>
      <c r="D264" t="s">
        <v>44</v>
      </c>
      <c r="E264">
        <v>2</v>
      </c>
      <c r="F264">
        <v>1</v>
      </c>
      <c r="G264" t="s">
        <v>59</v>
      </c>
      <c r="H264">
        <v>1</v>
      </c>
      <c r="I264">
        <v>362</v>
      </c>
      <c r="J264">
        <v>4</v>
      </c>
      <c r="K264" t="s">
        <v>45</v>
      </c>
      <c r="L264">
        <v>84</v>
      </c>
      <c r="M264">
        <v>2</v>
      </c>
      <c r="N264">
        <v>2</v>
      </c>
      <c r="O264" t="s">
        <v>49</v>
      </c>
      <c r="P264">
        <v>1</v>
      </c>
      <c r="Q264" t="s">
        <v>40</v>
      </c>
      <c r="R264">
        <v>2176</v>
      </c>
      <c r="S264">
        <v>19737</v>
      </c>
      <c r="T264">
        <v>4</v>
      </c>
      <c r="U264" t="s">
        <v>41</v>
      </c>
      <c r="V264" t="s">
        <v>42</v>
      </c>
      <c r="W264">
        <v>13</v>
      </c>
      <c r="X264">
        <v>3</v>
      </c>
      <c r="Y264">
        <v>4</v>
      </c>
      <c r="Z264">
        <v>80</v>
      </c>
      <c r="AA264">
        <v>0</v>
      </c>
      <c r="AB264">
        <v>9</v>
      </c>
      <c r="AC264">
        <v>5</v>
      </c>
      <c r="AD264">
        <v>3</v>
      </c>
      <c r="AE264">
        <v>6</v>
      </c>
      <c r="AF264">
        <v>2</v>
      </c>
      <c r="AG264">
        <v>0</v>
      </c>
      <c r="AH264">
        <v>4</v>
      </c>
    </row>
    <row r="265" spans="1:34" x14ac:dyDescent="0.2">
      <c r="A265">
        <v>46</v>
      </c>
      <c r="B265" t="s">
        <v>42</v>
      </c>
      <c r="C265" t="s">
        <v>35</v>
      </c>
      <c r="D265" t="s">
        <v>36</v>
      </c>
      <c r="E265">
        <v>2</v>
      </c>
      <c r="F265">
        <v>3</v>
      </c>
      <c r="G265" t="s">
        <v>59</v>
      </c>
      <c r="H265">
        <v>1</v>
      </c>
      <c r="I265">
        <v>363</v>
      </c>
      <c r="J265">
        <v>3</v>
      </c>
      <c r="K265" t="s">
        <v>38</v>
      </c>
      <c r="L265">
        <v>75</v>
      </c>
      <c r="M265">
        <v>1</v>
      </c>
      <c r="N265">
        <v>4</v>
      </c>
      <c r="O265" t="s">
        <v>55</v>
      </c>
      <c r="P265">
        <v>2</v>
      </c>
      <c r="Q265" t="s">
        <v>47</v>
      </c>
      <c r="R265">
        <v>16872</v>
      </c>
      <c r="S265">
        <v>14977</v>
      </c>
      <c r="T265">
        <v>3</v>
      </c>
      <c r="U265" t="s">
        <v>41</v>
      </c>
      <c r="V265" t="s">
        <v>34</v>
      </c>
      <c r="W265">
        <v>12</v>
      </c>
      <c r="X265">
        <v>3</v>
      </c>
      <c r="Y265">
        <v>2</v>
      </c>
      <c r="Z265">
        <v>80</v>
      </c>
      <c r="AA265">
        <v>1</v>
      </c>
      <c r="AB265">
        <v>28</v>
      </c>
      <c r="AC265">
        <v>2</v>
      </c>
      <c r="AD265">
        <v>2</v>
      </c>
      <c r="AE265">
        <v>7</v>
      </c>
      <c r="AF265">
        <v>7</v>
      </c>
      <c r="AG265">
        <v>7</v>
      </c>
      <c r="AH265">
        <v>7</v>
      </c>
    </row>
    <row r="266" spans="1:34" x14ac:dyDescent="0.2">
      <c r="A266">
        <v>28</v>
      </c>
      <c r="B266" t="s">
        <v>34</v>
      </c>
      <c r="C266" t="s">
        <v>35</v>
      </c>
      <c r="D266" t="s">
        <v>44</v>
      </c>
      <c r="E266">
        <v>2</v>
      </c>
      <c r="F266">
        <v>4</v>
      </c>
      <c r="G266" t="s">
        <v>37</v>
      </c>
      <c r="H266">
        <v>1</v>
      </c>
      <c r="I266">
        <v>364</v>
      </c>
      <c r="J266">
        <v>1</v>
      </c>
      <c r="K266" t="s">
        <v>45</v>
      </c>
      <c r="L266">
        <v>79</v>
      </c>
      <c r="M266">
        <v>3</v>
      </c>
      <c r="N266">
        <v>1</v>
      </c>
      <c r="O266" t="s">
        <v>49</v>
      </c>
      <c r="P266">
        <v>3</v>
      </c>
      <c r="Q266" t="s">
        <v>40</v>
      </c>
      <c r="R266">
        <v>3485</v>
      </c>
      <c r="S266">
        <v>14935</v>
      </c>
      <c r="T266">
        <v>2</v>
      </c>
      <c r="U266" t="s">
        <v>41</v>
      </c>
      <c r="V266" t="s">
        <v>42</v>
      </c>
      <c r="W266">
        <v>11</v>
      </c>
      <c r="X266">
        <v>3</v>
      </c>
      <c r="Y266">
        <v>3</v>
      </c>
      <c r="Z266">
        <v>80</v>
      </c>
      <c r="AA266">
        <v>0</v>
      </c>
      <c r="AB266">
        <v>5</v>
      </c>
      <c r="AC266">
        <v>5</v>
      </c>
      <c r="AD266">
        <v>1</v>
      </c>
      <c r="AE266">
        <v>0</v>
      </c>
      <c r="AF266">
        <v>0</v>
      </c>
      <c r="AG266">
        <v>0</v>
      </c>
      <c r="AH266">
        <v>0</v>
      </c>
    </row>
    <row r="267" spans="1:34" x14ac:dyDescent="0.2">
      <c r="A267">
        <v>29</v>
      </c>
      <c r="B267" t="s">
        <v>42</v>
      </c>
      <c r="C267" t="s">
        <v>35</v>
      </c>
      <c r="D267" t="s">
        <v>36</v>
      </c>
      <c r="E267">
        <v>2</v>
      </c>
      <c r="F267">
        <v>3</v>
      </c>
      <c r="G267" t="s">
        <v>50</v>
      </c>
      <c r="H267">
        <v>1</v>
      </c>
      <c r="I267">
        <v>366</v>
      </c>
      <c r="J267">
        <v>1</v>
      </c>
      <c r="K267" t="s">
        <v>45</v>
      </c>
      <c r="L267">
        <v>78</v>
      </c>
      <c r="M267">
        <v>2</v>
      </c>
      <c r="N267">
        <v>2</v>
      </c>
      <c r="O267" t="s">
        <v>39</v>
      </c>
      <c r="P267">
        <v>2</v>
      </c>
      <c r="Q267" t="s">
        <v>47</v>
      </c>
      <c r="R267">
        <v>6644</v>
      </c>
      <c r="S267">
        <v>3687</v>
      </c>
      <c r="T267">
        <v>2</v>
      </c>
      <c r="U267" t="s">
        <v>41</v>
      </c>
      <c r="V267" t="s">
        <v>42</v>
      </c>
      <c r="W267">
        <v>19</v>
      </c>
      <c r="X267">
        <v>3</v>
      </c>
      <c r="Y267">
        <v>2</v>
      </c>
      <c r="Z267">
        <v>80</v>
      </c>
      <c r="AA267">
        <v>2</v>
      </c>
      <c r="AB267">
        <v>10</v>
      </c>
      <c r="AC267">
        <v>2</v>
      </c>
      <c r="AD267">
        <v>3</v>
      </c>
      <c r="AE267">
        <v>0</v>
      </c>
      <c r="AF267">
        <v>0</v>
      </c>
      <c r="AG267">
        <v>0</v>
      </c>
      <c r="AH267">
        <v>0</v>
      </c>
    </row>
    <row r="268" spans="1:34" x14ac:dyDescent="0.2">
      <c r="A268">
        <v>31</v>
      </c>
      <c r="B268" t="s">
        <v>42</v>
      </c>
      <c r="C268" t="s">
        <v>35</v>
      </c>
      <c r="D268" t="s">
        <v>44</v>
      </c>
      <c r="E268">
        <v>23</v>
      </c>
      <c r="F268">
        <v>3</v>
      </c>
      <c r="G268" t="s">
        <v>50</v>
      </c>
      <c r="H268">
        <v>1</v>
      </c>
      <c r="I268">
        <v>367</v>
      </c>
      <c r="J268">
        <v>2</v>
      </c>
      <c r="K268" t="s">
        <v>45</v>
      </c>
      <c r="L268">
        <v>64</v>
      </c>
      <c r="M268">
        <v>2</v>
      </c>
      <c r="N268">
        <v>2</v>
      </c>
      <c r="O268" t="s">
        <v>53</v>
      </c>
      <c r="P268">
        <v>4</v>
      </c>
      <c r="Q268" t="s">
        <v>47</v>
      </c>
      <c r="R268">
        <v>5582</v>
      </c>
      <c r="S268">
        <v>14408</v>
      </c>
      <c r="T268">
        <v>0</v>
      </c>
      <c r="U268" t="s">
        <v>41</v>
      </c>
      <c r="V268" t="s">
        <v>42</v>
      </c>
      <c r="W268">
        <v>21</v>
      </c>
      <c r="X268">
        <v>4</v>
      </c>
      <c r="Y268">
        <v>2</v>
      </c>
      <c r="Z268">
        <v>80</v>
      </c>
      <c r="AA268">
        <v>1</v>
      </c>
      <c r="AB268">
        <v>10</v>
      </c>
      <c r="AC268">
        <v>2</v>
      </c>
      <c r="AD268">
        <v>3</v>
      </c>
      <c r="AE268">
        <v>9</v>
      </c>
      <c r="AF268">
        <v>0</v>
      </c>
      <c r="AG268">
        <v>7</v>
      </c>
      <c r="AH268">
        <v>8</v>
      </c>
    </row>
    <row r="269" spans="1:34" x14ac:dyDescent="0.2">
      <c r="A269">
        <v>25</v>
      </c>
      <c r="B269" t="s">
        <v>42</v>
      </c>
      <c r="C269" t="s">
        <v>54</v>
      </c>
      <c r="D269" t="s">
        <v>44</v>
      </c>
      <c r="E269">
        <v>5</v>
      </c>
      <c r="F269">
        <v>2</v>
      </c>
      <c r="G269" t="s">
        <v>37</v>
      </c>
      <c r="H269">
        <v>1</v>
      </c>
      <c r="I269">
        <v>369</v>
      </c>
      <c r="J269">
        <v>2</v>
      </c>
      <c r="K269" t="s">
        <v>45</v>
      </c>
      <c r="L269">
        <v>85</v>
      </c>
      <c r="M269">
        <v>4</v>
      </c>
      <c r="N269">
        <v>2</v>
      </c>
      <c r="O269" t="s">
        <v>53</v>
      </c>
      <c r="P269">
        <v>1</v>
      </c>
      <c r="Q269" t="s">
        <v>51</v>
      </c>
      <c r="R269">
        <v>4000</v>
      </c>
      <c r="S269">
        <v>18384</v>
      </c>
      <c r="T269">
        <v>1</v>
      </c>
      <c r="U269" t="s">
        <v>41</v>
      </c>
      <c r="V269" t="s">
        <v>42</v>
      </c>
      <c r="W269">
        <v>12</v>
      </c>
      <c r="X269">
        <v>3</v>
      </c>
      <c r="Y269">
        <v>4</v>
      </c>
      <c r="Z269">
        <v>80</v>
      </c>
      <c r="AA269">
        <v>2</v>
      </c>
      <c r="AB269">
        <v>6</v>
      </c>
      <c r="AC269">
        <v>2</v>
      </c>
      <c r="AD269">
        <v>3</v>
      </c>
      <c r="AE269">
        <v>6</v>
      </c>
      <c r="AF269">
        <v>3</v>
      </c>
      <c r="AG269">
        <v>1</v>
      </c>
      <c r="AH269">
        <v>5</v>
      </c>
    </row>
    <row r="270" spans="1:34" x14ac:dyDescent="0.2">
      <c r="A270">
        <v>45</v>
      </c>
      <c r="B270" t="s">
        <v>42</v>
      </c>
      <c r="C270" t="s">
        <v>35</v>
      </c>
      <c r="D270" t="s">
        <v>44</v>
      </c>
      <c r="E270">
        <v>20</v>
      </c>
      <c r="F270">
        <v>2</v>
      </c>
      <c r="G270" t="s">
        <v>50</v>
      </c>
      <c r="H270">
        <v>1</v>
      </c>
      <c r="I270">
        <v>372</v>
      </c>
      <c r="J270">
        <v>3</v>
      </c>
      <c r="K270" t="s">
        <v>45</v>
      </c>
      <c r="L270">
        <v>79</v>
      </c>
      <c r="M270">
        <v>3</v>
      </c>
      <c r="N270">
        <v>4</v>
      </c>
      <c r="O270" t="s">
        <v>53</v>
      </c>
      <c r="P270">
        <v>4</v>
      </c>
      <c r="Q270" t="s">
        <v>47</v>
      </c>
      <c r="R270">
        <v>13496</v>
      </c>
      <c r="S270">
        <v>7501</v>
      </c>
      <c r="T270">
        <v>0</v>
      </c>
      <c r="U270" t="s">
        <v>41</v>
      </c>
      <c r="V270" t="s">
        <v>34</v>
      </c>
      <c r="W270">
        <v>14</v>
      </c>
      <c r="X270">
        <v>3</v>
      </c>
      <c r="Y270">
        <v>2</v>
      </c>
      <c r="Z270">
        <v>80</v>
      </c>
      <c r="AA270">
        <v>0</v>
      </c>
      <c r="AB270">
        <v>21</v>
      </c>
      <c r="AC270">
        <v>2</v>
      </c>
      <c r="AD270">
        <v>3</v>
      </c>
      <c r="AE270">
        <v>20</v>
      </c>
      <c r="AF270">
        <v>7</v>
      </c>
      <c r="AG270">
        <v>4</v>
      </c>
      <c r="AH270">
        <v>10</v>
      </c>
    </row>
    <row r="271" spans="1:34" x14ac:dyDescent="0.2">
      <c r="A271">
        <v>36</v>
      </c>
      <c r="B271" t="s">
        <v>42</v>
      </c>
      <c r="C271" t="s">
        <v>35</v>
      </c>
      <c r="D271" t="s">
        <v>44</v>
      </c>
      <c r="E271">
        <v>6</v>
      </c>
      <c r="F271">
        <v>3</v>
      </c>
      <c r="G271" t="s">
        <v>37</v>
      </c>
      <c r="H271">
        <v>1</v>
      </c>
      <c r="I271">
        <v>373</v>
      </c>
      <c r="J271">
        <v>4</v>
      </c>
      <c r="K271" t="s">
        <v>45</v>
      </c>
      <c r="L271">
        <v>47</v>
      </c>
      <c r="M271">
        <v>3</v>
      </c>
      <c r="N271">
        <v>1</v>
      </c>
      <c r="O271" t="s">
        <v>49</v>
      </c>
      <c r="P271">
        <v>4</v>
      </c>
      <c r="Q271" t="s">
        <v>47</v>
      </c>
      <c r="R271">
        <v>3210</v>
      </c>
      <c r="S271">
        <v>20251</v>
      </c>
      <c r="T271">
        <v>0</v>
      </c>
      <c r="U271" t="s">
        <v>41</v>
      </c>
      <c r="V271" t="s">
        <v>42</v>
      </c>
      <c r="W271">
        <v>11</v>
      </c>
      <c r="X271">
        <v>3</v>
      </c>
      <c r="Y271">
        <v>3</v>
      </c>
      <c r="Z271">
        <v>80</v>
      </c>
      <c r="AA271">
        <v>1</v>
      </c>
      <c r="AB271">
        <v>16</v>
      </c>
      <c r="AC271">
        <v>4</v>
      </c>
      <c r="AD271">
        <v>3</v>
      </c>
      <c r="AE271">
        <v>15</v>
      </c>
      <c r="AF271">
        <v>13</v>
      </c>
      <c r="AG271">
        <v>10</v>
      </c>
      <c r="AH271">
        <v>11</v>
      </c>
    </row>
    <row r="272" spans="1:34" x14ac:dyDescent="0.2">
      <c r="A272">
        <v>55</v>
      </c>
      <c r="B272" t="s">
        <v>42</v>
      </c>
      <c r="C272" t="s">
        <v>35</v>
      </c>
      <c r="D272" t="s">
        <v>44</v>
      </c>
      <c r="E272">
        <v>1</v>
      </c>
      <c r="F272">
        <v>3</v>
      </c>
      <c r="G272" t="s">
        <v>50</v>
      </c>
      <c r="H272">
        <v>1</v>
      </c>
      <c r="I272">
        <v>374</v>
      </c>
      <c r="J272">
        <v>4</v>
      </c>
      <c r="K272" t="s">
        <v>45</v>
      </c>
      <c r="L272">
        <v>81</v>
      </c>
      <c r="M272">
        <v>3</v>
      </c>
      <c r="N272">
        <v>5</v>
      </c>
      <c r="O272" t="s">
        <v>55</v>
      </c>
      <c r="P272">
        <v>1</v>
      </c>
      <c r="Q272" t="s">
        <v>40</v>
      </c>
      <c r="R272">
        <v>19045</v>
      </c>
      <c r="S272">
        <v>18938</v>
      </c>
      <c r="T272">
        <v>0</v>
      </c>
      <c r="U272" t="s">
        <v>41</v>
      </c>
      <c r="V272" t="s">
        <v>34</v>
      </c>
      <c r="W272">
        <v>14</v>
      </c>
      <c r="X272">
        <v>3</v>
      </c>
      <c r="Y272">
        <v>3</v>
      </c>
      <c r="Z272">
        <v>80</v>
      </c>
      <c r="AA272">
        <v>0</v>
      </c>
      <c r="AB272">
        <v>37</v>
      </c>
      <c r="AC272">
        <v>2</v>
      </c>
      <c r="AD272">
        <v>3</v>
      </c>
      <c r="AE272">
        <v>36</v>
      </c>
      <c r="AF272">
        <v>10</v>
      </c>
      <c r="AG272">
        <v>4</v>
      </c>
      <c r="AH272">
        <v>13</v>
      </c>
    </row>
    <row r="273" spans="1:34" x14ac:dyDescent="0.2">
      <c r="A273">
        <v>47</v>
      </c>
      <c r="B273" t="s">
        <v>34</v>
      </c>
      <c r="C273" t="s">
        <v>54</v>
      </c>
      <c r="D273" t="s">
        <v>44</v>
      </c>
      <c r="E273">
        <v>29</v>
      </c>
      <c r="F273">
        <v>4</v>
      </c>
      <c r="G273" t="s">
        <v>37</v>
      </c>
      <c r="H273">
        <v>1</v>
      </c>
      <c r="I273">
        <v>376</v>
      </c>
      <c r="J273">
        <v>1</v>
      </c>
      <c r="K273" t="s">
        <v>45</v>
      </c>
      <c r="L273">
        <v>88</v>
      </c>
      <c r="M273">
        <v>3</v>
      </c>
      <c r="N273">
        <v>3</v>
      </c>
      <c r="O273" t="s">
        <v>55</v>
      </c>
      <c r="P273">
        <v>2</v>
      </c>
      <c r="Q273" t="s">
        <v>47</v>
      </c>
      <c r="R273">
        <v>11849</v>
      </c>
      <c r="S273">
        <v>10268</v>
      </c>
      <c r="T273">
        <v>1</v>
      </c>
      <c r="U273" t="s">
        <v>41</v>
      </c>
      <c r="V273" t="s">
        <v>34</v>
      </c>
      <c r="W273">
        <v>12</v>
      </c>
      <c r="X273">
        <v>3</v>
      </c>
      <c r="Y273">
        <v>4</v>
      </c>
      <c r="Z273">
        <v>80</v>
      </c>
      <c r="AA273">
        <v>1</v>
      </c>
      <c r="AB273">
        <v>10</v>
      </c>
      <c r="AC273">
        <v>2</v>
      </c>
      <c r="AD273">
        <v>2</v>
      </c>
      <c r="AE273">
        <v>10</v>
      </c>
      <c r="AF273">
        <v>7</v>
      </c>
      <c r="AG273">
        <v>9</v>
      </c>
      <c r="AH273">
        <v>9</v>
      </c>
    </row>
    <row r="274" spans="1:34" x14ac:dyDescent="0.2">
      <c r="A274">
        <v>28</v>
      </c>
      <c r="B274" t="s">
        <v>42</v>
      </c>
      <c r="C274" t="s">
        <v>35</v>
      </c>
      <c r="D274" t="s">
        <v>44</v>
      </c>
      <c r="E274">
        <v>9</v>
      </c>
      <c r="F274">
        <v>3</v>
      </c>
      <c r="G274" t="s">
        <v>50</v>
      </c>
      <c r="H274">
        <v>1</v>
      </c>
      <c r="I274">
        <v>377</v>
      </c>
      <c r="J274">
        <v>4</v>
      </c>
      <c r="K274" t="s">
        <v>45</v>
      </c>
      <c r="L274">
        <v>94</v>
      </c>
      <c r="M274">
        <v>3</v>
      </c>
      <c r="N274">
        <v>1</v>
      </c>
      <c r="O274" t="s">
        <v>46</v>
      </c>
      <c r="P274">
        <v>4</v>
      </c>
      <c r="Q274" t="s">
        <v>47</v>
      </c>
      <c r="R274">
        <v>2070</v>
      </c>
      <c r="S274">
        <v>2613</v>
      </c>
      <c r="T274">
        <v>1</v>
      </c>
      <c r="U274" t="s">
        <v>41</v>
      </c>
      <c r="V274" t="s">
        <v>42</v>
      </c>
      <c r="W274">
        <v>23</v>
      </c>
      <c r="X274">
        <v>4</v>
      </c>
      <c r="Y274">
        <v>4</v>
      </c>
      <c r="Z274">
        <v>80</v>
      </c>
      <c r="AA274">
        <v>1</v>
      </c>
      <c r="AB274">
        <v>5</v>
      </c>
      <c r="AC274">
        <v>3</v>
      </c>
      <c r="AD274">
        <v>2</v>
      </c>
      <c r="AE274">
        <v>5</v>
      </c>
      <c r="AF274">
        <v>2</v>
      </c>
      <c r="AG274">
        <v>0</v>
      </c>
      <c r="AH274">
        <v>4</v>
      </c>
    </row>
    <row r="275" spans="1:34" x14ac:dyDescent="0.2">
      <c r="A275">
        <v>37</v>
      </c>
      <c r="B275" t="s">
        <v>42</v>
      </c>
      <c r="C275" t="s">
        <v>35</v>
      </c>
      <c r="D275" t="s">
        <v>36</v>
      </c>
      <c r="E275">
        <v>6</v>
      </c>
      <c r="F275">
        <v>4</v>
      </c>
      <c r="G275" t="s">
        <v>50</v>
      </c>
      <c r="H275">
        <v>1</v>
      </c>
      <c r="I275">
        <v>378</v>
      </c>
      <c r="J275">
        <v>3</v>
      </c>
      <c r="K275" t="s">
        <v>45</v>
      </c>
      <c r="L275">
        <v>98</v>
      </c>
      <c r="M275">
        <v>3</v>
      </c>
      <c r="N275">
        <v>2</v>
      </c>
      <c r="O275" t="s">
        <v>39</v>
      </c>
      <c r="P275">
        <v>4</v>
      </c>
      <c r="Q275" t="s">
        <v>47</v>
      </c>
      <c r="R275">
        <v>6502</v>
      </c>
      <c r="S275">
        <v>22825</v>
      </c>
      <c r="T275">
        <v>4</v>
      </c>
      <c r="U275" t="s">
        <v>41</v>
      </c>
      <c r="V275" t="s">
        <v>42</v>
      </c>
      <c r="W275">
        <v>14</v>
      </c>
      <c r="X275">
        <v>3</v>
      </c>
      <c r="Y275">
        <v>2</v>
      </c>
      <c r="Z275">
        <v>80</v>
      </c>
      <c r="AA275">
        <v>1</v>
      </c>
      <c r="AB275">
        <v>7</v>
      </c>
      <c r="AC275">
        <v>5</v>
      </c>
      <c r="AD275">
        <v>4</v>
      </c>
      <c r="AE275">
        <v>5</v>
      </c>
      <c r="AF275">
        <v>4</v>
      </c>
      <c r="AG275">
        <v>0</v>
      </c>
      <c r="AH275">
        <v>1</v>
      </c>
    </row>
    <row r="276" spans="1:34" x14ac:dyDescent="0.2">
      <c r="A276">
        <v>21</v>
      </c>
      <c r="B276" t="s">
        <v>42</v>
      </c>
      <c r="C276" t="s">
        <v>35</v>
      </c>
      <c r="D276" t="s">
        <v>44</v>
      </c>
      <c r="E276">
        <v>3</v>
      </c>
      <c r="F276">
        <v>2</v>
      </c>
      <c r="G276" t="s">
        <v>50</v>
      </c>
      <c r="H276">
        <v>1</v>
      </c>
      <c r="I276">
        <v>379</v>
      </c>
      <c r="J276">
        <v>4</v>
      </c>
      <c r="K276" t="s">
        <v>45</v>
      </c>
      <c r="L276">
        <v>100</v>
      </c>
      <c r="M276">
        <v>2</v>
      </c>
      <c r="N276">
        <v>1</v>
      </c>
      <c r="O276" t="s">
        <v>46</v>
      </c>
      <c r="P276">
        <v>3</v>
      </c>
      <c r="Q276" t="s">
        <v>40</v>
      </c>
      <c r="R276">
        <v>3230</v>
      </c>
      <c r="S276">
        <v>10531</v>
      </c>
      <c r="T276">
        <v>1</v>
      </c>
      <c r="U276" t="s">
        <v>41</v>
      </c>
      <c r="V276" t="s">
        <v>42</v>
      </c>
      <c r="W276">
        <v>17</v>
      </c>
      <c r="X276">
        <v>3</v>
      </c>
      <c r="Y276">
        <v>1</v>
      </c>
      <c r="Z276">
        <v>80</v>
      </c>
      <c r="AA276">
        <v>0</v>
      </c>
      <c r="AB276">
        <v>3</v>
      </c>
      <c r="AC276">
        <v>4</v>
      </c>
      <c r="AD276">
        <v>4</v>
      </c>
      <c r="AE276">
        <v>3</v>
      </c>
      <c r="AF276">
        <v>2</v>
      </c>
      <c r="AG276">
        <v>1</v>
      </c>
      <c r="AH276">
        <v>0</v>
      </c>
    </row>
    <row r="277" spans="1:34" x14ac:dyDescent="0.2">
      <c r="A277">
        <v>37</v>
      </c>
      <c r="B277" t="s">
        <v>42</v>
      </c>
      <c r="C277" t="s">
        <v>54</v>
      </c>
      <c r="D277" t="s">
        <v>44</v>
      </c>
      <c r="E277">
        <v>1</v>
      </c>
      <c r="F277">
        <v>4</v>
      </c>
      <c r="G277" t="s">
        <v>50</v>
      </c>
      <c r="H277">
        <v>1</v>
      </c>
      <c r="I277">
        <v>380</v>
      </c>
      <c r="J277">
        <v>1</v>
      </c>
      <c r="K277" t="s">
        <v>38</v>
      </c>
      <c r="L277">
        <v>80</v>
      </c>
      <c r="M277">
        <v>3</v>
      </c>
      <c r="N277">
        <v>3</v>
      </c>
      <c r="O277" t="s">
        <v>57</v>
      </c>
      <c r="P277">
        <v>4</v>
      </c>
      <c r="Q277" t="s">
        <v>51</v>
      </c>
      <c r="R277">
        <v>13603</v>
      </c>
      <c r="S277">
        <v>11677</v>
      </c>
      <c r="T277">
        <v>2</v>
      </c>
      <c r="U277" t="s">
        <v>41</v>
      </c>
      <c r="V277" t="s">
        <v>34</v>
      </c>
      <c r="W277">
        <v>18</v>
      </c>
      <c r="X277">
        <v>3</v>
      </c>
      <c r="Y277">
        <v>1</v>
      </c>
      <c r="Z277">
        <v>80</v>
      </c>
      <c r="AA277">
        <v>2</v>
      </c>
      <c r="AB277">
        <v>15</v>
      </c>
      <c r="AC277">
        <v>2</v>
      </c>
      <c r="AD277">
        <v>3</v>
      </c>
      <c r="AE277">
        <v>5</v>
      </c>
      <c r="AF277">
        <v>2</v>
      </c>
      <c r="AG277">
        <v>0</v>
      </c>
      <c r="AH277">
        <v>2</v>
      </c>
    </row>
    <row r="278" spans="1:34" x14ac:dyDescent="0.2">
      <c r="A278">
        <v>35</v>
      </c>
      <c r="B278" t="s">
        <v>42</v>
      </c>
      <c r="C278" t="s">
        <v>35</v>
      </c>
      <c r="D278" t="s">
        <v>44</v>
      </c>
      <c r="E278">
        <v>22</v>
      </c>
      <c r="F278">
        <v>3</v>
      </c>
      <c r="G278" t="s">
        <v>37</v>
      </c>
      <c r="H278">
        <v>1</v>
      </c>
      <c r="I278">
        <v>381</v>
      </c>
      <c r="J278">
        <v>2</v>
      </c>
      <c r="K278" t="s">
        <v>38</v>
      </c>
      <c r="L278">
        <v>71</v>
      </c>
      <c r="M278">
        <v>4</v>
      </c>
      <c r="N278">
        <v>3</v>
      </c>
      <c r="O278" t="s">
        <v>55</v>
      </c>
      <c r="P278">
        <v>2</v>
      </c>
      <c r="Q278" t="s">
        <v>51</v>
      </c>
      <c r="R278">
        <v>11996</v>
      </c>
      <c r="S278">
        <v>19100</v>
      </c>
      <c r="T278">
        <v>7</v>
      </c>
      <c r="U278" t="s">
        <v>41</v>
      </c>
      <c r="V278" t="s">
        <v>42</v>
      </c>
      <c r="W278">
        <v>18</v>
      </c>
      <c r="X278">
        <v>3</v>
      </c>
      <c r="Y278">
        <v>2</v>
      </c>
      <c r="Z278">
        <v>80</v>
      </c>
      <c r="AA278">
        <v>1</v>
      </c>
      <c r="AB278">
        <v>10</v>
      </c>
      <c r="AC278">
        <v>6</v>
      </c>
      <c r="AD278">
        <v>2</v>
      </c>
      <c r="AE278">
        <v>7</v>
      </c>
      <c r="AF278">
        <v>7</v>
      </c>
      <c r="AG278">
        <v>6</v>
      </c>
      <c r="AH278">
        <v>2</v>
      </c>
    </row>
    <row r="279" spans="1:34" x14ac:dyDescent="0.2">
      <c r="A279">
        <v>38</v>
      </c>
      <c r="B279" t="s">
        <v>42</v>
      </c>
      <c r="C279" t="s">
        <v>35</v>
      </c>
      <c r="D279" t="s">
        <v>36</v>
      </c>
      <c r="E279">
        <v>7</v>
      </c>
      <c r="F279">
        <v>2</v>
      </c>
      <c r="G279" t="s">
        <v>50</v>
      </c>
      <c r="H279">
        <v>1</v>
      </c>
      <c r="I279">
        <v>382</v>
      </c>
      <c r="J279">
        <v>1</v>
      </c>
      <c r="K279" t="s">
        <v>38</v>
      </c>
      <c r="L279">
        <v>44</v>
      </c>
      <c r="M279">
        <v>4</v>
      </c>
      <c r="N279">
        <v>2</v>
      </c>
      <c r="O279" t="s">
        <v>39</v>
      </c>
      <c r="P279">
        <v>1</v>
      </c>
      <c r="Q279" t="s">
        <v>51</v>
      </c>
      <c r="R279">
        <v>5605</v>
      </c>
      <c r="S279">
        <v>19191</v>
      </c>
      <c r="T279">
        <v>1</v>
      </c>
      <c r="U279" t="s">
        <v>41</v>
      </c>
      <c r="V279" t="s">
        <v>34</v>
      </c>
      <c r="W279">
        <v>24</v>
      </c>
      <c r="X279">
        <v>4</v>
      </c>
      <c r="Y279">
        <v>3</v>
      </c>
      <c r="Z279">
        <v>80</v>
      </c>
      <c r="AA279">
        <v>1</v>
      </c>
      <c r="AB279">
        <v>8</v>
      </c>
      <c r="AC279">
        <v>3</v>
      </c>
      <c r="AD279">
        <v>3</v>
      </c>
      <c r="AE279">
        <v>8</v>
      </c>
      <c r="AF279">
        <v>0</v>
      </c>
      <c r="AG279">
        <v>7</v>
      </c>
      <c r="AH279">
        <v>7</v>
      </c>
    </row>
    <row r="280" spans="1:34" x14ac:dyDescent="0.2">
      <c r="A280">
        <v>26</v>
      </c>
      <c r="B280" t="s">
        <v>42</v>
      </c>
      <c r="C280" t="s">
        <v>43</v>
      </c>
      <c r="D280" t="s">
        <v>44</v>
      </c>
      <c r="E280">
        <v>1</v>
      </c>
      <c r="F280">
        <v>3</v>
      </c>
      <c r="G280" t="s">
        <v>37</v>
      </c>
      <c r="H280">
        <v>1</v>
      </c>
      <c r="I280">
        <v>384</v>
      </c>
      <c r="J280">
        <v>3</v>
      </c>
      <c r="K280" t="s">
        <v>38</v>
      </c>
      <c r="L280">
        <v>84</v>
      </c>
      <c r="M280">
        <v>3</v>
      </c>
      <c r="N280">
        <v>2</v>
      </c>
      <c r="O280" t="s">
        <v>52</v>
      </c>
      <c r="P280">
        <v>2</v>
      </c>
      <c r="Q280" t="s">
        <v>51</v>
      </c>
      <c r="R280">
        <v>6397</v>
      </c>
      <c r="S280">
        <v>26767</v>
      </c>
      <c r="T280">
        <v>1</v>
      </c>
      <c r="U280" t="s">
        <v>41</v>
      </c>
      <c r="V280" t="s">
        <v>42</v>
      </c>
      <c r="W280">
        <v>20</v>
      </c>
      <c r="X280">
        <v>4</v>
      </c>
      <c r="Y280">
        <v>1</v>
      </c>
      <c r="Z280">
        <v>80</v>
      </c>
      <c r="AA280">
        <v>1</v>
      </c>
      <c r="AB280">
        <v>6</v>
      </c>
      <c r="AC280">
        <v>6</v>
      </c>
      <c r="AD280">
        <v>1</v>
      </c>
      <c r="AE280">
        <v>6</v>
      </c>
      <c r="AF280">
        <v>5</v>
      </c>
      <c r="AG280">
        <v>1</v>
      </c>
      <c r="AH280">
        <v>4</v>
      </c>
    </row>
    <row r="281" spans="1:34" x14ac:dyDescent="0.2">
      <c r="A281">
        <v>50</v>
      </c>
      <c r="B281" t="s">
        <v>42</v>
      </c>
      <c r="C281" t="s">
        <v>35</v>
      </c>
      <c r="D281" t="s">
        <v>44</v>
      </c>
      <c r="E281">
        <v>4</v>
      </c>
      <c r="F281">
        <v>1</v>
      </c>
      <c r="G281" t="s">
        <v>37</v>
      </c>
      <c r="H281">
        <v>1</v>
      </c>
      <c r="I281">
        <v>385</v>
      </c>
      <c r="J281">
        <v>1</v>
      </c>
      <c r="K281" t="s">
        <v>45</v>
      </c>
      <c r="L281">
        <v>96</v>
      </c>
      <c r="M281">
        <v>3</v>
      </c>
      <c r="N281">
        <v>5</v>
      </c>
      <c r="O281" t="s">
        <v>57</v>
      </c>
      <c r="P281">
        <v>2</v>
      </c>
      <c r="Q281" t="s">
        <v>51</v>
      </c>
      <c r="R281">
        <v>19144</v>
      </c>
      <c r="S281">
        <v>15815</v>
      </c>
      <c r="T281">
        <v>3</v>
      </c>
      <c r="U281" t="s">
        <v>41</v>
      </c>
      <c r="V281" t="s">
        <v>42</v>
      </c>
      <c r="W281">
        <v>14</v>
      </c>
      <c r="X281">
        <v>3</v>
      </c>
      <c r="Y281">
        <v>1</v>
      </c>
      <c r="Z281">
        <v>80</v>
      </c>
      <c r="AA281">
        <v>2</v>
      </c>
      <c r="AB281">
        <v>28</v>
      </c>
      <c r="AC281">
        <v>4</v>
      </c>
      <c r="AD281">
        <v>2</v>
      </c>
      <c r="AE281">
        <v>10</v>
      </c>
      <c r="AF281">
        <v>4</v>
      </c>
      <c r="AG281">
        <v>1</v>
      </c>
      <c r="AH281">
        <v>6</v>
      </c>
    </row>
    <row r="282" spans="1:34" x14ac:dyDescent="0.2">
      <c r="A282">
        <v>53</v>
      </c>
      <c r="B282" t="s">
        <v>42</v>
      </c>
      <c r="C282" t="s">
        <v>35</v>
      </c>
      <c r="D282" t="s">
        <v>44</v>
      </c>
      <c r="E282">
        <v>3</v>
      </c>
      <c r="F282">
        <v>4</v>
      </c>
      <c r="G282" t="s">
        <v>50</v>
      </c>
      <c r="H282">
        <v>1</v>
      </c>
      <c r="I282">
        <v>386</v>
      </c>
      <c r="J282">
        <v>3</v>
      </c>
      <c r="K282" t="s">
        <v>45</v>
      </c>
      <c r="L282">
        <v>45</v>
      </c>
      <c r="M282">
        <v>3</v>
      </c>
      <c r="N282">
        <v>4</v>
      </c>
      <c r="O282" t="s">
        <v>57</v>
      </c>
      <c r="P282">
        <v>3</v>
      </c>
      <c r="Q282" t="s">
        <v>47</v>
      </c>
      <c r="R282">
        <v>17584</v>
      </c>
      <c r="S282">
        <v>21016</v>
      </c>
      <c r="T282">
        <v>3</v>
      </c>
      <c r="U282" t="s">
        <v>41</v>
      </c>
      <c r="V282" t="s">
        <v>34</v>
      </c>
      <c r="W282">
        <v>16</v>
      </c>
      <c r="X282">
        <v>3</v>
      </c>
      <c r="Y282">
        <v>4</v>
      </c>
      <c r="Z282">
        <v>80</v>
      </c>
      <c r="AA282">
        <v>3</v>
      </c>
      <c r="AB282">
        <v>21</v>
      </c>
      <c r="AC282">
        <v>5</v>
      </c>
      <c r="AD282">
        <v>2</v>
      </c>
      <c r="AE282">
        <v>5</v>
      </c>
      <c r="AF282">
        <v>3</v>
      </c>
      <c r="AG282">
        <v>1</v>
      </c>
      <c r="AH282">
        <v>3</v>
      </c>
    </row>
    <row r="283" spans="1:34" x14ac:dyDescent="0.2">
      <c r="A283">
        <v>42</v>
      </c>
      <c r="B283" t="s">
        <v>42</v>
      </c>
      <c r="C283" t="s">
        <v>35</v>
      </c>
      <c r="D283" t="s">
        <v>36</v>
      </c>
      <c r="E283">
        <v>1</v>
      </c>
      <c r="F283">
        <v>1</v>
      </c>
      <c r="G283" t="s">
        <v>37</v>
      </c>
      <c r="H283">
        <v>1</v>
      </c>
      <c r="I283">
        <v>387</v>
      </c>
      <c r="J283">
        <v>2</v>
      </c>
      <c r="K283" t="s">
        <v>45</v>
      </c>
      <c r="L283">
        <v>99</v>
      </c>
      <c r="M283">
        <v>3</v>
      </c>
      <c r="N283">
        <v>2</v>
      </c>
      <c r="O283" t="s">
        <v>39</v>
      </c>
      <c r="P283">
        <v>3</v>
      </c>
      <c r="Q283" t="s">
        <v>47</v>
      </c>
      <c r="R283">
        <v>4907</v>
      </c>
      <c r="S283">
        <v>24532</v>
      </c>
      <c r="T283">
        <v>1</v>
      </c>
      <c r="U283" t="s">
        <v>41</v>
      </c>
      <c r="V283" t="s">
        <v>42</v>
      </c>
      <c r="W283">
        <v>25</v>
      </c>
      <c r="X283">
        <v>4</v>
      </c>
      <c r="Y283">
        <v>3</v>
      </c>
      <c r="Z283">
        <v>80</v>
      </c>
      <c r="AA283">
        <v>0</v>
      </c>
      <c r="AB283">
        <v>20</v>
      </c>
      <c r="AC283">
        <v>3</v>
      </c>
      <c r="AD283">
        <v>3</v>
      </c>
      <c r="AE283">
        <v>20</v>
      </c>
      <c r="AF283">
        <v>16</v>
      </c>
      <c r="AG283">
        <v>11</v>
      </c>
      <c r="AH283">
        <v>6</v>
      </c>
    </row>
    <row r="284" spans="1:34" x14ac:dyDescent="0.2">
      <c r="A284">
        <v>29</v>
      </c>
      <c r="B284" t="s">
        <v>42</v>
      </c>
      <c r="C284" t="s">
        <v>43</v>
      </c>
      <c r="D284" t="s">
        <v>36</v>
      </c>
      <c r="E284">
        <v>2</v>
      </c>
      <c r="F284">
        <v>2</v>
      </c>
      <c r="G284" t="s">
        <v>37</v>
      </c>
      <c r="H284">
        <v>1</v>
      </c>
      <c r="I284">
        <v>388</v>
      </c>
      <c r="J284">
        <v>2</v>
      </c>
      <c r="K284" t="s">
        <v>45</v>
      </c>
      <c r="L284">
        <v>44</v>
      </c>
      <c r="M284">
        <v>3</v>
      </c>
      <c r="N284">
        <v>2</v>
      </c>
      <c r="O284" t="s">
        <v>39</v>
      </c>
      <c r="P284">
        <v>4</v>
      </c>
      <c r="Q284" t="s">
        <v>40</v>
      </c>
      <c r="R284">
        <v>4554</v>
      </c>
      <c r="S284">
        <v>20260</v>
      </c>
      <c r="T284">
        <v>1</v>
      </c>
      <c r="U284" t="s">
        <v>41</v>
      </c>
      <c r="V284" t="s">
        <v>42</v>
      </c>
      <c r="W284">
        <v>18</v>
      </c>
      <c r="X284">
        <v>3</v>
      </c>
      <c r="Y284">
        <v>1</v>
      </c>
      <c r="Z284">
        <v>80</v>
      </c>
      <c r="AA284">
        <v>0</v>
      </c>
      <c r="AB284">
        <v>10</v>
      </c>
      <c r="AC284">
        <v>3</v>
      </c>
      <c r="AD284">
        <v>2</v>
      </c>
      <c r="AE284">
        <v>10</v>
      </c>
      <c r="AF284">
        <v>7</v>
      </c>
      <c r="AG284">
        <v>0</v>
      </c>
      <c r="AH284">
        <v>9</v>
      </c>
    </row>
    <row r="285" spans="1:34" x14ac:dyDescent="0.2">
      <c r="A285">
        <v>55</v>
      </c>
      <c r="B285" t="s">
        <v>42</v>
      </c>
      <c r="C285" t="s">
        <v>35</v>
      </c>
      <c r="D285" t="s">
        <v>44</v>
      </c>
      <c r="E285">
        <v>20</v>
      </c>
      <c r="F285">
        <v>2</v>
      </c>
      <c r="G285" t="s">
        <v>59</v>
      </c>
      <c r="H285">
        <v>1</v>
      </c>
      <c r="I285">
        <v>389</v>
      </c>
      <c r="J285">
        <v>2</v>
      </c>
      <c r="K285" t="s">
        <v>45</v>
      </c>
      <c r="L285">
        <v>37</v>
      </c>
      <c r="M285">
        <v>3</v>
      </c>
      <c r="N285">
        <v>2</v>
      </c>
      <c r="O285" t="s">
        <v>49</v>
      </c>
      <c r="P285">
        <v>4</v>
      </c>
      <c r="Q285" t="s">
        <v>47</v>
      </c>
      <c r="R285">
        <v>5415</v>
      </c>
      <c r="S285">
        <v>15972</v>
      </c>
      <c r="T285">
        <v>3</v>
      </c>
      <c r="U285" t="s">
        <v>41</v>
      </c>
      <c r="V285" t="s">
        <v>34</v>
      </c>
      <c r="W285">
        <v>19</v>
      </c>
      <c r="X285">
        <v>3</v>
      </c>
      <c r="Y285">
        <v>4</v>
      </c>
      <c r="Z285">
        <v>80</v>
      </c>
      <c r="AA285">
        <v>1</v>
      </c>
      <c r="AB285">
        <v>12</v>
      </c>
      <c r="AC285">
        <v>4</v>
      </c>
      <c r="AD285">
        <v>3</v>
      </c>
      <c r="AE285">
        <v>10</v>
      </c>
      <c r="AF285">
        <v>7</v>
      </c>
      <c r="AG285">
        <v>0</v>
      </c>
      <c r="AH285">
        <v>8</v>
      </c>
    </row>
    <row r="286" spans="1:34" x14ac:dyDescent="0.2">
      <c r="A286">
        <v>26</v>
      </c>
      <c r="B286" t="s">
        <v>42</v>
      </c>
      <c r="C286" t="s">
        <v>43</v>
      </c>
      <c r="D286" t="s">
        <v>44</v>
      </c>
      <c r="E286">
        <v>11</v>
      </c>
      <c r="F286">
        <v>2</v>
      </c>
      <c r="G286" t="s">
        <v>50</v>
      </c>
      <c r="H286">
        <v>1</v>
      </c>
      <c r="I286">
        <v>390</v>
      </c>
      <c r="J286">
        <v>1</v>
      </c>
      <c r="K286" t="s">
        <v>45</v>
      </c>
      <c r="L286">
        <v>60</v>
      </c>
      <c r="M286">
        <v>3</v>
      </c>
      <c r="N286">
        <v>2</v>
      </c>
      <c r="O286" t="s">
        <v>53</v>
      </c>
      <c r="P286">
        <v>1</v>
      </c>
      <c r="Q286" t="s">
        <v>47</v>
      </c>
      <c r="R286">
        <v>4741</v>
      </c>
      <c r="S286">
        <v>22722</v>
      </c>
      <c r="T286">
        <v>1</v>
      </c>
      <c r="U286" t="s">
        <v>41</v>
      </c>
      <c r="V286" t="s">
        <v>34</v>
      </c>
      <c r="W286">
        <v>13</v>
      </c>
      <c r="X286">
        <v>3</v>
      </c>
      <c r="Y286">
        <v>3</v>
      </c>
      <c r="Z286">
        <v>80</v>
      </c>
      <c r="AA286">
        <v>1</v>
      </c>
      <c r="AB286">
        <v>5</v>
      </c>
      <c r="AC286">
        <v>3</v>
      </c>
      <c r="AD286">
        <v>3</v>
      </c>
      <c r="AE286">
        <v>5</v>
      </c>
      <c r="AF286">
        <v>3</v>
      </c>
      <c r="AG286">
        <v>3</v>
      </c>
      <c r="AH286">
        <v>3</v>
      </c>
    </row>
    <row r="287" spans="1:34" x14ac:dyDescent="0.2">
      <c r="A287">
        <v>37</v>
      </c>
      <c r="B287" t="s">
        <v>42</v>
      </c>
      <c r="C287" t="s">
        <v>35</v>
      </c>
      <c r="D287" t="s">
        <v>44</v>
      </c>
      <c r="E287">
        <v>1</v>
      </c>
      <c r="F287">
        <v>3</v>
      </c>
      <c r="G287" t="s">
        <v>37</v>
      </c>
      <c r="H287">
        <v>1</v>
      </c>
      <c r="I287">
        <v>391</v>
      </c>
      <c r="J287">
        <v>4</v>
      </c>
      <c r="K287" t="s">
        <v>38</v>
      </c>
      <c r="L287">
        <v>42</v>
      </c>
      <c r="M287">
        <v>3</v>
      </c>
      <c r="N287">
        <v>1</v>
      </c>
      <c r="O287" t="s">
        <v>46</v>
      </c>
      <c r="P287">
        <v>4</v>
      </c>
      <c r="Q287" t="s">
        <v>40</v>
      </c>
      <c r="R287">
        <v>2115</v>
      </c>
      <c r="S287">
        <v>15881</v>
      </c>
      <c r="T287">
        <v>1</v>
      </c>
      <c r="U287" t="s">
        <v>41</v>
      </c>
      <c r="V287" t="s">
        <v>42</v>
      </c>
      <c r="W287">
        <v>12</v>
      </c>
      <c r="X287">
        <v>3</v>
      </c>
      <c r="Y287">
        <v>2</v>
      </c>
      <c r="Z287">
        <v>80</v>
      </c>
      <c r="AA287">
        <v>0</v>
      </c>
      <c r="AB287">
        <v>17</v>
      </c>
      <c r="AC287">
        <v>3</v>
      </c>
      <c r="AD287">
        <v>3</v>
      </c>
      <c r="AE287">
        <v>17</v>
      </c>
      <c r="AF287">
        <v>12</v>
      </c>
      <c r="AG287">
        <v>5</v>
      </c>
      <c r="AH287">
        <v>7</v>
      </c>
    </row>
    <row r="288" spans="1:34" x14ac:dyDescent="0.2">
      <c r="A288">
        <v>44</v>
      </c>
      <c r="B288" t="s">
        <v>34</v>
      </c>
      <c r="C288" t="s">
        <v>43</v>
      </c>
      <c r="D288" t="s">
        <v>44</v>
      </c>
      <c r="E288">
        <v>24</v>
      </c>
      <c r="F288">
        <v>3</v>
      </c>
      <c r="G288" t="s">
        <v>37</v>
      </c>
      <c r="H288">
        <v>1</v>
      </c>
      <c r="I288">
        <v>392</v>
      </c>
      <c r="J288">
        <v>4</v>
      </c>
      <c r="K288" t="s">
        <v>45</v>
      </c>
      <c r="L288">
        <v>43</v>
      </c>
      <c r="M288">
        <v>3</v>
      </c>
      <c r="N288">
        <v>1</v>
      </c>
      <c r="O288" t="s">
        <v>49</v>
      </c>
      <c r="P288">
        <v>3</v>
      </c>
      <c r="Q288" t="s">
        <v>51</v>
      </c>
      <c r="R288">
        <v>3161</v>
      </c>
      <c r="S288">
        <v>19920</v>
      </c>
      <c r="T288">
        <v>3</v>
      </c>
      <c r="U288" t="s">
        <v>41</v>
      </c>
      <c r="V288" t="s">
        <v>34</v>
      </c>
      <c r="W288">
        <v>22</v>
      </c>
      <c r="X288">
        <v>4</v>
      </c>
      <c r="Y288">
        <v>4</v>
      </c>
      <c r="Z288">
        <v>80</v>
      </c>
      <c r="AA288">
        <v>1</v>
      </c>
      <c r="AB288">
        <v>19</v>
      </c>
      <c r="AC288">
        <v>0</v>
      </c>
      <c r="AD288">
        <v>1</v>
      </c>
      <c r="AE288">
        <v>1</v>
      </c>
      <c r="AF288">
        <v>0</v>
      </c>
      <c r="AG288">
        <v>0</v>
      </c>
      <c r="AH288">
        <v>0</v>
      </c>
    </row>
    <row r="289" spans="1:34" x14ac:dyDescent="0.2">
      <c r="A289">
        <v>38</v>
      </c>
      <c r="B289" t="s">
        <v>42</v>
      </c>
      <c r="C289" t="s">
        <v>35</v>
      </c>
      <c r="D289" t="s">
        <v>44</v>
      </c>
      <c r="E289">
        <v>23</v>
      </c>
      <c r="F289">
        <v>4</v>
      </c>
      <c r="G289" t="s">
        <v>37</v>
      </c>
      <c r="H289">
        <v>1</v>
      </c>
      <c r="I289">
        <v>393</v>
      </c>
      <c r="J289">
        <v>4</v>
      </c>
      <c r="K289" t="s">
        <v>45</v>
      </c>
      <c r="L289">
        <v>82</v>
      </c>
      <c r="M289">
        <v>3</v>
      </c>
      <c r="N289">
        <v>2</v>
      </c>
      <c r="O289" t="s">
        <v>53</v>
      </c>
      <c r="P289">
        <v>4</v>
      </c>
      <c r="Q289" t="s">
        <v>51</v>
      </c>
      <c r="R289">
        <v>5745</v>
      </c>
      <c r="S289">
        <v>18899</v>
      </c>
      <c r="T289">
        <v>9</v>
      </c>
      <c r="U289" t="s">
        <v>41</v>
      </c>
      <c r="V289" t="s">
        <v>42</v>
      </c>
      <c r="W289">
        <v>14</v>
      </c>
      <c r="X289">
        <v>3</v>
      </c>
      <c r="Y289">
        <v>2</v>
      </c>
      <c r="Z289">
        <v>80</v>
      </c>
      <c r="AA289">
        <v>1</v>
      </c>
      <c r="AB289">
        <v>10</v>
      </c>
      <c r="AC289">
        <v>2</v>
      </c>
      <c r="AD289">
        <v>3</v>
      </c>
      <c r="AE289">
        <v>2</v>
      </c>
      <c r="AF289">
        <v>2</v>
      </c>
      <c r="AG289">
        <v>1</v>
      </c>
      <c r="AH289">
        <v>2</v>
      </c>
    </row>
    <row r="290" spans="1:34" x14ac:dyDescent="0.2">
      <c r="A290">
        <v>26</v>
      </c>
      <c r="B290" t="s">
        <v>34</v>
      </c>
      <c r="C290" t="s">
        <v>35</v>
      </c>
      <c r="D290" t="s">
        <v>44</v>
      </c>
      <c r="E290">
        <v>16</v>
      </c>
      <c r="F290">
        <v>4</v>
      </c>
      <c r="G290" t="s">
        <v>50</v>
      </c>
      <c r="H290">
        <v>1</v>
      </c>
      <c r="I290">
        <v>394</v>
      </c>
      <c r="J290">
        <v>1</v>
      </c>
      <c r="K290" t="s">
        <v>45</v>
      </c>
      <c r="L290">
        <v>45</v>
      </c>
      <c r="M290">
        <v>3</v>
      </c>
      <c r="N290">
        <v>1</v>
      </c>
      <c r="O290" t="s">
        <v>49</v>
      </c>
      <c r="P290">
        <v>2</v>
      </c>
      <c r="Q290" t="s">
        <v>51</v>
      </c>
      <c r="R290">
        <v>2373</v>
      </c>
      <c r="S290">
        <v>14180</v>
      </c>
      <c r="T290">
        <v>2</v>
      </c>
      <c r="U290" t="s">
        <v>41</v>
      </c>
      <c r="V290" t="s">
        <v>34</v>
      </c>
      <c r="W290">
        <v>13</v>
      </c>
      <c r="X290">
        <v>3</v>
      </c>
      <c r="Y290">
        <v>4</v>
      </c>
      <c r="Z290">
        <v>80</v>
      </c>
      <c r="AA290">
        <v>1</v>
      </c>
      <c r="AB290">
        <v>5</v>
      </c>
      <c r="AC290">
        <v>2</v>
      </c>
      <c r="AD290">
        <v>3</v>
      </c>
      <c r="AE290">
        <v>3</v>
      </c>
      <c r="AF290">
        <v>2</v>
      </c>
      <c r="AG290">
        <v>0</v>
      </c>
      <c r="AH290">
        <v>2</v>
      </c>
    </row>
    <row r="291" spans="1:34" x14ac:dyDescent="0.2">
      <c r="A291">
        <v>28</v>
      </c>
      <c r="B291" t="s">
        <v>42</v>
      </c>
      <c r="C291" t="s">
        <v>35</v>
      </c>
      <c r="D291" t="s">
        <v>44</v>
      </c>
      <c r="E291">
        <v>8</v>
      </c>
      <c r="F291">
        <v>2</v>
      </c>
      <c r="G291" t="s">
        <v>37</v>
      </c>
      <c r="H291">
        <v>1</v>
      </c>
      <c r="I291">
        <v>395</v>
      </c>
      <c r="J291">
        <v>4</v>
      </c>
      <c r="K291" t="s">
        <v>38</v>
      </c>
      <c r="L291">
        <v>66</v>
      </c>
      <c r="M291">
        <v>3</v>
      </c>
      <c r="N291">
        <v>1</v>
      </c>
      <c r="O291" t="s">
        <v>46</v>
      </c>
      <c r="P291">
        <v>4</v>
      </c>
      <c r="Q291" t="s">
        <v>40</v>
      </c>
      <c r="R291">
        <v>3310</v>
      </c>
      <c r="S291">
        <v>4488</v>
      </c>
      <c r="T291">
        <v>1</v>
      </c>
      <c r="U291" t="s">
        <v>41</v>
      </c>
      <c r="V291" t="s">
        <v>42</v>
      </c>
      <c r="W291">
        <v>21</v>
      </c>
      <c r="X291">
        <v>4</v>
      </c>
      <c r="Y291">
        <v>4</v>
      </c>
      <c r="Z291">
        <v>80</v>
      </c>
      <c r="AA291">
        <v>0</v>
      </c>
      <c r="AB291">
        <v>5</v>
      </c>
      <c r="AC291">
        <v>3</v>
      </c>
      <c r="AD291">
        <v>3</v>
      </c>
      <c r="AE291">
        <v>5</v>
      </c>
      <c r="AF291">
        <v>3</v>
      </c>
      <c r="AG291">
        <v>0</v>
      </c>
      <c r="AH291">
        <v>2</v>
      </c>
    </row>
    <row r="292" spans="1:34" x14ac:dyDescent="0.2">
      <c r="A292">
        <v>49</v>
      </c>
      <c r="B292" t="s">
        <v>42</v>
      </c>
      <c r="C292" t="s">
        <v>43</v>
      </c>
      <c r="D292" t="s">
        <v>44</v>
      </c>
      <c r="E292">
        <v>10</v>
      </c>
      <c r="F292">
        <v>4</v>
      </c>
      <c r="G292" t="s">
        <v>37</v>
      </c>
      <c r="H292">
        <v>1</v>
      </c>
      <c r="I292">
        <v>396</v>
      </c>
      <c r="J292">
        <v>3</v>
      </c>
      <c r="K292" t="s">
        <v>38</v>
      </c>
      <c r="L292">
        <v>35</v>
      </c>
      <c r="M292">
        <v>3</v>
      </c>
      <c r="N292">
        <v>5</v>
      </c>
      <c r="O292" t="s">
        <v>57</v>
      </c>
      <c r="P292">
        <v>1</v>
      </c>
      <c r="Q292" t="s">
        <v>40</v>
      </c>
      <c r="R292">
        <v>18665</v>
      </c>
      <c r="S292">
        <v>25594</v>
      </c>
      <c r="T292">
        <v>9</v>
      </c>
      <c r="U292" t="s">
        <v>41</v>
      </c>
      <c r="V292" t="s">
        <v>34</v>
      </c>
      <c r="W292">
        <v>11</v>
      </c>
      <c r="X292">
        <v>3</v>
      </c>
      <c r="Y292">
        <v>4</v>
      </c>
      <c r="Z292">
        <v>80</v>
      </c>
      <c r="AA292">
        <v>0</v>
      </c>
      <c r="AB292">
        <v>22</v>
      </c>
      <c r="AC292">
        <v>4</v>
      </c>
      <c r="AD292">
        <v>3</v>
      </c>
      <c r="AE292">
        <v>3</v>
      </c>
      <c r="AF292">
        <v>2</v>
      </c>
      <c r="AG292">
        <v>1</v>
      </c>
      <c r="AH292">
        <v>2</v>
      </c>
    </row>
    <row r="293" spans="1:34" x14ac:dyDescent="0.2">
      <c r="A293">
        <v>36</v>
      </c>
      <c r="B293" t="s">
        <v>42</v>
      </c>
      <c r="C293" t="s">
        <v>35</v>
      </c>
      <c r="D293" t="s">
        <v>44</v>
      </c>
      <c r="E293">
        <v>3</v>
      </c>
      <c r="F293">
        <v>3</v>
      </c>
      <c r="G293" t="s">
        <v>59</v>
      </c>
      <c r="H293">
        <v>1</v>
      </c>
      <c r="I293">
        <v>397</v>
      </c>
      <c r="J293">
        <v>3</v>
      </c>
      <c r="K293" t="s">
        <v>45</v>
      </c>
      <c r="L293">
        <v>30</v>
      </c>
      <c r="M293">
        <v>3</v>
      </c>
      <c r="N293">
        <v>2</v>
      </c>
      <c r="O293" t="s">
        <v>46</v>
      </c>
      <c r="P293">
        <v>2</v>
      </c>
      <c r="Q293" t="s">
        <v>40</v>
      </c>
      <c r="R293">
        <v>4485</v>
      </c>
      <c r="S293">
        <v>26285</v>
      </c>
      <c r="T293">
        <v>4</v>
      </c>
      <c r="U293" t="s">
        <v>41</v>
      </c>
      <c r="V293" t="s">
        <v>42</v>
      </c>
      <c r="W293">
        <v>12</v>
      </c>
      <c r="X293">
        <v>3</v>
      </c>
      <c r="Y293">
        <v>4</v>
      </c>
      <c r="Z293">
        <v>80</v>
      </c>
      <c r="AA293">
        <v>0</v>
      </c>
      <c r="AB293">
        <v>10</v>
      </c>
      <c r="AC293">
        <v>2</v>
      </c>
      <c r="AD293">
        <v>3</v>
      </c>
      <c r="AE293">
        <v>8</v>
      </c>
      <c r="AF293">
        <v>0</v>
      </c>
      <c r="AG293">
        <v>7</v>
      </c>
      <c r="AH293">
        <v>7</v>
      </c>
    </row>
    <row r="294" spans="1:34" x14ac:dyDescent="0.2">
      <c r="A294">
        <v>31</v>
      </c>
      <c r="B294" t="s">
        <v>42</v>
      </c>
      <c r="C294" t="s">
        <v>43</v>
      </c>
      <c r="D294" t="s">
        <v>36</v>
      </c>
      <c r="E294">
        <v>5</v>
      </c>
      <c r="F294">
        <v>3</v>
      </c>
      <c r="G294" t="s">
        <v>58</v>
      </c>
      <c r="H294">
        <v>1</v>
      </c>
      <c r="I294">
        <v>399</v>
      </c>
      <c r="J294">
        <v>4</v>
      </c>
      <c r="K294" t="s">
        <v>38</v>
      </c>
      <c r="L294">
        <v>84</v>
      </c>
      <c r="M294">
        <v>3</v>
      </c>
      <c r="N294">
        <v>1</v>
      </c>
      <c r="O294" t="s">
        <v>56</v>
      </c>
      <c r="P294">
        <v>2</v>
      </c>
      <c r="Q294" t="s">
        <v>51</v>
      </c>
      <c r="R294">
        <v>2789</v>
      </c>
      <c r="S294">
        <v>3909</v>
      </c>
      <c r="T294">
        <v>1</v>
      </c>
      <c r="U294" t="s">
        <v>41</v>
      </c>
      <c r="V294" t="s">
        <v>42</v>
      </c>
      <c r="W294">
        <v>11</v>
      </c>
      <c r="X294">
        <v>3</v>
      </c>
      <c r="Y294">
        <v>3</v>
      </c>
      <c r="Z294">
        <v>80</v>
      </c>
      <c r="AA294">
        <v>1</v>
      </c>
      <c r="AB294">
        <v>2</v>
      </c>
      <c r="AC294">
        <v>5</v>
      </c>
      <c r="AD294">
        <v>2</v>
      </c>
      <c r="AE294">
        <v>2</v>
      </c>
      <c r="AF294">
        <v>2</v>
      </c>
      <c r="AG294">
        <v>2</v>
      </c>
      <c r="AH294">
        <v>2</v>
      </c>
    </row>
    <row r="295" spans="1:34" x14ac:dyDescent="0.2">
      <c r="A295">
        <v>26</v>
      </c>
      <c r="B295" t="s">
        <v>34</v>
      </c>
      <c r="C295" t="s">
        <v>35</v>
      </c>
      <c r="D295" t="s">
        <v>36</v>
      </c>
      <c r="E295">
        <v>4</v>
      </c>
      <c r="F295">
        <v>4</v>
      </c>
      <c r="G295" t="s">
        <v>58</v>
      </c>
      <c r="H295">
        <v>1</v>
      </c>
      <c r="I295">
        <v>401</v>
      </c>
      <c r="J295">
        <v>4</v>
      </c>
      <c r="K295" t="s">
        <v>45</v>
      </c>
      <c r="L295">
        <v>48</v>
      </c>
      <c r="M295">
        <v>2</v>
      </c>
      <c r="N295">
        <v>2</v>
      </c>
      <c r="O295" t="s">
        <v>39</v>
      </c>
      <c r="P295">
        <v>4</v>
      </c>
      <c r="Q295" t="s">
        <v>40</v>
      </c>
      <c r="R295">
        <v>5828</v>
      </c>
      <c r="S295">
        <v>8450</v>
      </c>
      <c r="T295">
        <v>1</v>
      </c>
      <c r="U295" t="s">
        <v>41</v>
      </c>
      <c r="V295" t="s">
        <v>34</v>
      </c>
      <c r="W295">
        <v>12</v>
      </c>
      <c r="X295">
        <v>3</v>
      </c>
      <c r="Y295">
        <v>2</v>
      </c>
      <c r="Z295">
        <v>80</v>
      </c>
      <c r="AA295">
        <v>0</v>
      </c>
      <c r="AB295">
        <v>8</v>
      </c>
      <c r="AC295">
        <v>0</v>
      </c>
      <c r="AD295">
        <v>3</v>
      </c>
      <c r="AE295">
        <v>8</v>
      </c>
      <c r="AF295">
        <v>7</v>
      </c>
      <c r="AG295">
        <v>7</v>
      </c>
      <c r="AH295">
        <v>4</v>
      </c>
    </row>
    <row r="296" spans="1:34" x14ac:dyDescent="0.2">
      <c r="A296">
        <v>37</v>
      </c>
      <c r="B296" t="s">
        <v>42</v>
      </c>
      <c r="C296" t="s">
        <v>43</v>
      </c>
      <c r="D296" t="s">
        <v>44</v>
      </c>
      <c r="E296">
        <v>9</v>
      </c>
      <c r="F296">
        <v>3</v>
      </c>
      <c r="G296" t="s">
        <v>50</v>
      </c>
      <c r="H296">
        <v>1</v>
      </c>
      <c r="I296">
        <v>403</v>
      </c>
      <c r="J296">
        <v>2</v>
      </c>
      <c r="K296" t="s">
        <v>45</v>
      </c>
      <c r="L296">
        <v>53</v>
      </c>
      <c r="M296">
        <v>3</v>
      </c>
      <c r="N296">
        <v>1</v>
      </c>
      <c r="O296" t="s">
        <v>46</v>
      </c>
      <c r="P296">
        <v>4</v>
      </c>
      <c r="Q296" t="s">
        <v>47</v>
      </c>
      <c r="R296">
        <v>2326</v>
      </c>
      <c r="S296">
        <v>11411</v>
      </c>
      <c r="T296">
        <v>1</v>
      </c>
      <c r="U296" t="s">
        <v>41</v>
      </c>
      <c r="V296" t="s">
        <v>34</v>
      </c>
      <c r="W296">
        <v>12</v>
      </c>
      <c r="X296">
        <v>3</v>
      </c>
      <c r="Y296">
        <v>3</v>
      </c>
      <c r="Z296">
        <v>80</v>
      </c>
      <c r="AA296">
        <v>3</v>
      </c>
      <c r="AB296">
        <v>4</v>
      </c>
      <c r="AC296">
        <v>3</v>
      </c>
      <c r="AD296">
        <v>2</v>
      </c>
      <c r="AE296">
        <v>4</v>
      </c>
      <c r="AF296">
        <v>2</v>
      </c>
      <c r="AG296">
        <v>1</v>
      </c>
      <c r="AH296">
        <v>2</v>
      </c>
    </row>
    <row r="297" spans="1:34" x14ac:dyDescent="0.2">
      <c r="A297">
        <v>42</v>
      </c>
      <c r="B297" t="s">
        <v>42</v>
      </c>
      <c r="C297" t="s">
        <v>43</v>
      </c>
      <c r="D297" t="s">
        <v>36</v>
      </c>
      <c r="E297">
        <v>26</v>
      </c>
      <c r="F297">
        <v>3</v>
      </c>
      <c r="G297" t="s">
        <v>58</v>
      </c>
      <c r="H297">
        <v>1</v>
      </c>
      <c r="I297">
        <v>404</v>
      </c>
      <c r="J297">
        <v>3</v>
      </c>
      <c r="K297" t="s">
        <v>38</v>
      </c>
      <c r="L297">
        <v>77</v>
      </c>
      <c r="M297">
        <v>3</v>
      </c>
      <c r="N297">
        <v>4</v>
      </c>
      <c r="O297" t="s">
        <v>39</v>
      </c>
      <c r="P297">
        <v>2</v>
      </c>
      <c r="Q297" t="s">
        <v>47</v>
      </c>
      <c r="R297">
        <v>13525</v>
      </c>
      <c r="S297">
        <v>14864</v>
      </c>
      <c r="T297">
        <v>5</v>
      </c>
      <c r="U297" t="s">
        <v>41</v>
      </c>
      <c r="V297" t="s">
        <v>42</v>
      </c>
      <c r="W297">
        <v>14</v>
      </c>
      <c r="X297">
        <v>3</v>
      </c>
      <c r="Y297">
        <v>4</v>
      </c>
      <c r="Z297">
        <v>80</v>
      </c>
      <c r="AA297">
        <v>1</v>
      </c>
      <c r="AB297">
        <v>23</v>
      </c>
      <c r="AC297">
        <v>2</v>
      </c>
      <c r="AD297">
        <v>4</v>
      </c>
      <c r="AE297">
        <v>20</v>
      </c>
      <c r="AF297">
        <v>4</v>
      </c>
      <c r="AG297">
        <v>4</v>
      </c>
      <c r="AH297">
        <v>8</v>
      </c>
    </row>
    <row r="298" spans="1:34" x14ac:dyDescent="0.2">
      <c r="A298">
        <v>18</v>
      </c>
      <c r="B298" t="s">
        <v>34</v>
      </c>
      <c r="C298" t="s">
        <v>35</v>
      </c>
      <c r="D298" t="s">
        <v>44</v>
      </c>
      <c r="E298">
        <v>3</v>
      </c>
      <c r="F298">
        <v>3</v>
      </c>
      <c r="G298" t="s">
        <v>37</v>
      </c>
      <c r="H298">
        <v>1</v>
      </c>
      <c r="I298">
        <v>405</v>
      </c>
      <c r="J298">
        <v>3</v>
      </c>
      <c r="K298" t="s">
        <v>45</v>
      </c>
      <c r="L298">
        <v>54</v>
      </c>
      <c r="M298">
        <v>3</v>
      </c>
      <c r="N298">
        <v>1</v>
      </c>
      <c r="O298" t="s">
        <v>49</v>
      </c>
      <c r="P298">
        <v>3</v>
      </c>
      <c r="Q298" t="s">
        <v>40</v>
      </c>
      <c r="R298">
        <v>1420</v>
      </c>
      <c r="S298">
        <v>25233</v>
      </c>
      <c r="T298">
        <v>1</v>
      </c>
      <c r="U298" t="s">
        <v>41</v>
      </c>
      <c r="V298" t="s">
        <v>42</v>
      </c>
      <c r="W298">
        <v>13</v>
      </c>
      <c r="X298">
        <v>3</v>
      </c>
      <c r="Y298">
        <v>3</v>
      </c>
      <c r="Z298">
        <v>80</v>
      </c>
      <c r="AA298">
        <v>0</v>
      </c>
      <c r="AB298">
        <v>0</v>
      </c>
      <c r="AC298">
        <v>2</v>
      </c>
      <c r="AD298">
        <v>3</v>
      </c>
      <c r="AE298">
        <v>0</v>
      </c>
      <c r="AF298">
        <v>0</v>
      </c>
      <c r="AG298">
        <v>0</v>
      </c>
      <c r="AH298">
        <v>0</v>
      </c>
    </row>
    <row r="299" spans="1:34" x14ac:dyDescent="0.2">
      <c r="A299">
        <v>35</v>
      </c>
      <c r="B299" t="s">
        <v>42</v>
      </c>
      <c r="C299" t="s">
        <v>35</v>
      </c>
      <c r="D299" t="s">
        <v>36</v>
      </c>
      <c r="E299">
        <v>16</v>
      </c>
      <c r="F299">
        <v>3</v>
      </c>
      <c r="G299" t="s">
        <v>58</v>
      </c>
      <c r="H299">
        <v>1</v>
      </c>
      <c r="I299">
        <v>406</v>
      </c>
      <c r="J299">
        <v>3</v>
      </c>
      <c r="K299" t="s">
        <v>45</v>
      </c>
      <c r="L299">
        <v>96</v>
      </c>
      <c r="M299">
        <v>3</v>
      </c>
      <c r="N299">
        <v>3</v>
      </c>
      <c r="O299" t="s">
        <v>39</v>
      </c>
      <c r="P299">
        <v>2</v>
      </c>
      <c r="Q299" t="s">
        <v>47</v>
      </c>
      <c r="R299">
        <v>8020</v>
      </c>
      <c r="S299">
        <v>5100</v>
      </c>
      <c r="T299">
        <v>0</v>
      </c>
      <c r="U299" t="s">
        <v>41</v>
      </c>
      <c r="V299" t="s">
        <v>42</v>
      </c>
      <c r="W299">
        <v>15</v>
      </c>
      <c r="X299">
        <v>3</v>
      </c>
      <c r="Y299">
        <v>3</v>
      </c>
      <c r="Z299">
        <v>80</v>
      </c>
      <c r="AA299">
        <v>2</v>
      </c>
      <c r="AB299">
        <v>12</v>
      </c>
      <c r="AC299">
        <v>3</v>
      </c>
      <c r="AD299">
        <v>2</v>
      </c>
      <c r="AE299">
        <v>11</v>
      </c>
      <c r="AF299">
        <v>9</v>
      </c>
      <c r="AG299">
        <v>6</v>
      </c>
      <c r="AH299">
        <v>9</v>
      </c>
    </row>
    <row r="300" spans="1:34" x14ac:dyDescent="0.2">
      <c r="A300">
        <v>36</v>
      </c>
      <c r="B300" t="s">
        <v>42</v>
      </c>
      <c r="C300" t="s">
        <v>43</v>
      </c>
      <c r="D300" t="s">
        <v>44</v>
      </c>
      <c r="E300">
        <v>18</v>
      </c>
      <c r="F300">
        <v>4</v>
      </c>
      <c r="G300" t="s">
        <v>37</v>
      </c>
      <c r="H300">
        <v>1</v>
      </c>
      <c r="I300">
        <v>407</v>
      </c>
      <c r="J300">
        <v>3</v>
      </c>
      <c r="K300" t="s">
        <v>45</v>
      </c>
      <c r="L300">
        <v>81</v>
      </c>
      <c r="M300">
        <v>4</v>
      </c>
      <c r="N300">
        <v>1</v>
      </c>
      <c r="O300" t="s">
        <v>49</v>
      </c>
      <c r="P300">
        <v>4</v>
      </c>
      <c r="Q300" t="s">
        <v>47</v>
      </c>
      <c r="R300">
        <v>3688</v>
      </c>
      <c r="S300">
        <v>7122</v>
      </c>
      <c r="T300">
        <v>4</v>
      </c>
      <c r="U300" t="s">
        <v>41</v>
      </c>
      <c r="V300" t="s">
        <v>42</v>
      </c>
      <c r="W300">
        <v>18</v>
      </c>
      <c r="X300">
        <v>3</v>
      </c>
      <c r="Y300">
        <v>4</v>
      </c>
      <c r="Z300">
        <v>80</v>
      </c>
      <c r="AA300">
        <v>2</v>
      </c>
      <c r="AB300">
        <v>4</v>
      </c>
      <c r="AC300">
        <v>2</v>
      </c>
      <c r="AD300">
        <v>3</v>
      </c>
      <c r="AE300">
        <v>1</v>
      </c>
      <c r="AF300">
        <v>0</v>
      </c>
      <c r="AG300">
        <v>0</v>
      </c>
      <c r="AH300">
        <v>0</v>
      </c>
    </row>
    <row r="301" spans="1:34" x14ac:dyDescent="0.2">
      <c r="A301">
        <v>51</v>
      </c>
      <c r="B301" t="s">
        <v>42</v>
      </c>
      <c r="C301" t="s">
        <v>35</v>
      </c>
      <c r="D301" t="s">
        <v>44</v>
      </c>
      <c r="E301">
        <v>2</v>
      </c>
      <c r="F301">
        <v>3</v>
      </c>
      <c r="G301" t="s">
        <v>50</v>
      </c>
      <c r="H301">
        <v>1</v>
      </c>
      <c r="I301">
        <v>408</v>
      </c>
      <c r="J301">
        <v>4</v>
      </c>
      <c r="K301" t="s">
        <v>45</v>
      </c>
      <c r="L301">
        <v>84</v>
      </c>
      <c r="M301">
        <v>1</v>
      </c>
      <c r="N301">
        <v>2</v>
      </c>
      <c r="O301" t="s">
        <v>52</v>
      </c>
      <c r="P301">
        <v>2</v>
      </c>
      <c r="Q301" t="s">
        <v>51</v>
      </c>
      <c r="R301">
        <v>5482</v>
      </c>
      <c r="S301">
        <v>16321</v>
      </c>
      <c r="T301">
        <v>5</v>
      </c>
      <c r="U301" t="s">
        <v>41</v>
      </c>
      <c r="V301" t="s">
        <v>42</v>
      </c>
      <c r="W301">
        <v>18</v>
      </c>
      <c r="X301">
        <v>3</v>
      </c>
      <c r="Y301">
        <v>4</v>
      </c>
      <c r="Z301">
        <v>80</v>
      </c>
      <c r="AA301">
        <v>1</v>
      </c>
      <c r="AB301">
        <v>13</v>
      </c>
      <c r="AC301">
        <v>3</v>
      </c>
      <c r="AD301">
        <v>3</v>
      </c>
      <c r="AE301">
        <v>4</v>
      </c>
      <c r="AF301">
        <v>1</v>
      </c>
      <c r="AG301">
        <v>1</v>
      </c>
      <c r="AH301">
        <v>2</v>
      </c>
    </row>
    <row r="302" spans="1:34" x14ac:dyDescent="0.2">
      <c r="A302">
        <v>41</v>
      </c>
      <c r="B302" t="s">
        <v>42</v>
      </c>
      <c r="C302" t="s">
        <v>35</v>
      </c>
      <c r="D302" t="s">
        <v>36</v>
      </c>
      <c r="E302">
        <v>2</v>
      </c>
      <c r="F302">
        <v>4</v>
      </c>
      <c r="G302" t="s">
        <v>37</v>
      </c>
      <c r="H302">
        <v>1</v>
      </c>
      <c r="I302">
        <v>410</v>
      </c>
      <c r="J302">
        <v>4</v>
      </c>
      <c r="K302" t="s">
        <v>45</v>
      </c>
      <c r="L302">
        <v>88</v>
      </c>
      <c r="M302">
        <v>3</v>
      </c>
      <c r="N302">
        <v>4</v>
      </c>
      <c r="O302" t="s">
        <v>55</v>
      </c>
      <c r="P302">
        <v>2</v>
      </c>
      <c r="Q302" t="s">
        <v>40</v>
      </c>
      <c r="R302">
        <v>16015</v>
      </c>
      <c r="S302">
        <v>15896</v>
      </c>
      <c r="T302">
        <v>1</v>
      </c>
      <c r="U302" t="s">
        <v>41</v>
      </c>
      <c r="V302" t="s">
        <v>42</v>
      </c>
      <c r="W302">
        <v>19</v>
      </c>
      <c r="X302">
        <v>3</v>
      </c>
      <c r="Y302">
        <v>2</v>
      </c>
      <c r="Z302">
        <v>80</v>
      </c>
      <c r="AA302">
        <v>0</v>
      </c>
      <c r="AB302">
        <v>22</v>
      </c>
      <c r="AC302">
        <v>2</v>
      </c>
      <c r="AD302">
        <v>3</v>
      </c>
      <c r="AE302">
        <v>22</v>
      </c>
      <c r="AF302">
        <v>10</v>
      </c>
      <c r="AG302">
        <v>0</v>
      </c>
      <c r="AH302">
        <v>4</v>
      </c>
    </row>
    <row r="303" spans="1:34" x14ac:dyDescent="0.2">
      <c r="A303">
        <v>18</v>
      </c>
      <c r="B303" t="s">
        <v>42</v>
      </c>
      <c r="C303" t="s">
        <v>35</v>
      </c>
      <c r="D303" t="s">
        <v>36</v>
      </c>
      <c r="E303">
        <v>10</v>
      </c>
      <c r="F303">
        <v>3</v>
      </c>
      <c r="G303" t="s">
        <v>50</v>
      </c>
      <c r="H303">
        <v>1</v>
      </c>
      <c r="I303">
        <v>411</v>
      </c>
      <c r="J303">
        <v>4</v>
      </c>
      <c r="K303" t="s">
        <v>38</v>
      </c>
      <c r="L303">
        <v>69</v>
      </c>
      <c r="M303">
        <v>2</v>
      </c>
      <c r="N303">
        <v>1</v>
      </c>
      <c r="O303" t="s">
        <v>56</v>
      </c>
      <c r="P303">
        <v>3</v>
      </c>
      <c r="Q303" t="s">
        <v>40</v>
      </c>
      <c r="R303">
        <v>1200</v>
      </c>
      <c r="S303">
        <v>9724</v>
      </c>
      <c r="T303">
        <v>1</v>
      </c>
      <c r="U303" t="s">
        <v>41</v>
      </c>
      <c r="V303" t="s">
        <v>42</v>
      </c>
      <c r="W303">
        <v>12</v>
      </c>
      <c r="X303">
        <v>3</v>
      </c>
      <c r="Y303">
        <v>1</v>
      </c>
      <c r="Z303">
        <v>80</v>
      </c>
      <c r="AA303">
        <v>0</v>
      </c>
      <c r="AB303">
        <v>0</v>
      </c>
      <c r="AC303">
        <v>2</v>
      </c>
      <c r="AD303">
        <v>3</v>
      </c>
      <c r="AE303">
        <v>0</v>
      </c>
      <c r="AF303">
        <v>0</v>
      </c>
      <c r="AG303">
        <v>0</v>
      </c>
      <c r="AH303">
        <v>0</v>
      </c>
    </row>
    <row r="304" spans="1:34" x14ac:dyDescent="0.2">
      <c r="A304">
        <v>28</v>
      </c>
      <c r="B304" t="s">
        <v>42</v>
      </c>
      <c r="C304" t="s">
        <v>35</v>
      </c>
      <c r="D304" t="s">
        <v>44</v>
      </c>
      <c r="E304">
        <v>16</v>
      </c>
      <c r="F304">
        <v>2</v>
      </c>
      <c r="G304" t="s">
        <v>50</v>
      </c>
      <c r="H304">
        <v>1</v>
      </c>
      <c r="I304">
        <v>412</v>
      </c>
      <c r="J304">
        <v>2</v>
      </c>
      <c r="K304" t="s">
        <v>45</v>
      </c>
      <c r="L304">
        <v>68</v>
      </c>
      <c r="M304">
        <v>4</v>
      </c>
      <c r="N304">
        <v>2</v>
      </c>
      <c r="O304" t="s">
        <v>53</v>
      </c>
      <c r="P304">
        <v>1</v>
      </c>
      <c r="Q304" t="s">
        <v>40</v>
      </c>
      <c r="R304">
        <v>5661</v>
      </c>
      <c r="S304">
        <v>4824</v>
      </c>
      <c r="T304">
        <v>0</v>
      </c>
      <c r="U304" t="s">
        <v>41</v>
      </c>
      <c r="V304" t="s">
        <v>42</v>
      </c>
      <c r="W304">
        <v>19</v>
      </c>
      <c r="X304">
        <v>3</v>
      </c>
      <c r="Y304">
        <v>3</v>
      </c>
      <c r="Z304">
        <v>80</v>
      </c>
      <c r="AA304">
        <v>0</v>
      </c>
      <c r="AB304">
        <v>9</v>
      </c>
      <c r="AC304">
        <v>2</v>
      </c>
      <c r="AD304">
        <v>3</v>
      </c>
      <c r="AE304">
        <v>8</v>
      </c>
      <c r="AF304">
        <v>3</v>
      </c>
      <c r="AG304">
        <v>0</v>
      </c>
      <c r="AH304">
        <v>7</v>
      </c>
    </row>
    <row r="305" spans="1:34" x14ac:dyDescent="0.2">
      <c r="A305">
        <v>31</v>
      </c>
      <c r="B305" t="s">
        <v>42</v>
      </c>
      <c r="C305" t="s">
        <v>35</v>
      </c>
      <c r="D305" t="s">
        <v>36</v>
      </c>
      <c r="E305">
        <v>7</v>
      </c>
      <c r="F305">
        <v>3</v>
      </c>
      <c r="G305" t="s">
        <v>59</v>
      </c>
      <c r="H305">
        <v>1</v>
      </c>
      <c r="I305">
        <v>416</v>
      </c>
      <c r="J305">
        <v>2</v>
      </c>
      <c r="K305" t="s">
        <v>45</v>
      </c>
      <c r="L305">
        <v>100</v>
      </c>
      <c r="M305">
        <v>4</v>
      </c>
      <c r="N305">
        <v>2</v>
      </c>
      <c r="O305" t="s">
        <v>39</v>
      </c>
      <c r="P305">
        <v>4</v>
      </c>
      <c r="Q305" t="s">
        <v>47</v>
      </c>
      <c r="R305">
        <v>6929</v>
      </c>
      <c r="S305">
        <v>12241</v>
      </c>
      <c r="T305">
        <v>4</v>
      </c>
      <c r="U305" t="s">
        <v>41</v>
      </c>
      <c r="V305" t="s">
        <v>42</v>
      </c>
      <c r="W305">
        <v>11</v>
      </c>
      <c r="X305">
        <v>3</v>
      </c>
      <c r="Y305">
        <v>2</v>
      </c>
      <c r="Z305">
        <v>80</v>
      </c>
      <c r="AA305">
        <v>1</v>
      </c>
      <c r="AB305">
        <v>10</v>
      </c>
      <c r="AC305">
        <v>3</v>
      </c>
      <c r="AD305">
        <v>2</v>
      </c>
      <c r="AE305">
        <v>8</v>
      </c>
      <c r="AF305">
        <v>7</v>
      </c>
      <c r="AG305">
        <v>7</v>
      </c>
      <c r="AH305">
        <v>7</v>
      </c>
    </row>
    <row r="306" spans="1:34" x14ac:dyDescent="0.2">
      <c r="A306">
        <v>39</v>
      </c>
      <c r="B306" t="s">
        <v>42</v>
      </c>
      <c r="C306" t="s">
        <v>35</v>
      </c>
      <c r="D306" t="s">
        <v>44</v>
      </c>
      <c r="E306">
        <v>1</v>
      </c>
      <c r="F306">
        <v>3</v>
      </c>
      <c r="G306" t="s">
        <v>50</v>
      </c>
      <c r="H306">
        <v>1</v>
      </c>
      <c r="I306">
        <v>417</v>
      </c>
      <c r="J306">
        <v>3</v>
      </c>
      <c r="K306" t="s">
        <v>45</v>
      </c>
      <c r="L306">
        <v>48</v>
      </c>
      <c r="M306">
        <v>4</v>
      </c>
      <c r="N306">
        <v>3</v>
      </c>
      <c r="O306" t="s">
        <v>53</v>
      </c>
      <c r="P306">
        <v>4</v>
      </c>
      <c r="Q306" t="s">
        <v>51</v>
      </c>
      <c r="R306">
        <v>9613</v>
      </c>
      <c r="S306">
        <v>10942</v>
      </c>
      <c r="T306">
        <v>0</v>
      </c>
      <c r="U306" t="s">
        <v>41</v>
      </c>
      <c r="V306" t="s">
        <v>42</v>
      </c>
      <c r="W306">
        <v>17</v>
      </c>
      <c r="X306">
        <v>3</v>
      </c>
      <c r="Y306">
        <v>1</v>
      </c>
      <c r="Z306">
        <v>80</v>
      </c>
      <c r="AA306">
        <v>3</v>
      </c>
      <c r="AB306">
        <v>19</v>
      </c>
      <c r="AC306">
        <v>5</v>
      </c>
      <c r="AD306">
        <v>2</v>
      </c>
      <c r="AE306">
        <v>18</v>
      </c>
      <c r="AF306">
        <v>10</v>
      </c>
      <c r="AG306">
        <v>3</v>
      </c>
      <c r="AH306">
        <v>7</v>
      </c>
    </row>
    <row r="307" spans="1:34" x14ac:dyDescent="0.2">
      <c r="A307">
        <v>36</v>
      </c>
      <c r="B307" t="s">
        <v>42</v>
      </c>
      <c r="C307" t="s">
        <v>54</v>
      </c>
      <c r="D307" t="s">
        <v>44</v>
      </c>
      <c r="E307">
        <v>24</v>
      </c>
      <c r="F307">
        <v>4</v>
      </c>
      <c r="G307" t="s">
        <v>37</v>
      </c>
      <c r="H307">
        <v>1</v>
      </c>
      <c r="I307">
        <v>419</v>
      </c>
      <c r="J307">
        <v>2</v>
      </c>
      <c r="K307" t="s">
        <v>38</v>
      </c>
      <c r="L307">
        <v>47</v>
      </c>
      <c r="M307">
        <v>3</v>
      </c>
      <c r="N307">
        <v>2</v>
      </c>
      <c r="O307" t="s">
        <v>49</v>
      </c>
      <c r="P307">
        <v>2</v>
      </c>
      <c r="Q307" t="s">
        <v>47</v>
      </c>
      <c r="R307">
        <v>5674</v>
      </c>
      <c r="S307">
        <v>6927</v>
      </c>
      <c r="T307">
        <v>7</v>
      </c>
      <c r="U307" t="s">
        <v>41</v>
      </c>
      <c r="V307" t="s">
        <v>42</v>
      </c>
      <c r="W307">
        <v>15</v>
      </c>
      <c r="X307">
        <v>3</v>
      </c>
      <c r="Y307">
        <v>3</v>
      </c>
      <c r="Z307">
        <v>80</v>
      </c>
      <c r="AA307">
        <v>1</v>
      </c>
      <c r="AB307">
        <v>11</v>
      </c>
      <c r="AC307">
        <v>3</v>
      </c>
      <c r="AD307">
        <v>3</v>
      </c>
      <c r="AE307">
        <v>9</v>
      </c>
      <c r="AF307">
        <v>8</v>
      </c>
      <c r="AG307">
        <v>0</v>
      </c>
      <c r="AH307">
        <v>8</v>
      </c>
    </row>
    <row r="308" spans="1:34" x14ac:dyDescent="0.2">
      <c r="A308">
        <v>32</v>
      </c>
      <c r="B308" t="s">
        <v>42</v>
      </c>
      <c r="C308" t="s">
        <v>35</v>
      </c>
      <c r="D308" t="s">
        <v>36</v>
      </c>
      <c r="E308">
        <v>7</v>
      </c>
      <c r="F308">
        <v>3</v>
      </c>
      <c r="G308" t="s">
        <v>37</v>
      </c>
      <c r="H308">
        <v>1</v>
      </c>
      <c r="I308">
        <v>420</v>
      </c>
      <c r="J308">
        <v>4</v>
      </c>
      <c r="K308" t="s">
        <v>45</v>
      </c>
      <c r="L308">
        <v>91</v>
      </c>
      <c r="M308">
        <v>2</v>
      </c>
      <c r="N308">
        <v>2</v>
      </c>
      <c r="O308" t="s">
        <v>39</v>
      </c>
      <c r="P308">
        <v>3</v>
      </c>
      <c r="Q308" t="s">
        <v>47</v>
      </c>
      <c r="R308">
        <v>5484</v>
      </c>
      <c r="S308">
        <v>16985</v>
      </c>
      <c r="T308">
        <v>1</v>
      </c>
      <c r="U308" t="s">
        <v>41</v>
      </c>
      <c r="V308" t="s">
        <v>42</v>
      </c>
      <c r="W308">
        <v>14</v>
      </c>
      <c r="X308">
        <v>3</v>
      </c>
      <c r="Y308">
        <v>3</v>
      </c>
      <c r="Z308">
        <v>80</v>
      </c>
      <c r="AA308">
        <v>1</v>
      </c>
      <c r="AB308">
        <v>13</v>
      </c>
      <c r="AC308">
        <v>3</v>
      </c>
      <c r="AD308">
        <v>2</v>
      </c>
      <c r="AE308">
        <v>13</v>
      </c>
      <c r="AF308">
        <v>8</v>
      </c>
      <c r="AG308">
        <v>4</v>
      </c>
      <c r="AH308">
        <v>8</v>
      </c>
    </row>
    <row r="309" spans="1:34" x14ac:dyDescent="0.2">
      <c r="A309">
        <v>38</v>
      </c>
      <c r="B309" t="s">
        <v>42</v>
      </c>
      <c r="C309" t="s">
        <v>35</v>
      </c>
      <c r="D309" t="s">
        <v>44</v>
      </c>
      <c r="E309">
        <v>25</v>
      </c>
      <c r="F309">
        <v>2</v>
      </c>
      <c r="G309" t="s">
        <v>37</v>
      </c>
      <c r="H309">
        <v>1</v>
      </c>
      <c r="I309">
        <v>421</v>
      </c>
      <c r="J309">
        <v>1</v>
      </c>
      <c r="K309" t="s">
        <v>38</v>
      </c>
      <c r="L309">
        <v>81</v>
      </c>
      <c r="M309">
        <v>2</v>
      </c>
      <c r="N309">
        <v>3</v>
      </c>
      <c r="O309" t="s">
        <v>57</v>
      </c>
      <c r="P309">
        <v>2</v>
      </c>
      <c r="Q309" t="s">
        <v>47</v>
      </c>
      <c r="R309">
        <v>12061</v>
      </c>
      <c r="S309">
        <v>26707</v>
      </c>
      <c r="T309">
        <v>3</v>
      </c>
      <c r="U309" t="s">
        <v>41</v>
      </c>
      <c r="V309" t="s">
        <v>42</v>
      </c>
      <c r="W309">
        <v>17</v>
      </c>
      <c r="X309">
        <v>3</v>
      </c>
      <c r="Y309">
        <v>3</v>
      </c>
      <c r="Z309">
        <v>80</v>
      </c>
      <c r="AA309">
        <v>1</v>
      </c>
      <c r="AB309">
        <v>19</v>
      </c>
      <c r="AC309">
        <v>2</v>
      </c>
      <c r="AD309">
        <v>3</v>
      </c>
      <c r="AE309">
        <v>10</v>
      </c>
      <c r="AF309">
        <v>8</v>
      </c>
      <c r="AG309">
        <v>0</v>
      </c>
      <c r="AH309">
        <v>1</v>
      </c>
    </row>
    <row r="310" spans="1:34" x14ac:dyDescent="0.2">
      <c r="A310">
        <v>58</v>
      </c>
      <c r="B310" t="s">
        <v>42</v>
      </c>
      <c r="C310" t="s">
        <v>54</v>
      </c>
      <c r="D310" t="s">
        <v>44</v>
      </c>
      <c r="E310">
        <v>1</v>
      </c>
      <c r="F310">
        <v>4</v>
      </c>
      <c r="G310" t="s">
        <v>37</v>
      </c>
      <c r="H310">
        <v>1</v>
      </c>
      <c r="I310">
        <v>422</v>
      </c>
      <c r="J310">
        <v>4</v>
      </c>
      <c r="K310" t="s">
        <v>45</v>
      </c>
      <c r="L310">
        <v>32</v>
      </c>
      <c r="M310">
        <v>1</v>
      </c>
      <c r="N310">
        <v>2</v>
      </c>
      <c r="O310" t="s">
        <v>53</v>
      </c>
      <c r="P310">
        <v>3</v>
      </c>
      <c r="Q310" t="s">
        <v>51</v>
      </c>
      <c r="R310">
        <v>5660</v>
      </c>
      <c r="S310">
        <v>17056</v>
      </c>
      <c r="T310">
        <v>2</v>
      </c>
      <c r="U310" t="s">
        <v>41</v>
      </c>
      <c r="V310" t="s">
        <v>34</v>
      </c>
      <c r="W310">
        <v>13</v>
      </c>
      <c r="X310">
        <v>3</v>
      </c>
      <c r="Y310">
        <v>4</v>
      </c>
      <c r="Z310">
        <v>80</v>
      </c>
      <c r="AA310">
        <v>1</v>
      </c>
      <c r="AB310">
        <v>12</v>
      </c>
      <c r="AC310">
        <v>2</v>
      </c>
      <c r="AD310">
        <v>3</v>
      </c>
      <c r="AE310">
        <v>5</v>
      </c>
      <c r="AF310">
        <v>3</v>
      </c>
      <c r="AG310">
        <v>1</v>
      </c>
      <c r="AH310">
        <v>2</v>
      </c>
    </row>
    <row r="311" spans="1:34" x14ac:dyDescent="0.2">
      <c r="A311">
        <v>31</v>
      </c>
      <c r="B311" t="s">
        <v>42</v>
      </c>
      <c r="C311" t="s">
        <v>35</v>
      </c>
      <c r="D311" t="s">
        <v>44</v>
      </c>
      <c r="E311">
        <v>5</v>
      </c>
      <c r="F311">
        <v>4</v>
      </c>
      <c r="G311" t="s">
        <v>59</v>
      </c>
      <c r="H311">
        <v>1</v>
      </c>
      <c r="I311">
        <v>423</v>
      </c>
      <c r="J311">
        <v>3</v>
      </c>
      <c r="K311" t="s">
        <v>45</v>
      </c>
      <c r="L311">
        <v>86</v>
      </c>
      <c r="M311">
        <v>3</v>
      </c>
      <c r="N311">
        <v>1</v>
      </c>
      <c r="O311" t="s">
        <v>46</v>
      </c>
      <c r="P311">
        <v>4</v>
      </c>
      <c r="Q311" t="s">
        <v>47</v>
      </c>
      <c r="R311">
        <v>4821</v>
      </c>
      <c r="S311">
        <v>10077</v>
      </c>
      <c r="T311">
        <v>0</v>
      </c>
      <c r="U311" t="s">
        <v>41</v>
      </c>
      <c r="V311" t="s">
        <v>34</v>
      </c>
      <c r="W311">
        <v>12</v>
      </c>
      <c r="X311">
        <v>3</v>
      </c>
      <c r="Y311">
        <v>3</v>
      </c>
      <c r="Z311">
        <v>80</v>
      </c>
      <c r="AA311">
        <v>1</v>
      </c>
      <c r="AB311">
        <v>6</v>
      </c>
      <c r="AC311">
        <v>4</v>
      </c>
      <c r="AD311">
        <v>3</v>
      </c>
      <c r="AE311">
        <v>5</v>
      </c>
      <c r="AF311">
        <v>2</v>
      </c>
      <c r="AG311">
        <v>0</v>
      </c>
      <c r="AH311">
        <v>3</v>
      </c>
    </row>
    <row r="312" spans="1:34" x14ac:dyDescent="0.2">
      <c r="A312">
        <v>31</v>
      </c>
      <c r="B312" t="s">
        <v>42</v>
      </c>
      <c r="C312" t="s">
        <v>35</v>
      </c>
      <c r="D312" t="s">
        <v>60</v>
      </c>
      <c r="E312">
        <v>2</v>
      </c>
      <c r="F312">
        <v>3</v>
      </c>
      <c r="G312" t="s">
        <v>60</v>
      </c>
      <c r="H312">
        <v>1</v>
      </c>
      <c r="I312">
        <v>424</v>
      </c>
      <c r="J312">
        <v>1</v>
      </c>
      <c r="K312" t="s">
        <v>45</v>
      </c>
      <c r="L312">
        <v>62</v>
      </c>
      <c r="M312">
        <v>2</v>
      </c>
      <c r="N312">
        <v>2</v>
      </c>
      <c r="O312" t="s">
        <v>60</v>
      </c>
      <c r="P312">
        <v>1</v>
      </c>
      <c r="Q312" t="s">
        <v>47</v>
      </c>
      <c r="R312">
        <v>6410</v>
      </c>
      <c r="S312">
        <v>17822</v>
      </c>
      <c r="T312">
        <v>3</v>
      </c>
      <c r="U312" t="s">
        <v>41</v>
      </c>
      <c r="V312" t="s">
        <v>42</v>
      </c>
      <c r="W312">
        <v>12</v>
      </c>
      <c r="X312">
        <v>3</v>
      </c>
      <c r="Y312">
        <v>4</v>
      </c>
      <c r="Z312">
        <v>80</v>
      </c>
      <c r="AA312">
        <v>0</v>
      </c>
      <c r="AB312">
        <v>9</v>
      </c>
      <c r="AC312">
        <v>1</v>
      </c>
      <c r="AD312">
        <v>3</v>
      </c>
      <c r="AE312">
        <v>2</v>
      </c>
      <c r="AF312">
        <v>2</v>
      </c>
      <c r="AG312">
        <v>1</v>
      </c>
      <c r="AH312">
        <v>0</v>
      </c>
    </row>
    <row r="313" spans="1:34" x14ac:dyDescent="0.2">
      <c r="A313">
        <v>45</v>
      </c>
      <c r="B313" t="s">
        <v>42</v>
      </c>
      <c r="C313" t="s">
        <v>43</v>
      </c>
      <c r="D313" t="s">
        <v>44</v>
      </c>
      <c r="E313">
        <v>7</v>
      </c>
      <c r="F313">
        <v>3</v>
      </c>
      <c r="G313" t="s">
        <v>37</v>
      </c>
      <c r="H313">
        <v>1</v>
      </c>
      <c r="I313">
        <v>425</v>
      </c>
      <c r="J313">
        <v>1</v>
      </c>
      <c r="K313" t="s">
        <v>45</v>
      </c>
      <c r="L313">
        <v>97</v>
      </c>
      <c r="M313">
        <v>3</v>
      </c>
      <c r="N313">
        <v>3</v>
      </c>
      <c r="O313" t="s">
        <v>49</v>
      </c>
      <c r="P313">
        <v>1</v>
      </c>
      <c r="Q313" t="s">
        <v>51</v>
      </c>
      <c r="R313">
        <v>5210</v>
      </c>
      <c r="S313">
        <v>20308</v>
      </c>
      <c r="T313">
        <v>1</v>
      </c>
      <c r="U313" t="s">
        <v>41</v>
      </c>
      <c r="V313" t="s">
        <v>42</v>
      </c>
      <c r="W313">
        <v>18</v>
      </c>
      <c r="X313">
        <v>3</v>
      </c>
      <c r="Y313">
        <v>1</v>
      </c>
      <c r="Z313">
        <v>80</v>
      </c>
      <c r="AA313">
        <v>1</v>
      </c>
      <c r="AB313">
        <v>24</v>
      </c>
      <c r="AC313">
        <v>2</v>
      </c>
      <c r="AD313">
        <v>3</v>
      </c>
      <c r="AE313">
        <v>24</v>
      </c>
      <c r="AF313">
        <v>9</v>
      </c>
      <c r="AG313">
        <v>9</v>
      </c>
      <c r="AH313">
        <v>11</v>
      </c>
    </row>
    <row r="314" spans="1:34" x14ac:dyDescent="0.2">
      <c r="A314">
        <v>31</v>
      </c>
      <c r="B314" t="s">
        <v>42</v>
      </c>
      <c r="C314" t="s">
        <v>35</v>
      </c>
      <c r="D314" t="s">
        <v>44</v>
      </c>
      <c r="E314">
        <v>2</v>
      </c>
      <c r="F314">
        <v>4</v>
      </c>
      <c r="G314" t="s">
        <v>37</v>
      </c>
      <c r="H314">
        <v>1</v>
      </c>
      <c r="I314">
        <v>426</v>
      </c>
      <c r="J314">
        <v>3</v>
      </c>
      <c r="K314" t="s">
        <v>45</v>
      </c>
      <c r="L314">
        <v>32</v>
      </c>
      <c r="M314">
        <v>3</v>
      </c>
      <c r="N314">
        <v>1</v>
      </c>
      <c r="O314" t="s">
        <v>46</v>
      </c>
      <c r="P314">
        <v>4</v>
      </c>
      <c r="Q314" t="s">
        <v>51</v>
      </c>
      <c r="R314">
        <v>2695</v>
      </c>
      <c r="S314">
        <v>7747</v>
      </c>
      <c r="T314">
        <v>0</v>
      </c>
      <c r="U314" t="s">
        <v>41</v>
      </c>
      <c r="V314" t="s">
        <v>34</v>
      </c>
      <c r="W314">
        <v>18</v>
      </c>
      <c r="X314">
        <v>3</v>
      </c>
      <c r="Y314">
        <v>2</v>
      </c>
      <c r="Z314">
        <v>80</v>
      </c>
      <c r="AA314">
        <v>1</v>
      </c>
      <c r="AB314">
        <v>3</v>
      </c>
      <c r="AC314">
        <v>2</v>
      </c>
      <c r="AD314">
        <v>1</v>
      </c>
      <c r="AE314">
        <v>2</v>
      </c>
      <c r="AF314">
        <v>2</v>
      </c>
      <c r="AG314">
        <v>2</v>
      </c>
      <c r="AH314">
        <v>2</v>
      </c>
    </row>
    <row r="315" spans="1:34" x14ac:dyDescent="0.2">
      <c r="A315">
        <v>33</v>
      </c>
      <c r="B315" t="s">
        <v>42</v>
      </c>
      <c r="C315" t="s">
        <v>43</v>
      </c>
      <c r="D315" t="s">
        <v>44</v>
      </c>
      <c r="E315">
        <v>5</v>
      </c>
      <c r="F315">
        <v>4</v>
      </c>
      <c r="G315" t="s">
        <v>37</v>
      </c>
      <c r="H315">
        <v>1</v>
      </c>
      <c r="I315">
        <v>428</v>
      </c>
      <c r="J315">
        <v>4</v>
      </c>
      <c r="K315" t="s">
        <v>38</v>
      </c>
      <c r="L315">
        <v>74</v>
      </c>
      <c r="M315">
        <v>3</v>
      </c>
      <c r="N315">
        <v>3</v>
      </c>
      <c r="O315" t="s">
        <v>55</v>
      </c>
      <c r="P315">
        <v>2</v>
      </c>
      <c r="Q315" t="s">
        <v>47</v>
      </c>
      <c r="R315">
        <v>11878</v>
      </c>
      <c r="S315">
        <v>23364</v>
      </c>
      <c r="T315">
        <v>6</v>
      </c>
      <c r="U315" t="s">
        <v>41</v>
      </c>
      <c r="V315" t="s">
        <v>42</v>
      </c>
      <c r="W315">
        <v>11</v>
      </c>
      <c r="X315">
        <v>3</v>
      </c>
      <c r="Y315">
        <v>2</v>
      </c>
      <c r="Z315">
        <v>80</v>
      </c>
      <c r="AA315">
        <v>2</v>
      </c>
      <c r="AB315">
        <v>12</v>
      </c>
      <c r="AC315">
        <v>2</v>
      </c>
      <c r="AD315">
        <v>3</v>
      </c>
      <c r="AE315">
        <v>10</v>
      </c>
      <c r="AF315">
        <v>6</v>
      </c>
      <c r="AG315">
        <v>8</v>
      </c>
      <c r="AH315">
        <v>8</v>
      </c>
    </row>
    <row r="316" spans="1:34" x14ac:dyDescent="0.2">
      <c r="A316">
        <v>39</v>
      </c>
      <c r="B316" t="s">
        <v>42</v>
      </c>
      <c r="C316" t="s">
        <v>35</v>
      </c>
      <c r="D316" t="s">
        <v>44</v>
      </c>
      <c r="E316">
        <v>10</v>
      </c>
      <c r="F316">
        <v>1</v>
      </c>
      <c r="G316" t="s">
        <v>50</v>
      </c>
      <c r="H316">
        <v>1</v>
      </c>
      <c r="I316">
        <v>429</v>
      </c>
      <c r="J316">
        <v>3</v>
      </c>
      <c r="K316" t="s">
        <v>45</v>
      </c>
      <c r="L316">
        <v>99</v>
      </c>
      <c r="M316">
        <v>3</v>
      </c>
      <c r="N316">
        <v>4</v>
      </c>
      <c r="O316" t="s">
        <v>55</v>
      </c>
      <c r="P316">
        <v>1</v>
      </c>
      <c r="Q316" t="s">
        <v>47</v>
      </c>
      <c r="R316">
        <v>17068</v>
      </c>
      <c r="S316">
        <v>5355</v>
      </c>
      <c r="T316">
        <v>1</v>
      </c>
      <c r="U316" t="s">
        <v>41</v>
      </c>
      <c r="V316" t="s">
        <v>34</v>
      </c>
      <c r="W316">
        <v>14</v>
      </c>
      <c r="X316">
        <v>3</v>
      </c>
      <c r="Y316">
        <v>4</v>
      </c>
      <c r="Z316">
        <v>80</v>
      </c>
      <c r="AA316">
        <v>0</v>
      </c>
      <c r="AB316">
        <v>21</v>
      </c>
      <c r="AC316">
        <v>3</v>
      </c>
      <c r="AD316">
        <v>3</v>
      </c>
      <c r="AE316">
        <v>21</v>
      </c>
      <c r="AF316">
        <v>9</v>
      </c>
      <c r="AG316">
        <v>11</v>
      </c>
      <c r="AH316">
        <v>10</v>
      </c>
    </row>
    <row r="317" spans="1:34" x14ac:dyDescent="0.2">
      <c r="A317">
        <v>43</v>
      </c>
      <c r="B317" t="s">
        <v>42</v>
      </c>
      <c r="C317" t="s">
        <v>43</v>
      </c>
      <c r="D317" t="s">
        <v>44</v>
      </c>
      <c r="E317">
        <v>10</v>
      </c>
      <c r="F317">
        <v>4</v>
      </c>
      <c r="G317" t="s">
        <v>37</v>
      </c>
      <c r="H317">
        <v>1</v>
      </c>
      <c r="I317">
        <v>430</v>
      </c>
      <c r="J317">
        <v>3</v>
      </c>
      <c r="K317" t="s">
        <v>38</v>
      </c>
      <c r="L317">
        <v>33</v>
      </c>
      <c r="M317">
        <v>3</v>
      </c>
      <c r="N317">
        <v>1</v>
      </c>
      <c r="O317" t="s">
        <v>49</v>
      </c>
      <c r="P317">
        <v>4</v>
      </c>
      <c r="Q317" t="s">
        <v>40</v>
      </c>
      <c r="R317">
        <v>2455</v>
      </c>
      <c r="S317">
        <v>10675</v>
      </c>
      <c r="T317">
        <v>0</v>
      </c>
      <c r="U317" t="s">
        <v>41</v>
      </c>
      <c r="V317" t="s">
        <v>42</v>
      </c>
      <c r="W317">
        <v>19</v>
      </c>
      <c r="X317">
        <v>3</v>
      </c>
      <c r="Y317">
        <v>1</v>
      </c>
      <c r="Z317">
        <v>80</v>
      </c>
      <c r="AA317">
        <v>0</v>
      </c>
      <c r="AB317">
        <v>9</v>
      </c>
      <c r="AC317">
        <v>5</v>
      </c>
      <c r="AD317">
        <v>3</v>
      </c>
      <c r="AE317">
        <v>8</v>
      </c>
      <c r="AF317">
        <v>7</v>
      </c>
      <c r="AG317">
        <v>1</v>
      </c>
      <c r="AH317">
        <v>7</v>
      </c>
    </row>
    <row r="318" spans="1:34" x14ac:dyDescent="0.2">
      <c r="A318">
        <v>49</v>
      </c>
      <c r="B318" t="s">
        <v>42</v>
      </c>
      <c r="C318" t="s">
        <v>35</v>
      </c>
      <c r="D318" t="s">
        <v>44</v>
      </c>
      <c r="E318">
        <v>1</v>
      </c>
      <c r="F318">
        <v>2</v>
      </c>
      <c r="G318" t="s">
        <v>59</v>
      </c>
      <c r="H318">
        <v>1</v>
      </c>
      <c r="I318">
        <v>431</v>
      </c>
      <c r="J318">
        <v>3</v>
      </c>
      <c r="K318" t="s">
        <v>38</v>
      </c>
      <c r="L318">
        <v>90</v>
      </c>
      <c r="M318">
        <v>2</v>
      </c>
      <c r="N318">
        <v>4</v>
      </c>
      <c r="O318" t="s">
        <v>53</v>
      </c>
      <c r="P318">
        <v>3</v>
      </c>
      <c r="Q318" t="s">
        <v>40</v>
      </c>
      <c r="R318">
        <v>13964</v>
      </c>
      <c r="S318">
        <v>17810</v>
      </c>
      <c r="T318">
        <v>7</v>
      </c>
      <c r="U318" t="s">
        <v>41</v>
      </c>
      <c r="V318" t="s">
        <v>34</v>
      </c>
      <c r="W318">
        <v>12</v>
      </c>
      <c r="X318">
        <v>3</v>
      </c>
      <c r="Y318">
        <v>4</v>
      </c>
      <c r="Z318">
        <v>80</v>
      </c>
      <c r="AA318">
        <v>0</v>
      </c>
      <c r="AB318">
        <v>25</v>
      </c>
      <c r="AC318">
        <v>2</v>
      </c>
      <c r="AD318">
        <v>3</v>
      </c>
      <c r="AE318">
        <v>7</v>
      </c>
      <c r="AF318">
        <v>1</v>
      </c>
      <c r="AG318">
        <v>0</v>
      </c>
      <c r="AH318">
        <v>7</v>
      </c>
    </row>
    <row r="319" spans="1:34" x14ac:dyDescent="0.2">
      <c r="A319">
        <v>52</v>
      </c>
      <c r="B319" t="s">
        <v>34</v>
      </c>
      <c r="C319" t="s">
        <v>35</v>
      </c>
      <c r="D319" t="s">
        <v>44</v>
      </c>
      <c r="E319">
        <v>8</v>
      </c>
      <c r="F319">
        <v>4</v>
      </c>
      <c r="G319" t="s">
        <v>50</v>
      </c>
      <c r="H319">
        <v>1</v>
      </c>
      <c r="I319">
        <v>433</v>
      </c>
      <c r="J319">
        <v>3</v>
      </c>
      <c r="K319" t="s">
        <v>45</v>
      </c>
      <c r="L319">
        <v>85</v>
      </c>
      <c r="M319">
        <v>2</v>
      </c>
      <c r="N319">
        <v>2</v>
      </c>
      <c r="O319" t="s">
        <v>46</v>
      </c>
      <c r="P319">
        <v>2</v>
      </c>
      <c r="Q319" t="s">
        <v>47</v>
      </c>
      <c r="R319">
        <v>4941</v>
      </c>
      <c r="S319">
        <v>17747</v>
      </c>
      <c r="T319">
        <v>2</v>
      </c>
      <c r="U319" t="s">
        <v>41</v>
      </c>
      <c r="V319" t="s">
        <v>42</v>
      </c>
      <c r="W319">
        <v>15</v>
      </c>
      <c r="X319">
        <v>3</v>
      </c>
      <c r="Y319">
        <v>1</v>
      </c>
      <c r="Z319">
        <v>80</v>
      </c>
      <c r="AA319">
        <v>0</v>
      </c>
      <c r="AB319">
        <v>11</v>
      </c>
      <c r="AC319">
        <v>3</v>
      </c>
      <c r="AD319">
        <v>2</v>
      </c>
      <c r="AE319">
        <v>8</v>
      </c>
      <c r="AF319">
        <v>2</v>
      </c>
      <c r="AG319">
        <v>7</v>
      </c>
      <c r="AH319">
        <v>7</v>
      </c>
    </row>
    <row r="320" spans="1:34" x14ac:dyDescent="0.2">
      <c r="A320">
        <v>27</v>
      </c>
      <c r="B320" t="s">
        <v>42</v>
      </c>
      <c r="C320" t="s">
        <v>35</v>
      </c>
      <c r="D320" t="s">
        <v>44</v>
      </c>
      <c r="E320">
        <v>5</v>
      </c>
      <c r="F320">
        <v>3</v>
      </c>
      <c r="G320" t="s">
        <v>37</v>
      </c>
      <c r="H320">
        <v>1</v>
      </c>
      <c r="I320">
        <v>434</v>
      </c>
      <c r="J320">
        <v>3</v>
      </c>
      <c r="K320" t="s">
        <v>38</v>
      </c>
      <c r="L320">
        <v>85</v>
      </c>
      <c r="M320">
        <v>3</v>
      </c>
      <c r="N320">
        <v>1</v>
      </c>
      <c r="O320" t="s">
        <v>46</v>
      </c>
      <c r="P320">
        <v>2</v>
      </c>
      <c r="Q320" t="s">
        <v>40</v>
      </c>
      <c r="R320">
        <v>2478</v>
      </c>
      <c r="S320">
        <v>20938</v>
      </c>
      <c r="T320">
        <v>1</v>
      </c>
      <c r="U320" t="s">
        <v>41</v>
      </c>
      <c r="V320" t="s">
        <v>34</v>
      </c>
      <c r="W320">
        <v>12</v>
      </c>
      <c r="X320">
        <v>3</v>
      </c>
      <c r="Y320">
        <v>2</v>
      </c>
      <c r="Z320">
        <v>80</v>
      </c>
      <c r="AA320">
        <v>0</v>
      </c>
      <c r="AB320">
        <v>4</v>
      </c>
      <c r="AC320">
        <v>2</v>
      </c>
      <c r="AD320">
        <v>2</v>
      </c>
      <c r="AE320">
        <v>4</v>
      </c>
      <c r="AF320">
        <v>3</v>
      </c>
      <c r="AG320">
        <v>1</v>
      </c>
      <c r="AH320">
        <v>2</v>
      </c>
    </row>
    <row r="321" spans="1:34" x14ac:dyDescent="0.2">
      <c r="A321">
        <v>32</v>
      </c>
      <c r="B321" t="s">
        <v>42</v>
      </c>
      <c r="C321" t="s">
        <v>35</v>
      </c>
      <c r="D321" t="s">
        <v>36</v>
      </c>
      <c r="E321">
        <v>8</v>
      </c>
      <c r="F321">
        <v>2</v>
      </c>
      <c r="G321" t="s">
        <v>59</v>
      </c>
      <c r="H321">
        <v>1</v>
      </c>
      <c r="I321">
        <v>436</v>
      </c>
      <c r="J321">
        <v>3</v>
      </c>
      <c r="K321" t="s">
        <v>38</v>
      </c>
      <c r="L321">
        <v>65</v>
      </c>
      <c r="M321">
        <v>2</v>
      </c>
      <c r="N321">
        <v>2</v>
      </c>
      <c r="O321" t="s">
        <v>39</v>
      </c>
      <c r="P321">
        <v>2</v>
      </c>
      <c r="Q321" t="s">
        <v>47</v>
      </c>
      <c r="R321">
        <v>5228</v>
      </c>
      <c r="S321">
        <v>24624</v>
      </c>
      <c r="T321">
        <v>1</v>
      </c>
      <c r="U321" t="s">
        <v>41</v>
      </c>
      <c r="V321" t="s">
        <v>34</v>
      </c>
      <c r="W321">
        <v>11</v>
      </c>
      <c r="X321">
        <v>3</v>
      </c>
      <c r="Y321">
        <v>4</v>
      </c>
      <c r="Z321">
        <v>80</v>
      </c>
      <c r="AA321">
        <v>0</v>
      </c>
      <c r="AB321">
        <v>13</v>
      </c>
      <c r="AC321">
        <v>2</v>
      </c>
      <c r="AD321">
        <v>3</v>
      </c>
      <c r="AE321">
        <v>13</v>
      </c>
      <c r="AF321">
        <v>12</v>
      </c>
      <c r="AG321">
        <v>11</v>
      </c>
      <c r="AH321">
        <v>9</v>
      </c>
    </row>
    <row r="322" spans="1:34" x14ac:dyDescent="0.2">
      <c r="A322">
        <v>27</v>
      </c>
      <c r="B322" t="s">
        <v>42</v>
      </c>
      <c r="C322" t="s">
        <v>35</v>
      </c>
      <c r="D322" t="s">
        <v>36</v>
      </c>
      <c r="E322">
        <v>2</v>
      </c>
      <c r="F322">
        <v>3</v>
      </c>
      <c r="G322" t="s">
        <v>37</v>
      </c>
      <c r="H322">
        <v>1</v>
      </c>
      <c r="I322">
        <v>437</v>
      </c>
      <c r="J322">
        <v>4</v>
      </c>
      <c r="K322" t="s">
        <v>45</v>
      </c>
      <c r="L322">
        <v>74</v>
      </c>
      <c r="M322">
        <v>3</v>
      </c>
      <c r="N322">
        <v>2</v>
      </c>
      <c r="O322" t="s">
        <v>39</v>
      </c>
      <c r="P322">
        <v>3</v>
      </c>
      <c r="Q322" t="s">
        <v>40</v>
      </c>
      <c r="R322">
        <v>4478</v>
      </c>
      <c r="S322">
        <v>5242</v>
      </c>
      <c r="T322">
        <v>1</v>
      </c>
      <c r="U322" t="s">
        <v>41</v>
      </c>
      <c r="V322" t="s">
        <v>34</v>
      </c>
      <c r="W322">
        <v>11</v>
      </c>
      <c r="X322">
        <v>3</v>
      </c>
      <c r="Y322">
        <v>1</v>
      </c>
      <c r="Z322">
        <v>80</v>
      </c>
      <c r="AA322">
        <v>0</v>
      </c>
      <c r="AB322">
        <v>5</v>
      </c>
      <c r="AC322">
        <v>3</v>
      </c>
      <c r="AD322">
        <v>3</v>
      </c>
      <c r="AE322">
        <v>5</v>
      </c>
      <c r="AF322">
        <v>4</v>
      </c>
      <c r="AG322">
        <v>0</v>
      </c>
      <c r="AH322">
        <v>4</v>
      </c>
    </row>
    <row r="323" spans="1:34" x14ac:dyDescent="0.2">
      <c r="A323">
        <v>31</v>
      </c>
      <c r="B323" t="s">
        <v>42</v>
      </c>
      <c r="C323" t="s">
        <v>35</v>
      </c>
      <c r="D323" t="s">
        <v>36</v>
      </c>
      <c r="E323">
        <v>7</v>
      </c>
      <c r="F323">
        <v>3</v>
      </c>
      <c r="G323" t="s">
        <v>58</v>
      </c>
      <c r="H323">
        <v>1</v>
      </c>
      <c r="I323">
        <v>438</v>
      </c>
      <c r="J323">
        <v>4</v>
      </c>
      <c r="K323" t="s">
        <v>45</v>
      </c>
      <c r="L323">
        <v>73</v>
      </c>
      <c r="M323">
        <v>3</v>
      </c>
      <c r="N323">
        <v>2</v>
      </c>
      <c r="O323" t="s">
        <v>39</v>
      </c>
      <c r="P323">
        <v>4</v>
      </c>
      <c r="Q323" t="s">
        <v>51</v>
      </c>
      <c r="R323">
        <v>7547</v>
      </c>
      <c r="S323">
        <v>7143</v>
      </c>
      <c r="T323">
        <v>4</v>
      </c>
      <c r="U323" t="s">
        <v>41</v>
      </c>
      <c r="V323" t="s">
        <v>42</v>
      </c>
      <c r="W323">
        <v>12</v>
      </c>
      <c r="X323">
        <v>3</v>
      </c>
      <c r="Y323">
        <v>4</v>
      </c>
      <c r="Z323">
        <v>80</v>
      </c>
      <c r="AA323">
        <v>3</v>
      </c>
      <c r="AB323">
        <v>13</v>
      </c>
      <c r="AC323">
        <v>3</v>
      </c>
      <c r="AD323">
        <v>3</v>
      </c>
      <c r="AE323">
        <v>7</v>
      </c>
      <c r="AF323">
        <v>7</v>
      </c>
      <c r="AG323">
        <v>1</v>
      </c>
      <c r="AH323">
        <v>7</v>
      </c>
    </row>
    <row r="324" spans="1:34" x14ac:dyDescent="0.2">
      <c r="A324">
        <v>32</v>
      </c>
      <c r="B324" t="s">
        <v>42</v>
      </c>
      <c r="C324" t="s">
        <v>35</v>
      </c>
      <c r="D324" t="s">
        <v>44</v>
      </c>
      <c r="E324">
        <v>2</v>
      </c>
      <c r="F324">
        <v>4</v>
      </c>
      <c r="G324" t="s">
        <v>50</v>
      </c>
      <c r="H324">
        <v>1</v>
      </c>
      <c r="I324">
        <v>439</v>
      </c>
      <c r="J324">
        <v>1</v>
      </c>
      <c r="K324" t="s">
        <v>38</v>
      </c>
      <c r="L324">
        <v>74</v>
      </c>
      <c r="M324">
        <v>4</v>
      </c>
      <c r="N324">
        <v>2</v>
      </c>
      <c r="O324" t="s">
        <v>46</v>
      </c>
      <c r="P324">
        <v>4</v>
      </c>
      <c r="Q324" t="s">
        <v>40</v>
      </c>
      <c r="R324">
        <v>5055</v>
      </c>
      <c r="S324">
        <v>10557</v>
      </c>
      <c r="T324">
        <v>7</v>
      </c>
      <c r="U324" t="s">
        <v>41</v>
      </c>
      <c r="V324" t="s">
        <v>42</v>
      </c>
      <c r="W324">
        <v>16</v>
      </c>
      <c r="X324">
        <v>3</v>
      </c>
      <c r="Y324">
        <v>3</v>
      </c>
      <c r="Z324">
        <v>80</v>
      </c>
      <c r="AA324">
        <v>0</v>
      </c>
      <c r="AB324">
        <v>10</v>
      </c>
      <c r="AC324">
        <v>0</v>
      </c>
      <c r="AD324">
        <v>2</v>
      </c>
      <c r="AE324">
        <v>7</v>
      </c>
      <c r="AF324">
        <v>7</v>
      </c>
      <c r="AG324">
        <v>0</v>
      </c>
      <c r="AH324">
        <v>7</v>
      </c>
    </row>
    <row r="325" spans="1:34" x14ac:dyDescent="0.2">
      <c r="A325">
        <v>28</v>
      </c>
      <c r="B325" t="s">
        <v>34</v>
      </c>
      <c r="C325" t="s">
        <v>35</v>
      </c>
      <c r="D325" t="s">
        <v>44</v>
      </c>
      <c r="E325">
        <v>2</v>
      </c>
      <c r="F325">
        <v>4</v>
      </c>
      <c r="G325" t="s">
        <v>50</v>
      </c>
      <c r="H325">
        <v>1</v>
      </c>
      <c r="I325">
        <v>440</v>
      </c>
      <c r="J325">
        <v>1</v>
      </c>
      <c r="K325" t="s">
        <v>45</v>
      </c>
      <c r="L325">
        <v>84</v>
      </c>
      <c r="M325">
        <v>1</v>
      </c>
      <c r="N325">
        <v>1</v>
      </c>
      <c r="O325" t="s">
        <v>46</v>
      </c>
      <c r="P325">
        <v>4</v>
      </c>
      <c r="Q325" t="s">
        <v>47</v>
      </c>
      <c r="R325">
        <v>3464</v>
      </c>
      <c r="S325">
        <v>24737</v>
      </c>
      <c r="T325">
        <v>5</v>
      </c>
      <c r="U325" t="s">
        <v>41</v>
      </c>
      <c r="V325" t="s">
        <v>34</v>
      </c>
      <c r="W325">
        <v>13</v>
      </c>
      <c r="X325">
        <v>3</v>
      </c>
      <c r="Y325">
        <v>4</v>
      </c>
      <c r="Z325">
        <v>80</v>
      </c>
      <c r="AA325">
        <v>0</v>
      </c>
      <c r="AB325">
        <v>5</v>
      </c>
      <c r="AC325">
        <v>4</v>
      </c>
      <c r="AD325">
        <v>2</v>
      </c>
      <c r="AE325">
        <v>3</v>
      </c>
      <c r="AF325">
        <v>2</v>
      </c>
      <c r="AG325">
        <v>2</v>
      </c>
      <c r="AH325">
        <v>2</v>
      </c>
    </row>
    <row r="326" spans="1:34" x14ac:dyDescent="0.2">
      <c r="A326">
        <v>30</v>
      </c>
      <c r="B326" t="s">
        <v>42</v>
      </c>
      <c r="C326" t="s">
        <v>35</v>
      </c>
      <c r="D326" t="s">
        <v>44</v>
      </c>
      <c r="E326">
        <v>28</v>
      </c>
      <c r="F326">
        <v>2</v>
      </c>
      <c r="G326" t="s">
        <v>50</v>
      </c>
      <c r="H326">
        <v>1</v>
      </c>
      <c r="I326">
        <v>441</v>
      </c>
      <c r="J326">
        <v>4</v>
      </c>
      <c r="K326" t="s">
        <v>38</v>
      </c>
      <c r="L326">
        <v>64</v>
      </c>
      <c r="M326">
        <v>3</v>
      </c>
      <c r="N326">
        <v>2</v>
      </c>
      <c r="O326" t="s">
        <v>46</v>
      </c>
      <c r="P326">
        <v>4</v>
      </c>
      <c r="Q326" t="s">
        <v>47</v>
      </c>
      <c r="R326">
        <v>5775</v>
      </c>
      <c r="S326">
        <v>11934</v>
      </c>
      <c r="T326">
        <v>1</v>
      </c>
      <c r="U326" t="s">
        <v>41</v>
      </c>
      <c r="V326" t="s">
        <v>42</v>
      </c>
      <c r="W326">
        <v>13</v>
      </c>
      <c r="X326">
        <v>3</v>
      </c>
      <c r="Y326">
        <v>4</v>
      </c>
      <c r="Z326">
        <v>80</v>
      </c>
      <c r="AA326">
        <v>2</v>
      </c>
      <c r="AB326">
        <v>11</v>
      </c>
      <c r="AC326">
        <v>2</v>
      </c>
      <c r="AD326">
        <v>3</v>
      </c>
      <c r="AE326">
        <v>10</v>
      </c>
      <c r="AF326">
        <v>8</v>
      </c>
      <c r="AG326">
        <v>1</v>
      </c>
      <c r="AH326">
        <v>9</v>
      </c>
    </row>
    <row r="327" spans="1:34" x14ac:dyDescent="0.2">
      <c r="A327">
        <v>31</v>
      </c>
      <c r="B327" t="s">
        <v>42</v>
      </c>
      <c r="C327" t="s">
        <v>43</v>
      </c>
      <c r="D327" t="s">
        <v>44</v>
      </c>
      <c r="E327">
        <v>7</v>
      </c>
      <c r="F327">
        <v>2</v>
      </c>
      <c r="G327" t="s">
        <v>37</v>
      </c>
      <c r="H327">
        <v>1</v>
      </c>
      <c r="I327">
        <v>442</v>
      </c>
      <c r="J327">
        <v>3</v>
      </c>
      <c r="K327" t="s">
        <v>38</v>
      </c>
      <c r="L327">
        <v>48</v>
      </c>
      <c r="M327">
        <v>2</v>
      </c>
      <c r="N327">
        <v>3</v>
      </c>
      <c r="O327" t="s">
        <v>52</v>
      </c>
      <c r="P327">
        <v>3</v>
      </c>
      <c r="Q327" t="s">
        <v>47</v>
      </c>
      <c r="R327">
        <v>8943</v>
      </c>
      <c r="S327">
        <v>14034</v>
      </c>
      <c r="T327">
        <v>1</v>
      </c>
      <c r="U327" t="s">
        <v>41</v>
      </c>
      <c r="V327" t="s">
        <v>42</v>
      </c>
      <c r="W327">
        <v>24</v>
      </c>
      <c r="X327">
        <v>4</v>
      </c>
      <c r="Y327">
        <v>1</v>
      </c>
      <c r="Z327">
        <v>80</v>
      </c>
      <c r="AA327">
        <v>1</v>
      </c>
      <c r="AB327">
        <v>10</v>
      </c>
      <c r="AC327">
        <v>2</v>
      </c>
      <c r="AD327">
        <v>3</v>
      </c>
      <c r="AE327">
        <v>10</v>
      </c>
      <c r="AF327">
        <v>9</v>
      </c>
      <c r="AG327">
        <v>8</v>
      </c>
      <c r="AH327">
        <v>9</v>
      </c>
    </row>
    <row r="328" spans="1:34" x14ac:dyDescent="0.2">
      <c r="A328">
        <v>39</v>
      </c>
      <c r="B328" t="s">
        <v>42</v>
      </c>
      <c r="C328" t="s">
        <v>43</v>
      </c>
      <c r="D328" t="s">
        <v>44</v>
      </c>
      <c r="E328">
        <v>7</v>
      </c>
      <c r="F328">
        <v>2</v>
      </c>
      <c r="G328" t="s">
        <v>50</v>
      </c>
      <c r="H328">
        <v>1</v>
      </c>
      <c r="I328">
        <v>444</v>
      </c>
      <c r="J328">
        <v>3</v>
      </c>
      <c r="K328" t="s">
        <v>45</v>
      </c>
      <c r="L328">
        <v>54</v>
      </c>
      <c r="M328">
        <v>2</v>
      </c>
      <c r="N328">
        <v>5</v>
      </c>
      <c r="O328" t="s">
        <v>55</v>
      </c>
      <c r="P328">
        <v>4</v>
      </c>
      <c r="Q328" t="s">
        <v>47</v>
      </c>
      <c r="R328">
        <v>19272</v>
      </c>
      <c r="S328">
        <v>21141</v>
      </c>
      <c r="T328">
        <v>1</v>
      </c>
      <c r="U328" t="s">
        <v>41</v>
      </c>
      <c r="V328" t="s">
        <v>42</v>
      </c>
      <c r="W328">
        <v>15</v>
      </c>
      <c r="X328">
        <v>3</v>
      </c>
      <c r="Y328">
        <v>1</v>
      </c>
      <c r="Z328">
        <v>80</v>
      </c>
      <c r="AA328">
        <v>1</v>
      </c>
      <c r="AB328">
        <v>21</v>
      </c>
      <c r="AC328">
        <v>2</v>
      </c>
      <c r="AD328">
        <v>3</v>
      </c>
      <c r="AE328">
        <v>21</v>
      </c>
      <c r="AF328">
        <v>9</v>
      </c>
      <c r="AG328">
        <v>13</v>
      </c>
      <c r="AH328">
        <v>3</v>
      </c>
    </row>
    <row r="329" spans="1:34" x14ac:dyDescent="0.2">
      <c r="A329">
        <v>39</v>
      </c>
      <c r="B329" t="s">
        <v>34</v>
      </c>
      <c r="C329" t="s">
        <v>35</v>
      </c>
      <c r="D329" t="s">
        <v>36</v>
      </c>
      <c r="E329">
        <v>3</v>
      </c>
      <c r="F329">
        <v>2</v>
      </c>
      <c r="G329" t="s">
        <v>50</v>
      </c>
      <c r="H329">
        <v>1</v>
      </c>
      <c r="I329">
        <v>445</v>
      </c>
      <c r="J329">
        <v>4</v>
      </c>
      <c r="K329" t="s">
        <v>38</v>
      </c>
      <c r="L329">
        <v>41</v>
      </c>
      <c r="M329">
        <v>3</v>
      </c>
      <c r="N329">
        <v>2</v>
      </c>
      <c r="O329" t="s">
        <v>39</v>
      </c>
      <c r="P329">
        <v>3</v>
      </c>
      <c r="Q329" t="s">
        <v>47</v>
      </c>
      <c r="R329">
        <v>5238</v>
      </c>
      <c r="S329">
        <v>17778</v>
      </c>
      <c r="T329">
        <v>4</v>
      </c>
      <c r="U329" t="s">
        <v>41</v>
      </c>
      <c r="V329" t="s">
        <v>34</v>
      </c>
      <c r="W329">
        <v>18</v>
      </c>
      <c r="X329">
        <v>3</v>
      </c>
      <c r="Y329">
        <v>1</v>
      </c>
      <c r="Z329">
        <v>80</v>
      </c>
      <c r="AA329">
        <v>0</v>
      </c>
      <c r="AB329">
        <v>12</v>
      </c>
      <c r="AC329">
        <v>3</v>
      </c>
      <c r="AD329">
        <v>2</v>
      </c>
      <c r="AE329">
        <v>1</v>
      </c>
      <c r="AF329">
        <v>0</v>
      </c>
      <c r="AG329">
        <v>0</v>
      </c>
      <c r="AH329">
        <v>0</v>
      </c>
    </row>
    <row r="330" spans="1:34" x14ac:dyDescent="0.2">
      <c r="A330">
        <v>33</v>
      </c>
      <c r="B330" t="s">
        <v>42</v>
      </c>
      <c r="C330" t="s">
        <v>43</v>
      </c>
      <c r="D330" t="s">
        <v>36</v>
      </c>
      <c r="E330">
        <v>10</v>
      </c>
      <c r="F330">
        <v>3</v>
      </c>
      <c r="G330" t="s">
        <v>58</v>
      </c>
      <c r="H330">
        <v>1</v>
      </c>
      <c r="I330">
        <v>446</v>
      </c>
      <c r="J330">
        <v>2</v>
      </c>
      <c r="K330" t="s">
        <v>45</v>
      </c>
      <c r="L330">
        <v>46</v>
      </c>
      <c r="M330">
        <v>2</v>
      </c>
      <c r="N330">
        <v>2</v>
      </c>
      <c r="O330" t="s">
        <v>39</v>
      </c>
      <c r="P330">
        <v>4</v>
      </c>
      <c r="Q330" t="s">
        <v>40</v>
      </c>
      <c r="R330">
        <v>4682</v>
      </c>
      <c r="S330">
        <v>4317</v>
      </c>
      <c r="T330">
        <v>3</v>
      </c>
      <c r="U330" t="s">
        <v>41</v>
      </c>
      <c r="V330" t="s">
        <v>42</v>
      </c>
      <c r="W330">
        <v>14</v>
      </c>
      <c r="X330">
        <v>3</v>
      </c>
      <c r="Y330">
        <v>3</v>
      </c>
      <c r="Z330">
        <v>80</v>
      </c>
      <c r="AA330">
        <v>0</v>
      </c>
      <c r="AB330">
        <v>9</v>
      </c>
      <c r="AC330">
        <v>6</v>
      </c>
      <c r="AD330">
        <v>2</v>
      </c>
      <c r="AE330">
        <v>7</v>
      </c>
      <c r="AF330">
        <v>7</v>
      </c>
      <c r="AG330">
        <v>0</v>
      </c>
      <c r="AH330">
        <v>1</v>
      </c>
    </row>
    <row r="331" spans="1:34" x14ac:dyDescent="0.2">
      <c r="A331">
        <v>47</v>
      </c>
      <c r="B331" t="s">
        <v>42</v>
      </c>
      <c r="C331" t="s">
        <v>35</v>
      </c>
      <c r="D331" t="s">
        <v>44</v>
      </c>
      <c r="E331">
        <v>5</v>
      </c>
      <c r="F331">
        <v>5</v>
      </c>
      <c r="G331" t="s">
        <v>37</v>
      </c>
      <c r="H331">
        <v>1</v>
      </c>
      <c r="I331">
        <v>447</v>
      </c>
      <c r="J331">
        <v>4</v>
      </c>
      <c r="K331" t="s">
        <v>45</v>
      </c>
      <c r="L331">
        <v>42</v>
      </c>
      <c r="M331">
        <v>3</v>
      </c>
      <c r="N331">
        <v>5</v>
      </c>
      <c r="O331" t="s">
        <v>57</v>
      </c>
      <c r="P331">
        <v>3</v>
      </c>
      <c r="Q331" t="s">
        <v>47</v>
      </c>
      <c r="R331">
        <v>18300</v>
      </c>
      <c r="S331">
        <v>16375</v>
      </c>
      <c r="T331">
        <v>4</v>
      </c>
      <c r="U331" t="s">
        <v>41</v>
      </c>
      <c r="V331" t="s">
        <v>42</v>
      </c>
      <c r="W331">
        <v>11</v>
      </c>
      <c r="X331">
        <v>3</v>
      </c>
      <c r="Y331">
        <v>2</v>
      </c>
      <c r="Z331">
        <v>80</v>
      </c>
      <c r="AA331">
        <v>1</v>
      </c>
      <c r="AB331">
        <v>21</v>
      </c>
      <c r="AC331">
        <v>2</v>
      </c>
      <c r="AD331">
        <v>3</v>
      </c>
      <c r="AE331">
        <v>3</v>
      </c>
      <c r="AF331">
        <v>2</v>
      </c>
      <c r="AG331">
        <v>1</v>
      </c>
      <c r="AH331">
        <v>1</v>
      </c>
    </row>
    <row r="332" spans="1:34" x14ac:dyDescent="0.2">
      <c r="A332">
        <v>43</v>
      </c>
      <c r="B332" t="s">
        <v>42</v>
      </c>
      <c r="C332" t="s">
        <v>43</v>
      </c>
      <c r="D332" t="s">
        <v>44</v>
      </c>
      <c r="E332">
        <v>10</v>
      </c>
      <c r="F332">
        <v>4</v>
      </c>
      <c r="G332" t="s">
        <v>37</v>
      </c>
      <c r="H332">
        <v>1</v>
      </c>
      <c r="I332">
        <v>448</v>
      </c>
      <c r="J332">
        <v>3</v>
      </c>
      <c r="K332" t="s">
        <v>38</v>
      </c>
      <c r="L332">
        <v>82</v>
      </c>
      <c r="M332">
        <v>2</v>
      </c>
      <c r="N332">
        <v>2</v>
      </c>
      <c r="O332" t="s">
        <v>49</v>
      </c>
      <c r="P332">
        <v>3</v>
      </c>
      <c r="Q332" t="s">
        <v>51</v>
      </c>
      <c r="R332">
        <v>5257</v>
      </c>
      <c r="S332">
        <v>6227</v>
      </c>
      <c r="T332">
        <v>1</v>
      </c>
      <c r="U332" t="s">
        <v>41</v>
      </c>
      <c r="V332" t="s">
        <v>42</v>
      </c>
      <c r="W332">
        <v>11</v>
      </c>
      <c r="X332">
        <v>3</v>
      </c>
      <c r="Y332">
        <v>2</v>
      </c>
      <c r="Z332">
        <v>80</v>
      </c>
      <c r="AA332">
        <v>1</v>
      </c>
      <c r="AB332">
        <v>9</v>
      </c>
      <c r="AC332">
        <v>3</v>
      </c>
      <c r="AD332">
        <v>4</v>
      </c>
      <c r="AE332">
        <v>9</v>
      </c>
      <c r="AF332">
        <v>7</v>
      </c>
      <c r="AG332">
        <v>0</v>
      </c>
      <c r="AH332">
        <v>0</v>
      </c>
    </row>
    <row r="333" spans="1:34" x14ac:dyDescent="0.2">
      <c r="A333">
        <v>27</v>
      </c>
      <c r="B333" t="s">
        <v>42</v>
      </c>
      <c r="C333" t="s">
        <v>54</v>
      </c>
      <c r="D333" t="s">
        <v>36</v>
      </c>
      <c r="E333">
        <v>1</v>
      </c>
      <c r="F333">
        <v>1</v>
      </c>
      <c r="G333" t="s">
        <v>58</v>
      </c>
      <c r="H333">
        <v>1</v>
      </c>
      <c r="I333">
        <v>449</v>
      </c>
      <c r="J333">
        <v>3</v>
      </c>
      <c r="K333" t="s">
        <v>45</v>
      </c>
      <c r="L333">
        <v>73</v>
      </c>
      <c r="M333">
        <v>3</v>
      </c>
      <c r="N333">
        <v>2</v>
      </c>
      <c r="O333" t="s">
        <v>39</v>
      </c>
      <c r="P333">
        <v>2</v>
      </c>
      <c r="Q333" t="s">
        <v>47</v>
      </c>
      <c r="R333">
        <v>6349</v>
      </c>
      <c r="S333">
        <v>22107</v>
      </c>
      <c r="T333">
        <v>0</v>
      </c>
      <c r="U333" t="s">
        <v>41</v>
      </c>
      <c r="V333" t="s">
        <v>34</v>
      </c>
      <c r="W333">
        <v>13</v>
      </c>
      <c r="X333">
        <v>3</v>
      </c>
      <c r="Y333">
        <v>4</v>
      </c>
      <c r="Z333">
        <v>80</v>
      </c>
      <c r="AA333">
        <v>1</v>
      </c>
      <c r="AB333">
        <v>6</v>
      </c>
      <c r="AC333">
        <v>0</v>
      </c>
      <c r="AD333">
        <v>3</v>
      </c>
      <c r="AE333">
        <v>5</v>
      </c>
      <c r="AF333">
        <v>4</v>
      </c>
      <c r="AG333">
        <v>1</v>
      </c>
      <c r="AH333">
        <v>4</v>
      </c>
    </row>
    <row r="334" spans="1:34" x14ac:dyDescent="0.2">
      <c r="A334">
        <v>54</v>
      </c>
      <c r="B334" t="s">
        <v>42</v>
      </c>
      <c r="C334" t="s">
        <v>43</v>
      </c>
      <c r="D334" t="s">
        <v>44</v>
      </c>
      <c r="E334">
        <v>20</v>
      </c>
      <c r="F334">
        <v>4</v>
      </c>
      <c r="G334" t="s">
        <v>37</v>
      </c>
      <c r="H334">
        <v>1</v>
      </c>
      <c r="I334">
        <v>450</v>
      </c>
      <c r="J334">
        <v>4</v>
      </c>
      <c r="K334" t="s">
        <v>38</v>
      </c>
      <c r="L334">
        <v>31</v>
      </c>
      <c r="M334">
        <v>3</v>
      </c>
      <c r="N334">
        <v>2</v>
      </c>
      <c r="O334" t="s">
        <v>46</v>
      </c>
      <c r="P334">
        <v>3</v>
      </c>
      <c r="Q334" t="s">
        <v>40</v>
      </c>
      <c r="R334">
        <v>4869</v>
      </c>
      <c r="S334">
        <v>16885</v>
      </c>
      <c r="T334">
        <v>3</v>
      </c>
      <c r="U334" t="s">
        <v>41</v>
      </c>
      <c r="V334" t="s">
        <v>42</v>
      </c>
      <c r="W334">
        <v>12</v>
      </c>
      <c r="X334">
        <v>3</v>
      </c>
      <c r="Y334">
        <v>4</v>
      </c>
      <c r="Z334">
        <v>80</v>
      </c>
      <c r="AA334">
        <v>0</v>
      </c>
      <c r="AB334">
        <v>20</v>
      </c>
      <c r="AC334">
        <v>4</v>
      </c>
      <c r="AD334">
        <v>2</v>
      </c>
      <c r="AE334">
        <v>4</v>
      </c>
      <c r="AF334">
        <v>3</v>
      </c>
      <c r="AG334">
        <v>0</v>
      </c>
      <c r="AH334">
        <v>3</v>
      </c>
    </row>
    <row r="335" spans="1:34" x14ac:dyDescent="0.2">
      <c r="A335">
        <v>43</v>
      </c>
      <c r="B335" t="s">
        <v>42</v>
      </c>
      <c r="C335" t="s">
        <v>35</v>
      </c>
      <c r="D335" t="s">
        <v>44</v>
      </c>
      <c r="E335">
        <v>7</v>
      </c>
      <c r="F335">
        <v>3</v>
      </c>
      <c r="G335" t="s">
        <v>37</v>
      </c>
      <c r="H335">
        <v>1</v>
      </c>
      <c r="I335">
        <v>451</v>
      </c>
      <c r="J335">
        <v>3</v>
      </c>
      <c r="K335" t="s">
        <v>38</v>
      </c>
      <c r="L335">
        <v>43</v>
      </c>
      <c r="M335">
        <v>3</v>
      </c>
      <c r="N335">
        <v>3</v>
      </c>
      <c r="O335" t="s">
        <v>53</v>
      </c>
      <c r="P335">
        <v>1</v>
      </c>
      <c r="Q335" t="s">
        <v>47</v>
      </c>
      <c r="R335">
        <v>9985</v>
      </c>
      <c r="S335">
        <v>9262</v>
      </c>
      <c r="T335">
        <v>8</v>
      </c>
      <c r="U335" t="s">
        <v>41</v>
      </c>
      <c r="V335" t="s">
        <v>42</v>
      </c>
      <c r="W335">
        <v>16</v>
      </c>
      <c r="X335">
        <v>3</v>
      </c>
      <c r="Y335">
        <v>1</v>
      </c>
      <c r="Z335">
        <v>80</v>
      </c>
      <c r="AA335">
        <v>1</v>
      </c>
      <c r="AB335">
        <v>10</v>
      </c>
      <c r="AC335">
        <v>1</v>
      </c>
      <c r="AD335">
        <v>2</v>
      </c>
      <c r="AE335">
        <v>1</v>
      </c>
      <c r="AF335">
        <v>0</v>
      </c>
      <c r="AG335">
        <v>0</v>
      </c>
      <c r="AH335">
        <v>0</v>
      </c>
    </row>
    <row r="336" spans="1:34" x14ac:dyDescent="0.2">
      <c r="A336">
        <v>45</v>
      </c>
      <c r="B336" t="s">
        <v>42</v>
      </c>
      <c r="C336" t="s">
        <v>35</v>
      </c>
      <c r="D336" t="s">
        <v>44</v>
      </c>
      <c r="E336">
        <v>8</v>
      </c>
      <c r="F336">
        <v>4</v>
      </c>
      <c r="G336" t="s">
        <v>48</v>
      </c>
      <c r="H336">
        <v>1</v>
      </c>
      <c r="I336">
        <v>452</v>
      </c>
      <c r="J336">
        <v>4</v>
      </c>
      <c r="K336" t="s">
        <v>45</v>
      </c>
      <c r="L336">
        <v>75</v>
      </c>
      <c r="M336">
        <v>3</v>
      </c>
      <c r="N336">
        <v>2</v>
      </c>
      <c r="O336" t="s">
        <v>46</v>
      </c>
      <c r="P336">
        <v>4</v>
      </c>
      <c r="Q336" t="s">
        <v>47</v>
      </c>
      <c r="R336">
        <v>3697</v>
      </c>
      <c r="S336">
        <v>9278</v>
      </c>
      <c r="T336">
        <v>9</v>
      </c>
      <c r="U336" t="s">
        <v>41</v>
      </c>
      <c r="V336" t="s">
        <v>42</v>
      </c>
      <c r="W336">
        <v>14</v>
      </c>
      <c r="X336">
        <v>3</v>
      </c>
      <c r="Y336">
        <v>1</v>
      </c>
      <c r="Z336">
        <v>80</v>
      </c>
      <c r="AA336">
        <v>2</v>
      </c>
      <c r="AB336">
        <v>12</v>
      </c>
      <c r="AC336">
        <v>3</v>
      </c>
      <c r="AD336">
        <v>3</v>
      </c>
      <c r="AE336">
        <v>10</v>
      </c>
      <c r="AF336">
        <v>9</v>
      </c>
      <c r="AG336">
        <v>9</v>
      </c>
      <c r="AH336">
        <v>8</v>
      </c>
    </row>
    <row r="337" spans="1:34" x14ac:dyDescent="0.2">
      <c r="A337">
        <v>40</v>
      </c>
      <c r="B337" t="s">
        <v>42</v>
      </c>
      <c r="C337" t="s">
        <v>35</v>
      </c>
      <c r="D337" t="s">
        <v>36</v>
      </c>
      <c r="E337">
        <v>1</v>
      </c>
      <c r="F337">
        <v>2</v>
      </c>
      <c r="G337" t="s">
        <v>50</v>
      </c>
      <c r="H337">
        <v>1</v>
      </c>
      <c r="I337">
        <v>453</v>
      </c>
      <c r="J337">
        <v>2</v>
      </c>
      <c r="K337" t="s">
        <v>45</v>
      </c>
      <c r="L337">
        <v>57</v>
      </c>
      <c r="M337">
        <v>1</v>
      </c>
      <c r="N337">
        <v>2</v>
      </c>
      <c r="O337" t="s">
        <v>39</v>
      </c>
      <c r="P337">
        <v>4</v>
      </c>
      <c r="Q337" t="s">
        <v>47</v>
      </c>
      <c r="R337">
        <v>7457</v>
      </c>
      <c r="S337">
        <v>13273</v>
      </c>
      <c r="T337">
        <v>2</v>
      </c>
      <c r="U337" t="s">
        <v>41</v>
      </c>
      <c r="V337" t="s">
        <v>34</v>
      </c>
      <c r="W337">
        <v>22</v>
      </c>
      <c r="X337">
        <v>4</v>
      </c>
      <c r="Y337">
        <v>3</v>
      </c>
      <c r="Z337">
        <v>80</v>
      </c>
      <c r="AA337">
        <v>3</v>
      </c>
      <c r="AB337">
        <v>6</v>
      </c>
      <c r="AC337">
        <v>2</v>
      </c>
      <c r="AD337">
        <v>2</v>
      </c>
      <c r="AE337">
        <v>4</v>
      </c>
      <c r="AF337">
        <v>3</v>
      </c>
      <c r="AG337">
        <v>0</v>
      </c>
      <c r="AH337">
        <v>2</v>
      </c>
    </row>
    <row r="338" spans="1:34" x14ac:dyDescent="0.2">
      <c r="A338">
        <v>29</v>
      </c>
      <c r="B338" t="s">
        <v>34</v>
      </c>
      <c r="C338" t="s">
        <v>35</v>
      </c>
      <c r="D338" t="s">
        <v>44</v>
      </c>
      <c r="E338">
        <v>8</v>
      </c>
      <c r="F338">
        <v>4</v>
      </c>
      <c r="G338" t="s">
        <v>48</v>
      </c>
      <c r="H338">
        <v>1</v>
      </c>
      <c r="I338">
        <v>454</v>
      </c>
      <c r="J338">
        <v>2</v>
      </c>
      <c r="K338" t="s">
        <v>45</v>
      </c>
      <c r="L338">
        <v>77</v>
      </c>
      <c r="M338">
        <v>1</v>
      </c>
      <c r="N338">
        <v>1</v>
      </c>
      <c r="O338" t="s">
        <v>49</v>
      </c>
      <c r="P338">
        <v>1</v>
      </c>
      <c r="Q338" t="s">
        <v>47</v>
      </c>
      <c r="R338">
        <v>2119</v>
      </c>
      <c r="S338">
        <v>4759</v>
      </c>
      <c r="T338">
        <v>1</v>
      </c>
      <c r="U338" t="s">
        <v>41</v>
      </c>
      <c r="V338" t="s">
        <v>34</v>
      </c>
      <c r="W338">
        <v>11</v>
      </c>
      <c r="X338">
        <v>3</v>
      </c>
      <c r="Y338">
        <v>4</v>
      </c>
      <c r="Z338">
        <v>80</v>
      </c>
      <c r="AA338">
        <v>0</v>
      </c>
      <c r="AB338">
        <v>7</v>
      </c>
      <c r="AC338">
        <v>4</v>
      </c>
      <c r="AD338">
        <v>2</v>
      </c>
      <c r="AE338">
        <v>7</v>
      </c>
      <c r="AF338">
        <v>7</v>
      </c>
      <c r="AG338">
        <v>0</v>
      </c>
      <c r="AH338">
        <v>7</v>
      </c>
    </row>
    <row r="339" spans="1:34" x14ac:dyDescent="0.2">
      <c r="A339">
        <v>29</v>
      </c>
      <c r="B339" t="s">
        <v>42</v>
      </c>
      <c r="C339" t="s">
        <v>35</v>
      </c>
      <c r="D339" t="s">
        <v>44</v>
      </c>
      <c r="E339">
        <v>9</v>
      </c>
      <c r="F339">
        <v>5</v>
      </c>
      <c r="G339" t="s">
        <v>48</v>
      </c>
      <c r="H339">
        <v>1</v>
      </c>
      <c r="I339">
        <v>455</v>
      </c>
      <c r="J339">
        <v>2</v>
      </c>
      <c r="K339" t="s">
        <v>45</v>
      </c>
      <c r="L339">
        <v>30</v>
      </c>
      <c r="M339">
        <v>2</v>
      </c>
      <c r="N339">
        <v>1</v>
      </c>
      <c r="O339" t="s">
        <v>49</v>
      </c>
      <c r="P339">
        <v>4</v>
      </c>
      <c r="Q339" t="s">
        <v>40</v>
      </c>
      <c r="R339">
        <v>3983</v>
      </c>
      <c r="S339">
        <v>7621</v>
      </c>
      <c r="T339">
        <v>0</v>
      </c>
      <c r="U339" t="s">
        <v>41</v>
      </c>
      <c r="V339" t="s">
        <v>42</v>
      </c>
      <c r="W339">
        <v>17</v>
      </c>
      <c r="X339">
        <v>3</v>
      </c>
      <c r="Y339">
        <v>3</v>
      </c>
      <c r="Z339">
        <v>80</v>
      </c>
      <c r="AA339">
        <v>0</v>
      </c>
      <c r="AB339">
        <v>4</v>
      </c>
      <c r="AC339">
        <v>2</v>
      </c>
      <c r="AD339">
        <v>3</v>
      </c>
      <c r="AE339">
        <v>3</v>
      </c>
      <c r="AF339">
        <v>2</v>
      </c>
      <c r="AG339">
        <v>2</v>
      </c>
      <c r="AH339">
        <v>2</v>
      </c>
    </row>
    <row r="340" spans="1:34" x14ac:dyDescent="0.2">
      <c r="A340">
        <v>30</v>
      </c>
      <c r="B340" t="s">
        <v>42</v>
      </c>
      <c r="C340" t="s">
        <v>35</v>
      </c>
      <c r="D340" t="s">
        <v>36</v>
      </c>
      <c r="E340">
        <v>5</v>
      </c>
      <c r="F340">
        <v>3</v>
      </c>
      <c r="G340" t="s">
        <v>58</v>
      </c>
      <c r="H340">
        <v>1</v>
      </c>
      <c r="I340">
        <v>456</v>
      </c>
      <c r="J340">
        <v>4</v>
      </c>
      <c r="K340" t="s">
        <v>38</v>
      </c>
      <c r="L340">
        <v>30</v>
      </c>
      <c r="M340">
        <v>2</v>
      </c>
      <c r="N340">
        <v>2</v>
      </c>
      <c r="O340" t="s">
        <v>39</v>
      </c>
      <c r="P340">
        <v>3</v>
      </c>
      <c r="Q340" t="s">
        <v>51</v>
      </c>
      <c r="R340">
        <v>6118</v>
      </c>
      <c r="S340">
        <v>5431</v>
      </c>
      <c r="T340">
        <v>1</v>
      </c>
      <c r="U340" t="s">
        <v>41</v>
      </c>
      <c r="V340" t="s">
        <v>42</v>
      </c>
      <c r="W340">
        <v>13</v>
      </c>
      <c r="X340">
        <v>3</v>
      </c>
      <c r="Y340">
        <v>3</v>
      </c>
      <c r="Z340">
        <v>80</v>
      </c>
      <c r="AA340">
        <v>3</v>
      </c>
      <c r="AB340">
        <v>10</v>
      </c>
      <c r="AC340">
        <v>2</v>
      </c>
      <c r="AD340">
        <v>3</v>
      </c>
      <c r="AE340">
        <v>10</v>
      </c>
      <c r="AF340">
        <v>9</v>
      </c>
      <c r="AG340">
        <v>1</v>
      </c>
      <c r="AH340">
        <v>2</v>
      </c>
    </row>
    <row r="341" spans="1:34" x14ac:dyDescent="0.2">
      <c r="A341">
        <v>27</v>
      </c>
      <c r="B341" t="s">
        <v>42</v>
      </c>
      <c r="C341" t="s">
        <v>35</v>
      </c>
      <c r="D341" t="s">
        <v>36</v>
      </c>
      <c r="E341">
        <v>8</v>
      </c>
      <c r="F341">
        <v>4</v>
      </c>
      <c r="G341" t="s">
        <v>58</v>
      </c>
      <c r="H341">
        <v>1</v>
      </c>
      <c r="I341">
        <v>458</v>
      </c>
      <c r="J341">
        <v>2</v>
      </c>
      <c r="K341" t="s">
        <v>38</v>
      </c>
      <c r="L341">
        <v>56</v>
      </c>
      <c r="M341">
        <v>3</v>
      </c>
      <c r="N341">
        <v>2</v>
      </c>
      <c r="O341" t="s">
        <v>39</v>
      </c>
      <c r="P341">
        <v>2</v>
      </c>
      <c r="Q341" t="s">
        <v>47</v>
      </c>
      <c r="R341">
        <v>6214</v>
      </c>
      <c r="S341">
        <v>3415</v>
      </c>
      <c r="T341">
        <v>1</v>
      </c>
      <c r="U341" t="s">
        <v>41</v>
      </c>
      <c r="V341" t="s">
        <v>42</v>
      </c>
      <c r="W341">
        <v>18</v>
      </c>
      <c r="X341">
        <v>3</v>
      </c>
      <c r="Y341">
        <v>1</v>
      </c>
      <c r="Z341">
        <v>80</v>
      </c>
      <c r="AA341">
        <v>1</v>
      </c>
      <c r="AB341">
        <v>8</v>
      </c>
      <c r="AC341">
        <v>3</v>
      </c>
      <c r="AD341">
        <v>3</v>
      </c>
      <c r="AE341">
        <v>8</v>
      </c>
      <c r="AF341">
        <v>7</v>
      </c>
      <c r="AG341">
        <v>0</v>
      </c>
      <c r="AH341">
        <v>7</v>
      </c>
    </row>
    <row r="342" spans="1:34" x14ac:dyDescent="0.2">
      <c r="A342">
        <v>37</v>
      </c>
      <c r="B342" t="s">
        <v>42</v>
      </c>
      <c r="C342" t="s">
        <v>35</v>
      </c>
      <c r="D342" t="s">
        <v>44</v>
      </c>
      <c r="E342">
        <v>5</v>
      </c>
      <c r="F342">
        <v>2</v>
      </c>
      <c r="G342" t="s">
        <v>50</v>
      </c>
      <c r="H342">
        <v>1</v>
      </c>
      <c r="I342">
        <v>460</v>
      </c>
      <c r="J342">
        <v>4</v>
      </c>
      <c r="K342" t="s">
        <v>45</v>
      </c>
      <c r="L342">
        <v>61</v>
      </c>
      <c r="M342">
        <v>3</v>
      </c>
      <c r="N342">
        <v>2</v>
      </c>
      <c r="O342" t="s">
        <v>52</v>
      </c>
      <c r="P342">
        <v>4</v>
      </c>
      <c r="Q342" t="s">
        <v>51</v>
      </c>
      <c r="R342">
        <v>6347</v>
      </c>
      <c r="S342">
        <v>23177</v>
      </c>
      <c r="T342">
        <v>7</v>
      </c>
      <c r="U342" t="s">
        <v>41</v>
      </c>
      <c r="V342" t="s">
        <v>42</v>
      </c>
      <c r="W342">
        <v>16</v>
      </c>
      <c r="X342">
        <v>3</v>
      </c>
      <c r="Y342">
        <v>3</v>
      </c>
      <c r="Z342">
        <v>80</v>
      </c>
      <c r="AA342">
        <v>2</v>
      </c>
      <c r="AB342">
        <v>8</v>
      </c>
      <c r="AC342">
        <v>2</v>
      </c>
      <c r="AD342">
        <v>2</v>
      </c>
      <c r="AE342">
        <v>6</v>
      </c>
      <c r="AF342">
        <v>2</v>
      </c>
      <c r="AG342">
        <v>0</v>
      </c>
      <c r="AH342">
        <v>4</v>
      </c>
    </row>
    <row r="343" spans="1:34" x14ac:dyDescent="0.2">
      <c r="A343">
        <v>38</v>
      </c>
      <c r="B343" t="s">
        <v>42</v>
      </c>
      <c r="C343" t="s">
        <v>35</v>
      </c>
      <c r="D343" t="s">
        <v>44</v>
      </c>
      <c r="E343">
        <v>15</v>
      </c>
      <c r="F343">
        <v>2</v>
      </c>
      <c r="G343" t="s">
        <v>37</v>
      </c>
      <c r="H343">
        <v>1</v>
      </c>
      <c r="I343">
        <v>461</v>
      </c>
      <c r="J343">
        <v>3</v>
      </c>
      <c r="K343" t="s">
        <v>45</v>
      </c>
      <c r="L343">
        <v>92</v>
      </c>
      <c r="M343">
        <v>2</v>
      </c>
      <c r="N343">
        <v>3</v>
      </c>
      <c r="O343" t="s">
        <v>57</v>
      </c>
      <c r="P343">
        <v>4</v>
      </c>
      <c r="Q343" t="s">
        <v>51</v>
      </c>
      <c r="R343">
        <v>11510</v>
      </c>
      <c r="S343">
        <v>15682</v>
      </c>
      <c r="T343">
        <v>0</v>
      </c>
      <c r="U343" t="s">
        <v>41</v>
      </c>
      <c r="V343" t="s">
        <v>34</v>
      </c>
      <c r="W343">
        <v>14</v>
      </c>
      <c r="X343">
        <v>3</v>
      </c>
      <c r="Y343">
        <v>2</v>
      </c>
      <c r="Z343">
        <v>80</v>
      </c>
      <c r="AA343">
        <v>1</v>
      </c>
      <c r="AB343">
        <v>12</v>
      </c>
      <c r="AC343">
        <v>3</v>
      </c>
      <c r="AD343">
        <v>3</v>
      </c>
      <c r="AE343">
        <v>11</v>
      </c>
      <c r="AF343">
        <v>10</v>
      </c>
      <c r="AG343">
        <v>2</v>
      </c>
      <c r="AH343">
        <v>9</v>
      </c>
    </row>
    <row r="344" spans="1:34" x14ac:dyDescent="0.2">
      <c r="A344">
        <v>31</v>
      </c>
      <c r="B344" t="s">
        <v>42</v>
      </c>
      <c r="C344" t="s">
        <v>35</v>
      </c>
      <c r="D344" t="s">
        <v>44</v>
      </c>
      <c r="E344">
        <v>7</v>
      </c>
      <c r="F344">
        <v>4</v>
      </c>
      <c r="G344" t="s">
        <v>50</v>
      </c>
      <c r="H344">
        <v>1</v>
      </c>
      <c r="I344">
        <v>462</v>
      </c>
      <c r="J344">
        <v>3</v>
      </c>
      <c r="K344" t="s">
        <v>38</v>
      </c>
      <c r="L344">
        <v>39</v>
      </c>
      <c r="M344">
        <v>3</v>
      </c>
      <c r="N344">
        <v>3</v>
      </c>
      <c r="O344" t="s">
        <v>52</v>
      </c>
      <c r="P344">
        <v>4</v>
      </c>
      <c r="Q344" t="s">
        <v>40</v>
      </c>
      <c r="R344">
        <v>7143</v>
      </c>
      <c r="S344">
        <v>25713</v>
      </c>
      <c r="T344">
        <v>1</v>
      </c>
      <c r="U344" t="s">
        <v>41</v>
      </c>
      <c r="V344" t="s">
        <v>34</v>
      </c>
      <c r="W344">
        <v>14</v>
      </c>
      <c r="X344">
        <v>3</v>
      </c>
      <c r="Y344">
        <v>3</v>
      </c>
      <c r="Z344">
        <v>80</v>
      </c>
      <c r="AA344">
        <v>0</v>
      </c>
      <c r="AB344">
        <v>11</v>
      </c>
      <c r="AC344">
        <v>2</v>
      </c>
      <c r="AD344">
        <v>2</v>
      </c>
      <c r="AE344">
        <v>11</v>
      </c>
      <c r="AF344">
        <v>9</v>
      </c>
      <c r="AG344">
        <v>4</v>
      </c>
      <c r="AH344">
        <v>10</v>
      </c>
    </row>
    <row r="345" spans="1:34" x14ac:dyDescent="0.2">
      <c r="A345">
        <v>29</v>
      </c>
      <c r="B345" t="s">
        <v>42</v>
      </c>
      <c r="C345" t="s">
        <v>35</v>
      </c>
      <c r="D345" t="s">
        <v>36</v>
      </c>
      <c r="E345">
        <v>10</v>
      </c>
      <c r="F345">
        <v>1</v>
      </c>
      <c r="G345" t="s">
        <v>58</v>
      </c>
      <c r="H345">
        <v>1</v>
      </c>
      <c r="I345">
        <v>463</v>
      </c>
      <c r="J345">
        <v>4</v>
      </c>
      <c r="K345" t="s">
        <v>38</v>
      </c>
      <c r="L345">
        <v>39</v>
      </c>
      <c r="M345">
        <v>2</v>
      </c>
      <c r="N345">
        <v>2</v>
      </c>
      <c r="O345" t="s">
        <v>39</v>
      </c>
      <c r="P345">
        <v>2</v>
      </c>
      <c r="Q345" t="s">
        <v>51</v>
      </c>
      <c r="R345">
        <v>8268</v>
      </c>
      <c r="S345">
        <v>11866</v>
      </c>
      <c r="T345">
        <v>1</v>
      </c>
      <c r="U345" t="s">
        <v>41</v>
      </c>
      <c r="V345" t="s">
        <v>34</v>
      </c>
      <c r="W345">
        <v>14</v>
      </c>
      <c r="X345">
        <v>3</v>
      </c>
      <c r="Y345">
        <v>1</v>
      </c>
      <c r="Z345">
        <v>80</v>
      </c>
      <c r="AA345">
        <v>2</v>
      </c>
      <c r="AB345">
        <v>7</v>
      </c>
      <c r="AC345">
        <v>2</v>
      </c>
      <c r="AD345">
        <v>3</v>
      </c>
      <c r="AE345">
        <v>7</v>
      </c>
      <c r="AF345">
        <v>7</v>
      </c>
      <c r="AG345">
        <v>1</v>
      </c>
      <c r="AH345">
        <v>7</v>
      </c>
    </row>
    <row r="346" spans="1:34" x14ac:dyDescent="0.2">
      <c r="A346">
        <v>35</v>
      </c>
      <c r="B346" t="s">
        <v>42</v>
      </c>
      <c r="C346" t="s">
        <v>35</v>
      </c>
      <c r="D346" t="s">
        <v>44</v>
      </c>
      <c r="E346">
        <v>5</v>
      </c>
      <c r="F346">
        <v>4</v>
      </c>
      <c r="G346" t="s">
        <v>59</v>
      </c>
      <c r="H346">
        <v>1</v>
      </c>
      <c r="I346">
        <v>464</v>
      </c>
      <c r="J346">
        <v>3</v>
      </c>
      <c r="K346" t="s">
        <v>45</v>
      </c>
      <c r="L346">
        <v>62</v>
      </c>
      <c r="M346">
        <v>3</v>
      </c>
      <c r="N346">
        <v>3</v>
      </c>
      <c r="O346" t="s">
        <v>52</v>
      </c>
      <c r="P346">
        <v>2</v>
      </c>
      <c r="Q346" t="s">
        <v>40</v>
      </c>
      <c r="R346">
        <v>8095</v>
      </c>
      <c r="S346">
        <v>18264</v>
      </c>
      <c r="T346">
        <v>0</v>
      </c>
      <c r="U346" t="s">
        <v>41</v>
      </c>
      <c r="V346" t="s">
        <v>42</v>
      </c>
      <c r="W346">
        <v>13</v>
      </c>
      <c r="X346">
        <v>3</v>
      </c>
      <c r="Y346">
        <v>4</v>
      </c>
      <c r="Z346">
        <v>80</v>
      </c>
      <c r="AA346">
        <v>0</v>
      </c>
      <c r="AB346">
        <v>17</v>
      </c>
      <c r="AC346">
        <v>5</v>
      </c>
      <c r="AD346">
        <v>3</v>
      </c>
      <c r="AE346">
        <v>16</v>
      </c>
      <c r="AF346">
        <v>6</v>
      </c>
      <c r="AG346">
        <v>0</v>
      </c>
      <c r="AH346">
        <v>13</v>
      </c>
    </row>
    <row r="347" spans="1:34" x14ac:dyDescent="0.2">
      <c r="A347">
        <v>23</v>
      </c>
      <c r="B347" t="s">
        <v>42</v>
      </c>
      <c r="C347" t="s">
        <v>35</v>
      </c>
      <c r="D347" t="s">
        <v>44</v>
      </c>
      <c r="E347">
        <v>26</v>
      </c>
      <c r="F347">
        <v>1</v>
      </c>
      <c r="G347" t="s">
        <v>37</v>
      </c>
      <c r="H347">
        <v>1</v>
      </c>
      <c r="I347">
        <v>465</v>
      </c>
      <c r="J347">
        <v>3</v>
      </c>
      <c r="K347" t="s">
        <v>45</v>
      </c>
      <c r="L347">
        <v>83</v>
      </c>
      <c r="M347">
        <v>3</v>
      </c>
      <c r="N347">
        <v>1</v>
      </c>
      <c r="O347" t="s">
        <v>46</v>
      </c>
      <c r="P347">
        <v>4</v>
      </c>
      <c r="Q347" t="s">
        <v>51</v>
      </c>
      <c r="R347">
        <v>2904</v>
      </c>
      <c r="S347">
        <v>16092</v>
      </c>
      <c r="T347">
        <v>1</v>
      </c>
      <c r="U347" t="s">
        <v>41</v>
      </c>
      <c r="V347" t="s">
        <v>42</v>
      </c>
      <c r="W347">
        <v>12</v>
      </c>
      <c r="X347">
        <v>3</v>
      </c>
      <c r="Y347">
        <v>3</v>
      </c>
      <c r="Z347">
        <v>80</v>
      </c>
      <c r="AA347">
        <v>2</v>
      </c>
      <c r="AB347">
        <v>4</v>
      </c>
      <c r="AC347">
        <v>2</v>
      </c>
      <c r="AD347">
        <v>2</v>
      </c>
      <c r="AE347">
        <v>4</v>
      </c>
      <c r="AF347">
        <v>2</v>
      </c>
      <c r="AG347">
        <v>0</v>
      </c>
      <c r="AH347">
        <v>2</v>
      </c>
    </row>
    <row r="348" spans="1:34" x14ac:dyDescent="0.2">
      <c r="A348">
        <v>41</v>
      </c>
      <c r="B348" t="s">
        <v>42</v>
      </c>
      <c r="C348" t="s">
        <v>35</v>
      </c>
      <c r="D348" t="s">
        <v>44</v>
      </c>
      <c r="E348">
        <v>6</v>
      </c>
      <c r="F348">
        <v>3</v>
      </c>
      <c r="G348" t="s">
        <v>50</v>
      </c>
      <c r="H348">
        <v>1</v>
      </c>
      <c r="I348">
        <v>466</v>
      </c>
      <c r="J348">
        <v>4</v>
      </c>
      <c r="K348" t="s">
        <v>45</v>
      </c>
      <c r="L348">
        <v>95</v>
      </c>
      <c r="M348">
        <v>2</v>
      </c>
      <c r="N348">
        <v>2</v>
      </c>
      <c r="O348" t="s">
        <v>52</v>
      </c>
      <c r="P348">
        <v>2</v>
      </c>
      <c r="Q348" t="s">
        <v>40</v>
      </c>
      <c r="R348">
        <v>6032</v>
      </c>
      <c r="S348">
        <v>10110</v>
      </c>
      <c r="T348">
        <v>6</v>
      </c>
      <c r="U348" t="s">
        <v>41</v>
      </c>
      <c r="V348" t="s">
        <v>34</v>
      </c>
      <c r="W348">
        <v>15</v>
      </c>
      <c r="X348">
        <v>3</v>
      </c>
      <c r="Y348">
        <v>4</v>
      </c>
      <c r="Z348">
        <v>80</v>
      </c>
      <c r="AA348">
        <v>0</v>
      </c>
      <c r="AB348">
        <v>8</v>
      </c>
      <c r="AC348">
        <v>3</v>
      </c>
      <c r="AD348">
        <v>3</v>
      </c>
      <c r="AE348">
        <v>5</v>
      </c>
      <c r="AF348">
        <v>4</v>
      </c>
      <c r="AG348">
        <v>1</v>
      </c>
      <c r="AH348">
        <v>2</v>
      </c>
    </row>
    <row r="349" spans="1:34" x14ac:dyDescent="0.2">
      <c r="A349">
        <v>47</v>
      </c>
      <c r="B349" t="s">
        <v>42</v>
      </c>
      <c r="C349" t="s">
        <v>43</v>
      </c>
      <c r="D349" t="s">
        <v>36</v>
      </c>
      <c r="E349">
        <v>4</v>
      </c>
      <c r="F349">
        <v>1</v>
      </c>
      <c r="G349" t="s">
        <v>50</v>
      </c>
      <c r="H349">
        <v>1</v>
      </c>
      <c r="I349">
        <v>467</v>
      </c>
      <c r="J349">
        <v>2</v>
      </c>
      <c r="K349" t="s">
        <v>45</v>
      </c>
      <c r="L349">
        <v>99</v>
      </c>
      <c r="M349">
        <v>3</v>
      </c>
      <c r="N349">
        <v>2</v>
      </c>
      <c r="O349" t="s">
        <v>56</v>
      </c>
      <c r="P349">
        <v>3</v>
      </c>
      <c r="Q349" t="s">
        <v>40</v>
      </c>
      <c r="R349">
        <v>2976</v>
      </c>
      <c r="S349">
        <v>25751</v>
      </c>
      <c r="T349">
        <v>3</v>
      </c>
      <c r="U349" t="s">
        <v>41</v>
      </c>
      <c r="V349" t="s">
        <v>42</v>
      </c>
      <c r="W349">
        <v>19</v>
      </c>
      <c r="X349">
        <v>3</v>
      </c>
      <c r="Y349">
        <v>1</v>
      </c>
      <c r="Z349">
        <v>80</v>
      </c>
      <c r="AA349">
        <v>0</v>
      </c>
      <c r="AB349">
        <v>5</v>
      </c>
      <c r="AC349">
        <v>3</v>
      </c>
      <c r="AD349">
        <v>3</v>
      </c>
      <c r="AE349">
        <v>0</v>
      </c>
      <c r="AF349">
        <v>0</v>
      </c>
      <c r="AG349">
        <v>0</v>
      </c>
      <c r="AH349">
        <v>0</v>
      </c>
    </row>
    <row r="350" spans="1:34" x14ac:dyDescent="0.2">
      <c r="A350">
        <v>42</v>
      </c>
      <c r="B350" t="s">
        <v>42</v>
      </c>
      <c r="C350" t="s">
        <v>35</v>
      </c>
      <c r="D350" t="s">
        <v>44</v>
      </c>
      <c r="E350">
        <v>23</v>
      </c>
      <c r="F350">
        <v>5</v>
      </c>
      <c r="G350" t="s">
        <v>37</v>
      </c>
      <c r="H350">
        <v>1</v>
      </c>
      <c r="I350">
        <v>468</v>
      </c>
      <c r="J350">
        <v>1</v>
      </c>
      <c r="K350" t="s">
        <v>38</v>
      </c>
      <c r="L350">
        <v>44</v>
      </c>
      <c r="M350">
        <v>3</v>
      </c>
      <c r="N350">
        <v>4</v>
      </c>
      <c r="O350" t="s">
        <v>57</v>
      </c>
      <c r="P350">
        <v>4</v>
      </c>
      <c r="Q350" t="s">
        <v>40</v>
      </c>
      <c r="R350">
        <v>15992</v>
      </c>
      <c r="S350">
        <v>15901</v>
      </c>
      <c r="T350">
        <v>2</v>
      </c>
      <c r="U350" t="s">
        <v>41</v>
      </c>
      <c r="V350" t="s">
        <v>42</v>
      </c>
      <c r="W350">
        <v>14</v>
      </c>
      <c r="X350">
        <v>3</v>
      </c>
      <c r="Y350">
        <v>2</v>
      </c>
      <c r="Z350">
        <v>80</v>
      </c>
      <c r="AA350">
        <v>0</v>
      </c>
      <c r="AB350">
        <v>16</v>
      </c>
      <c r="AC350">
        <v>2</v>
      </c>
      <c r="AD350">
        <v>3</v>
      </c>
      <c r="AE350">
        <v>1</v>
      </c>
      <c r="AF350">
        <v>0</v>
      </c>
      <c r="AG350">
        <v>0</v>
      </c>
      <c r="AH350">
        <v>0</v>
      </c>
    </row>
    <row r="351" spans="1:34" x14ac:dyDescent="0.2">
      <c r="A351">
        <v>29</v>
      </c>
      <c r="B351" t="s">
        <v>42</v>
      </c>
      <c r="C351" t="s">
        <v>54</v>
      </c>
      <c r="D351" t="s">
        <v>36</v>
      </c>
      <c r="E351">
        <v>2</v>
      </c>
      <c r="F351">
        <v>3</v>
      </c>
      <c r="G351" t="s">
        <v>37</v>
      </c>
      <c r="H351">
        <v>1</v>
      </c>
      <c r="I351">
        <v>469</v>
      </c>
      <c r="J351">
        <v>4</v>
      </c>
      <c r="K351" t="s">
        <v>45</v>
      </c>
      <c r="L351">
        <v>61</v>
      </c>
      <c r="M351">
        <v>3</v>
      </c>
      <c r="N351">
        <v>2</v>
      </c>
      <c r="O351" t="s">
        <v>39</v>
      </c>
      <c r="P351">
        <v>3</v>
      </c>
      <c r="Q351" t="s">
        <v>47</v>
      </c>
      <c r="R351">
        <v>4649</v>
      </c>
      <c r="S351">
        <v>16928</v>
      </c>
      <c r="T351">
        <v>1</v>
      </c>
      <c r="U351" t="s">
        <v>41</v>
      </c>
      <c r="V351" t="s">
        <v>42</v>
      </c>
      <c r="W351">
        <v>14</v>
      </c>
      <c r="X351">
        <v>3</v>
      </c>
      <c r="Y351">
        <v>1</v>
      </c>
      <c r="Z351">
        <v>80</v>
      </c>
      <c r="AA351">
        <v>1</v>
      </c>
      <c r="AB351">
        <v>4</v>
      </c>
      <c r="AC351">
        <v>3</v>
      </c>
      <c r="AD351">
        <v>2</v>
      </c>
      <c r="AE351">
        <v>4</v>
      </c>
      <c r="AF351">
        <v>3</v>
      </c>
      <c r="AG351">
        <v>0</v>
      </c>
      <c r="AH351">
        <v>2</v>
      </c>
    </row>
    <row r="352" spans="1:34" x14ac:dyDescent="0.2">
      <c r="A352">
        <v>42</v>
      </c>
      <c r="B352" t="s">
        <v>42</v>
      </c>
      <c r="C352" t="s">
        <v>35</v>
      </c>
      <c r="D352" t="s">
        <v>60</v>
      </c>
      <c r="E352">
        <v>2</v>
      </c>
      <c r="F352">
        <v>1</v>
      </c>
      <c r="G352" t="s">
        <v>59</v>
      </c>
      <c r="H352">
        <v>1</v>
      </c>
      <c r="I352">
        <v>470</v>
      </c>
      <c r="J352">
        <v>3</v>
      </c>
      <c r="K352" t="s">
        <v>45</v>
      </c>
      <c r="L352">
        <v>52</v>
      </c>
      <c r="M352">
        <v>3</v>
      </c>
      <c r="N352">
        <v>1</v>
      </c>
      <c r="O352" t="s">
        <v>60</v>
      </c>
      <c r="P352">
        <v>3</v>
      </c>
      <c r="Q352" t="s">
        <v>51</v>
      </c>
      <c r="R352">
        <v>2696</v>
      </c>
      <c r="S352">
        <v>24017</v>
      </c>
      <c r="T352">
        <v>0</v>
      </c>
      <c r="U352" t="s">
        <v>41</v>
      </c>
      <c r="V352" t="s">
        <v>34</v>
      </c>
      <c r="W352">
        <v>11</v>
      </c>
      <c r="X352">
        <v>3</v>
      </c>
      <c r="Y352">
        <v>3</v>
      </c>
      <c r="Z352">
        <v>80</v>
      </c>
      <c r="AA352">
        <v>1</v>
      </c>
      <c r="AB352">
        <v>4</v>
      </c>
      <c r="AC352">
        <v>5</v>
      </c>
      <c r="AD352">
        <v>3</v>
      </c>
      <c r="AE352">
        <v>3</v>
      </c>
      <c r="AF352">
        <v>2</v>
      </c>
      <c r="AG352">
        <v>1</v>
      </c>
      <c r="AH352">
        <v>0</v>
      </c>
    </row>
    <row r="353" spans="1:34" x14ac:dyDescent="0.2">
      <c r="A353">
        <v>32</v>
      </c>
      <c r="B353" t="s">
        <v>42</v>
      </c>
      <c r="C353" t="s">
        <v>35</v>
      </c>
      <c r="D353" t="s">
        <v>44</v>
      </c>
      <c r="E353">
        <v>2</v>
      </c>
      <c r="F353">
        <v>3</v>
      </c>
      <c r="G353" t="s">
        <v>50</v>
      </c>
      <c r="H353">
        <v>1</v>
      </c>
      <c r="I353">
        <v>471</v>
      </c>
      <c r="J353">
        <v>3</v>
      </c>
      <c r="K353" t="s">
        <v>38</v>
      </c>
      <c r="L353">
        <v>75</v>
      </c>
      <c r="M353">
        <v>3</v>
      </c>
      <c r="N353">
        <v>1</v>
      </c>
      <c r="O353" t="s">
        <v>49</v>
      </c>
      <c r="P353">
        <v>2</v>
      </c>
      <c r="Q353" t="s">
        <v>47</v>
      </c>
      <c r="R353">
        <v>2370</v>
      </c>
      <c r="S353">
        <v>3956</v>
      </c>
      <c r="T353">
        <v>1</v>
      </c>
      <c r="U353" t="s">
        <v>41</v>
      </c>
      <c r="V353" t="s">
        <v>42</v>
      </c>
      <c r="W353">
        <v>13</v>
      </c>
      <c r="X353">
        <v>3</v>
      </c>
      <c r="Y353">
        <v>3</v>
      </c>
      <c r="Z353">
        <v>80</v>
      </c>
      <c r="AA353">
        <v>1</v>
      </c>
      <c r="AB353">
        <v>8</v>
      </c>
      <c r="AC353">
        <v>4</v>
      </c>
      <c r="AD353">
        <v>3</v>
      </c>
      <c r="AE353">
        <v>8</v>
      </c>
      <c r="AF353">
        <v>0</v>
      </c>
      <c r="AG353">
        <v>0</v>
      </c>
      <c r="AH353">
        <v>7</v>
      </c>
    </row>
    <row r="354" spans="1:34" x14ac:dyDescent="0.2">
      <c r="A354">
        <v>48</v>
      </c>
      <c r="B354" t="s">
        <v>42</v>
      </c>
      <c r="C354" t="s">
        <v>35</v>
      </c>
      <c r="D354" t="s">
        <v>36</v>
      </c>
      <c r="E354">
        <v>29</v>
      </c>
      <c r="F354">
        <v>1</v>
      </c>
      <c r="G354" t="s">
        <v>50</v>
      </c>
      <c r="H354">
        <v>1</v>
      </c>
      <c r="I354">
        <v>473</v>
      </c>
      <c r="J354">
        <v>1</v>
      </c>
      <c r="K354" t="s">
        <v>38</v>
      </c>
      <c r="L354">
        <v>91</v>
      </c>
      <c r="M354">
        <v>3</v>
      </c>
      <c r="N354">
        <v>3</v>
      </c>
      <c r="O354" t="s">
        <v>55</v>
      </c>
      <c r="P354">
        <v>3</v>
      </c>
      <c r="Q354" t="s">
        <v>47</v>
      </c>
      <c r="R354">
        <v>12504</v>
      </c>
      <c r="S354">
        <v>23978</v>
      </c>
      <c r="T354">
        <v>3</v>
      </c>
      <c r="U354" t="s">
        <v>41</v>
      </c>
      <c r="V354" t="s">
        <v>42</v>
      </c>
      <c r="W354">
        <v>21</v>
      </c>
      <c r="X354">
        <v>4</v>
      </c>
      <c r="Y354">
        <v>2</v>
      </c>
      <c r="Z354">
        <v>80</v>
      </c>
      <c r="AA354">
        <v>1</v>
      </c>
      <c r="AB354">
        <v>15</v>
      </c>
      <c r="AC354">
        <v>3</v>
      </c>
      <c r="AD354">
        <v>1</v>
      </c>
      <c r="AE354">
        <v>0</v>
      </c>
      <c r="AF354">
        <v>0</v>
      </c>
      <c r="AG354">
        <v>0</v>
      </c>
      <c r="AH354">
        <v>0</v>
      </c>
    </row>
    <row r="355" spans="1:34" x14ac:dyDescent="0.2">
      <c r="A355">
        <v>37</v>
      </c>
      <c r="B355" t="s">
        <v>42</v>
      </c>
      <c r="C355" t="s">
        <v>35</v>
      </c>
      <c r="D355" t="s">
        <v>44</v>
      </c>
      <c r="E355">
        <v>6</v>
      </c>
      <c r="F355">
        <v>3</v>
      </c>
      <c r="G355" t="s">
        <v>50</v>
      </c>
      <c r="H355">
        <v>1</v>
      </c>
      <c r="I355">
        <v>474</v>
      </c>
      <c r="J355">
        <v>3</v>
      </c>
      <c r="K355" t="s">
        <v>45</v>
      </c>
      <c r="L355">
        <v>51</v>
      </c>
      <c r="M355">
        <v>4</v>
      </c>
      <c r="N355">
        <v>2</v>
      </c>
      <c r="O355" t="s">
        <v>46</v>
      </c>
      <c r="P355">
        <v>1</v>
      </c>
      <c r="Q355" t="s">
        <v>51</v>
      </c>
      <c r="R355">
        <v>5974</v>
      </c>
      <c r="S355">
        <v>17001</v>
      </c>
      <c r="T355">
        <v>4</v>
      </c>
      <c r="U355" t="s">
        <v>41</v>
      </c>
      <c r="V355" t="s">
        <v>34</v>
      </c>
      <c r="W355">
        <v>13</v>
      </c>
      <c r="X355">
        <v>3</v>
      </c>
      <c r="Y355">
        <v>1</v>
      </c>
      <c r="Z355">
        <v>80</v>
      </c>
      <c r="AA355">
        <v>2</v>
      </c>
      <c r="AB355">
        <v>13</v>
      </c>
      <c r="AC355">
        <v>2</v>
      </c>
      <c r="AD355">
        <v>3</v>
      </c>
      <c r="AE355">
        <v>7</v>
      </c>
      <c r="AF355">
        <v>7</v>
      </c>
      <c r="AG355">
        <v>6</v>
      </c>
      <c r="AH355">
        <v>7</v>
      </c>
    </row>
    <row r="356" spans="1:34" x14ac:dyDescent="0.2">
      <c r="A356">
        <v>30</v>
      </c>
      <c r="B356" t="s">
        <v>42</v>
      </c>
      <c r="C356" t="s">
        <v>54</v>
      </c>
      <c r="D356" t="s">
        <v>36</v>
      </c>
      <c r="E356">
        <v>25</v>
      </c>
      <c r="F356">
        <v>2</v>
      </c>
      <c r="G356" t="s">
        <v>59</v>
      </c>
      <c r="H356">
        <v>1</v>
      </c>
      <c r="I356">
        <v>475</v>
      </c>
      <c r="J356">
        <v>4</v>
      </c>
      <c r="K356" t="s">
        <v>38</v>
      </c>
      <c r="L356">
        <v>85</v>
      </c>
      <c r="M356">
        <v>3</v>
      </c>
      <c r="N356">
        <v>2</v>
      </c>
      <c r="O356" t="s">
        <v>39</v>
      </c>
      <c r="P356">
        <v>3</v>
      </c>
      <c r="Q356" t="s">
        <v>47</v>
      </c>
      <c r="R356">
        <v>4736</v>
      </c>
      <c r="S356">
        <v>6069</v>
      </c>
      <c r="T356">
        <v>7</v>
      </c>
      <c r="U356" t="s">
        <v>41</v>
      </c>
      <c r="V356" t="s">
        <v>34</v>
      </c>
      <c r="W356">
        <v>12</v>
      </c>
      <c r="X356">
        <v>3</v>
      </c>
      <c r="Y356">
        <v>2</v>
      </c>
      <c r="Z356">
        <v>80</v>
      </c>
      <c r="AA356">
        <v>1</v>
      </c>
      <c r="AB356">
        <v>4</v>
      </c>
      <c r="AC356">
        <v>2</v>
      </c>
      <c r="AD356">
        <v>4</v>
      </c>
      <c r="AE356">
        <v>2</v>
      </c>
      <c r="AF356">
        <v>2</v>
      </c>
      <c r="AG356">
        <v>2</v>
      </c>
      <c r="AH356">
        <v>2</v>
      </c>
    </row>
    <row r="357" spans="1:34" x14ac:dyDescent="0.2">
      <c r="A357">
        <v>26</v>
      </c>
      <c r="B357" t="s">
        <v>42</v>
      </c>
      <c r="C357" t="s">
        <v>35</v>
      </c>
      <c r="D357" t="s">
        <v>36</v>
      </c>
      <c r="E357">
        <v>1</v>
      </c>
      <c r="F357">
        <v>3</v>
      </c>
      <c r="G357" t="s">
        <v>37</v>
      </c>
      <c r="H357">
        <v>1</v>
      </c>
      <c r="I357">
        <v>476</v>
      </c>
      <c r="J357">
        <v>3</v>
      </c>
      <c r="K357" t="s">
        <v>45</v>
      </c>
      <c r="L357">
        <v>57</v>
      </c>
      <c r="M357">
        <v>3</v>
      </c>
      <c r="N357">
        <v>2</v>
      </c>
      <c r="O357" t="s">
        <v>39</v>
      </c>
      <c r="P357">
        <v>3</v>
      </c>
      <c r="Q357" t="s">
        <v>47</v>
      </c>
      <c r="R357">
        <v>5296</v>
      </c>
      <c r="S357">
        <v>20156</v>
      </c>
      <c r="T357">
        <v>1</v>
      </c>
      <c r="U357" t="s">
        <v>41</v>
      </c>
      <c r="V357" t="s">
        <v>42</v>
      </c>
      <c r="W357">
        <v>17</v>
      </c>
      <c r="X357">
        <v>3</v>
      </c>
      <c r="Y357">
        <v>2</v>
      </c>
      <c r="Z357">
        <v>80</v>
      </c>
      <c r="AA357">
        <v>1</v>
      </c>
      <c r="AB357">
        <v>8</v>
      </c>
      <c r="AC357">
        <v>3</v>
      </c>
      <c r="AD357">
        <v>3</v>
      </c>
      <c r="AE357">
        <v>8</v>
      </c>
      <c r="AF357">
        <v>7</v>
      </c>
      <c r="AG357">
        <v>7</v>
      </c>
      <c r="AH357">
        <v>7</v>
      </c>
    </row>
    <row r="358" spans="1:34" x14ac:dyDescent="0.2">
      <c r="A358">
        <v>42</v>
      </c>
      <c r="B358" t="s">
        <v>42</v>
      </c>
      <c r="C358" t="s">
        <v>35</v>
      </c>
      <c r="D358" t="s">
        <v>44</v>
      </c>
      <c r="E358">
        <v>2</v>
      </c>
      <c r="F358">
        <v>4</v>
      </c>
      <c r="G358" t="s">
        <v>48</v>
      </c>
      <c r="H358">
        <v>1</v>
      </c>
      <c r="I358">
        <v>477</v>
      </c>
      <c r="J358">
        <v>1</v>
      </c>
      <c r="K358" t="s">
        <v>45</v>
      </c>
      <c r="L358">
        <v>98</v>
      </c>
      <c r="M358">
        <v>2</v>
      </c>
      <c r="N358">
        <v>2</v>
      </c>
      <c r="O358" t="s">
        <v>53</v>
      </c>
      <c r="P358">
        <v>4</v>
      </c>
      <c r="Q358" t="s">
        <v>40</v>
      </c>
      <c r="R358">
        <v>6781</v>
      </c>
      <c r="S358">
        <v>17078</v>
      </c>
      <c r="T358">
        <v>3</v>
      </c>
      <c r="U358" t="s">
        <v>41</v>
      </c>
      <c r="V358" t="s">
        <v>42</v>
      </c>
      <c r="W358">
        <v>23</v>
      </c>
      <c r="X358">
        <v>4</v>
      </c>
      <c r="Y358">
        <v>2</v>
      </c>
      <c r="Z358">
        <v>80</v>
      </c>
      <c r="AA358">
        <v>0</v>
      </c>
      <c r="AB358">
        <v>14</v>
      </c>
      <c r="AC358">
        <v>6</v>
      </c>
      <c r="AD358">
        <v>3</v>
      </c>
      <c r="AE358">
        <v>1</v>
      </c>
      <c r="AF358">
        <v>0</v>
      </c>
      <c r="AG358">
        <v>0</v>
      </c>
      <c r="AH358">
        <v>0</v>
      </c>
    </row>
    <row r="359" spans="1:34" x14ac:dyDescent="0.2">
      <c r="A359">
        <v>21</v>
      </c>
      <c r="B359" t="s">
        <v>34</v>
      </c>
      <c r="C359" t="s">
        <v>43</v>
      </c>
      <c r="D359" t="s">
        <v>36</v>
      </c>
      <c r="E359">
        <v>1</v>
      </c>
      <c r="F359">
        <v>1</v>
      </c>
      <c r="G359" t="s">
        <v>59</v>
      </c>
      <c r="H359">
        <v>1</v>
      </c>
      <c r="I359">
        <v>478</v>
      </c>
      <c r="J359">
        <v>1</v>
      </c>
      <c r="K359" t="s">
        <v>38</v>
      </c>
      <c r="L359">
        <v>99</v>
      </c>
      <c r="M359">
        <v>2</v>
      </c>
      <c r="N359">
        <v>1</v>
      </c>
      <c r="O359" t="s">
        <v>56</v>
      </c>
      <c r="P359">
        <v>2</v>
      </c>
      <c r="Q359" t="s">
        <v>40</v>
      </c>
      <c r="R359">
        <v>2174</v>
      </c>
      <c r="S359">
        <v>9150</v>
      </c>
      <c r="T359">
        <v>1</v>
      </c>
      <c r="U359" t="s">
        <v>41</v>
      </c>
      <c r="V359" t="s">
        <v>34</v>
      </c>
      <c r="W359">
        <v>11</v>
      </c>
      <c r="X359">
        <v>3</v>
      </c>
      <c r="Y359">
        <v>3</v>
      </c>
      <c r="Z359">
        <v>80</v>
      </c>
      <c r="AA359">
        <v>0</v>
      </c>
      <c r="AB359">
        <v>3</v>
      </c>
      <c r="AC359">
        <v>3</v>
      </c>
      <c r="AD359">
        <v>3</v>
      </c>
      <c r="AE359">
        <v>3</v>
      </c>
      <c r="AF359">
        <v>2</v>
      </c>
      <c r="AG359">
        <v>1</v>
      </c>
      <c r="AH359">
        <v>2</v>
      </c>
    </row>
    <row r="360" spans="1:34" x14ac:dyDescent="0.2">
      <c r="A360">
        <v>36</v>
      </c>
      <c r="B360" t="s">
        <v>42</v>
      </c>
      <c r="C360" t="s">
        <v>54</v>
      </c>
      <c r="D360" t="s">
        <v>36</v>
      </c>
      <c r="E360">
        <v>1</v>
      </c>
      <c r="F360">
        <v>5</v>
      </c>
      <c r="G360" t="s">
        <v>50</v>
      </c>
      <c r="H360">
        <v>1</v>
      </c>
      <c r="I360">
        <v>479</v>
      </c>
      <c r="J360">
        <v>4</v>
      </c>
      <c r="K360" t="s">
        <v>38</v>
      </c>
      <c r="L360">
        <v>45</v>
      </c>
      <c r="M360">
        <v>3</v>
      </c>
      <c r="N360">
        <v>2</v>
      </c>
      <c r="O360" t="s">
        <v>39</v>
      </c>
      <c r="P360">
        <v>4</v>
      </c>
      <c r="Q360" t="s">
        <v>40</v>
      </c>
      <c r="R360">
        <v>6653</v>
      </c>
      <c r="S360">
        <v>15276</v>
      </c>
      <c r="T360">
        <v>4</v>
      </c>
      <c r="U360" t="s">
        <v>41</v>
      </c>
      <c r="V360" t="s">
        <v>42</v>
      </c>
      <c r="W360">
        <v>15</v>
      </c>
      <c r="X360">
        <v>3</v>
      </c>
      <c r="Y360">
        <v>2</v>
      </c>
      <c r="Z360">
        <v>80</v>
      </c>
      <c r="AA360">
        <v>0</v>
      </c>
      <c r="AB360">
        <v>7</v>
      </c>
      <c r="AC360">
        <v>6</v>
      </c>
      <c r="AD360">
        <v>3</v>
      </c>
      <c r="AE360">
        <v>1</v>
      </c>
      <c r="AF360">
        <v>0</v>
      </c>
      <c r="AG360">
        <v>0</v>
      </c>
      <c r="AH360">
        <v>0</v>
      </c>
    </row>
    <row r="361" spans="1:34" x14ac:dyDescent="0.2">
      <c r="A361">
        <v>36</v>
      </c>
      <c r="B361" t="s">
        <v>42</v>
      </c>
      <c r="C361" t="s">
        <v>43</v>
      </c>
      <c r="D361" t="s">
        <v>36</v>
      </c>
      <c r="E361">
        <v>3</v>
      </c>
      <c r="F361">
        <v>4</v>
      </c>
      <c r="G361" t="s">
        <v>50</v>
      </c>
      <c r="H361">
        <v>1</v>
      </c>
      <c r="I361">
        <v>481</v>
      </c>
      <c r="J361">
        <v>1</v>
      </c>
      <c r="K361" t="s">
        <v>45</v>
      </c>
      <c r="L361">
        <v>48</v>
      </c>
      <c r="M361">
        <v>2</v>
      </c>
      <c r="N361">
        <v>3</v>
      </c>
      <c r="O361" t="s">
        <v>39</v>
      </c>
      <c r="P361">
        <v>4</v>
      </c>
      <c r="Q361" t="s">
        <v>47</v>
      </c>
      <c r="R361">
        <v>9699</v>
      </c>
      <c r="S361">
        <v>7246</v>
      </c>
      <c r="T361">
        <v>4</v>
      </c>
      <c r="U361" t="s">
        <v>41</v>
      </c>
      <c r="V361" t="s">
        <v>42</v>
      </c>
      <c r="W361">
        <v>11</v>
      </c>
      <c r="X361">
        <v>3</v>
      </c>
      <c r="Y361">
        <v>1</v>
      </c>
      <c r="Z361">
        <v>80</v>
      </c>
      <c r="AA361">
        <v>1</v>
      </c>
      <c r="AB361">
        <v>16</v>
      </c>
      <c r="AC361">
        <v>2</v>
      </c>
      <c r="AD361">
        <v>3</v>
      </c>
      <c r="AE361">
        <v>13</v>
      </c>
      <c r="AF361">
        <v>9</v>
      </c>
      <c r="AG361">
        <v>1</v>
      </c>
      <c r="AH361">
        <v>12</v>
      </c>
    </row>
    <row r="362" spans="1:34" x14ac:dyDescent="0.2">
      <c r="A362">
        <v>57</v>
      </c>
      <c r="B362" t="s">
        <v>42</v>
      </c>
      <c r="C362" t="s">
        <v>35</v>
      </c>
      <c r="D362" t="s">
        <v>44</v>
      </c>
      <c r="E362">
        <v>1</v>
      </c>
      <c r="F362">
        <v>4</v>
      </c>
      <c r="G362" t="s">
        <v>50</v>
      </c>
      <c r="H362">
        <v>1</v>
      </c>
      <c r="I362">
        <v>482</v>
      </c>
      <c r="J362">
        <v>4</v>
      </c>
      <c r="K362" t="s">
        <v>45</v>
      </c>
      <c r="L362">
        <v>88</v>
      </c>
      <c r="M362">
        <v>3</v>
      </c>
      <c r="N362">
        <v>2</v>
      </c>
      <c r="O362" t="s">
        <v>53</v>
      </c>
      <c r="P362">
        <v>3</v>
      </c>
      <c r="Q362" t="s">
        <v>47</v>
      </c>
      <c r="R362">
        <v>6755</v>
      </c>
      <c r="S362">
        <v>2967</v>
      </c>
      <c r="T362">
        <v>2</v>
      </c>
      <c r="U362" t="s">
        <v>41</v>
      </c>
      <c r="V362" t="s">
        <v>42</v>
      </c>
      <c r="W362">
        <v>11</v>
      </c>
      <c r="X362">
        <v>3</v>
      </c>
      <c r="Y362">
        <v>3</v>
      </c>
      <c r="Z362">
        <v>80</v>
      </c>
      <c r="AA362">
        <v>0</v>
      </c>
      <c r="AB362">
        <v>15</v>
      </c>
      <c r="AC362">
        <v>2</v>
      </c>
      <c r="AD362">
        <v>3</v>
      </c>
      <c r="AE362">
        <v>3</v>
      </c>
      <c r="AF362">
        <v>2</v>
      </c>
      <c r="AG362">
        <v>1</v>
      </c>
      <c r="AH362">
        <v>2</v>
      </c>
    </row>
    <row r="363" spans="1:34" x14ac:dyDescent="0.2">
      <c r="A363">
        <v>40</v>
      </c>
      <c r="B363" t="s">
        <v>42</v>
      </c>
      <c r="C363" t="s">
        <v>35</v>
      </c>
      <c r="D363" t="s">
        <v>44</v>
      </c>
      <c r="E363">
        <v>10</v>
      </c>
      <c r="F363">
        <v>4</v>
      </c>
      <c r="G363" t="s">
        <v>37</v>
      </c>
      <c r="H363">
        <v>1</v>
      </c>
      <c r="I363">
        <v>483</v>
      </c>
      <c r="J363">
        <v>4</v>
      </c>
      <c r="K363" t="s">
        <v>38</v>
      </c>
      <c r="L363">
        <v>46</v>
      </c>
      <c r="M363">
        <v>4</v>
      </c>
      <c r="N363">
        <v>1</v>
      </c>
      <c r="O363" t="s">
        <v>49</v>
      </c>
      <c r="P363">
        <v>3</v>
      </c>
      <c r="Q363" t="s">
        <v>47</v>
      </c>
      <c r="R363">
        <v>2213</v>
      </c>
      <c r="S363">
        <v>22495</v>
      </c>
      <c r="T363">
        <v>3</v>
      </c>
      <c r="U363" t="s">
        <v>41</v>
      </c>
      <c r="V363" t="s">
        <v>34</v>
      </c>
      <c r="W363">
        <v>13</v>
      </c>
      <c r="X363">
        <v>3</v>
      </c>
      <c r="Y363">
        <v>3</v>
      </c>
      <c r="Z363">
        <v>80</v>
      </c>
      <c r="AA363">
        <v>1</v>
      </c>
      <c r="AB363">
        <v>10</v>
      </c>
      <c r="AC363">
        <v>3</v>
      </c>
      <c r="AD363">
        <v>3</v>
      </c>
      <c r="AE363">
        <v>7</v>
      </c>
      <c r="AF363">
        <v>7</v>
      </c>
      <c r="AG363">
        <v>1</v>
      </c>
      <c r="AH363">
        <v>7</v>
      </c>
    </row>
    <row r="364" spans="1:34" x14ac:dyDescent="0.2">
      <c r="A364">
        <v>21</v>
      </c>
      <c r="B364" t="s">
        <v>42</v>
      </c>
      <c r="C364" t="s">
        <v>54</v>
      </c>
      <c r="D364" t="s">
        <v>36</v>
      </c>
      <c r="E364">
        <v>9</v>
      </c>
      <c r="F364">
        <v>2</v>
      </c>
      <c r="G364" t="s">
        <v>50</v>
      </c>
      <c r="H364">
        <v>1</v>
      </c>
      <c r="I364">
        <v>484</v>
      </c>
      <c r="J364">
        <v>1</v>
      </c>
      <c r="K364" t="s">
        <v>45</v>
      </c>
      <c r="L364">
        <v>39</v>
      </c>
      <c r="M364">
        <v>3</v>
      </c>
      <c r="N364">
        <v>1</v>
      </c>
      <c r="O364" t="s">
        <v>56</v>
      </c>
      <c r="P364">
        <v>4</v>
      </c>
      <c r="Q364" t="s">
        <v>40</v>
      </c>
      <c r="R364">
        <v>2610</v>
      </c>
      <c r="S364">
        <v>2851</v>
      </c>
      <c r="T364">
        <v>1</v>
      </c>
      <c r="U364" t="s">
        <v>41</v>
      </c>
      <c r="V364" t="s">
        <v>42</v>
      </c>
      <c r="W364">
        <v>24</v>
      </c>
      <c r="X364">
        <v>4</v>
      </c>
      <c r="Y364">
        <v>3</v>
      </c>
      <c r="Z364">
        <v>80</v>
      </c>
      <c r="AA364">
        <v>0</v>
      </c>
      <c r="AB364">
        <v>3</v>
      </c>
      <c r="AC364">
        <v>3</v>
      </c>
      <c r="AD364">
        <v>2</v>
      </c>
      <c r="AE364">
        <v>3</v>
      </c>
      <c r="AF364">
        <v>2</v>
      </c>
      <c r="AG364">
        <v>2</v>
      </c>
      <c r="AH364">
        <v>2</v>
      </c>
    </row>
    <row r="365" spans="1:34" x14ac:dyDescent="0.2">
      <c r="A365">
        <v>33</v>
      </c>
      <c r="B365" t="s">
        <v>34</v>
      </c>
      <c r="C365" t="s">
        <v>35</v>
      </c>
      <c r="D365" t="s">
        <v>36</v>
      </c>
      <c r="E365">
        <v>5</v>
      </c>
      <c r="F365">
        <v>3</v>
      </c>
      <c r="G365" t="s">
        <v>58</v>
      </c>
      <c r="H365">
        <v>1</v>
      </c>
      <c r="I365">
        <v>485</v>
      </c>
      <c r="J365">
        <v>4</v>
      </c>
      <c r="K365" t="s">
        <v>38</v>
      </c>
      <c r="L365">
        <v>34</v>
      </c>
      <c r="M365">
        <v>3</v>
      </c>
      <c r="N365">
        <v>1</v>
      </c>
      <c r="O365" t="s">
        <v>56</v>
      </c>
      <c r="P365">
        <v>3</v>
      </c>
      <c r="Q365" t="s">
        <v>40</v>
      </c>
      <c r="R365">
        <v>2851</v>
      </c>
      <c r="S365">
        <v>9150</v>
      </c>
      <c r="T365">
        <v>1</v>
      </c>
      <c r="U365" t="s">
        <v>41</v>
      </c>
      <c r="V365" t="s">
        <v>34</v>
      </c>
      <c r="W365">
        <v>13</v>
      </c>
      <c r="X365">
        <v>3</v>
      </c>
      <c r="Y365">
        <v>2</v>
      </c>
      <c r="Z365">
        <v>80</v>
      </c>
      <c r="AA365">
        <v>0</v>
      </c>
      <c r="AB365">
        <v>1</v>
      </c>
      <c r="AC365">
        <v>2</v>
      </c>
      <c r="AD365">
        <v>3</v>
      </c>
      <c r="AE365">
        <v>1</v>
      </c>
      <c r="AF365">
        <v>0</v>
      </c>
      <c r="AG365">
        <v>0</v>
      </c>
      <c r="AH365">
        <v>0</v>
      </c>
    </row>
    <row r="366" spans="1:34" x14ac:dyDescent="0.2">
      <c r="A366">
        <v>37</v>
      </c>
      <c r="B366" t="s">
        <v>42</v>
      </c>
      <c r="C366" t="s">
        <v>35</v>
      </c>
      <c r="D366" t="s">
        <v>44</v>
      </c>
      <c r="E366">
        <v>10</v>
      </c>
      <c r="F366">
        <v>3</v>
      </c>
      <c r="G366" t="s">
        <v>50</v>
      </c>
      <c r="H366">
        <v>1</v>
      </c>
      <c r="I366">
        <v>486</v>
      </c>
      <c r="J366">
        <v>3</v>
      </c>
      <c r="K366" t="s">
        <v>38</v>
      </c>
      <c r="L366">
        <v>98</v>
      </c>
      <c r="M366">
        <v>3</v>
      </c>
      <c r="N366">
        <v>1</v>
      </c>
      <c r="O366" t="s">
        <v>49</v>
      </c>
      <c r="P366">
        <v>1</v>
      </c>
      <c r="Q366" t="s">
        <v>47</v>
      </c>
      <c r="R366">
        <v>3452</v>
      </c>
      <c r="S366">
        <v>17663</v>
      </c>
      <c r="T366">
        <v>6</v>
      </c>
      <c r="U366" t="s">
        <v>41</v>
      </c>
      <c r="V366" t="s">
        <v>42</v>
      </c>
      <c r="W366">
        <v>20</v>
      </c>
      <c r="X366">
        <v>4</v>
      </c>
      <c r="Y366">
        <v>2</v>
      </c>
      <c r="Z366">
        <v>80</v>
      </c>
      <c r="AA366">
        <v>1</v>
      </c>
      <c r="AB366">
        <v>17</v>
      </c>
      <c r="AC366">
        <v>3</v>
      </c>
      <c r="AD366">
        <v>3</v>
      </c>
      <c r="AE366">
        <v>5</v>
      </c>
      <c r="AF366">
        <v>4</v>
      </c>
      <c r="AG366">
        <v>0</v>
      </c>
      <c r="AH366">
        <v>3</v>
      </c>
    </row>
    <row r="367" spans="1:34" x14ac:dyDescent="0.2">
      <c r="A367">
        <v>46</v>
      </c>
      <c r="B367" t="s">
        <v>42</v>
      </c>
      <c r="C367" t="s">
        <v>54</v>
      </c>
      <c r="D367" t="s">
        <v>44</v>
      </c>
      <c r="E367">
        <v>7</v>
      </c>
      <c r="F367">
        <v>4</v>
      </c>
      <c r="G367" t="s">
        <v>50</v>
      </c>
      <c r="H367">
        <v>1</v>
      </c>
      <c r="I367">
        <v>487</v>
      </c>
      <c r="J367">
        <v>3</v>
      </c>
      <c r="K367" t="s">
        <v>38</v>
      </c>
      <c r="L367">
        <v>30</v>
      </c>
      <c r="M367">
        <v>3</v>
      </c>
      <c r="N367">
        <v>2</v>
      </c>
      <c r="O367" t="s">
        <v>52</v>
      </c>
      <c r="P367">
        <v>3</v>
      </c>
      <c r="Q367" t="s">
        <v>47</v>
      </c>
      <c r="R367">
        <v>5258</v>
      </c>
      <c r="S367">
        <v>16044</v>
      </c>
      <c r="T367">
        <v>2</v>
      </c>
      <c r="U367" t="s">
        <v>41</v>
      </c>
      <c r="V367" t="s">
        <v>42</v>
      </c>
      <c r="W367">
        <v>14</v>
      </c>
      <c r="X367">
        <v>3</v>
      </c>
      <c r="Y367">
        <v>3</v>
      </c>
      <c r="Z367">
        <v>80</v>
      </c>
      <c r="AA367">
        <v>0</v>
      </c>
      <c r="AB367">
        <v>7</v>
      </c>
      <c r="AC367">
        <v>2</v>
      </c>
      <c r="AD367">
        <v>4</v>
      </c>
      <c r="AE367">
        <v>1</v>
      </c>
      <c r="AF367">
        <v>0</v>
      </c>
      <c r="AG367">
        <v>0</v>
      </c>
      <c r="AH367">
        <v>0</v>
      </c>
    </row>
    <row r="368" spans="1:34" x14ac:dyDescent="0.2">
      <c r="A368">
        <v>41</v>
      </c>
      <c r="B368" t="s">
        <v>34</v>
      </c>
      <c r="C368" t="s">
        <v>43</v>
      </c>
      <c r="D368" t="s">
        <v>36</v>
      </c>
      <c r="E368">
        <v>4</v>
      </c>
      <c r="F368">
        <v>3</v>
      </c>
      <c r="G368" t="s">
        <v>58</v>
      </c>
      <c r="H368">
        <v>1</v>
      </c>
      <c r="I368">
        <v>488</v>
      </c>
      <c r="J368">
        <v>1</v>
      </c>
      <c r="K368" t="s">
        <v>45</v>
      </c>
      <c r="L368">
        <v>56</v>
      </c>
      <c r="M368">
        <v>3</v>
      </c>
      <c r="N368">
        <v>2</v>
      </c>
      <c r="O368" t="s">
        <v>39</v>
      </c>
      <c r="P368">
        <v>2</v>
      </c>
      <c r="Q368" t="s">
        <v>40</v>
      </c>
      <c r="R368">
        <v>9355</v>
      </c>
      <c r="S368">
        <v>9558</v>
      </c>
      <c r="T368">
        <v>1</v>
      </c>
      <c r="U368" t="s">
        <v>41</v>
      </c>
      <c r="V368" t="s">
        <v>42</v>
      </c>
      <c r="W368">
        <v>18</v>
      </c>
      <c r="X368">
        <v>3</v>
      </c>
      <c r="Y368">
        <v>3</v>
      </c>
      <c r="Z368">
        <v>80</v>
      </c>
      <c r="AA368">
        <v>0</v>
      </c>
      <c r="AB368">
        <v>8</v>
      </c>
      <c r="AC368">
        <v>5</v>
      </c>
      <c r="AD368">
        <v>3</v>
      </c>
      <c r="AE368">
        <v>8</v>
      </c>
      <c r="AF368">
        <v>7</v>
      </c>
      <c r="AG368">
        <v>7</v>
      </c>
      <c r="AH368">
        <v>7</v>
      </c>
    </row>
    <row r="369" spans="1:34" x14ac:dyDescent="0.2">
      <c r="A369">
        <v>50</v>
      </c>
      <c r="B369" t="s">
        <v>42</v>
      </c>
      <c r="C369" t="s">
        <v>35</v>
      </c>
      <c r="D369" t="s">
        <v>44</v>
      </c>
      <c r="E369">
        <v>10</v>
      </c>
      <c r="F369">
        <v>3</v>
      </c>
      <c r="G369" t="s">
        <v>59</v>
      </c>
      <c r="H369">
        <v>1</v>
      </c>
      <c r="I369">
        <v>491</v>
      </c>
      <c r="J369">
        <v>4</v>
      </c>
      <c r="K369" t="s">
        <v>45</v>
      </c>
      <c r="L369">
        <v>100</v>
      </c>
      <c r="M369">
        <v>2</v>
      </c>
      <c r="N369">
        <v>3</v>
      </c>
      <c r="O369" t="s">
        <v>53</v>
      </c>
      <c r="P369">
        <v>4</v>
      </c>
      <c r="Q369" t="s">
        <v>40</v>
      </c>
      <c r="R369">
        <v>10496</v>
      </c>
      <c r="S369">
        <v>2755</v>
      </c>
      <c r="T369">
        <v>6</v>
      </c>
      <c r="U369" t="s">
        <v>41</v>
      </c>
      <c r="V369" t="s">
        <v>42</v>
      </c>
      <c r="W369">
        <v>15</v>
      </c>
      <c r="X369">
        <v>3</v>
      </c>
      <c r="Y369">
        <v>4</v>
      </c>
      <c r="Z369">
        <v>80</v>
      </c>
      <c r="AA369">
        <v>0</v>
      </c>
      <c r="AB369">
        <v>20</v>
      </c>
      <c r="AC369">
        <v>2</v>
      </c>
      <c r="AD369">
        <v>3</v>
      </c>
      <c r="AE369">
        <v>4</v>
      </c>
      <c r="AF369">
        <v>3</v>
      </c>
      <c r="AG369">
        <v>1</v>
      </c>
      <c r="AH369">
        <v>3</v>
      </c>
    </row>
    <row r="370" spans="1:34" x14ac:dyDescent="0.2">
      <c r="A370">
        <v>40</v>
      </c>
      <c r="B370" t="s">
        <v>34</v>
      </c>
      <c r="C370" t="s">
        <v>35</v>
      </c>
      <c r="D370" t="s">
        <v>36</v>
      </c>
      <c r="E370">
        <v>22</v>
      </c>
      <c r="F370">
        <v>2</v>
      </c>
      <c r="G370" t="s">
        <v>58</v>
      </c>
      <c r="H370">
        <v>1</v>
      </c>
      <c r="I370">
        <v>492</v>
      </c>
      <c r="J370">
        <v>3</v>
      </c>
      <c r="K370" t="s">
        <v>45</v>
      </c>
      <c r="L370">
        <v>68</v>
      </c>
      <c r="M370">
        <v>2</v>
      </c>
      <c r="N370">
        <v>2</v>
      </c>
      <c r="O370" t="s">
        <v>39</v>
      </c>
      <c r="P370">
        <v>3</v>
      </c>
      <c r="Q370" t="s">
        <v>47</v>
      </c>
      <c r="R370">
        <v>6380</v>
      </c>
      <c r="S370">
        <v>6110</v>
      </c>
      <c r="T370">
        <v>2</v>
      </c>
      <c r="U370" t="s">
        <v>41</v>
      </c>
      <c r="V370" t="s">
        <v>34</v>
      </c>
      <c r="W370">
        <v>12</v>
      </c>
      <c r="X370">
        <v>3</v>
      </c>
      <c r="Y370">
        <v>1</v>
      </c>
      <c r="Z370">
        <v>80</v>
      </c>
      <c r="AA370">
        <v>2</v>
      </c>
      <c r="AB370">
        <v>8</v>
      </c>
      <c r="AC370">
        <v>6</v>
      </c>
      <c r="AD370">
        <v>3</v>
      </c>
      <c r="AE370">
        <v>6</v>
      </c>
      <c r="AF370">
        <v>4</v>
      </c>
      <c r="AG370">
        <v>1</v>
      </c>
      <c r="AH370">
        <v>0</v>
      </c>
    </row>
    <row r="371" spans="1:34" x14ac:dyDescent="0.2">
      <c r="A371">
        <v>31</v>
      </c>
      <c r="B371" t="s">
        <v>42</v>
      </c>
      <c r="C371" t="s">
        <v>35</v>
      </c>
      <c r="D371" t="s">
        <v>44</v>
      </c>
      <c r="E371">
        <v>9</v>
      </c>
      <c r="F371">
        <v>4</v>
      </c>
      <c r="G371" t="s">
        <v>37</v>
      </c>
      <c r="H371">
        <v>1</v>
      </c>
      <c r="I371">
        <v>493</v>
      </c>
      <c r="J371">
        <v>3</v>
      </c>
      <c r="K371" t="s">
        <v>45</v>
      </c>
      <c r="L371">
        <v>42</v>
      </c>
      <c r="M371">
        <v>2</v>
      </c>
      <c r="N371">
        <v>1</v>
      </c>
      <c r="O371" t="s">
        <v>46</v>
      </c>
      <c r="P371">
        <v>2</v>
      </c>
      <c r="Q371" t="s">
        <v>40</v>
      </c>
      <c r="R371">
        <v>2657</v>
      </c>
      <c r="S371">
        <v>7551</v>
      </c>
      <c r="T371">
        <v>0</v>
      </c>
      <c r="U371" t="s">
        <v>41</v>
      </c>
      <c r="V371" t="s">
        <v>34</v>
      </c>
      <c r="W371">
        <v>16</v>
      </c>
      <c r="X371">
        <v>3</v>
      </c>
      <c r="Y371">
        <v>4</v>
      </c>
      <c r="Z371">
        <v>80</v>
      </c>
      <c r="AA371">
        <v>0</v>
      </c>
      <c r="AB371">
        <v>3</v>
      </c>
      <c r="AC371">
        <v>5</v>
      </c>
      <c r="AD371">
        <v>3</v>
      </c>
      <c r="AE371">
        <v>2</v>
      </c>
      <c r="AF371">
        <v>2</v>
      </c>
      <c r="AG371">
        <v>2</v>
      </c>
      <c r="AH371">
        <v>2</v>
      </c>
    </row>
    <row r="372" spans="1:34" x14ac:dyDescent="0.2">
      <c r="A372">
        <v>21</v>
      </c>
      <c r="B372" t="s">
        <v>34</v>
      </c>
      <c r="C372" t="s">
        <v>35</v>
      </c>
      <c r="D372" t="s">
        <v>36</v>
      </c>
      <c r="E372">
        <v>12</v>
      </c>
      <c r="F372">
        <v>3</v>
      </c>
      <c r="G372" t="s">
        <v>37</v>
      </c>
      <c r="H372">
        <v>1</v>
      </c>
      <c r="I372">
        <v>494</v>
      </c>
      <c r="J372">
        <v>3</v>
      </c>
      <c r="K372" t="s">
        <v>38</v>
      </c>
      <c r="L372">
        <v>90</v>
      </c>
      <c r="M372">
        <v>4</v>
      </c>
      <c r="N372">
        <v>1</v>
      </c>
      <c r="O372" t="s">
        <v>56</v>
      </c>
      <c r="P372">
        <v>2</v>
      </c>
      <c r="Q372" t="s">
        <v>40</v>
      </c>
      <c r="R372">
        <v>2716</v>
      </c>
      <c r="S372">
        <v>25422</v>
      </c>
      <c r="T372">
        <v>1</v>
      </c>
      <c r="U372" t="s">
        <v>41</v>
      </c>
      <c r="V372" t="s">
        <v>42</v>
      </c>
      <c r="W372">
        <v>15</v>
      </c>
      <c r="X372">
        <v>3</v>
      </c>
      <c r="Y372">
        <v>4</v>
      </c>
      <c r="Z372">
        <v>80</v>
      </c>
      <c r="AA372">
        <v>0</v>
      </c>
      <c r="AB372">
        <v>1</v>
      </c>
      <c r="AC372">
        <v>0</v>
      </c>
      <c r="AD372">
        <v>3</v>
      </c>
      <c r="AE372">
        <v>1</v>
      </c>
      <c r="AF372">
        <v>0</v>
      </c>
      <c r="AG372">
        <v>0</v>
      </c>
      <c r="AH372">
        <v>0</v>
      </c>
    </row>
    <row r="373" spans="1:34" x14ac:dyDescent="0.2">
      <c r="A373">
        <v>29</v>
      </c>
      <c r="B373" t="s">
        <v>42</v>
      </c>
      <c r="C373" t="s">
        <v>35</v>
      </c>
      <c r="D373" t="s">
        <v>44</v>
      </c>
      <c r="E373">
        <v>23</v>
      </c>
      <c r="F373">
        <v>3</v>
      </c>
      <c r="G373" t="s">
        <v>37</v>
      </c>
      <c r="H373">
        <v>1</v>
      </c>
      <c r="I373">
        <v>495</v>
      </c>
      <c r="J373">
        <v>4</v>
      </c>
      <c r="K373" t="s">
        <v>45</v>
      </c>
      <c r="L373">
        <v>54</v>
      </c>
      <c r="M373">
        <v>3</v>
      </c>
      <c r="N373">
        <v>1</v>
      </c>
      <c r="O373" t="s">
        <v>46</v>
      </c>
      <c r="P373">
        <v>4</v>
      </c>
      <c r="Q373" t="s">
        <v>40</v>
      </c>
      <c r="R373">
        <v>2201</v>
      </c>
      <c r="S373">
        <v>18168</v>
      </c>
      <c r="T373">
        <v>9</v>
      </c>
      <c r="U373" t="s">
        <v>41</v>
      </c>
      <c r="V373" t="s">
        <v>42</v>
      </c>
      <c r="W373">
        <v>16</v>
      </c>
      <c r="X373">
        <v>3</v>
      </c>
      <c r="Y373">
        <v>4</v>
      </c>
      <c r="Z373">
        <v>80</v>
      </c>
      <c r="AA373">
        <v>0</v>
      </c>
      <c r="AB373">
        <v>6</v>
      </c>
      <c r="AC373">
        <v>4</v>
      </c>
      <c r="AD373">
        <v>3</v>
      </c>
      <c r="AE373">
        <v>3</v>
      </c>
      <c r="AF373">
        <v>2</v>
      </c>
      <c r="AG373">
        <v>1</v>
      </c>
      <c r="AH373">
        <v>2</v>
      </c>
    </row>
    <row r="374" spans="1:34" x14ac:dyDescent="0.2">
      <c r="A374">
        <v>35</v>
      </c>
      <c r="B374" t="s">
        <v>42</v>
      </c>
      <c r="C374" t="s">
        <v>35</v>
      </c>
      <c r="D374" t="s">
        <v>44</v>
      </c>
      <c r="E374">
        <v>9</v>
      </c>
      <c r="F374">
        <v>4</v>
      </c>
      <c r="G374" t="s">
        <v>37</v>
      </c>
      <c r="H374">
        <v>1</v>
      </c>
      <c r="I374">
        <v>496</v>
      </c>
      <c r="J374">
        <v>3</v>
      </c>
      <c r="K374" t="s">
        <v>45</v>
      </c>
      <c r="L374">
        <v>97</v>
      </c>
      <c r="M374">
        <v>2</v>
      </c>
      <c r="N374">
        <v>2</v>
      </c>
      <c r="O374" t="s">
        <v>53</v>
      </c>
      <c r="P374">
        <v>2</v>
      </c>
      <c r="Q374" t="s">
        <v>40</v>
      </c>
      <c r="R374">
        <v>6540</v>
      </c>
      <c r="S374">
        <v>19394</v>
      </c>
      <c r="T374">
        <v>9</v>
      </c>
      <c r="U374" t="s">
        <v>41</v>
      </c>
      <c r="V374" t="s">
        <v>42</v>
      </c>
      <c r="W374">
        <v>19</v>
      </c>
      <c r="X374">
        <v>3</v>
      </c>
      <c r="Y374">
        <v>3</v>
      </c>
      <c r="Z374">
        <v>80</v>
      </c>
      <c r="AA374">
        <v>0</v>
      </c>
      <c r="AB374">
        <v>10</v>
      </c>
      <c r="AC374">
        <v>5</v>
      </c>
      <c r="AD374">
        <v>3</v>
      </c>
      <c r="AE374">
        <v>1</v>
      </c>
      <c r="AF374">
        <v>1</v>
      </c>
      <c r="AG374">
        <v>0</v>
      </c>
      <c r="AH374">
        <v>0</v>
      </c>
    </row>
    <row r="375" spans="1:34" x14ac:dyDescent="0.2">
      <c r="A375">
        <v>27</v>
      </c>
      <c r="B375" t="s">
        <v>42</v>
      </c>
      <c r="C375" t="s">
        <v>35</v>
      </c>
      <c r="D375" t="s">
        <v>44</v>
      </c>
      <c r="E375">
        <v>1</v>
      </c>
      <c r="F375">
        <v>2</v>
      </c>
      <c r="G375" t="s">
        <v>50</v>
      </c>
      <c r="H375">
        <v>1</v>
      </c>
      <c r="I375">
        <v>497</v>
      </c>
      <c r="J375">
        <v>4</v>
      </c>
      <c r="K375" t="s">
        <v>45</v>
      </c>
      <c r="L375">
        <v>82</v>
      </c>
      <c r="M375">
        <v>3</v>
      </c>
      <c r="N375">
        <v>1</v>
      </c>
      <c r="O375" t="s">
        <v>49</v>
      </c>
      <c r="P375">
        <v>2</v>
      </c>
      <c r="Q375" t="s">
        <v>51</v>
      </c>
      <c r="R375">
        <v>3816</v>
      </c>
      <c r="S375">
        <v>17881</v>
      </c>
      <c r="T375">
        <v>1</v>
      </c>
      <c r="U375" t="s">
        <v>41</v>
      </c>
      <c r="V375" t="s">
        <v>42</v>
      </c>
      <c r="W375">
        <v>11</v>
      </c>
      <c r="X375">
        <v>3</v>
      </c>
      <c r="Y375">
        <v>2</v>
      </c>
      <c r="Z375">
        <v>80</v>
      </c>
      <c r="AA375">
        <v>1</v>
      </c>
      <c r="AB375">
        <v>5</v>
      </c>
      <c r="AC375">
        <v>2</v>
      </c>
      <c r="AD375">
        <v>3</v>
      </c>
      <c r="AE375">
        <v>5</v>
      </c>
      <c r="AF375">
        <v>2</v>
      </c>
      <c r="AG375">
        <v>0</v>
      </c>
      <c r="AH375">
        <v>4</v>
      </c>
    </row>
    <row r="376" spans="1:34" x14ac:dyDescent="0.2">
      <c r="A376">
        <v>28</v>
      </c>
      <c r="B376" t="s">
        <v>42</v>
      </c>
      <c r="C376" t="s">
        <v>35</v>
      </c>
      <c r="D376" t="s">
        <v>36</v>
      </c>
      <c r="E376">
        <v>9</v>
      </c>
      <c r="F376">
        <v>4</v>
      </c>
      <c r="G376" t="s">
        <v>37</v>
      </c>
      <c r="H376">
        <v>1</v>
      </c>
      <c r="I376">
        <v>498</v>
      </c>
      <c r="J376">
        <v>2</v>
      </c>
      <c r="K376" t="s">
        <v>45</v>
      </c>
      <c r="L376">
        <v>92</v>
      </c>
      <c r="M376">
        <v>3</v>
      </c>
      <c r="N376">
        <v>2</v>
      </c>
      <c r="O376" t="s">
        <v>39</v>
      </c>
      <c r="P376">
        <v>4</v>
      </c>
      <c r="Q376" t="s">
        <v>40</v>
      </c>
      <c r="R376">
        <v>5253</v>
      </c>
      <c r="S376">
        <v>20750</v>
      </c>
      <c r="T376">
        <v>1</v>
      </c>
      <c r="U376" t="s">
        <v>41</v>
      </c>
      <c r="V376" t="s">
        <v>42</v>
      </c>
      <c r="W376">
        <v>16</v>
      </c>
      <c r="X376">
        <v>3</v>
      </c>
      <c r="Y376">
        <v>4</v>
      </c>
      <c r="Z376">
        <v>80</v>
      </c>
      <c r="AA376">
        <v>0</v>
      </c>
      <c r="AB376">
        <v>7</v>
      </c>
      <c r="AC376">
        <v>1</v>
      </c>
      <c r="AD376">
        <v>3</v>
      </c>
      <c r="AE376">
        <v>7</v>
      </c>
      <c r="AF376">
        <v>5</v>
      </c>
      <c r="AG376">
        <v>0</v>
      </c>
      <c r="AH376">
        <v>7</v>
      </c>
    </row>
    <row r="377" spans="1:34" x14ac:dyDescent="0.2">
      <c r="A377">
        <v>49</v>
      </c>
      <c r="B377" t="s">
        <v>42</v>
      </c>
      <c r="C377" t="s">
        <v>35</v>
      </c>
      <c r="D377" t="s">
        <v>44</v>
      </c>
      <c r="E377">
        <v>7</v>
      </c>
      <c r="F377">
        <v>3</v>
      </c>
      <c r="G377" t="s">
        <v>48</v>
      </c>
      <c r="H377">
        <v>1</v>
      </c>
      <c r="I377">
        <v>499</v>
      </c>
      <c r="J377">
        <v>2</v>
      </c>
      <c r="K377" t="s">
        <v>45</v>
      </c>
      <c r="L377">
        <v>31</v>
      </c>
      <c r="M377">
        <v>2</v>
      </c>
      <c r="N377">
        <v>3</v>
      </c>
      <c r="O377" t="s">
        <v>53</v>
      </c>
      <c r="P377">
        <v>3</v>
      </c>
      <c r="Q377" t="s">
        <v>40</v>
      </c>
      <c r="R377">
        <v>10965</v>
      </c>
      <c r="S377">
        <v>12066</v>
      </c>
      <c r="T377">
        <v>8</v>
      </c>
      <c r="U377" t="s">
        <v>41</v>
      </c>
      <c r="V377" t="s">
        <v>42</v>
      </c>
      <c r="W377">
        <v>24</v>
      </c>
      <c r="X377">
        <v>4</v>
      </c>
      <c r="Y377">
        <v>3</v>
      </c>
      <c r="Z377">
        <v>80</v>
      </c>
      <c r="AA377">
        <v>0</v>
      </c>
      <c r="AB377">
        <v>26</v>
      </c>
      <c r="AC377">
        <v>2</v>
      </c>
      <c r="AD377">
        <v>3</v>
      </c>
      <c r="AE377">
        <v>5</v>
      </c>
      <c r="AF377">
        <v>2</v>
      </c>
      <c r="AG377">
        <v>0</v>
      </c>
      <c r="AH377">
        <v>0</v>
      </c>
    </row>
    <row r="378" spans="1:34" x14ac:dyDescent="0.2">
      <c r="A378">
        <v>51</v>
      </c>
      <c r="B378" t="s">
        <v>42</v>
      </c>
      <c r="C378" t="s">
        <v>35</v>
      </c>
      <c r="D378" t="s">
        <v>36</v>
      </c>
      <c r="E378">
        <v>14</v>
      </c>
      <c r="F378">
        <v>2</v>
      </c>
      <c r="G378" t="s">
        <v>37</v>
      </c>
      <c r="H378">
        <v>1</v>
      </c>
      <c r="I378">
        <v>500</v>
      </c>
      <c r="J378">
        <v>3</v>
      </c>
      <c r="K378" t="s">
        <v>38</v>
      </c>
      <c r="L378">
        <v>87</v>
      </c>
      <c r="M378">
        <v>3</v>
      </c>
      <c r="N378">
        <v>2</v>
      </c>
      <c r="O378" t="s">
        <v>39</v>
      </c>
      <c r="P378">
        <v>4</v>
      </c>
      <c r="Q378" t="s">
        <v>47</v>
      </c>
      <c r="R378">
        <v>4936</v>
      </c>
      <c r="S378">
        <v>14862</v>
      </c>
      <c r="T378">
        <v>4</v>
      </c>
      <c r="U378" t="s">
        <v>41</v>
      </c>
      <c r="V378" t="s">
        <v>42</v>
      </c>
      <c r="W378">
        <v>11</v>
      </c>
      <c r="X378">
        <v>3</v>
      </c>
      <c r="Y378">
        <v>3</v>
      </c>
      <c r="Z378">
        <v>80</v>
      </c>
      <c r="AA378">
        <v>1</v>
      </c>
      <c r="AB378">
        <v>18</v>
      </c>
      <c r="AC378">
        <v>2</v>
      </c>
      <c r="AD378">
        <v>2</v>
      </c>
      <c r="AE378">
        <v>7</v>
      </c>
      <c r="AF378">
        <v>7</v>
      </c>
      <c r="AG378">
        <v>0</v>
      </c>
      <c r="AH378">
        <v>7</v>
      </c>
    </row>
    <row r="379" spans="1:34" x14ac:dyDescent="0.2">
      <c r="A379">
        <v>36</v>
      </c>
      <c r="B379" t="s">
        <v>42</v>
      </c>
      <c r="C379" t="s">
        <v>35</v>
      </c>
      <c r="D379" t="s">
        <v>44</v>
      </c>
      <c r="E379">
        <v>2</v>
      </c>
      <c r="F379">
        <v>3</v>
      </c>
      <c r="G379" t="s">
        <v>37</v>
      </c>
      <c r="H379">
        <v>1</v>
      </c>
      <c r="I379">
        <v>501</v>
      </c>
      <c r="J379">
        <v>4</v>
      </c>
      <c r="K379" t="s">
        <v>38</v>
      </c>
      <c r="L379">
        <v>96</v>
      </c>
      <c r="M379">
        <v>3</v>
      </c>
      <c r="N379">
        <v>1</v>
      </c>
      <c r="O379" t="s">
        <v>46</v>
      </c>
      <c r="P379">
        <v>3</v>
      </c>
      <c r="Q379" t="s">
        <v>47</v>
      </c>
      <c r="R379">
        <v>2543</v>
      </c>
      <c r="S379">
        <v>11868</v>
      </c>
      <c r="T379">
        <v>4</v>
      </c>
      <c r="U379" t="s">
        <v>41</v>
      </c>
      <c r="V379" t="s">
        <v>42</v>
      </c>
      <c r="W379">
        <v>13</v>
      </c>
      <c r="X379">
        <v>3</v>
      </c>
      <c r="Y379">
        <v>2</v>
      </c>
      <c r="Z379">
        <v>80</v>
      </c>
      <c r="AA379">
        <v>1</v>
      </c>
      <c r="AB379">
        <v>6</v>
      </c>
      <c r="AC379">
        <v>3</v>
      </c>
      <c r="AD379">
        <v>3</v>
      </c>
      <c r="AE379">
        <v>2</v>
      </c>
      <c r="AF379">
        <v>2</v>
      </c>
      <c r="AG379">
        <v>2</v>
      </c>
      <c r="AH379">
        <v>2</v>
      </c>
    </row>
    <row r="380" spans="1:34" x14ac:dyDescent="0.2">
      <c r="A380">
        <v>34</v>
      </c>
      <c r="B380" t="s">
        <v>34</v>
      </c>
      <c r="C380" t="s">
        <v>54</v>
      </c>
      <c r="D380" t="s">
        <v>36</v>
      </c>
      <c r="E380">
        <v>19</v>
      </c>
      <c r="F380">
        <v>3</v>
      </c>
      <c r="G380" t="s">
        <v>58</v>
      </c>
      <c r="H380">
        <v>1</v>
      </c>
      <c r="I380">
        <v>502</v>
      </c>
      <c r="J380">
        <v>1</v>
      </c>
      <c r="K380" t="s">
        <v>45</v>
      </c>
      <c r="L380">
        <v>67</v>
      </c>
      <c r="M380">
        <v>4</v>
      </c>
      <c r="N380">
        <v>2</v>
      </c>
      <c r="O380" t="s">
        <v>39</v>
      </c>
      <c r="P380">
        <v>4</v>
      </c>
      <c r="Q380" t="s">
        <v>40</v>
      </c>
      <c r="R380">
        <v>5304</v>
      </c>
      <c r="S380">
        <v>4652</v>
      </c>
      <c r="T380">
        <v>8</v>
      </c>
      <c r="U380" t="s">
        <v>41</v>
      </c>
      <c r="V380" t="s">
        <v>34</v>
      </c>
      <c r="W380">
        <v>13</v>
      </c>
      <c r="X380">
        <v>3</v>
      </c>
      <c r="Y380">
        <v>2</v>
      </c>
      <c r="Z380">
        <v>80</v>
      </c>
      <c r="AA380">
        <v>0</v>
      </c>
      <c r="AB380">
        <v>9</v>
      </c>
      <c r="AC380">
        <v>3</v>
      </c>
      <c r="AD380">
        <v>2</v>
      </c>
      <c r="AE380">
        <v>5</v>
      </c>
      <c r="AF380">
        <v>2</v>
      </c>
      <c r="AG380">
        <v>0</v>
      </c>
      <c r="AH380">
        <v>4</v>
      </c>
    </row>
    <row r="381" spans="1:34" x14ac:dyDescent="0.2">
      <c r="A381">
        <v>55</v>
      </c>
      <c r="B381" t="s">
        <v>42</v>
      </c>
      <c r="C381" t="s">
        <v>35</v>
      </c>
      <c r="D381" t="s">
        <v>44</v>
      </c>
      <c r="E381">
        <v>2</v>
      </c>
      <c r="F381">
        <v>3</v>
      </c>
      <c r="G381" t="s">
        <v>37</v>
      </c>
      <c r="H381">
        <v>1</v>
      </c>
      <c r="I381">
        <v>505</v>
      </c>
      <c r="J381">
        <v>3</v>
      </c>
      <c r="K381" t="s">
        <v>38</v>
      </c>
      <c r="L381">
        <v>97</v>
      </c>
      <c r="M381">
        <v>3</v>
      </c>
      <c r="N381">
        <v>4</v>
      </c>
      <c r="O381" t="s">
        <v>55</v>
      </c>
      <c r="P381">
        <v>4</v>
      </c>
      <c r="Q381" t="s">
        <v>40</v>
      </c>
      <c r="R381">
        <v>16659</v>
      </c>
      <c r="S381">
        <v>23258</v>
      </c>
      <c r="T381">
        <v>2</v>
      </c>
      <c r="U381" t="s">
        <v>41</v>
      </c>
      <c r="V381" t="s">
        <v>34</v>
      </c>
      <c r="W381">
        <v>13</v>
      </c>
      <c r="X381">
        <v>3</v>
      </c>
      <c r="Y381">
        <v>3</v>
      </c>
      <c r="Z381">
        <v>80</v>
      </c>
      <c r="AA381">
        <v>0</v>
      </c>
      <c r="AB381">
        <v>30</v>
      </c>
      <c r="AC381">
        <v>2</v>
      </c>
      <c r="AD381">
        <v>3</v>
      </c>
      <c r="AE381">
        <v>5</v>
      </c>
      <c r="AF381">
        <v>4</v>
      </c>
      <c r="AG381">
        <v>1</v>
      </c>
      <c r="AH381">
        <v>2</v>
      </c>
    </row>
    <row r="382" spans="1:34" x14ac:dyDescent="0.2">
      <c r="A382">
        <v>24</v>
      </c>
      <c r="B382" t="s">
        <v>42</v>
      </c>
      <c r="C382" t="s">
        <v>35</v>
      </c>
      <c r="D382" t="s">
        <v>36</v>
      </c>
      <c r="E382">
        <v>10</v>
      </c>
      <c r="F382">
        <v>4</v>
      </c>
      <c r="G382" t="s">
        <v>58</v>
      </c>
      <c r="H382">
        <v>1</v>
      </c>
      <c r="I382">
        <v>507</v>
      </c>
      <c r="J382">
        <v>4</v>
      </c>
      <c r="K382" t="s">
        <v>38</v>
      </c>
      <c r="L382">
        <v>77</v>
      </c>
      <c r="M382">
        <v>3</v>
      </c>
      <c r="N382">
        <v>2</v>
      </c>
      <c r="O382" t="s">
        <v>39</v>
      </c>
      <c r="P382">
        <v>3</v>
      </c>
      <c r="Q382" t="s">
        <v>51</v>
      </c>
      <c r="R382">
        <v>4260</v>
      </c>
      <c r="S382">
        <v>5915</v>
      </c>
      <c r="T382">
        <v>1</v>
      </c>
      <c r="U382" t="s">
        <v>41</v>
      </c>
      <c r="V382" t="s">
        <v>34</v>
      </c>
      <c r="W382">
        <v>12</v>
      </c>
      <c r="X382">
        <v>3</v>
      </c>
      <c r="Y382">
        <v>4</v>
      </c>
      <c r="Z382">
        <v>80</v>
      </c>
      <c r="AA382">
        <v>1</v>
      </c>
      <c r="AB382">
        <v>5</v>
      </c>
      <c r="AC382">
        <v>2</v>
      </c>
      <c r="AD382">
        <v>4</v>
      </c>
      <c r="AE382">
        <v>5</v>
      </c>
      <c r="AF382">
        <v>2</v>
      </c>
      <c r="AG382">
        <v>0</v>
      </c>
      <c r="AH382">
        <v>3</v>
      </c>
    </row>
    <row r="383" spans="1:34" x14ac:dyDescent="0.2">
      <c r="A383">
        <v>30</v>
      </c>
      <c r="B383" t="s">
        <v>42</v>
      </c>
      <c r="C383" t="s">
        <v>35</v>
      </c>
      <c r="D383" t="s">
        <v>36</v>
      </c>
      <c r="E383">
        <v>2</v>
      </c>
      <c r="F383">
        <v>1</v>
      </c>
      <c r="G383" t="s">
        <v>59</v>
      </c>
      <c r="H383">
        <v>1</v>
      </c>
      <c r="I383">
        <v>508</v>
      </c>
      <c r="J383">
        <v>3</v>
      </c>
      <c r="K383" t="s">
        <v>45</v>
      </c>
      <c r="L383">
        <v>72</v>
      </c>
      <c r="M383">
        <v>3</v>
      </c>
      <c r="N383">
        <v>1</v>
      </c>
      <c r="O383" t="s">
        <v>56</v>
      </c>
      <c r="P383">
        <v>2</v>
      </c>
      <c r="Q383" t="s">
        <v>47</v>
      </c>
      <c r="R383">
        <v>2476</v>
      </c>
      <c r="S383">
        <v>17434</v>
      </c>
      <c r="T383">
        <v>1</v>
      </c>
      <c r="U383" t="s">
        <v>41</v>
      </c>
      <c r="V383" t="s">
        <v>42</v>
      </c>
      <c r="W383">
        <v>18</v>
      </c>
      <c r="X383">
        <v>3</v>
      </c>
      <c r="Y383">
        <v>1</v>
      </c>
      <c r="Z383">
        <v>80</v>
      </c>
      <c r="AA383">
        <v>1</v>
      </c>
      <c r="AB383">
        <v>1</v>
      </c>
      <c r="AC383">
        <v>3</v>
      </c>
      <c r="AD383">
        <v>3</v>
      </c>
      <c r="AE383">
        <v>1</v>
      </c>
      <c r="AF383">
        <v>0</v>
      </c>
      <c r="AG383">
        <v>0</v>
      </c>
      <c r="AH383">
        <v>0</v>
      </c>
    </row>
    <row r="384" spans="1:34" x14ac:dyDescent="0.2">
      <c r="A384">
        <v>26</v>
      </c>
      <c r="B384" t="s">
        <v>34</v>
      </c>
      <c r="C384" t="s">
        <v>43</v>
      </c>
      <c r="D384" t="s">
        <v>44</v>
      </c>
      <c r="E384">
        <v>3</v>
      </c>
      <c r="F384">
        <v>1</v>
      </c>
      <c r="G384" t="s">
        <v>59</v>
      </c>
      <c r="H384">
        <v>1</v>
      </c>
      <c r="I384">
        <v>510</v>
      </c>
      <c r="J384">
        <v>3</v>
      </c>
      <c r="K384" t="s">
        <v>45</v>
      </c>
      <c r="L384">
        <v>73</v>
      </c>
      <c r="M384">
        <v>3</v>
      </c>
      <c r="N384">
        <v>1</v>
      </c>
      <c r="O384" t="s">
        <v>46</v>
      </c>
      <c r="P384">
        <v>1</v>
      </c>
      <c r="Q384" t="s">
        <v>40</v>
      </c>
      <c r="R384">
        <v>3102</v>
      </c>
      <c r="S384">
        <v>6582</v>
      </c>
      <c r="T384">
        <v>0</v>
      </c>
      <c r="U384" t="s">
        <v>41</v>
      </c>
      <c r="V384" t="s">
        <v>42</v>
      </c>
      <c r="W384">
        <v>22</v>
      </c>
      <c r="X384">
        <v>4</v>
      </c>
      <c r="Y384">
        <v>3</v>
      </c>
      <c r="Z384">
        <v>80</v>
      </c>
      <c r="AA384">
        <v>0</v>
      </c>
      <c r="AB384">
        <v>7</v>
      </c>
      <c r="AC384">
        <v>2</v>
      </c>
      <c r="AD384">
        <v>3</v>
      </c>
      <c r="AE384">
        <v>6</v>
      </c>
      <c r="AF384">
        <v>4</v>
      </c>
      <c r="AG384">
        <v>0</v>
      </c>
      <c r="AH384">
        <v>4</v>
      </c>
    </row>
    <row r="385" spans="1:34" x14ac:dyDescent="0.2">
      <c r="A385">
        <v>22</v>
      </c>
      <c r="B385" t="s">
        <v>42</v>
      </c>
      <c r="C385" t="s">
        <v>35</v>
      </c>
      <c r="D385" t="s">
        <v>44</v>
      </c>
      <c r="E385">
        <v>11</v>
      </c>
      <c r="F385">
        <v>3</v>
      </c>
      <c r="G385" t="s">
        <v>50</v>
      </c>
      <c r="H385">
        <v>1</v>
      </c>
      <c r="I385">
        <v>511</v>
      </c>
      <c r="J385">
        <v>1</v>
      </c>
      <c r="K385" t="s">
        <v>38</v>
      </c>
      <c r="L385">
        <v>43</v>
      </c>
      <c r="M385">
        <v>3</v>
      </c>
      <c r="N385">
        <v>1</v>
      </c>
      <c r="O385" t="s">
        <v>46</v>
      </c>
      <c r="P385">
        <v>2</v>
      </c>
      <c r="Q385" t="s">
        <v>47</v>
      </c>
      <c r="R385">
        <v>2244</v>
      </c>
      <c r="S385">
        <v>24440</v>
      </c>
      <c r="T385">
        <v>1</v>
      </c>
      <c r="U385" t="s">
        <v>41</v>
      </c>
      <c r="V385" t="s">
        <v>42</v>
      </c>
      <c r="W385">
        <v>13</v>
      </c>
      <c r="X385">
        <v>3</v>
      </c>
      <c r="Y385">
        <v>4</v>
      </c>
      <c r="Z385">
        <v>80</v>
      </c>
      <c r="AA385">
        <v>1</v>
      </c>
      <c r="AB385">
        <v>2</v>
      </c>
      <c r="AC385">
        <v>1</v>
      </c>
      <c r="AD385">
        <v>3</v>
      </c>
      <c r="AE385">
        <v>2</v>
      </c>
      <c r="AF385">
        <v>1</v>
      </c>
      <c r="AG385">
        <v>1</v>
      </c>
      <c r="AH385">
        <v>2</v>
      </c>
    </row>
    <row r="386" spans="1:34" x14ac:dyDescent="0.2">
      <c r="A386">
        <v>36</v>
      </c>
      <c r="B386" t="s">
        <v>42</v>
      </c>
      <c r="C386" t="s">
        <v>35</v>
      </c>
      <c r="D386" t="s">
        <v>36</v>
      </c>
      <c r="E386">
        <v>2</v>
      </c>
      <c r="F386">
        <v>2</v>
      </c>
      <c r="G386" t="s">
        <v>50</v>
      </c>
      <c r="H386">
        <v>1</v>
      </c>
      <c r="I386">
        <v>513</v>
      </c>
      <c r="J386">
        <v>2</v>
      </c>
      <c r="K386" t="s">
        <v>45</v>
      </c>
      <c r="L386">
        <v>61</v>
      </c>
      <c r="M386">
        <v>2</v>
      </c>
      <c r="N386">
        <v>3</v>
      </c>
      <c r="O386" t="s">
        <v>39</v>
      </c>
      <c r="P386">
        <v>3</v>
      </c>
      <c r="Q386" t="s">
        <v>47</v>
      </c>
      <c r="R386">
        <v>7596</v>
      </c>
      <c r="S386">
        <v>3809</v>
      </c>
      <c r="T386">
        <v>1</v>
      </c>
      <c r="U386" t="s">
        <v>41</v>
      </c>
      <c r="V386" t="s">
        <v>42</v>
      </c>
      <c r="W386">
        <v>13</v>
      </c>
      <c r="X386">
        <v>3</v>
      </c>
      <c r="Y386">
        <v>2</v>
      </c>
      <c r="Z386">
        <v>80</v>
      </c>
      <c r="AA386">
        <v>2</v>
      </c>
      <c r="AB386">
        <v>10</v>
      </c>
      <c r="AC386">
        <v>2</v>
      </c>
      <c r="AD386">
        <v>3</v>
      </c>
      <c r="AE386">
        <v>10</v>
      </c>
      <c r="AF386">
        <v>9</v>
      </c>
      <c r="AG386">
        <v>9</v>
      </c>
      <c r="AH386">
        <v>0</v>
      </c>
    </row>
    <row r="387" spans="1:34" x14ac:dyDescent="0.2">
      <c r="A387">
        <v>30</v>
      </c>
      <c r="B387" t="s">
        <v>34</v>
      </c>
      <c r="C387" t="s">
        <v>43</v>
      </c>
      <c r="D387" t="s">
        <v>44</v>
      </c>
      <c r="E387">
        <v>4</v>
      </c>
      <c r="F387">
        <v>3</v>
      </c>
      <c r="G387" t="s">
        <v>59</v>
      </c>
      <c r="H387">
        <v>1</v>
      </c>
      <c r="I387">
        <v>514</v>
      </c>
      <c r="J387">
        <v>3</v>
      </c>
      <c r="K387" t="s">
        <v>45</v>
      </c>
      <c r="L387">
        <v>40</v>
      </c>
      <c r="M387">
        <v>3</v>
      </c>
      <c r="N387">
        <v>1</v>
      </c>
      <c r="O387" t="s">
        <v>46</v>
      </c>
      <c r="P387">
        <v>4</v>
      </c>
      <c r="Q387" t="s">
        <v>40</v>
      </c>
      <c r="R387">
        <v>2285</v>
      </c>
      <c r="S387">
        <v>3427</v>
      </c>
      <c r="T387">
        <v>9</v>
      </c>
      <c r="U387" t="s">
        <v>41</v>
      </c>
      <c r="V387" t="s">
        <v>34</v>
      </c>
      <c r="W387">
        <v>23</v>
      </c>
      <c r="X387">
        <v>4</v>
      </c>
      <c r="Y387">
        <v>3</v>
      </c>
      <c r="Z387">
        <v>80</v>
      </c>
      <c r="AA387">
        <v>0</v>
      </c>
      <c r="AB387">
        <v>3</v>
      </c>
      <c r="AC387">
        <v>4</v>
      </c>
      <c r="AD387">
        <v>3</v>
      </c>
      <c r="AE387">
        <v>1</v>
      </c>
      <c r="AF387">
        <v>0</v>
      </c>
      <c r="AG387">
        <v>0</v>
      </c>
      <c r="AH387">
        <v>0</v>
      </c>
    </row>
    <row r="388" spans="1:34" x14ac:dyDescent="0.2">
      <c r="A388">
        <v>37</v>
      </c>
      <c r="B388" t="s">
        <v>42</v>
      </c>
      <c r="C388" t="s">
        <v>35</v>
      </c>
      <c r="D388" t="s">
        <v>44</v>
      </c>
      <c r="E388">
        <v>14</v>
      </c>
      <c r="F388">
        <v>3</v>
      </c>
      <c r="G388" t="s">
        <v>37</v>
      </c>
      <c r="H388">
        <v>1</v>
      </c>
      <c r="I388">
        <v>515</v>
      </c>
      <c r="J388">
        <v>4</v>
      </c>
      <c r="K388" t="s">
        <v>38</v>
      </c>
      <c r="L388">
        <v>95</v>
      </c>
      <c r="M388">
        <v>3</v>
      </c>
      <c r="N388">
        <v>1</v>
      </c>
      <c r="O388" t="s">
        <v>49</v>
      </c>
      <c r="P388">
        <v>1</v>
      </c>
      <c r="Q388" t="s">
        <v>51</v>
      </c>
      <c r="R388">
        <v>3034</v>
      </c>
      <c r="S388">
        <v>26914</v>
      </c>
      <c r="T388">
        <v>1</v>
      </c>
      <c r="U388" t="s">
        <v>41</v>
      </c>
      <c r="V388" t="s">
        <v>42</v>
      </c>
      <c r="W388">
        <v>12</v>
      </c>
      <c r="X388">
        <v>3</v>
      </c>
      <c r="Y388">
        <v>3</v>
      </c>
      <c r="Z388">
        <v>80</v>
      </c>
      <c r="AA388">
        <v>1</v>
      </c>
      <c r="AB388">
        <v>18</v>
      </c>
      <c r="AC388">
        <v>2</v>
      </c>
      <c r="AD388">
        <v>2</v>
      </c>
      <c r="AE388">
        <v>18</v>
      </c>
      <c r="AF388">
        <v>7</v>
      </c>
      <c r="AG388">
        <v>12</v>
      </c>
      <c r="AH388">
        <v>17</v>
      </c>
    </row>
    <row r="389" spans="1:34" x14ac:dyDescent="0.2">
      <c r="A389">
        <v>40</v>
      </c>
      <c r="B389" t="s">
        <v>42</v>
      </c>
      <c r="C389" t="s">
        <v>35</v>
      </c>
      <c r="D389" t="s">
        <v>36</v>
      </c>
      <c r="E389">
        <v>2</v>
      </c>
      <c r="F389">
        <v>2</v>
      </c>
      <c r="G389" t="s">
        <v>58</v>
      </c>
      <c r="H389">
        <v>1</v>
      </c>
      <c r="I389">
        <v>516</v>
      </c>
      <c r="J389">
        <v>4</v>
      </c>
      <c r="K389" t="s">
        <v>38</v>
      </c>
      <c r="L389">
        <v>46</v>
      </c>
      <c r="M389">
        <v>3</v>
      </c>
      <c r="N389">
        <v>2</v>
      </c>
      <c r="O389" t="s">
        <v>39</v>
      </c>
      <c r="P389">
        <v>2</v>
      </c>
      <c r="Q389" t="s">
        <v>51</v>
      </c>
      <c r="R389">
        <v>5715</v>
      </c>
      <c r="S389">
        <v>22553</v>
      </c>
      <c r="T389">
        <v>7</v>
      </c>
      <c r="U389" t="s">
        <v>41</v>
      </c>
      <c r="V389" t="s">
        <v>42</v>
      </c>
      <c r="W389">
        <v>12</v>
      </c>
      <c r="X389">
        <v>3</v>
      </c>
      <c r="Y389">
        <v>3</v>
      </c>
      <c r="Z389">
        <v>80</v>
      </c>
      <c r="AA389">
        <v>2</v>
      </c>
      <c r="AB389">
        <v>8</v>
      </c>
      <c r="AC389">
        <v>5</v>
      </c>
      <c r="AD389">
        <v>3</v>
      </c>
      <c r="AE389">
        <v>5</v>
      </c>
      <c r="AF389">
        <v>4</v>
      </c>
      <c r="AG389">
        <v>1</v>
      </c>
      <c r="AH389">
        <v>3</v>
      </c>
    </row>
    <row r="390" spans="1:34" x14ac:dyDescent="0.2">
      <c r="A390">
        <v>42</v>
      </c>
      <c r="B390" t="s">
        <v>42</v>
      </c>
      <c r="C390" t="s">
        <v>35</v>
      </c>
      <c r="D390" t="s">
        <v>44</v>
      </c>
      <c r="E390">
        <v>1</v>
      </c>
      <c r="F390">
        <v>4</v>
      </c>
      <c r="G390" t="s">
        <v>37</v>
      </c>
      <c r="H390">
        <v>1</v>
      </c>
      <c r="I390">
        <v>517</v>
      </c>
      <c r="J390">
        <v>2</v>
      </c>
      <c r="K390" t="s">
        <v>38</v>
      </c>
      <c r="L390">
        <v>95</v>
      </c>
      <c r="M390">
        <v>3</v>
      </c>
      <c r="N390">
        <v>1</v>
      </c>
      <c r="O390" t="s">
        <v>49</v>
      </c>
      <c r="P390">
        <v>1</v>
      </c>
      <c r="Q390" t="s">
        <v>51</v>
      </c>
      <c r="R390">
        <v>2576</v>
      </c>
      <c r="S390">
        <v>20490</v>
      </c>
      <c r="T390">
        <v>3</v>
      </c>
      <c r="U390" t="s">
        <v>41</v>
      </c>
      <c r="V390" t="s">
        <v>42</v>
      </c>
      <c r="W390">
        <v>16</v>
      </c>
      <c r="X390">
        <v>3</v>
      </c>
      <c r="Y390">
        <v>2</v>
      </c>
      <c r="Z390">
        <v>80</v>
      </c>
      <c r="AA390">
        <v>1</v>
      </c>
      <c r="AB390">
        <v>8</v>
      </c>
      <c r="AC390">
        <v>5</v>
      </c>
      <c r="AD390">
        <v>3</v>
      </c>
      <c r="AE390">
        <v>5</v>
      </c>
      <c r="AF390">
        <v>2</v>
      </c>
      <c r="AG390">
        <v>1</v>
      </c>
      <c r="AH390">
        <v>2</v>
      </c>
    </row>
    <row r="391" spans="1:34" x14ac:dyDescent="0.2">
      <c r="A391">
        <v>37</v>
      </c>
      <c r="B391" t="s">
        <v>42</v>
      </c>
      <c r="C391" t="s">
        <v>35</v>
      </c>
      <c r="D391" t="s">
        <v>44</v>
      </c>
      <c r="E391">
        <v>10</v>
      </c>
      <c r="F391">
        <v>4</v>
      </c>
      <c r="G391" t="s">
        <v>37</v>
      </c>
      <c r="H391">
        <v>1</v>
      </c>
      <c r="I391">
        <v>518</v>
      </c>
      <c r="J391">
        <v>3</v>
      </c>
      <c r="K391" t="s">
        <v>45</v>
      </c>
      <c r="L391">
        <v>49</v>
      </c>
      <c r="M391">
        <v>3</v>
      </c>
      <c r="N391">
        <v>2</v>
      </c>
      <c r="O391" t="s">
        <v>52</v>
      </c>
      <c r="P391">
        <v>2</v>
      </c>
      <c r="Q391" t="s">
        <v>40</v>
      </c>
      <c r="R391">
        <v>4197</v>
      </c>
      <c r="S391">
        <v>21123</v>
      </c>
      <c r="T391">
        <v>2</v>
      </c>
      <c r="U391" t="s">
        <v>41</v>
      </c>
      <c r="V391" t="s">
        <v>34</v>
      </c>
      <c r="W391">
        <v>12</v>
      </c>
      <c r="X391">
        <v>3</v>
      </c>
      <c r="Y391">
        <v>4</v>
      </c>
      <c r="Z391">
        <v>80</v>
      </c>
      <c r="AA391">
        <v>0</v>
      </c>
      <c r="AB391">
        <v>18</v>
      </c>
      <c r="AC391">
        <v>2</v>
      </c>
      <c r="AD391">
        <v>2</v>
      </c>
      <c r="AE391">
        <v>1</v>
      </c>
      <c r="AF391">
        <v>0</v>
      </c>
      <c r="AG391">
        <v>0</v>
      </c>
      <c r="AH391">
        <v>1</v>
      </c>
    </row>
    <row r="392" spans="1:34" x14ac:dyDescent="0.2">
      <c r="A392">
        <v>43</v>
      </c>
      <c r="B392" t="s">
        <v>42</v>
      </c>
      <c r="C392" t="s">
        <v>35</v>
      </c>
      <c r="D392" t="s">
        <v>44</v>
      </c>
      <c r="E392">
        <v>12</v>
      </c>
      <c r="F392">
        <v>3</v>
      </c>
      <c r="G392" t="s">
        <v>37</v>
      </c>
      <c r="H392">
        <v>1</v>
      </c>
      <c r="I392">
        <v>520</v>
      </c>
      <c r="J392">
        <v>1</v>
      </c>
      <c r="K392" t="s">
        <v>45</v>
      </c>
      <c r="L392">
        <v>59</v>
      </c>
      <c r="M392">
        <v>2</v>
      </c>
      <c r="N392">
        <v>4</v>
      </c>
      <c r="O392" t="s">
        <v>57</v>
      </c>
      <c r="P392">
        <v>2</v>
      </c>
      <c r="Q392" t="s">
        <v>51</v>
      </c>
      <c r="R392">
        <v>14336</v>
      </c>
      <c r="S392">
        <v>4345</v>
      </c>
      <c r="T392">
        <v>1</v>
      </c>
      <c r="U392" t="s">
        <v>41</v>
      </c>
      <c r="V392" t="s">
        <v>42</v>
      </c>
      <c r="W392">
        <v>11</v>
      </c>
      <c r="X392">
        <v>3</v>
      </c>
      <c r="Y392">
        <v>3</v>
      </c>
      <c r="Z392">
        <v>80</v>
      </c>
      <c r="AA392">
        <v>1</v>
      </c>
      <c r="AB392">
        <v>25</v>
      </c>
      <c r="AC392">
        <v>3</v>
      </c>
      <c r="AD392">
        <v>3</v>
      </c>
      <c r="AE392">
        <v>25</v>
      </c>
      <c r="AF392">
        <v>10</v>
      </c>
      <c r="AG392">
        <v>3</v>
      </c>
      <c r="AH392">
        <v>9</v>
      </c>
    </row>
    <row r="393" spans="1:34" x14ac:dyDescent="0.2">
      <c r="A393">
        <v>40</v>
      </c>
      <c r="B393" t="s">
        <v>42</v>
      </c>
      <c r="C393" t="s">
        <v>35</v>
      </c>
      <c r="D393" t="s">
        <v>44</v>
      </c>
      <c r="E393">
        <v>2</v>
      </c>
      <c r="F393">
        <v>3</v>
      </c>
      <c r="G393" t="s">
        <v>50</v>
      </c>
      <c r="H393">
        <v>1</v>
      </c>
      <c r="I393">
        <v>521</v>
      </c>
      <c r="J393">
        <v>2</v>
      </c>
      <c r="K393" t="s">
        <v>38</v>
      </c>
      <c r="L393">
        <v>78</v>
      </c>
      <c r="M393">
        <v>2</v>
      </c>
      <c r="N393">
        <v>2</v>
      </c>
      <c r="O393" t="s">
        <v>49</v>
      </c>
      <c r="P393">
        <v>3</v>
      </c>
      <c r="Q393" t="s">
        <v>47</v>
      </c>
      <c r="R393">
        <v>3448</v>
      </c>
      <c r="S393">
        <v>13436</v>
      </c>
      <c r="T393">
        <v>6</v>
      </c>
      <c r="U393" t="s">
        <v>41</v>
      </c>
      <c r="V393" t="s">
        <v>42</v>
      </c>
      <c r="W393">
        <v>22</v>
      </c>
      <c r="X393">
        <v>4</v>
      </c>
      <c r="Y393">
        <v>2</v>
      </c>
      <c r="Z393">
        <v>80</v>
      </c>
      <c r="AA393">
        <v>1</v>
      </c>
      <c r="AB393">
        <v>20</v>
      </c>
      <c r="AC393">
        <v>3</v>
      </c>
      <c r="AD393">
        <v>3</v>
      </c>
      <c r="AE393">
        <v>1</v>
      </c>
      <c r="AF393">
        <v>0</v>
      </c>
      <c r="AG393">
        <v>0</v>
      </c>
      <c r="AH393">
        <v>0</v>
      </c>
    </row>
    <row r="394" spans="1:34" x14ac:dyDescent="0.2">
      <c r="A394">
        <v>54</v>
      </c>
      <c r="B394" t="s">
        <v>42</v>
      </c>
      <c r="C394" t="s">
        <v>35</v>
      </c>
      <c r="D394" t="s">
        <v>44</v>
      </c>
      <c r="E394">
        <v>5</v>
      </c>
      <c r="F394">
        <v>2</v>
      </c>
      <c r="G394" t="s">
        <v>50</v>
      </c>
      <c r="H394">
        <v>1</v>
      </c>
      <c r="I394">
        <v>522</v>
      </c>
      <c r="J394">
        <v>1</v>
      </c>
      <c r="K394" t="s">
        <v>45</v>
      </c>
      <c r="L394">
        <v>86</v>
      </c>
      <c r="M394">
        <v>3</v>
      </c>
      <c r="N394">
        <v>5</v>
      </c>
      <c r="O394" t="s">
        <v>57</v>
      </c>
      <c r="P394">
        <v>1</v>
      </c>
      <c r="Q394" t="s">
        <v>47</v>
      </c>
      <c r="R394">
        <v>19406</v>
      </c>
      <c r="S394">
        <v>8509</v>
      </c>
      <c r="T394">
        <v>4</v>
      </c>
      <c r="U394" t="s">
        <v>41</v>
      </c>
      <c r="V394" t="s">
        <v>42</v>
      </c>
      <c r="W394">
        <v>11</v>
      </c>
      <c r="X394">
        <v>3</v>
      </c>
      <c r="Y394">
        <v>3</v>
      </c>
      <c r="Z394">
        <v>80</v>
      </c>
      <c r="AA394">
        <v>1</v>
      </c>
      <c r="AB394">
        <v>24</v>
      </c>
      <c r="AC394">
        <v>4</v>
      </c>
      <c r="AD394">
        <v>2</v>
      </c>
      <c r="AE394">
        <v>4</v>
      </c>
      <c r="AF394">
        <v>2</v>
      </c>
      <c r="AG394">
        <v>1</v>
      </c>
      <c r="AH394">
        <v>2</v>
      </c>
    </row>
    <row r="395" spans="1:34" x14ac:dyDescent="0.2">
      <c r="A395">
        <v>34</v>
      </c>
      <c r="B395" t="s">
        <v>42</v>
      </c>
      <c r="C395" t="s">
        <v>54</v>
      </c>
      <c r="D395" t="s">
        <v>36</v>
      </c>
      <c r="E395">
        <v>4</v>
      </c>
      <c r="F395">
        <v>4</v>
      </c>
      <c r="G395" t="s">
        <v>58</v>
      </c>
      <c r="H395">
        <v>1</v>
      </c>
      <c r="I395">
        <v>523</v>
      </c>
      <c r="J395">
        <v>3</v>
      </c>
      <c r="K395" t="s">
        <v>38</v>
      </c>
      <c r="L395">
        <v>72</v>
      </c>
      <c r="M395">
        <v>3</v>
      </c>
      <c r="N395">
        <v>2</v>
      </c>
      <c r="O395" t="s">
        <v>39</v>
      </c>
      <c r="P395">
        <v>3</v>
      </c>
      <c r="Q395" t="s">
        <v>47</v>
      </c>
      <c r="R395">
        <v>6538</v>
      </c>
      <c r="S395">
        <v>12740</v>
      </c>
      <c r="T395">
        <v>9</v>
      </c>
      <c r="U395" t="s">
        <v>41</v>
      </c>
      <c r="V395" t="s">
        <v>42</v>
      </c>
      <c r="W395">
        <v>15</v>
      </c>
      <c r="X395">
        <v>3</v>
      </c>
      <c r="Y395">
        <v>1</v>
      </c>
      <c r="Z395">
        <v>80</v>
      </c>
      <c r="AA395">
        <v>1</v>
      </c>
      <c r="AB395">
        <v>6</v>
      </c>
      <c r="AC395">
        <v>3</v>
      </c>
      <c r="AD395">
        <v>3</v>
      </c>
      <c r="AE395">
        <v>3</v>
      </c>
      <c r="AF395">
        <v>2</v>
      </c>
      <c r="AG395">
        <v>1</v>
      </c>
      <c r="AH395">
        <v>2</v>
      </c>
    </row>
    <row r="396" spans="1:34" x14ac:dyDescent="0.2">
      <c r="A396">
        <v>31</v>
      </c>
      <c r="B396" t="s">
        <v>42</v>
      </c>
      <c r="C396" t="s">
        <v>35</v>
      </c>
      <c r="D396" t="s">
        <v>44</v>
      </c>
      <c r="E396">
        <v>7</v>
      </c>
      <c r="F396">
        <v>2</v>
      </c>
      <c r="G396" t="s">
        <v>50</v>
      </c>
      <c r="H396">
        <v>1</v>
      </c>
      <c r="I396">
        <v>524</v>
      </c>
      <c r="J396">
        <v>2</v>
      </c>
      <c r="K396" t="s">
        <v>38</v>
      </c>
      <c r="L396">
        <v>31</v>
      </c>
      <c r="M396">
        <v>3</v>
      </c>
      <c r="N396">
        <v>2</v>
      </c>
      <c r="O396" t="s">
        <v>52</v>
      </c>
      <c r="P396">
        <v>1</v>
      </c>
      <c r="Q396" t="s">
        <v>47</v>
      </c>
      <c r="R396">
        <v>4306</v>
      </c>
      <c r="S396">
        <v>4156</v>
      </c>
      <c r="T396">
        <v>1</v>
      </c>
      <c r="U396" t="s">
        <v>41</v>
      </c>
      <c r="V396" t="s">
        <v>42</v>
      </c>
      <c r="W396">
        <v>12</v>
      </c>
      <c r="X396">
        <v>3</v>
      </c>
      <c r="Y396">
        <v>2</v>
      </c>
      <c r="Z396">
        <v>80</v>
      </c>
      <c r="AA396">
        <v>1</v>
      </c>
      <c r="AB396">
        <v>13</v>
      </c>
      <c r="AC396">
        <v>5</v>
      </c>
      <c r="AD396">
        <v>1</v>
      </c>
      <c r="AE396">
        <v>13</v>
      </c>
      <c r="AF396">
        <v>10</v>
      </c>
      <c r="AG396">
        <v>3</v>
      </c>
      <c r="AH396">
        <v>12</v>
      </c>
    </row>
    <row r="397" spans="1:34" x14ac:dyDescent="0.2">
      <c r="A397">
        <v>43</v>
      </c>
      <c r="B397" t="s">
        <v>42</v>
      </c>
      <c r="C397" t="s">
        <v>43</v>
      </c>
      <c r="D397" t="s">
        <v>44</v>
      </c>
      <c r="E397">
        <v>21</v>
      </c>
      <c r="F397">
        <v>3</v>
      </c>
      <c r="G397" t="s">
        <v>50</v>
      </c>
      <c r="H397">
        <v>1</v>
      </c>
      <c r="I397">
        <v>525</v>
      </c>
      <c r="J397">
        <v>4</v>
      </c>
      <c r="K397" t="s">
        <v>45</v>
      </c>
      <c r="L397">
        <v>61</v>
      </c>
      <c r="M397">
        <v>3</v>
      </c>
      <c r="N397">
        <v>1</v>
      </c>
      <c r="O397" t="s">
        <v>49</v>
      </c>
      <c r="P397">
        <v>4</v>
      </c>
      <c r="Q397" t="s">
        <v>47</v>
      </c>
      <c r="R397">
        <v>2258</v>
      </c>
      <c r="S397">
        <v>15238</v>
      </c>
      <c r="T397">
        <v>7</v>
      </c>
      <c r="U397" t="s">
        <v>41</v>
      </c>
      <c r="V397" t="s">
        <v>42</v>
      </c>
      <c r="W397">
        <v>20</v>
      </c>
      <c r="X397">
        <v>4</v>
      </c>
      <c r="Y397">
        <v>1</v>
      </c>
      <c r="Z397">
        <v>80</v>
      </c>
      <c r="AA397">
        <v>1</v>
      </c>
      <c r="AB397">
        <v>8</v>
      </c>
      <c r="AC397">
        <v>1</v>
      </c>
      <c r="AD397">
        <v>3</v>
      </c>
      <c r="AE397">
        <v>3</v>
      </c>
      <c r="AF397">
        <v>2</v>
      </c>
      <c r="AG397">
        <v>1</v>
      </c>
      <c r="AH397">
        <v>2</v>
      </c>
    </row>
    <row r="398" spans="1:34" x14ac:dyDescent="0.2">
      <c r="A398">
        <v>43</v>
      </c>
      <c r="B398" t="s">
        <v>42</v>
      </c>
      <c r="C398" t="s">
        <v>35</v>
      </c>
      <c r="D398" t="s">
        <v>44</v>
      </c>
      <c r="E398">
        <v>8</v>
      </c>
      <c r="F398">
        <v>4</v>
      </c>
      <c r="G398" t="s">
        <v>48</v>
      </c>
      <c r="H398">
        <v>1</v>
      </c>
      <c r="I398">
        <v>526</v>
      </c>
      <c r="J398">
        <v>3</v>
      </c>
      <c r="K398" t="s">
        <v>38</v>
      </c>
      <c r="L398">
        <v>74</v>
      </c>
      <c r="M398">
        <v>3</v>
      </c>
      <c r="N398">
        <v>2</v>
      </c>
      <c r="O398" t="s">
        <v>53</v>
      </c>
      <c r="P398">
        <v>3</v>
      </c>
      <c r="Q398" t="s">
        <v>51</v>
      </c>
      <c r="R398">
        <v>4522</v>
      </c>
      <c r="S398">
        <v>2227</v>
      </c>
      <c r="T398">
        <v>4</v>
      </c>
      <c r="U398" t="s">
        <v>41</v>
      </c>
      <c r="V398" t="s">
        <v>34</v>
      </c>
      <c r="W398">
        <v>14</v>
      </c>
      <c r="X398">
        <v>3</v>
      </c>
      <c r="Y398">
        <v>4</v>
      </c>
      <c r="Z398">
        <v>80</v>
      </c>
      <c r="AA398">
        <v>0</v>
      </c>
      <c r="AB398">
        <v>8</v>
      </c>
      <c r="AC398">
        <v>3</v>
      </c>
      <c r="AD398">
        <v>3</v>
      </c>
      <c r="AE398">
        <v>5</v>
      </c>
      <c r="AF398">
        <v>2</v>
      </c>
      <c r="AG398">
        <v>0</v>
      </c>
      <c r="AH398">
        <v>2</v>
      </c>
    </row>
    <row r="399" spans="1:34" x14ac:dyDescent="0.2">
      <c r="A399">
        <v>25</v>
      </c>
      <c r="B399" t="s">
        <v>42</v>
      </c>
      <c r="C399" t="s">
        <v>35</v>
      </c>
      <c r="D399" t="s">
        <v>36</v>
      </c>
      <c r="E399">
        <v>4</v>
      </c>
      <c r="F399">
        <v>2</v>
      </c>
      <c r="G399" t="s">
        <v>37</v>
      </c>
      <c r="H399">
        <v>1</v>
      </c>
      <c r="I399">
        <v>527</v>
      </c>
      <c r="J399">
        <v>2</v>
      </c>
      <c r="K399" t="s">
        <v>38</v>
      </c>
      <c r="L399">
        <v>99</v>
      </c>
      <c r="M399">
        <v>2</v>
      </c>
      <c r="N399">
        <v>2</v>
      </c>
      <c r="O399" t="s">
        <v>39</v>
      </c>
      <c r="P399">
        <v>4</v>
      </c>
      <c r="Q399" t="s">
        <v>40</v>
      </c>
      <c r="R399">
        <v>4487</v>
      </c>
      <c r="S399">
        <v>12090</v>
      </c>
      <c r="T399">
        <v>1</v>
      </c>
      <c r="U399" t="s">
        <v>41</v>
      </c>
      <c r="V399" t="s">
        <v>34</v>
      </c>
      <c r="W399">
        <v>11</v>
      </c>
      <c r="X399">
        <v>3</v>
      </c>
      <c r="Y399">
        <v>2</v>
      </c>
      <c r="Z399">
        <v>80</v>
      </c>
      <c r="AA399">
        <v>0</v>
      </c>
      <c r="AB399">
        <v>5</v>
      </c>
      <c r="AC399">
        <v>3</v>
      </c>
      <c r="AD399">
        <v>3</v>
      </c>
      <c r="AE399">
        <v>5</v>
      </c>
      <c r="AF399">
        <v>4</v>
      </c>
      <c r="AG399">
        <v>1</v>
      </c>
      <c r="AH399">
        <v>3</v>
      </c>
    </row>
    <row r="400" spans="1:34" x14ac:dyDescent="0.2">
      <c r="A400">
        <v>37</v>
      </c>
      <c r="B400" t="s">
        <v>42</v>
      </c>
      <c r="C400" t="s">
        <v>54</v>
      </c>
      <c r="D400" t="s">
        <v>44</v>
      </c>
      <c r="E400">
        <v>25</v>
      </c>
      <c r="F400">
        <v>5</v>
      </c>
      <c r="G400" t="s">
        <v>50</v>
      </c>
      <c r="H400">
        <v>1</v>
      </c>
      <c r="I400">
        <v>529</v>
      </c>
      <c r="J400">
        <v>2</v>
      </c>
      <c r="K400" t="s">
        <v>38</v>
      </c>
      <c r="L400">
        <v>72</v>
      </c>
      <c r="M400">
        <v>3</v>
      </c>
      <c r="N400">
        <v>2</v>
      </c>
      <c r="O400" t="s">
        <v>46</v>
      </c>
      <c r="P400">
        <v>3</v>
      </c>
      <c r="Q400" t="s">
        <v>47</v>
      </c>
      <c r="R400">
        <v>4449</v>
      </c>
      <c r="S400">
        <v>23866</v>
      </c>
      <c r="T400">
        <v>3</v>
      </c>
      <c r="U400" t="s">
        <v>41</v>
      </c>
      <c r="V400" t="s">
        <v>34</v>
      </c>
      <c r="W400">
        <v>15</v>
      </c>
      <c r="X400">
        <v>3</v>
      </c>
      <c r="Y400">
        <v>1</v>
      </c>
      <c r="Z400">
        <v>80</v>
      </c>
      <c r="AA400">
        <v>2</v>
      </c>
      <c r="AB400">
        <v>15</v>
      </c>
      <c r="AC400">
        <v>2</v>
      </c>
      <c r="AD400">
        <v>3</v>
      </c>
      <c r="AE400">
        <v>13</v>
      </c>
      <c r="AF400">
        <v>11</v>
      </c>
      <c r="AG400">
        <v>10</v>
      </c>
      <c r="AH400">
        <v>7</v>
      </c>
    </row>
    <row r="401" spans="1:34" x14ac:dyDescent="0.2">
      <c r="A401">
        <v>31</v>
      </c>
      <c r="B401" t="s">
        <v>42</v>
      </c>
      <c r="C401" t="s">
        <v>35</v>
      </c>
      <c r="D401" t="s">
        <v>44</v>
      </c>
      <c r="E401">
        <v>1</v>
      </c>
      <c r="F401">
        <v>2</v>
      </c>
      <c r="G401" t="s">
        <v>37</v>
      </c>
      <c r="H401">
        <v>1</v>
      </c>
      <c r="I401">
        <v>530</v>
      </c>
      <c r="J401">
        <v>4</v>
      </c>
      <c r="K401" t="s">
        <v>45</v>
      </c>
      <c r="L401">
        <v>98</v>
      </c>
      <c r="M401">
        <v>2</v>
      </c>
      <c r="N401">
        <v>1</v>
      </c>
      <c r="O401" t="s">
        <v>49</v>
      </c>
      <c r="P401">
        <v>1</v>
      </c>
      <c r="Q401" t="s">
        <v>47</v>
      </c>
      <c r="R401">
        <v>2218</v>
      </c>
      <c r="S401">
        <v>16193</v>
      </c>
      <c r="T401">
        <v>1</v>
      </c>
      <c r="U401" t="s">
        <v>41</v>
      </c>
      <c r="V401" t="s">
        <v>42</v>
      </c>
      <c r="W401">
        <v>12</v>
      </c>
      <c r="X401">
        <v>3</v>
      </c>
      <c r="Y401">
        <v>3</v>
      </c>
      <c r="Z401">
        <v>80</v>
      </c>
      <c r="AA401">
        <v>1</v>
      </c>
      <c r="AB401">
        <v>4</v>
      </c>
      <c r="AC401">
        <v>3</v>
      </c>
      <c r="AD401">
        <v>3</v>
      </c>
      <c r="AE401">
        <v>4</v>
      </c>
      <c r="AF401">
        <v>2</v>
      </c>
      <c r="AG401">
        <v>3</v>
      </c>
      <c r="AH401">
        <v>2</v>
      </c>
    </row>
    <row r="402" spans="1:34" x14ac:dyDescent="0.2">
      <c r="A402">
        <v>39</v>
      </c>
      <c r="B402" t="s">
        <v>42</v>
      </c>
      <c r="C402" t="s">
        <v>43</v>
      </c>
      <c r="D402" t="s">
        <v>44</v>
      </c>
      <c r="E402">
        <v>1</v>
      </c>
      <c r="F402">
        <v>1</v>
      </c>
      <c r="G402" t="s">
        <v>37</v>
      </c>
      <c r="H402">
        <v>1</v>
      </c>
      <c r="I402">
        <v>531</v>
      </c>
      <c r="J402">
        <v>2</v>
      </c>
      <c r="K402" t="s">
        <v>45</v>
      </c>
      <c r="L402">
        <v>52</v>
      </c>
      <c r="M402">
        <v>3</v>
      </c>
      <c r="N402">
        <v>5</v>
      </c>
      <c r="O402" t="s">
        <v>55</v>
      </c>
      <c r="P402">
        <v>3</v>
      </c>
      <c r="Q402" t="s">
        <v>51</v>
      </c>
      <c r="R402">
        <v>19197</v>
      </c>
      <c r="S402">
        <v>8213</v>
      </c>
      <c r="T402">
        <v>1</v>
      </c>
      <c r="U402" t="s">
        <v>41</v>
      </c>
      <c r="V402" t="s">
        <v>34</v>
      </c>
      <c r="W402">
        <v>14</v>
      </c>
      <c r="X402">
        <v>3</v>
      </c>
      <c r="Y402">
        <v>3</v>
      </c>
      <c r="Z402">
        <v>80</v>
      </c>
      <c r="AA402">
        <v>1</v>
      </c>
      <c r="AB402">
        <v>21</v>
      </c>
      <c r="AC402">
        <v>3</v>
      </c>
      <c r="AD402">
        <v>3</v>
      </c>
      <c r="AE402">
        <v>21</v>
      </c>
      <c r="AF402">
        <v>8</v>
      </c>
      <c r="AG402">
        <v>1</v>
      </c>
      <c r="AH402">
        <v>6</v>
      </c>
    </row>
    <row r="403" spans="1:34" x14ac:dyDescent="0.2">
      <c r="A403">
        <v>56</v>
      </c>
      <c r="B403" t="s">
        <v>42</v>
      </c>
      <c r="C403" t="s">
        <v>43</v>
      </c>
      <c r="D403" t="s">
        <v>36</v>
      </c>
      <c r="E403">
        <v>6</v>
      </c>
      <c r="F403">
        <v>3</v>
      </c>
      <c r="G403" t="s">
        <v>37</v>
      </c>
      <c r="H403">
        <v>1</v>
      </c>
      <c r="I403">
        <v>532</v>
      </c>
      <c r="J403">
        <v>3</v>
      </c>
      <c r="K403" t="s">
        <v>38</v>
      </c>
      <c r="L403">
        <v>86</v>
      </c>
      <c r="M403">
        <v>4</v>
      </c>
      <c r="N403">
        <v>4</v>
      </c>
      <c r="O403" t="s">
        <v>39</v>
      </c>
      <c r="P403">
        <v>1</v>
      </c>
      <c r="Q403" t="s">
        <v>47</v>
      </c>
      <c r="R403">
        <v>13212</v>
      </c>
      <c r="S403">
        <v>18256</v>
      </c>
      <c r="T403">
        <v>9</v>
      </c>
      <c r="U403" t="s">
        <v>41</v>
      </c>
      <c r="V403" t="s">
        <v>42</v>
      </c>
      <c r="W403">
        <v>11</v>
      </c>
      <c r="X403">
        <v>3</v>
      </c>
      <c r="Y403">
        <v>4</v>
      </c>
      <c r="Z403">
        <v>80</v>
      </c>
      <c r="AA403">
        <v>3</v>
      </c>
      <c r="AB403">
        <v>36</v>
      </c>
      <c r="AC403">
        <v>0</v>
      </c>
      <c r="AD403">
        <v>2</v>
      </c>
      <c r="AE403">
        <v>7</v>
      </c>
      <c r="AF403">
        <v>7</v>
      </c>
      <c r="AG403">
        <v>7</v>
      </c>
      <c r="AH403">
        <v>7</v>
      </c>
    </row>
    <row r="404" spans="1:34" x14ac:dyDescent="0.2">
      <c r="A404">
        <v>30</v>
      </c>
      <c r="B404" t="s">
        <v>42</v>
      </c>
      <c r="C404" t="s">
        <v>35</v>
      </c>
      <c r="D404" t="s">
        <v>36</v>
      </c>
      <c r="E404">
        <v>12</v>
      </c>
      <c r="F404">
        <v>3</v>
      </c>
      <c r="G404" t="s">
        <v>59</v>
      </c>
      <c r="H404">
        <v>1</v>
      </c>
      <c r="I404">
        <v>533</v>
      </c>
      <c r="J404">
        <v>2</v>
      </c>
      <c r="K404" t="s">
        <v>38</v>
      </c>
      <c r="L404">
        <v>83</v>
      </c>
      <c r="M404">
        <v>3</v>
      </c>
      <c r="N404">
        <v>2</v>
      </c>
      <c r="O404" t="s">
        <v>39</v>
      </c>
      <c r="P404">
        <v>3</v>
      </c>
      <c r="Q404" t="s">
        <v>40</v>
      </c>
      <c r="R404">
        <v>6577</v>
      </c>
      <c r="S404">
        <v>19558</v>
      </c>
      <c r="T404">
        <v>0</v>
      </c>
      <c r="U404" t="s">
        <v>41</v>
      </c>
      <c r="V404" t="s">
        <v>42</v>
      </c>
      <c r="W404">
        <v>11</v>
      </c>
      <c r="X404">
        <v>3</v>
      </c>
      <c r="Y404">
        <v>2</v>
      </c>
      <c r="Z404">
        <v>80</v>
      </c>
      <c r="AA404">
        <v>0</v>
      </c>
      <c r="AB404">
        <v>6</v>
      </c>
      <c r="AC404">
        <v>6</v>
      </c>
      <c r="AD404">
        <v>3</v>
      </c>
      <c r="AE404">
        <v>5</v>
      </c>
      <c r="AF404">
        <v>4</v>
      </c>
      <c r="AG404">
        <v>4</v>
      </c>
      <c r="AH404">
        <v>4</v>
      </c>
    </row>
    <row r="405" spans="1:34" x14ac:dyDescent="0.2">
      <c r="A405">
        <v>41</v>
      </c>
      <c r="B405" t="s">
        <v>42</v>
      </c>
      <c r="C405" t="s">
        <v>35</v>
      </c>
      <c r="D405" t="s">
        <v>36</v>
      </c>
      <c r="E405">
        <v>1</v>
      </c>
      <c r="F405">
        <v>3</v>
      </c>
      <c r="G405" t="s">
        <v>58</v>
      </c>
      <c r="H405">
        <v>1</v>
      </c>
      <c r="I405">
        <v>534</v>
      </c>
      <c r="J405">
        <v>2</v>
      </c>
      <c r="K405" t="s">
        <v>45</v>
      </c>
      <c r="L405">
        <v>49</v>
      </c>
      <c r="M405">
        <v>4</v>
      </c>
      <c r="N405">
        <v>3</v>
      </c>
      <c r="O405" t="s">
        <v>39</v>
      </c>
      <c r="P405">
        <v>1</v>
      </c>
      <c r="Q405" t="s">
        <v>47</v>
      </c>
      <c r="R405">
        <v>8392</v>
      </c>
      <c r="S405">
        <v>19566</v>
      </c>
      <c r="T405">
        <v>1</v>
      </c>
      <c r="U405" t="s">
        <v>41</v>
      </c>
      <c r="V405" t="s">
        <v>42</v>
      </c>
      <c r="W405">
        <v>16</v>
      </c>
      <c r="X405">
        <v>3</v>
      </c>
      <c r="Y405">
        <v>3</v>
      </c>
      <c r="Z405">
        <v>80</v>
      </c>
      <c r="AA405">
        <v>1</v>
      </c>
      <c r="AB405">
        <v>10</v>
      </c>
      <c r="AC405">
        <v>2</v>
      </c>
      <c r="AD405">
        <v>3</v>
      </c>
      <c r="AE405">
        <v>10</v>
      </c>
      <c r="AF405">
        <v>7</v>
      </c>
      <c r="AG405">
        <v>0</v>
      </c>
      <c r="AH405">
        <v>7</v>
      </c>
    </row>
    <row r="406" spans="1:34" x14ac:dyDescent="0.2">
      <c r="A406">
        <v>28</v>
      </c>
      <c r="B406" t="s">
        <v>42</v>
      </c>
      <c r="C406" t="s">
        <v>35</v>
      </c>
      <c r="D406" t="s">
        <v>44</v>
      </c>
      <c r="E406">
        <v>17</v>
      </c>
      <c r="F406">
        <v>2</v>
      </c>
      <c r="G406" t="s">
        <v>50</v>
      </c>
      <c r="H406">
        <v>1</v>
      </c>
      <c r="I406">
        <v>536</v>
      </c>
      <c r="J406">
        <v>3</v>
      </c>
      <c r="K406" t="s">
        <v>45</v>
      </c>
      <c r="L406">
        <v>79</v>
      </c>
      <c r="M406">
        <v>3</v>
      </c>
      <c r="N406">
        <v>2</v>
      </c>
      <c r="O406" t="s">
        <v>49</v>
      </c>
      <c r="P406">
        <v>1</v>
      </c>
      <c r="Q406" t="s">
        <v>51</v>
      </c>
      <c r="R406">
        <v>4558</v>
      </c>
      <c r="S406">
        <v>13535</v>
      </c>
      <c r="T406">
        <v>1</v>
      </c>
      <c r="U406" t="s">
        <v>41</v>
      </c>
      <c r="V406" t="s">
        <v>42</v>
      </c>
      <c r="W406">
        <v>12</v>
      </c>
      <c r="X406">
        <v>3</v>
      </c>
      <c r="Y406">
        <v>4</v>
      </c>
      <c r="Z406">
        <v>80</v>
      </c>
      <c r="AA406">
        <v>1</v>
      </c>
      <c r="AB406">
        <v>10</v>
      </c>
      <c r="AC406">
        <v>2</v>
      </c>
      <c r="AD406">
        <v>3</v>
      </c>
      <c r="AE406">
        <v>10</v>
      </c>
      <c r="AF406">
        <v>0</v>
      </c>
      <c r="AG406">
        <v>1</v>
      </c>
      <c r="AH406">
        <v>8</v>
      </c>
    </row>
    <row r="407" spans="1:34" x14ac:dyDescent="0.2">
      <c r="A407">
        <v>25</v>
      </c>
      <c r="B407" t="s">
        <v>34</v>
      </c>
      <c r="C407" t="s">
        <v>35</v>
      </c>
      <c r="D407" t="s">
        <v>44</v>
      </c>
      <c r="E407">
        <v>3</v>
      </c>
      <c r="F407">
        <v>3</v>
      </c>
      <c r="G407" t="s">
        <v>50</v>
      </c>
      <c r="H407">
        <v>1</v>
      </c>
      <c r="I407">
        <v>538</v>
      </c>
      <c r="J407">
        <v>1</v>
      </c>
      <c r="K407" t="s">
        <v>45</v>
      </c>
      <c r="L407">
        <v>91</v>
      </c>
      <c r="M407">
        <v>3</v>
      </c>
      <c r="N407">
        <v>1</v>
      </c>
      <c r="O407" t="s">
        <v>49</v>
      </c>
      <c r="P407">
        <v>1</v>
      </c>
      <c r="Q407" t="s">
        <v>47</v>
      </c>
      <c r="R407">
        <v>4031</v>
      </c>
      <c r="S407">
        <v>9396</v>
      </c>
      <c r="T407">
        <v>5</v>
      </c>
      <c r="U407" t="s">
        <v>41</v>
      </c>
      <c r="V407" t="s">
        <v>42</v>
      </c>
      <c r="W407">
        <v>13</v>
      </c>
      <c r="X407">
        <v>3</v>
      </c>
      <c r="Y407">
        <v>3</v>
      </c>
      <c r="Z407">
        <v>80</v>
      </c>
      <c r="AA407">
        <v>1</v>
      </c>
      <c r="AB407">
        <v>6</v>
      </c>
      <c r="AC407">
        <v>5</v>
      </c>
      <c r="AD407">
        <v>3</v>
      </c>
      <c r="AE407">
        <v>2</v>
      </c>
      <c r="AF407">
        <v>2</v>
      </c>
      <c r="AG407">
        <v>0</v>
      </c>
      <c r="AH407">
        <v>2</v>
      </c>
    </row>
    <row r="408" spans="1:34" x14ac:dyDescent="0.2">
      <c r="A408">
        <v>52</v>
      </c>
      <c r="B408" t="s">
        <v>42</v>
      </c>
      <c r="C408" t="s">
        <v>35</v>
      </c>
      <c r="D408" t="s">
        <v>44</v>
      </c>
      <c r="E408">
        <v>3</v>
      </c>
      <c r="F408">
        <v>3</v>
      </c>
      <c r="G408" t="s">
        <v>50</v>
      </c>
      <c r="H408">
        <v>1</v>
      </c>
      <c r="I408">
        <v>543</v>
      </c>
      <c r="J408">
        <v>4</v>
      </c>
      <c r="K408" t="s">
        <v>45</v>
      </c>
      <c r="L408">
        <v>39</v>
      </c>
      <c r="M408">
        <v>2</v>
      </c>
      <c r="N408">
        <v>3</v>
      </c>
      <c r="O408" t="s">
        <v>52</v>
      </c>
      <c r="P408">
        <v>3</v>
      </c>
      <c r="Q408" t="s">
        <v>47</v>
      </c>
      <c r="R408">
        <v>7969</v>
      </c>
      <c r="S408">
        <v>19609</v>
      </c>
      <c r="T408">
        <v>2</v>
      </c>
      <c r="U408" t="s">
        <v>41</v>
      </c>
      <c r="V408" t="s">
        <v>34</v>
      </c>
      <c r="W408">
        <v>14</v>
      </c>
      <c r="X408">
        <v>3</v>
      </c>
      <c r="Y408">
        <v>3</v>
      </c>
      <c r="Z408">
        <v>80</v>
      </c>
      <c r="AA408">
        <v>0</v>
      </c>
      <c r="AB408">
        <v>28</v>
      </c>
      <c r="AC408">
        <v>4</v>
      </c>
      <c r="AD408">
        <v>3</v>
      </c>
      <c r="AE408">
        <v>5</v>
      </c>
      <c r="AF408">
        <v>4</v>
      </c>
      <c r="AG408">
        <v>0</v>
      </c>
      <c r="AH408">
        <v>4</v>
      </c>
    </row>
    <row r="409" spans="1:34" x14ac:dyDescent="0.2">
      <c r="A409">
        <v>45</v>
      </c>
      <c r="B409" t="s">
        <v>42</v>
      </c>
      <c r="C409" t="s">
        <v>35</v>
      </c>
      <c r="D409" t="s">
        <v>44</v>
      </c>
      <c r="E409">
        <v>10</v>
      </c>
      <c r="F409">
        <v>2</v>
      </c>
      <c r="G409" t="s">
        <v>37</v>
      </c>
      <c r="H409">
        <v>1</v>
      </c>
      <c r="I409">
        <v>544</v>
      </c>
      <c r="J409">
        <v>1</v>
      </c>
      <c r="K409" t="s">
        <v>45</v>
      </c>
      <c r="L409">
        <v>69</v>
      </c>
      <c r="M409">
        <v>3</v>
      </c>
      <c r="N409">
        <v>1</v>
      </c>
      <c r="O409" t="s">
        <v>46</v>
      </c>
      <c r="P409">
        <v>4</v>
      </c>
      <c r="Q409" t="s">
        <v>47</v>
      </c>
      <c r="R409">
        <v>2654</v>
      </c>
      <c r="S409">
        <v>9655</v>
      </c>
      <c r="T409">
        <v>3</v>
      </c>
      <c r="U409" t="s">
        <v>41</v>
      </c>
      <c r="V409" t="s">
        <v>42</v>
      </c>
      <c r="W409">
        <v>21</v>
      </c>
      <c r="X409">
        <v>4</v>
      </c>
      <c r="Y409">
        <v>4</v>
      </c>
      <c r="Z409">
        <v>80</v>
      </c>
      <c r="AA409">
        <v>2</v>
      </c>
      <c r="AB409">
        <v>8</v>
      </c>
      <c r="AC409">
        <v>3</v>
      </c>
      <c r="AD409">
        <v>2</v>
      </c>
      <c r="AE409">
        <v>2</v>
      </c>
      <c r="AF409">
        <v>2</v>
      </c>
      <c r="AG409">
        <v>0</v>
      </c>
      <c r="AH409">
        <v>2</v>
      </c>
    </row>
    <row r="410" spans="1:34" x14ac:dyDescent="0.2">
      <c r="A410">
        <v>52</v>
      </c>
      <c r="B410" t="s">
        <v>42</v>
      </c>
      <c r="C410" t="s">
        <v>35</v>
      </c>
      <c r="D410" t="s">
        <v>44</v>
      </c>
      <c r="E410">
        <v>4</v>
      </c>
      <c r="F410">
        <v>2</v>
      </c>
      <c r="G410" t="s">
        <v>37</v>
      </c>
      <c r="H410">
        <v>1</v>
      </c>
      <c r="I410">
        <v>546</v>
      </c>
      <c r="J410">
        <v>4</v>
      </c>
      <c r="K410" t="s">
        <v>38</v>
      </c>
      <c r="L410">
        <v>30</v>
      </c>
      <c r="M410">
        <v>3</v>
      </c>
      <c r="N410">
        <v>4</v>
      </c>
      <c r="O410" t="s">
        <v>55</v>
      </c>
      <c r="P410">
        <v>4</v>
      </c>
      <c r="Q410" t="s">
        <v>47</v>
      </c>
      <c r="R410">
        <v>16555</v>
      </c>
      <c r="S410">
        <v>10310</v>
      </c>
      <c r="T410">
        <v>2</v>
      </c>
      <c r="U410" t="s">
        <v>41</v>
      </c>
      <c r="V410" t="s">
        <v>42</v>
      </c>
      <c r="W410">
        <v>13</v>
      </c>
      <c r="X410">
        <v>3</v>
      </c>
      <c r="Y410">
        <v>4</v>
      </c>
      <c r="Z410">
        <v>80</v>
      </c>
      <c r="AA410">
        <v>0</v>
      </c>
      <c r="AB410">
        <v>31</v>
      </c>
      <c r="AC410">
        <v>2</v>
      </c>
      <c r="AD410">
        <v>1</v>
      </c>
      <c r="AE410">
        <v>5</v>
      </c>
      <c r="AF410">
        <v>2</v>
      </c>
      <c r="AG410">
        <v>1</v>
      </c>
      <c r="AH410">
        <v>4</v>
      </c>
    </row>
    <row r="411" spans="1:34" x14ac:dyDescent="0.2">
      <c r="A411">
        <v>42</v>
      </c>
      <c r="B411" t="s">
        <v>42</v>
      </c>
      <c r="C411" t="s">
        <v>43</v>
      </c>
      <c r="D411" t="s">
        <v>44</v>
      </c>
      <c r="E411">
        <v>29</v>
      </c>
      <c r="F411">
        <v>2</v>
      </c>
      <c r="G411" t="s">
        <v>37</v>
      </c>
      <c r="H411">
        <v>1</v>
      </c>
      <c r="I411">
        <v>547</v>
      </c>
      <c r="J411">
        <v>1</v>
      </c>
      <c r="K411" t="s">
        <v>38</v>
      </c>
      <c r="L411">
        <v>92</v>
      </c>
      <c r="M411">
        <v>3</v>
      </c>
      <c r="N411">
        <v>2</v>
      </c>
      <c r="O411" t="s">
        <v>46</v>
      </c>
      <c r="P411">
        <v>3</v>
      </c>
      <c r="Q411" t="s">
        <v>51</v>
      </c>
      <c r="R411">
        <v>4556</v>
      </c>
      <c r="S411">
        <v>12932</v>
      </c>
      <c r="T411">
        <v>2</v>
      </c>
      <c r="U411" t="s">
        <v>41</v>
      </c>
      <c r="V411" t="s">
        <v>42</v>
      </c>
      <c r="W411">
        <v>11</v>
      </c>
      <c r="X411">
        <v>3</v>
      </c>
      <c r="Y411">
        <v>2</v>
      </c>
      <c r="Z411">
        <v>80</v>
      </c>
      <c r="AA411">
        <v>1</v>
      </c>
      <c r="AB411">
        <v>19</v>
      </c>
      <c r="AC411">
        <v>3</v>
      </c>
      <c r="AD411">
        <v>3</v>
      </c>
      <c r="AE411">
        <v>5</v>
      </c>
      <c r="AF411">
        <v>4</v>
      </c>
      <c r="AG411">
        <v>0</v>
      </c>
      <c r="AH411">
        <v>2</v>
      </c>
    </row>
    <row r="412" spans="1:34" x14ac:dyDescent="0.2">
      <c r="A412">
        <v>30</v>
      </c>
      <c r="B412" t="s">
        <v>42</v>
      </c>
      <c r="C412" t="s">
        <v>35</v>
      </c>
      <c r="D412" t="s">
        <v>44</v>
      </c>
      <c r="E412">
        <v>2</v>
      </c>
      <c r="F412">
        <v>3</v>
      </c>
      <c r="G412" t="s">
        <v>37</v>
      </c>
      <c r="H412">
        <v>1</v>
      </c>
      <c r="I412">
        <v>548</v>
      </c>
      <c r="J412">
        <v>3</v>
      </c>
      <c r="K412" t="s">
        <v>38</v>
      </c>
      <c r="L412">
        <v>43</v>
      </c>
      <c r="M412">
        <v>1</v>
      </c>
      <c r="N412">
        <v>2</v>
      </c>
      <c r="O412" t="s">
        <v>52</v>
      </c>
      <c r="P412">
        <v>4</v>
      </c>
      <c r="Q412" t="s">
        <v>40</v>
      </c>
      <c r="R412">
        <v>6091</v>
      </c>
      <c r="S412">
        <v>24793</v>
      </c>
      <c r="T412">
        <v>2</v>
      </c>
      <c r="U412" t="s">
        <v>41</v>
      </c>
      <c r="V412" t="s">
        <v>42</v>
      </c>
      <c r="W412">
        <v>20</v>
      </c>
      <c r="X412">
        <v>4</v>
      </c>
      <c r="Y412">
        <v>3</v>
      </c>
      <c r="Z412">
        <v>80</v>
      </c>
      <c r="AA412">
        <v>0</v>
      </c>
      <c r="AB412">
        <v>11</v>
      </c>
      <c r="AC412">
        <v>2</v>
      </c>
      <c r="AD412">
        <v>3</v>
      </c>
      <c r="AE412">
        <v>5</v>
      </c>
      <c r="AF412">
        <v>4</v>
      </c>
      <c r="AG412">
        <v>0</v>
      </c>
      <c r="AH412">
        <v>2</v>
      </c>
    </row>
    <row r="413" spans="1:34" x14ac:dyDescent="0.2">
      <c r="A413">
        <v>60</v>
      </c>
      <c r="B413" t="s">
        <v>42</v>
      </c>
      <c r="C413" t="s">
        <v>35</v>
      </c>
      <c r="D413" t="s">
        <v>44</v>
      </c>
      <c r="E413">
        <v>7</v>
      </c>
      <c r="F413">
        <v>3</v>
      </c>
      <c r="G413" t="s">
        <v>37</v>
      </c>
      <c r="H413">
        <v>1</v>
      </c>
      <c r="I413">
        <v>549</v>
      </c>
      <c r="J413">
        <v>1</v>
      </c>
      <c r="K413" t="s">
        <v>38</v>
      </c>
      <c r="L413">
        <v>41</v>
      </c>
      <c r="M413">
        <v>3</v>
      </c>
      <c r="N413">
        <v>5</v>
      </c>
      <c r="O413" t="s">
        <v>55</v>
      </c>
      <c r="P413">
        <v>1</v>
      </c>
      <c r="Q413" t="s">
        <v>47</v>
      </c>
      <c r="R413">
        <v>19566</v>
      </c>
      <c r="S413">
        <v>3854</v>
      </c>
      <c r="T413">
        <v>5</v>
      </c>
      <c r="U413" t="s">
        <v>41</v>
      </c>
      <c r="V413" t="s">
        <v>42</v>
      </c>
      <c r="W413">
        <v>11</v>
      </c>
      <c r="X413">
        <v>3</v>
      </c>
      <c r="Y413">
        <v>4</v>
      </c>
      <c r="Z413">
        <v>80</v>
      </c>
      <c r="AA413">
        <v>0</v>
      </c>
      <c r="AB413">
        <v>33</v>
      </c>
      <c r="AC413">
        <v>5</v>
      </c>
      <c r="AD413">
        <v>1</v>
      </c>
      <c r="AE413">
        <v>29</v>
      </c>
      <c r="AF413">
        <v>8</v>
      </c>
      <c r="AG413">
        <v>11</v>
      </c>
      <c r="AH413">
        <v>10</v>
      </c>
    </row>
    <row r="414" spans="1:34" x14ac:dyDescent="0.2">
      <c r="A414">
        <v>46</v>
      </c>
      <c r="B414" t="s">
        <v>42</v>
      </c>
      <c r="C414" t="s">
        <v>35</v>
      </c>
      <c r="D414" t="s">
        <v>44</v>
      </c>
      <c r="E414">
        <v>18</v>
      </c>
      <c r="F414">
        <v>3</v>
      </c>
      <c r="G414" t="s">
        <v>50</v>
      </c>
      <c r="H414">
        <v>1</v>
      </c>
      <c r="I414">
        <v>550</v>
      </c>
      <c r="J414">
        <v>3</v>
      </c>
      <c r="K414" t="s">
        <v>38</v>
      </c>
      <c r="L414">
        <v>87</v>
      </c>
      <c r="M414">
        <v>3</v>
      </c>
      <c r="N414">
        <v>2</v>
      </c>
      <c r="O414" t="s">
        <v>52</v>
      </c>
      <c r="P414">
        <v>3</v>
      </c>
      <c r="Q414" t="s">
        <v>51</v>
      </c>
      <c r="R414">
        <v>4810</v>
      </c>
      <c r="S414">
        <v>26314</v>
      </c>
      <c r="T414">
        <v>2</v>
      </c>
      <c r="U414" t="s">
        <v>41</v>
      </c>
      <c r="V414" t="s">
        <v>42</v>
      </c>
      <c r="W414">
        <v>14</v>
      </c>
      <c r="X414">
        <v>3</v>
      </c>
      <c r="Y414">
        <v>3</v>
      </c>
      <c r="Z414">
        <v>80</v>
      </c>
      <c r="AA414">
        <v>1</v>
      </c>
      <c r="AB414">
        <v>19</v>
      </c>
      <c r="AC414">
        <v>5</v>
      </c>
      <c r="AD414">
        <v>2</v>
      </c>
      <c r="AE414">
        <v>10</v>
      </c>
      <c r="AF414">
        <v>7</v>
      </c>
      <c r="AG414">
        <v>0</v>
      </c>
      <c r="AH414">
        <v>8</v>
      </c>
    </row>
    <row r="415" spans="1:34" x14ac:dyDescent="0.2">
      <c r="A415">
        <v>42</v>
      </c>
      <c r="B415" t="s">
        <v>42</v>
      </c>
      <c r="C415" t="s">
        <v>43</v>
      </c>
      <c r="D415" t="s">
        <v>44</v>
      </c>
      <c r="E415">
        <v>28</v>
      </c>
      <c r="F415">
        <v>4</v>
      </c>
      <c r="G415" t="s">
        <v>59</v>
      </c>
      <c r="H415">
        <v>1</v>
      </c>
      <c r="I415">
        <v>551</v>
      </c>
      <c r="J415">
        <v>4</v>
      </c>
      <c r="K415" t="s">
        <v>38</v>
      </c>
      <c r="L415">
        <v>88</v>
      </c>
      <c r="M415">
        <v>2</v>
      </c>
      <c r="N415">
        <v>2</v>
      </c>
      <c r="O415" t="s">
        <v>53</v>
      </c>
      <c r="P415">
        <v>4</v>
      </c>
      <c r="Q415" t="s">
        <v>47</v>
      </c>
      <c r="R415">
        <v>4523</v>
      </c>
      <c r="S415">
        <v>4386</v>
      </c>
      <c r="T415">
        <v>0</v>
      </c>
      <c r="U415" t="s">
        <v>41</v>
      </c>
      <c r="V415" t="s">
        <v>42</v>
      </c>
      <c r="W415">
        <v>11</v>
      </c>
      <c r="X415">
        <v>3</v>
      </c>
      <c r="Y415">
        <v>4</v>
      </c>
      <c r="Z415">
        <v>80</v>
      </c>
      <c r="AA415">
        <v>3</v>
      </c>
      <c r="AB415">
        <v>7</v>
      </c>
      <c r="AC415">
        <v>4</v>
      </c>
      <c r="AD415">
        <v>4</v>
      </c>
      <c r="AE415">
        <v>6</v>
      </c>
      <c r="AF415">
        <v>5</v>
      </c>
      <c r="AG415">
        <v>0</v>
      </c>
      <c r="AH415">
        <v>4</v>
      </c>
    </row>
    <row r="416" spans="1:34" x14ac:dyDescent="0.2">
      <c r="A416">
        <v>24</v>
      </c>
      <c r="B416" t="s">
        <v>34</v>
      </c>
      <c r="C416" t="s">
        <v>35</v>
      </c>
      <c r="D416" t="s">
        <v>36</v>
      </c>
      <c r="E416">
        <v>1</v>
      </c>
      <c r="F416">
        <v>1</v>
      </c>
      <c r="G416" t="s">
        <v>59</v>
      </c>
      <c r="H416">
        <v>1</v>
      </c>
      <c r="I416">
        <v>554</v>
      </c>
      <c r="J416">
        <v>1</v>
      </c>
      <c r="K416" t="s">
        <v>38</v>
      </c>
      <c r="L416">
        <v>62</v>
      </c>
      <c r="M416">
        <v>3</v>
      </c>
      <c r="N416">
        <v>1</v>
      </c>
      <c r="O416" t="s">
        <v>56</v>
      </c>
      <c r="P416">
        <v>2</v>
      </c>
      <c r="Q416" t="s">
        <v>40</v>
      </c>
      <c r="R416">
        <v>3202</v>
      </c>
      <c r="S416">
        <v>21972</v>
      </c>
      <c r="T416">
        <v>1</v>
      </c>
      <c r="U416" t="s">
        <v>41</v>
      </c>
      <c r="V416" t="s">
        <v>34</v>
      </c>
      <c r="W416">
        <v>16</v>
      </c>
      <c r="X416">
        <v>3</v>
      </c>
      <c r="Y416">
        <v>2</v>
      </c>
      <c r="Z416">
        <v>80</v>
      </c>
      <c r="AA416">
        <v>0</v>
      </c>
      <c r="AB416">
        <v>6</v>
      </c>
      <c r="AC416">
        <v>4</v>
      </c>
      <c r="AD416">
        <v>3</v>
      </c>
      <c r="AE416">
        <v>5</v>
      </c>
      <c r="AF416">
        <v>3</v>
      </c>
      <c r="AG416">
        <v>1</v>
      </c>
      <c r="AH416">
        <v>4</v>
      </c>
    </row>
    <row r="417" spans="1:34" x14ac:dyDescent="0.2">
      <c r="A417">
        <v>34</v>
      </c>
      <c r="B417" t="s">
        <v>34</v>
      </c>
      <c r="C417" t="s">
        <v>43</v>
      </c>
      <c r="D417" t="s">
        <v>36</v>
      </c>
      <c r="E417">
        <v>6</v>
      </c>
      <c r="F417">
        <v>2</v>
      </c>
      <c r="G417" t="s">
        <v>58</v>
      </c>
      <c r="H417">
        <v>1</v>
      </c>
      <c r="I417">
        <v>555</v>
      </c>
      <c r="J417">
        <v>4</v>
      </c>
      <c r="K417" t="s">
        <v>38</v>
      </c>
      <c r="L417">
        <v>33</v>
      </c>
      <c r="M417">
        <v>1</v>
      </c>
      <c r="N417">
        <v>1</v>
      </c>
      <c r="O417" t="s">
        <v>56</v>
      </c>
      <c r="P417">
        <v>3</v>
      </c>
      <c r="Q417" t="s">
        <v>51</v>
      </c>
      <c r="R417">
        <v>2351</v>
      </c>
      <c r="S417">
        <v>12253</v>
      </c>
      <c r="T417">
        <v>0</v>
      </c>
      <c r="U417" t="s">
        <v>41</v>
      </c>
      <c r="V417" t="s">
        <v>42</v>
      </c>
      <c r="W417">
        <v>16</v>
      </c>
      <c r="X417">
        <v>3</v>
      </c>
      <c r="Y417">
        <v>4</v>
      </c>
      <c r="Z417">
        <v>80</v>
      </c>
      <c r="AA417">
        <v>1</v>
      </c>
      <c r="AB417">
        <v>3</v>
      </c>
      <c r="AC417">
        <v>3</v>
      </c>
      <c r="AD417">
        <v>2</v>
      </c>
      <c r="AE417">
        <v>2</v>
      </c>
      <c r="AF417">
        <v>2</v>
      </c>
      <c r="AG417">
        <v>1</v>
      </c>
      <c r="AH417">
        <v>0</v>
      </c>
    </row>
    <row r="418" spans="1:34" x14ac:dyDescent="0.2">
      <c r="A418">
        <v>38</v>
      </c>
      <c r="B418" t="s">
        <v>42</v>
      </c>
      <c r="C418" t="s">
        <v>43</v>
      </c>
      <c r="D418" t="s">
        <v>44</v>
      </c>
      <c r="E418">
        <v>2</v>
      </c>
      <c r="F418">
        <v>2</v>
      </c>
      <c r="G418" t="s">
        <v>37</v>
      </c>
      <c r="H418">
        <v>1</v>
      </c>
      <c r="I418">
        <v>556</v>
      </c>
      <c r="J418">
        <v>4</v>
      </c>
      <c r="K418" t="s">
        <v>45</v>
      </c>
      <c r="L418">
        <v>42</v>
      </c>
      <c r="M418">
        <v>3</v>
      </c>
      <c r="N418">
        <v>1</v>
      </c>
      <c r="O418" t="s">
        <v>49</v>
      </c>
      <c r="P418">
        <v>4</v>
      </c>
      <c r="Q418" t="s">
        <v>47</v>
      </c>
      <c r="R418">
        <v>1702</v>
      </c>
      <c r="S418">
        <v>12106</v>
      </c>
      <c r="T418">
        <v>1</v>
      </c>
      <c r="U418" t="s">
        <v>41</v>
      </c>
      <c r="V418" t="s">
        <v>34</v>
      </c>
      <c r="W418">
        <v>23</v>
      </c>
      <c r="X418">
        <v>4</v>
      </c>
      <c r="Y418">
        <v>3</v>
      </c>
      <c r="Z418">
        <v>80</v>
      </c>
      <c r="AA418">
        <v>1</v>
      </c>
      <c r="AB418">
        <v>1</v>
      </c>
      <c r="AC418">
        <v>3</v>
      </c>
      <c r="AD418">
        <v>3</v>
      </c>
      <c r="AE418">
        <v>1</v>
      </c>
      <c r="AF418">
        <v>0</v>
      </c>
      <c r="AG418">
        <v>0</v>
      </c>
      <c r="AH418">
        <v>0</v>
      </c>
    </row>
    <row r="419" spans="1:34" x14ac:dyDescent="0.2">
      <c r="A419">
        <v>40</v>
      </c>
      <c r="B419" t="s">
        <v>42</v>
      </c>
      <c r="C419" t="s">
        <v>35</v>
      </c>
      <c r="D419" t="s">
        <v>36</v>
      </c>
      <c r="E419">
        <v>2</v>
      </c>
      <c r="F419">
        <v>4</v>
      </c>
      <c r="G419" t="s">
        <v>37</v>
      </c>
      <c r="H419">
        <v>1</v>
      </c>
      <c r="I419">
        <v>558</v>
      </c>
      <c r="J419">
        <v>3</v>
      </c>
      <c r="K419" t="s">
        <v>38</v>
      </c>
      <c r="L419">
        <v>79</v>
      </c>
      <c r="M419">
        <v>3</v>
      </c>
      <c r="N419">
        <v>5</v>
      </c>
      <c r="O419" t="s">
        <v>55</v>
      </c>
      <c r="P419">
        <v>3</v>
      </c>
      <c r="Q419" t="s">
        <v>47</v>
      </c>
      <c r="R419">
        <v>18041</v>
      </c>
      <c r="S419">
        <v>13022</v>
      </c>
      <c r="T419">
        <v>0</v>
      </c>
      <c r="U419" t="s">
        <v>41</v>
      </c>
      <c r="V419" t="s">
        <v>42</v>
      </c>
      <c r="W419">
        <v>14</v>
      </c>
      <c r="X419">
        <v>3</v>
      </c>
      <c r="Y419">
        <v>4</v>
      </c>
      <c r="Z419">
        <v>80</v>
      </c>
      <c r="AA419">
        <v>0</v>
      </c>
      <c r="AB419">
        <v>21</v>
      </c>
      <c r="AC419">
        <v>2</v>
      </c>
      <c r="AD419">
        <v>3</v>
      </c>
      <c r="AE419">
        <v>20</v>
      </c>
      <c r="AF419">
        <v>15</v>
      </c>
      <c r="AG419">
        <v>1</v>
      </c>
      <c r="AH419">
        <v>12</v>
      </c>
    </row>
    <row r="420" spans="1:34" x14ac:dyDescent="0.2">
      <c r="A420">
        <v>26</v>
      </c>
      <c r="B420" t="s">
        <v>42</v>
      </c>
      <c r="C420" t="s">
        <v>35</v>
      </c>
      <c r="D420" t="s">
        <v>44</v>
      </c>
      <c r="E420">
        <v>23</v>
      </c>
      <c r="F420">
        <v>3</v>
      </c>
      <c r="G420" t="s">
        <v>37</v>
      </c>
      <c r="H420">
        <v>1</v>
      </c>
      <c r="I420">
        <v>560</v>
      </c>
      <c r="J420">
        <v>1</v>
      </c>
      <c r="K420" t="s">
        <v>38</v>
      </c>
      <c r="L420">
        <v>90</v>
      </c>
      <c r="M420">
        <v>3</v>
      </c>
      <c r="N420">
        <v>1</v>
      </c>
      <c r="O420" t="s">
        <v>46</v>
      </c>
      <c r="P420">
        <v>4</v>
      </c>
      <c r="Q420" t="s">
        <v>51</v>
      </c>
      <c r="R420">
        <v>2886</v>
      </c>
      <c r="S420">
        <v>3032</v>
      </c>
      <c r="T420">
        <v>1</v>
      </c>
      <c r="U420" t="s">
        <v>41</v>
      </c>
      <c r="V420" t="s">
        <v>42</v>
      </c>
      <c r="W420">
        <v>22</v>
      </c>
      <c r="X420">
        <v>4</v>
      </c>
      <c r="Y420">
        <v>2</v>
      </c>
      <c r="Z420">
        <v>80</v>
      </c>
      <c r="AA420">
        <v>2</v>
      </c>
      <c r="AB420">
        <v>3</v>
      </c>
      <c r="AC420">
        <v>3</v>
      </c>
      <c r="AD420">
        <v>1</v>
      </c>
      <c r="AE420">
        <v>3</v>
      </c>
      <c r="AF420">
        <v>2</v>
      </c>
      <c r="AG420">
        <v>0</v>
      </c>
      <c r="AH420">
        <v>2</v>
      </c>
    </row>
    <row r="421" spans="1:34" x14ac:dyDescent="0.2">
      <c r="A421">
        <v>30</v>
      </c>
      <c r="B421" t="s">
        <v>42</v>
      </c>
      <c r="C421" t="s">
        <v>54</v>
      </c>
      <c r="D421" t="s">
        <v>44</v>
      </c>
      <c r="E421">
        <v>3</v>
      </c>
      <c r="F421">
        <v>3</v>
      </c>
      <c r="G421" t="s">
        <v>37</v>
      </c>
      <c r="H421">
        <v>1</v>
      </c>
      <c r="I421">
        <v>562</v>
      </c>
      <c r="J421">
        <v>3</v>
      </c>
      <c r="K421" t="s">
        <v>45</v>
      </c>
      <c r="L421">
        <v>53</v>
      </c>
      <c r="M421">
        <v>3</v>
      </c>
      <c r="N421">
        <v>1</v>
      </c>
      <c r="O421" t="s">
        <v>49</v>
      </c>
      <c r="P421">
        <v>4</v>
      </c>
      <c r="Q421" t="s">
        <v>47</v>
      </c>
      <c r="R421">
        <v>2097</v>
      </c>
      <c r="S421">
        <v>16734</v>
      </c>
      <c r="T421">
        <v>4</v>
      </c>
      <c r="U421" t="s">
        <v>41</v>
      </c>
      <c r="V421" t="s">
        <v>42</v>
      </c>
      <c r="W421">
        <v>15</v>
      </c>
      <c r="X421">
        <v>3</v>
      </c>
      <c r="Y421">
        <v>3</v>
      </c>
      <c r="Z421">
        <v>80</v>
      </c>
      <c r="AA421">
        <v>1</v>
      </c>
      <c r="AB421">
        <v>9</v>
      </c>
      <c r="AC421">
        <v>3</v>
      </c>
      <c r="AD421">
        <v>1</v>
      </c>
      <c r="AE421">
        <v>5</v>
      </c>
      <c r="AF421">
        <v>3</v>
      </c>
      <c r="AG421">
        <v>1</v>
      </c>
      <c r="AH421">
        <v>4</v>
      </c>
    </row>
    <row r="422" spans="1:34" x14ac:dyDescent="0.2">
      <c r="A422">
        <v>29</v>
      </c>
      <c r="B422" t="s">
        <v>42</v>
      </c>
      <c r="C422" t="s">
        <v>35</v>
      </c>
      <c r="D422" t="s">
        <v>44</v>
      </c>
      <c r="E422">
        <v>3</v>
      </c>
      <c r="F422">
        <v>4</v>
      </c>
      <c r="G422" t="s">
        <v>50</v>
      </c>
      <c r="H422">
        <v>1</v>
      </c>
      <c r="I422">
        <v>564</v>
      </c>
      <c r="J422">
        <v>2</v>
      </c>
      <c r="K422" t="s">
        <v>45</v>
      </c>
      <c r="L422">
        <v>93</v>
      </c>
      <c r="M422">
        <v>2</v>
      </c>
      <c r="N422">
        <v>3</v>
      </c>
      <c r="O422" t="s">
        <v>57</v>
      </c>
      <c r="P422">
        <v>3</v>
      </c>
      <c r="Q422" t="s">
        <v>47</v>
      </c>
      <c r="R422">
        <v>11935</v>
      </c>
      <c r="S422">
        <v>21526</v>
      </c>
      <c r="T422">
        <v>1</v>
      </c>
      <c r="U422" t="s">
        <v>41</v>
      </c>
      <c r="V422" t="s">
        <v>42</v>
      </c>
      <c r="W422">
        <v>18</v>
      </c>
      <c r="X422">
        <v>3</v>
      </c>
      <c r="Y422">
        <v>3</v>
      </c>
      <c r="Z422">
        <v>80</v>
      </c>
      <c r="AA422">
        <v>0</v>
      </c>
      <c r="AB422">
        <v>10</v>
      </c>
      <c r="AC422">
        <v>2</v>
      </c>
      <c r="AD422">
        <v>3</v>
      </c>
      <c r="AE422">
        <v>10</v>
      </c>
      <c r="AF422">
        <v>2</v>
      </c>
      <c r="AG422">
        <v>0</v>
      </c>
      <c r="AH422">
        <v>7</v>
      </c>
    </row>
    <row r="423" spans="1:34" x14ac:dyDescent="0.2">
      <c r="A423">
        <v>29</v>
      </c>
      <c r="B423" t="s">
        <v>34</v>
      </c>
      <c r="C423" t="s">
        <v>35</v>
      </c>
      <c r="D423" t="s">
        <v>44</v>
      </c>
      <c r="E423">
        <v>25</v>
      </c>
      <c r="F423">
        <v>5</v>
      </c>
      <c r="G423" t="s">
        <v>59</v>
      </c>
      <c r="H423">
        <v>1</v>
      </c>
      <c r="I423">
        <v>565</v>
      </c>
      <c r="J423">
        <v>3</v>
      </c>
      <c r="K423" t="s">
        <v>38</v>
      </c>
      <c r="L423">
        <v>71</v>
      </c>
      <c r="M423">
        <v>2</v>
      </c>
      <c r="N423">
        <v>1</v>
      </c>
      <c r="O423" t="s">
        <v>46</v>
      </c>
      <c r="P423">
        <v>2</v>
      </c>
      <c r="Q423" t="s">
        <v>47</v>
      </c>
      <c r="R423">
        <v>2546</v>
      </c>
      <c r="S423">
        <v>18300</v>
      </c>
      <c r="T423">
        <v>5</v>
      </c>
      <c r="U423" t="s">
        <v>41</v>
      </c>
      <c r="V423" t="s">
        <v>42</v>
      </c>
      <c r="W423">
        <v>16</v>
      </c>
      <c r="X423">
        <v>3</v>
      </c>
      <c r="Y423">
        <v>2</v>
      </c>
      <c r="Z423">
        <v>80</v>
      </c>
      <c r="AA423">
        <v>0</v>
      </c>
      <c r="AB423">
        <v>6</v>
      </c>
      <c r="AC423">
        <v>2</v>
      </c>
      <c r="AD423">
        <v>4</v>
      </c>
      <c r="AE423">
        <v>2</v>
      </c>
      <c r="AF423">
        <v>2</v>
      </c>
      <c r="AG423">
        <v>1</v>
      </c>
      <c r="AH423">
        <v>1</v>
      </c>
    </row>
    <row r="424" spans="1:34" x14ac:dyDescent="0.2">
      <c r="A424">
        <v>19</v>
      </c>
      <c r="B424" t="s">
        <v>34</v>
      </c>
      <c r="C424" t="s">
        <v>35</v>
      </c>
      <c r="D424" t="s">
        <v>60</v>
      </c>
      <c r="E424">
        <v>2</v>
      </c>
      <c r="F424">
        <v>2</v>
      </c>
      <c r="G424" t="s">
        <v>59</v>
      </c>
      <c r="H424">
        <v>1</v>
      </c>
      <c r="I424">
        <v>566</v>
      </c>
      <c r="J424">
        <v>1</v>
      </c>
      <c r="K424" t="s">
        <v>45</v>
      </c>
      <c r="L424">
        <v>52</v>
      </c>
      <c r="M424">
        <v>2</v>
      </c>
      <c r="N424">
        <v>1</v>
      </c>
      <c r="O424" t="s">
        <v>60</v>
      </c>
      <c r="P424">
        <v>4</v>
      </c>
      <c r="Q424" t="s">
        <v>40</v>
      </c>
      <c r="R424">
        <v>2564</v>
      </c>
      <c r="S424">
        <v>18437</v>
      </c>
      <c r="T424">
        <v>1</v>
      </c>
      <c r="U424" t="s">
        <v>41</v>
      </c>
      <c r="V424" t="s">
        <v>42</v>
      </c>
      <c r="W424">
        <v>12</v>
      </c>
      <c r="X424">
        <v>3</v>
      </c>
      <c r="Y424">
        <v>3</v>
      </c>
      <c r="Z424">
        <v>80</v>
      </c>
      <c r="AA424">
        <v>0</v>
      </c>
      <c r="AB424">
        <v>1</v>
      </c>
      <c r="AC424">
        <v>3</v>
      </c>
      <c r="AD424">
        <v>4</v>
      </c>
      <c r="AE424">
        <v>1</v>
      </c>
      <c r="AF424">
        <v>0</v>
      </c>
      <c r="AG424">
        <v>0</v>
      </c>
      <c r="AH424">
        <v>0</v>
      </c>
    </row>
    <row r="425" spans="1:34" x14ac:dyDescent="0.2">
      <c r="A425">
        <v>30</v>
      </c>
      <c r="B425" t="s">
        <v>42</v>
      </c>
      <c r="C425" t="s">
        <v>54</v>
      </c>
      <c r="D425" t="s">
        <v>36</v>
      </c>
      <c r="E425">
        <v>22</v>
      </c>
      <c r="F425">
        <v>4</v>
      </c>
      <c r="G425" t="s">
        <v>48</v>
      </c>
      <c r="H425">
        <v>1</v>
      </c>
      <c r="I425">
        <v>567</v>
      </c>
      <c r="J425">
        <v>3</v>
      </c>
      <c r="K425" t="s">
        <v>38</v>
      </c>
      <c r="L425">
        <v>69</v>
      </c>
      <c r="M425">
        <v>3</v>
      </c>
      <c r="N425">
        <v>3</v>
      </c>
      <c r="O425" t="s">
        <v>39</v>
      </c>
      <c r="P425">
        <v>1</v>
      </c>
      <c r="Q425" t="s">
        <v>47</v>
      </c>
      <c r="R425">
        <v>8412</v>
      </c>
      <c r="S425">
        <v>2890</v>
      </c>
      <c r="T425">
        <v>0</v>
      </c>
      <c r="U425" t="s">
        <v>41</v>
      </c>
      <c r="V425" t="s">
        <v>42</v>
      </c>
      <c r="W425">
        <v>11</v>
      </c>
      <c r="X425">
        <v>3</v>
      </c>
      <c r="Y425">
        <v>3</v>
      </c>
      <c r="Z425">
        <v>80</v>
      </c>
      <c r="AA425">
        <v>0</v>
      </c>
      <c r="AB425">
        <v>10</v>
      </c>
      <c r="AC425">
        <v>3</v>
      </c>
      <c r="AD425">
        <v>3</v>
      </c>
      <c r="AE425">
        <v>9</v>
      </c>
      <c r="AF425">
        <v>8</v>
      </c>
      <c r="AG425">
        <v>7</v>
      </c>
      <c r="AH425">
        <v>8</v>
      </c>
    </row>
    <row r="426" spans="1:34" x14ac:dyDescent="0.2">
      <c r="A426">
        <v>57</v>
      </c>
      <c r="B426" t="s">
        <v>42</v>
      </c>
      <c r="C426" t="s">
        <v>35</v>
      </c>
      <c r="D426" t="s">
        <v>36</v>
      </c>
      <c r="E426">
        <v>29</v>
      </c>
      <c r="F426">
        <v>3</v>
      </c>
      <c r="G426" t="s">
        <v>58</v>
      </c>
      <c r="H426">
        <v>1</v>
      </c>
      <c r="I426">
        <v>568</v>
      </c>
      <c r="J426">
        <v>1</v>
      </c>
      <c r="K426" t="s">
        <v>45</v>
      </c>
      <c r="L426">
        <v>56</v>
      </c>
      <c r="M426">
        <v>2</v>
      </c>
      <c r="N426">
        <v>4</v>
      </c>
      <c r="O426" t="s">
        <v>55</v>
      </c>
      <c r="P426">
        <v>4</v>
      </c>
      <c r="Q426" t="s">
        <v>51</v>
      </c>
      <c r="R426">
        <v>14118</v>
      </c>
      <c r="S426">
        <v>22102</v>
      </c>
      <c r="T426">
        <v>3</v>
      </c>
      <c r="U426" t="s">
        <v>41</v>
      </c>
      <c r="V426" t="s">
        <v>42</v>
      </c>
      <c r="W426">
        <v>12</v>
      </c>
      <c r="X426">
        <v>3</v>
      </c>
      <c r="Y426">
        <v>3</v>
      </c>
      <c r="Z426">
        <v>80</v>
      </c>
      <c r="AA426">
        <v>1</v>
      </c>
      <c r="AB426">
        <v>32</v>
      </c>
      <c r="AC426">
        <v>3</v>
      </c>
      <c r="AD426">
        <v>2</v>
      </c>
      <c r="AE426">
        <v>1</v>
      </c>
      <c r="AF426">
        <v>0</v>
      </c>
      <c r="AG426">
        <v>0</v>
      </c>
      <c r="AH426">
        <v>0</v>
      </c>
    </row>
    <row r="427" spans="1:34" x14ac:dyDescent="0.2">
      <c r="A427">
        <v>50</v>
      </c>
      <c r="B427" t="s">
        <v>42</v>
      </c>
      <c r="C427" t="s">
        <v>35</v>
      </c>
      <c r="D427" t="s">
        <v>44</v>
      </c>
      <c r="E427">
        <v>29</v>
      </c>
      <c r="F427">
        <v>4</v>
      </c>
      <c r="G427" t="s">
        <v>37</v>
      </c>
      <c r="H427">
        <v>1</v>
      </c>
      <c r="I427">
        <v>569</v>
      </c>
      <c r="J427">
        <v>2</v>
      </c>
      <c r="K427" t="s">
        <v>45</v>
      </c>
      <c r="L427">
        <v>88</v>
      </c>
      <c r="M427">
        <v>2</v>
      </c>
      <c r="N427">
        <v>4</v>
      </c>
      <c r="O427" t="s">
        <v>55</v>
      </c>
      <c r="P427">
        <v>3</v>
      </c>
      <c r="Q427" t="s">
        <v>47</v>
      </c>
      <c r="R427">
        <v>17046</v>
      </c>
      <c r="S427">
        <v>9314</v>
      </c>
      <c r="T427">
        <v>0</v>
      </c>
      <c r="U427" t="s">
        <v>41</v>
      </c>
      <c r="V427" t="s">
        <v>42</v>
      </c>
      <c r="W427">
        <v>15</v>
      </c>
      <c r="X427">
        <v>3</v>
      </c>
      <c r="Y427">
        <v>2</v>
      </c>
      <c r="Z427">
        <v>80</v>
      </c>
      <c r="AA427">
        <v>1</v>
      </c>
      <c r="AB427">
        <v>28</v>
      </c>
      <c r="AC427">
        <v>2</v>
      </c>
      <c r="AD427">
        <v>3</v>
      </c>
      <c r="AE427">
        <v>27</v>
      </c>
      <c r="AF427">
        <v>10</v>
      </c>
      <c r="AG427">
        <v>15</v>
      </c>
      <c r="AH427">
        <v>7</v>
      </c>
    </row>
    <row r="428" spans="1:34" x14ac:dyDescent="0.2">
      <c r="A428">
        <v>30</v>
      </c>
      <c r="B428" t="s">
        <v>42</v>
      </c>
      <c r="C428" t="s">
        <v>54</v>
      </c>
      <c r="D428" t="s">
        <v>44</v>
      </c>
      <c r="E428">
        <v>2</v>
      </c>
      <c r="F428">
        <v>3</v>
      </c>
      <c r="G428" t="s">
        <v>50</v>
      </c>
      <c r="H428">
        <v>1</v>
      </c>
      <c r="I428">
        <v>571</v>
      </c>
      <c r="J428">
        <v>3</v>
      </c>
      <c r="K428" t="s">
        <v>38</v>
      </c>
      <c r="L428">
        <v>49</v>
      </c>
      <c r="M428">
        <v>3</v>
      </c>
      <c r="N428">
        <v>1</v>
      </c>
      <c r="O428" t="s">
        <v>49</v>
      </c>
      <c r="P428">
        <v>4</v>
      </c>
      <c r="Q428" t="s">
        <v>40</v>
      </c>
      <c r="R428">
        <v>2564</v>
      </c>
      <c r="S428">
        <v>7181</v>
      </c>
      <c r="T428">
        <v>0</v>
      </c>
      <c r="U428" t="s">
        <v>41</v>
      </c>
      <c r="V428" t="s">
        <v>42</v>
      </c>
      <c r="W428">
        <v>14</v>
      </c>
      <c r="X428">
        <v>3</v>
      </c>
      <c r="Y428">
        <v>3</v>
      </c>
      <c r="Z428">
        <v>80</v>
      </c>
      <c r="AA428">
        <v>0</v>
      </c>
      <c r="AB428">
        <v>12</v>
      </c>
      <c r="AC428">
        <v>2</v>
      </c>
      <c r="AD428">
        <v>2</v>
      </c>
      <c r="AE428">
        <v>11</v>
      </c>
      <c r="AF428">
        <v>7</v>
      </c>
      <c r="AG428">
        <v>6</v>
      </c>
      <c r="AH428">
        <v>7</v>
      </c>
    </row>
    <row r="429" spans="1:34" x14ac:dyDescent="0.2">
      <c r="A429">
        <v>60</v>
      </c>
      <c r="B429" t="s">
        <v>42</v>
      </c>
      <c r="C429" t="s">
        <v>43</v>
      </c>
      <c r="D429" t="s">
        <v>36</v>
      </c>
      <c r="E429">
        <v>28</v>
      </c>
      <c r="F429">
        <v>3</v>
      </c>
      <c r="G429" t="s">
        <v>58</v>
      </c>
      <c r="H429">
        <v>1</v>
      </c>
      <c r="I429">
        <v>573</v>
      </c>
      <c r="J429">
        <v>3</v>
      </c>
      <c r="K429" t="s">
        <v>38</v>
      </c>
      <c r="L429">
        <v>80</v>
      </c>
      <c r="M429">
        <v>2</v>
      </c>
      <c r="N429">
        <v>3</v>
      </c>
      <c r="O429" t="s">
        <v>39</v>
      </c>
      <c r="P429">
        <v>1</v>
      </c>
      <c r="Q429" t="s">
        <v>47</v>
      </c>
      <c r="R429">
        <v>10266</v>
      </c>
      <c r="S429">
        <v>2845</v>
      </c>
      <c r="T429">
        <v>4</v>
      </c>
      <c r="U429" t="s">
        <v>41</v>
      </c>
      <c r="V429" t="s">
        <v>42</v>
      </c>
      <c r="W429">
        <v>19</v>
      </c>
      <c r="X429">
        <v>3</v>
      </c>
      <c r="Y429">
        <v>4</v>
      </c>
      <c r="Z429">
        <v>80</v>
      </c>
      <c r="AA429">
        <v>0</v>
      </c>
      <c r="AB429">
        <v>22</v>
      </c>
      <c r="AC429">
        <v>5</v>
      </c>
      <c r="AD429">
        <v>4</v>
      </c>
      <c r="AE429">
        <v>18</v>
      </c>
      <c r="AF429">
        <v>13</v>
      </c>
      <c r="AG429">
        <v>13</v>
      </c>
      <c r="AH429">
        <v>11</v>
      </c>
    </row>
    <row r="430" spans="1:34" x14ac:dyDescent="0.2">
      <c r="A430">
        <v>47</v>
      </c>
      <c r="B430" t="s">
        <v>42</v>
      </c>
      <c r="C430" t="s">
        <v>35</v>
      </c>
      <c r="D430" t="s">
        <v>44</v>
      </c>
      <c r="E430">
        <v>2</v>
      </c>
      <c r="F430">
        <v>2</v>
      </c>
      <c r="G430" t="s">
        <v>50</v>
      </c>
      <c r="H430">
        <v>1</v>
      </c>
      <c r="I430">
        <v>574</v>
      </c>
      <c r="J430">
        <v>1</v>
      </c>
      <c r="K430" t="s">
        <v>38</v>
      </c>
      <c r="L430">
        <v>65</v>
      </c>
      <c r="M430">
        <v>3</v>
      </c>
      <c r="N430">
        <v>2</v>
      </c>
      <c r="O430" t="s">
        <v>52</v>
      </c>
      <c r="P430">
        <v>4</v>
      </c>
      <c r="Q430" t="s">
        <v>51</v>
      </c>
      <c r="R430">
        <v>5070</v>
      </c>
      <c r="S430">
        <v>7389</v>
      </c>
      <c r="T430">
        <v>5</v>
      </c>
      <c r="U430" t="s">
        <v>41</v>
      </c>
      <c r="V430" t="s">
        <v>42</v>
      </c>
      <c r="W430">
        <v>13</v>
      </c>
      <c r="X430">
        <v>3</v>
      </c>
      <c r="Y430">
        <v>3</v>
      </c>
      <c r="Z430">
        <v>80</v>
      </c>
      <c r="AA430">
        <v>3</v>
      </c>
      <c r="AB430">
        <v>20</v>
      </c>
      <c r="AC430">
        <v>2</v>
      </c>
      <c r="AD430">
        <v>3</v>
      </c>
      <c r="AE430">
        <v>5</v>
      </c>
      <c r="AF430">
        <v>0</v>
      </c>
      <c r="AG430">
        <v>0</v>
      </c>
      <c r="AH430">
        <v>4</v>
      </c>
    </row>
    <row r="431" spans="1:34" x14ac:dyDescent="0.2">
      <c r="A431">
        <v>46</v>
      </c>
      <c r="B431" t="s">
        <v>42</v>
      </c>
      <c r="C431" t="s">
        <v>35</v>
      </c>
      <c r="D431" t="s">
        <v>44</v>
      </c>
      <c r="E431">
        <v>2</v>
      </c>
      <c r="F431">
        <v>3</v>
      </c>
      <c r="G431" t="s">
        <v>37</v>
      </c>
      <c r="H431">
        <v>1</v>
      </c>
      <c r="I431">
        <v>575</v>
      </c>
      <c r="J431">
        <v>1</v>
      </c>
      <c r="K431" t="s">
        <v>45</v>
      </c>
      <c r="L431">
        <v>51</v>
      </c>
      <c r="M431">
        <v>3</v>
      </c>
      <c r="N431">
        <v>4</v>
      </c>
      <c r="O431" t="s">
        <v>57</v>
      </c>
      <c r="P431">
        <v>3</v>
      </c>
      <c r="Q431" t="s">
        <v>47</v>
      </c>
      <c r="R431">
        <v>17861</v>
      </c>
      <c r="S431">
        <v>2288</v>
      </c>
      <c r="T431">
        <v>6</v>
      </c>
      <c r="U431" t="s">
        <v>41</v>
      </c>
      <c r="V431" t="s">
        <v>42</v>
      </c>
      <c r="W431">
        <v>13</v>
      </c>
      <c r="X431">
        <v>3</v>
      </c>
      <c r="Y431">
        <v>3</v>
      </c>
      <c r="Z431">
        <v>80</v>
      </c>
      <c r="AA431">
        <v>0</v>
      </c>
      <c r="AB431">
        <v>26</v>
      </c>
      <c r="AC431">
        <v>2</v>
      </c>
      <c r="AD431">
        <v>1</v>
      </c>
      <c r="AE431">
        <v>3</v>
      </c>
      <c r="AF431">
        <v>2</v>
      </c>
      <c r="AG431">
        <v>0</v>
      </c>
      <c r="AH431">
        <v>1</v>
      </c>
    </row>
    <row r="432" spans="1:34" x14ac:dyDescent="0.2">
      <c r="A432">
        <v>35</v>
      </c>
      <c r="B432" t="s">
        <v>42</v>
      </c>
      <c r="C432" t="s">
        <v>35</v>
      </c>
      <c r="D432" t="s">
        <v>44</v>
      </c>
      <c r="E432">
        <v>22</v>
      </c>
      <c r="F432">
        <v>3</v>
      </c>
      <c r="G432" t="s">
        <v>37</v>
      </c>
      <c r="H432">
        <v>1</v>
      </c>
      <c r="I432">
        <v>577</v>
      </c>
      <c r="J432">
        <v>4</v>
      </c>
      <c r="K432" t="s">
        <v>45</v>
      </c>
      <c r="L432">
        <v>46</v>
      </c>
      <c r="M432">
        <v>1</v>
      </c>
      <c r="N432">
        <v>1</v>
      </c>
      <c r="O432" t="s">
        <v>49</v>
      </c>
      <c r="P432">
        <v>3</v>
      </c>
      <c r="Q432" t="s">
        <v>40</v>
      </c>
      <c r="R432">
        <v>4230</v>
      </c>
      <c r="S432">
        <v>19225</v>
      </c>
      <c r="T432">
        <v>0</v>
      </c>
      <c r="U432" t="s">
        <v>41</v>
      </c>
      <c r="V432" t="s">
        <v>42</v>
      </c>
      <c r="W432">
        <v>15</v>
      </c>
      <c r="X432">
        <v>3</v>
      </c>
      <c r="Y432">
        <v>3</v>
      </c>
      <c r="Z432">
        <v>80</v>
      </c>
      <c r="AA432">
        <v>0</v>
      </c>
      <c r="AB432">
        <v>6</v>
      </c>
      <c r="AC432">
        <v>2</v>
      </c>
      <c r="AD432">
        <v>3</v>
      </c>
      <c r="AE432">
        <v>5</v>
      </c>
      <c r="AF432">
        <v>4</v>
      </c>
      <c r="AG432">
        <v>4</v>
      </c>
      <c r="AH432">
        <v>3</v>
      </c>
    </row>
    <row r="433" spans="1:34" x14ac:dyDescent="0.2">
      <c r="A433">
        <v>54</v>
      </c>
      <c r="B433" t="s">
        <v>42</v>
      </c>
      <c r="C433" t="s">
        <v>35</v>
      </c>
      <c r="D433" t="s">
        <v>44</v>
      </c>
      <c r="E433">
        <v>8</v>
      </c>
      <c r="F433">
        <v>4</v>
      </c>
      <c r="G433" t="s">
        <v>37</v>
      </c>
      <c r="H433">
        <v>1</v>
      </c>
      <c r="I433">
        <v>578</v>
      </c>
      <c r="J433">
        <v>3</v>
      </c>
      <c r="K433" t="s">
        <v>38</v>
      </c>
      <c r="L433">
        <v>42</v>
      </c>
      <c r="M433">
        <v>3</v>
      </c>
      <c r="N433">
        <v>2</v>
      </c>
      <c r="O433" t="s">
        <v>49</v>
      </c>
      <c r="P433">
        <v>3</v>
      </c>
      <c r="Q433" t="s">
        <v>40</v>
      </c>
      <c r="R433">
        <v>3780</v>
      </c>
      <c r="S433">
        <v>23428</v>
      </c>
      <c r="T433">
        <v>7</v>
      </c>
      <c r="U433" t="s">
        <v>41</v>
      </c>
      <c r="V433" t="s">
        <v>42</v>
      </c>
      <c r="W433">
        <v>11</v>
      </c>
      <c r="X433">
        <v>3</v>
      </c>
      <c r="Y433">
        <v>3</v>
      </c>
      <c r="Z433">
        <v>80</v>
      </c>
      <c r="AA433">
        <v>0</v>
      </c>
      <c r="AB433">
        <v>19</v>
      </c>
      <c r="AC433">
        <v>3</v>
      </c>
      <c r="AD433">
        <v>3</v>
      </c>
      <c r="AE433">
        <v>1</v>
      </c>
      <c r="AF433">
        <v>0</v>
      </c>
      <c r="AG433">
        <v>0</v>
      </c>
      <c r="AH433">
        <v>0</v>
      </c>
    </row>
    <row r="434" spans="1:34" x14ac:dyDescent="0.2">
      <c r="A434">
        <v>34</v>
      </c>
      <c r="B434" t="s">
        <v>42</v>
      </c>
      <c r="C434" t="s">
        <v>35</v>
      </c>
      <c r="D434" t="s">
        <v>44</v>
      </c>
      <c r="E434">
        <v>2</v>
      </c>
      <c r="F434">
        <v>4</v>
      </c>
      <c r="G434" t="s">
        <v>37</v>
      </c>
      <c r="H434">
        <v>1</v>
      </c>
      <c r="I434">
        <v>579</v>
      </c>
      <c r="J434">
        <v>4</v>
      </c>
      <c r="K434" t="s">
        <v>45</v>
      </c>
      <c r="L434">
        <v>62</v>
      </c>
      <c r="M434">
        <v>2</v>
      </c>
      <c r="N434">
        <v>1</v>
      </c>
      <c r="O434" t="s">
        <v>46</v>
      </c>
      <c r="P434">
        <v>3</v>
      </c>
      <c r="Q434" t="s">
        <v>51</v>
      </c>
      <c r="R434">
        <v>2768</v>
      </c>
      <c r="S434">
        <v>8416</v>
      </c>
      <c r="T434">
        <v>3</v>
      </c>
      <c r="U434" t="s">
        <v>41</v>
      </c>
      <c r="V434" t="s">
        <v>42</v>
      </c>
      <c r="W434">
        <v>12</v>
      </c>
      <c r="X434">
        <v>3</v>
      </c>
      <c r="Y434">
        <v>3</v>
      </c>
      <c r="Z434">
        <v>80</v>
      </c>
      <c r="AA434">
        <v>1</v>
      </c>
      <c r="AB434">
        <v>14</v>
      </c>
      <c r="AC434">
        <v>3</v>
      </c>
      <c r="AD434">
        <v>3</v>
      </c>
      <c r="AE434">
        <v>7</v>
      </c>
      <c r="AF434">
        <v>3</v>
      </c>
      <c r="AG434">
        <v>5</v>
      </c>
      <c r="AH434">
        <v>7</v>
      </c>
    </row>
    <row r="435" spans="1:34" x14ac:dyDescent="0.2">
      <c r="A435">
        <v>46</v>
      </c>
      <c r="B435" t="s">
        <v>42</v>
      </c>
      <c r="C435" t="s">
        <v>35</v>
      </c>
      <c r="D435" t="s">
        <v>36</v>
      </c>
      <c r="E435">
        <v>10</v>
      </c>
      <c r="F435">
        <v>3</v>
      </c>
      <c r="G435" t="s">
        <v>58</v>
      </c>
      <c r="H435">
        <v>1</v>
      </c>
      <c r="I435">
        <v>580</v>
      </c>
      <c r="J435">
        <v>3</v>
      </c>
      <c r="K435" t="s">
        <v>38</v>
      </c>
      <c r="L435">
        <v>94</v>
      </c>
      <c r="M435">
        <v>2</v>
      </c>
      <c r="N435">
        <v>3</v>
      </c>
      <c r="O435" t="s">
        <v>39</v>
      </c>
      <c r="P435">
        <v>4</v>
      </c>
      <c r="Q435" t="s">
        <v>47</v>
      </c>
      <c r="R435">
        <v>9071</v>
      </c>
      <c r="S435">
        <v>11563</v>
      </c>
      <c r="T435">
        <v>2</v>
      </c>
      <c r="U435" t="s">
        <v>41</v>
      </c>
      <c r="V435" t="s">
        <v>34</v>
      </c>
      <c r="W435">
        <v>19</v>
      </c>
      <c r="X435">
        <v>3</v>
      </c>
      <c r="Y435">
        <v>3</v>
      </c>
      <c r="Z435">
        <v>80</v>
      </c>
      <c r="AA435">
        <v>1</v>
      </c>
      <c r="AB435">
        <v>15</v>
      </c>
      <c r="AC435">
        <v>3</v>
      </c>
      <c r="AD435">
        <v>3</v>
      </c>
      <c r="AE435">
        <v>3</v>
      </c>
      <c r="AF435">
        <v>2</v>
      </c>
      <c r="AG435">
        <v>1</v>
      </c>
      <c r="AH435">
        <v>2</v>
      </c>
    </row>
    <row r="436" spans="1:34" x14ac:dyDescent="0.2">
      <c r="A436">
        <v>31</v>
      </c>
      <c r="B436" t="s">
        <v>42</v>
      </c>
      <c r="C436" t="s">
        <v>35</v>
      </c>
      <c r="D436" t="s">
        <v>44</v>
      </c>
      <c r="E436">
        <v>9</v>
      </c>
      <c r="F436">
        <v>1</v>
      </c>
      <c r="G436" t="s">
        <v>37</v>
      </c>
      <c r="H436">
        <v>1</v>
      </c>
      <c r="I436">
        <v>581</v>
      </c>
      <c r="J436">
        <v>3</v>
      </c>
      <c r="K436" t="s">
        <v>45</v>
      </c>
      <c r="L436">
        <v>33</v>
      </c>
      <c r="M436">
        <v>3</v>
      </c>
      <c r="N436">
        <v>3</v>
      </c>
      <c r="O436" t="s">
        <v>52</v>
      </c>
      <c r="P436">
        <v>2</v>
      </c>
      <c r="Q436" t="s">
        <v>51</v>
      </c>
      <c r="R436">
        <v>10648</v>
      </c>
      <c r="S436">
        <v>14394</v>
      </c>
      <c r="T436">
        <v>1</v>
      </c>
      <c r="U436" t="s">
        <v>41</v>
      </c>
      <c r="V436" t="s">
        <v>42</v>
      </c>
      <c r="W436">
        <v>25</v>
      </c>
      <c r="X436">
        <v>4</v>
      </c>
      <c r="Y436">
        <v>4</v>
      </c>
      <c r="Z436">
        <v>80</v>
      </c>
      <c r="AA436">
        <v>1</v>
      </c>
      <c r="AB436">
        <v>13</v>
      </c>
      <c r="AC436">
        <v>6</v>
      </c>
      <c r="AD436">
        <v>4</v>
      </c>
      <c r="AE436">
        <v>13</v>
      </c>
      <c r="AF436">
        <v>8</v>
      </c>
      <c r="AG436">
        <v>0</v>
      </c>
      <c r="AH436">
        <v>8</v>
      </c>
    </row>
    <row r="437" spans="1:34" x14ac:dyDescent="0.2">
      <c r="A437">
        <v>33</v>
      </c>
      <c r="B437" t="s">
        <v>34</v>
      </c>
      <c r="C437" t="s">
        <v>35</v>
      </c>
      <c r="D437" t="s">
        <v>44</v>
      </c>
      <c r="E437">
        <v>15</v>
      </c>
      <c r="F437">
        <v>1</v>
      </c>
      <c r="G437" t="s">
        <v>50</v>
      </c>
      <c r="H437">
        <v>1</v>
      </c>
      <c r="I437">
        <v>582</v>
      </c>
      <c r="J437">
        <v>2</v>
      </c>
      <c r="K437" t="s">
        <v>45</v>
      </c>
      <c r="L437">
        <v>56</v>
      </c>
      <c r="M437">
        <v>3</v>
      </c>
      <c r="N437">
        <v>3</v>
      </c>
      <c r="O437" t="s">
        <v>55</v>
      </c>
      <c r="P437">
        <v>3</v>
      </c>
      <c r="Q437" t="s">
        <v>47</v>
      </c>
      <c r="R437">
        <v>13610</v>
      </c>
      <c r="S437">
        <v>24619</v>
      </c>
      <c r="T437">
        <v>7</v>
      </c>
      <c r="U437" t="s">
        <v>41</v>
      </c>
      <c r="V437" t="s">
        <v>34</v>
      </c>
      <c r="W437">
        <v>12</v>
      </c>
      <c r="X437">
        <v>3</v>
      </c>
      <c r="Y437">
        <v>4</v>
      </c>
      <c r="Z437">
        <v>80</v>
      </c>
      <c r="AA437">
        <v>0</v>
      </c>
      <c r="AB437">
        <v>15</v>
      </c>
      <c r="AC437">
        <v>2</v>
      </c>
      <c r="AD437">
        <v>4</v>
      </c>
      <c r="AE437">
        <v>7</v>
      </c>
      <c r="AF437">
        <v>6</v>
      </c>
      <c r="AG437">
        <v>7</v>
      </c>
      <c r="AH437">
        <v>7</v>
      </c>
    </row>
    <row r="438" spans="1:34" x14ac:dyDescent="0.2">
      <c r="A438">
        <v>33</v>
      </c>
      <c r="B438" t="s">
        <v>34</v>
      </c>
      <c r="C438" t="s">
        <v>35</v>
      </c>
      <c r="D438" t="s">
        <v>44</v>
      </c>
      <c r="E438">
        <v>10</v>
      </c>
      <c r="F438">
        <v>1</v>
      </c>
      <c r="G438" t="s">
        <v>50</v>
      </c>
      <c r="H438">
        <v>1</v>
      </c>
      <c r="I438">
        <v>584</v>
      </c>
      <c r="J438">
        <v>1</v>
      </c>
      <c r="K438" t="s">
        <v>45</v>
      </c>
      <c r="L438">
        <v>38</v>
      </c>
      <c r="M438">
        <v>1</v>
      </c>
      <c r="N438">
        <v>1</v>
      </c>
      <c r="O438" t="s">
        <v>49</v>
      </c>
      <c r="P438">
        <v>4</v>
      </c>
      <c r="Q438" t="s">
        <v>51</v>
      </c>
      <c r="R438">
        <v>3408</v>
      </c>
      <c r="S438">
        <v>6705</v>
      </c>
      <c r="T438">
        <v>7</v>
      </c>
      <c r="U438" t="s">
        <v>41</v>
      </c>
      <c r="V438" t="s">
        <v>42</v>
      </c>
      <c r="W438">
        <v>13</v>
      </c>
      <c r="X438">
        <v>3</v>
      </c>
      <c r="Y438">
        <v>1</v>
      </c>
      <c r="Z438">
        <v>80</v>
      </c>
      <c r="AA438">
        <v>3</v>
      </c>
      <c r="AB438">
        <v>8</v>
      </c>
      <c r="AC438">
        <v>2</v>
      </c>
      <c r="AD438">
        <v>3</v>
      </c>
      <c r="AE438">
        <v>4</v>
      </c>
      <c r="AF438">
        <v>3</v>
      </c>
      <c r="AG438">
        <v>1</v>
      </c>
      <c r="AH438">
        <v>3</v>
      </c>
    </row>
    <row r="439" spans="1:34" x14ac:dyDescent="0.2">
      <c r="A439">
        <v>30</v>
      </c>
      <c r="B439" t="s">
        <v>42</v>
      </c>
      <c r="C439" t="s">
        <v>35</v>
      </c>
      <c r="D439" t="s">
        <v>36</v>
      </c>
      <c r="E439">
        <v>7</v>
      </c>
      <c r="F439">
        <v>1</v>
      </c>
      <c r="G439" t="s">
        <v>58</v>
      </c>
      <c r="H439">
        <v>1</v>
      </c>
      <c r="I439">
        <v>585</v>
      </c>
      <c r="J439">
        <v>4</v>
      </c>
      <c r="K439" t="s">
        <v>45</v>
      </c>
      <c r="L439">
        <v>57</v>
      </c>
      <c r="M439">
        <v>3</v>
      </c>
      <c r="N439">
        <v>1</v>
      </c>
      <c r="O439" t="s">
        <v>56</v>
      </c>
      <c r="P439">
        <v>2</v>
      </c>
      <c r="Q439" t="s">
        <v>40</v>
      </c>
      <c r="R439">
        <v>2983</v>
      </c>
      <c r="S439">
        <v>18398</v>
      </c>
      <c r="T439">
        <v>0</v>
      </c>
      <c r="U439" t="s">
        <v>41</v>
      </c>
      <c r="V439" t="s">
        <v>42</v>
      </c>
      <c r="W439">
        <v>14</v>
      </c>
      <c r="X439">
        <v>3</v>
      </c>
      <c r="Y439">
        <v>1</v>
      </c>
      <c r="Z439">
        <v>80</v>
      </c>
      <c r="AA439">
        <v>0</v>
      </c>
      <c r="AB439">
        <v>4</v>
      </c>
      <c r="AC439">
        <v>3</v>
      </c>
      <c r="AD439">
        <v>3</v>
      </c>
      <c r="AE439">
        <v>3</v>
      </c>
      <c r="AF439">
        <v>2</v>
      </c>
      <c r="AG439">
        <v>1</v>
      </c>
      <c r="AH439">
        <v>2</v>
      </c>
    </row>
    <row r="440" spans="1:34" x14ac:dyDescent="0.2">
      <c r="A440">
        <v>35</v>
      </c>
      <c r="B440" t="s">
        <v>42</v>
      </c>
      <c r="C440" t="s">
        <v>35</v>
      </c>
      <c r="D440" t="s">
        <v>44</v>
      </c>
      <c r="E440">
        <v>16</v>
      </c>
      <c r="F440">
        <v>3</v>
      </c>
      <c r="G440" t="s">
        <v>37</v>
      </c>
      <c r="H440">
        <v>1</v>
      </c>
      <c r="I440">
        <v>586</v>
      </c>
      <c r="J440">
        <v>4</v>
      </c>
      <c r="K440" t="s">
        <v>45</v>
      </c>
      <c r="L440">
        <v>72</v>
      </c>
      <c r="M440">
        <v>3</v>
      </c>
      <c r="N440">
        <v>3</v>
      </c>
      <c r="O440" t="s">
        <v>53</v>
      </c>
      <c r="P440">
        <v>3</v>
      </c>
      <c r="Q440" t="s">
        <v>47</v>
      </c>
      <c r="R440">
        <v>7632</v>
      </c>
      <c r="S440">
        <v>14295</v>
      </c>
      <c r="T440">
        <v>4</v>
      </c>
      <c r="U440" t="s">
        <v>41</v>
      </c>
      <c r="V440" t="s">
        <v>34</v>
      </c>
      <c r="W440">
        <v>12</v>
      </c>
      <c r="X440">
        <v>3</v>
      </c>
      <c r="Y440">
        <v>3</v>
      </c>
      <c r="Z440">
        <v>80</v>
      </c>
      <c r="AA440">
        <v>0</v>
      </c>
      <c r="AB440">
        <v>10</v>
      </c>
      <c r="AC440">
        <v>2</v>
      </c>
      <c r="AD440">
        <v>3</v>
      </c>
      <c r="AE440">
        <v>8</v>
      </c>
      <c r="AF440">
        <v>7</v>
      </c>
      <c r="AG440">
        <v>0</v>
      </c>
      <c r="AH440">
        <v>0</v>
      </c>
    </row>
    <row r="441" spans="1:34" x14ac:dyDescent="0.2">
      <c r="A441">
        <v>31</v>
      </c>
      <c r="B441" t="s">
        <v>34</v>
      </c>
      <c r="C441" t="s">
        <v>43</v>
      </c>
      <c r="D441" t="s">
        <v>44</v>
      </c>
      <c r="E441">
        <v>20</v>
      </c>
      <c r="F441">
        <v>3</v>
      </c>
      <c r="G441" t="s">
        <v>37</v>
      </c>
      <c r="H441">
        <v>1</v>
      </c>
      <c r="I441">
        <v>587</v>
      </c>
      <c r="J441">
        <v>1</v>
      </c>
      <c r="K441" t="s">
        <v>45</v>
      </c>
      <c r="L441">
        <v>66</v>
      </c>
      <c r="M441">
        <v>3</v>
      </c>
      <c r="N441">
        <v>3</v>
      </c>
      <c r="O441" t="s">
        <v>53</v>
      </c>
      <c r="P441">
        <v>3</v>
      </c>
      <c r="Q441" t="s">
        <v>47</v>
      </c>
      <c r="R441">
        <v>9824</v>
      </c>
      <c r="S441">
        <v>22908</v>
      </c>
      <c r="T441">
        <v>3</v>
      </c>
      <c r="U441" t="s">
        <v>41</v>
      </c>
      <c r="V441" t="s">
        <v>42</v>
      </c>
      <c r="W441">
        <v>12</v>
      </c>
      <c r="X441">
        <v>3</v>
      </c>
      <c r="Y441">
        <v>1</v>
      </c>
      <c r="Z441">
        <v>80</v>
      </c>
      <c r="AA441">
        <v>0</v>
      </c>
      <c r="AB441">
        <v>12</v>
      </c>
      <c r="AC441">
        <v>2</v>
      </c>
      <c r="AD441">
        <v>3</v>
      </c>
      <c r="AE441">
        <v>1</v>
      </c>
      <c r="AF441">
        <v>0</v>
      </c>
      <c r="AG441">
        <v>0</v>
      </c>
      <c r="AH441">
        <v>0</v>
      </c>
    </row>
    <row r="442" spans="1:34" x14ac:dyDescent="0.2">
      <c r="A442">
        <v>34</v>
      </c>
      <c r="B442" t="s">
        <v>34</v>
      </c>
      <c r="C442" t="s">
        <v>43</v>
      </c>
      <c r="D442" t="s">
        <v>60</v>
      </c>
      <c r="E442">
        <v>23</v>
      </c>
      <c r="F442">
        <v>3</v>
      </c>
      <c r="G442" t="s">
        <v>60</v>
      </c>
      <c r="H442">
        <v>1</v>
      </c>
      <c r="I442">
        <v>590</v>
      </c>
      <c r="J442">
        <v>2</v>
      </c>
      <c r="K442" t="s">
        <v>38</v>
      </c>
      <c r="L442">
        <v>43</v>
      </c>
      <c r="M442">
        <v>3</v>
      </c>
      <c r="N442">
        <v>3</v>
      </c>
      <c r="O442" t="s">
        <v>60</v>
      </c>
      <c r="P442">
        <v>1</v>
      </c>
      <c r="Q442" t="s">
        <v>51</v>
      </c>
      <c r="R442">
        <v>9950</v>
      </c>
      <c r="S442">
        <v>11533</v>
      </c>
      <c r="T442">
        <v>9</v>
      </c>
      <c r="U442" t="s">
        <v>41</v>
      </c>
      <c r="V442" t="s">
        <v>34</v>
      </c>
      <c r="W442">
        <v>15</v>
      </c>
      <c r="X442">
        <v>3</v>
      </c>
      <c r="Y442">
        <v>3</v>
      </c>
      <c r="Z442">
        <v>80</v>
      </c>
      <c r="AA442">
        <v>3</v>
      </c>
      <c r="AB442">
        <v>11</v>
      </c>
      <c r="AC442">
        <v>2</v>
      </c>
      <c r="AD442">
        <v>3</v>
      </c>
      <c r="AE442">
        <v>3</v>
      </c>
      <c r="AF442">
        <v>2</v>
      </c>
      <c r="AG442">
        <v>0</v>
      </c>
      <c r="AH442">
        <v>2</v>
      </c>
    </row>
    <row r="443" spans="1:34" x14ac:dyDescent="0.2">
      <c r="A443">
        <v>42</v>
      </c>
      <c r="B443" t="s">
        <v>42</v>
      </c>
      <c r="C443" t="s">
        <v>43</v>
      </c>
      <c r="D443" t="s">
        <v>44</v>
      </c>
      <c r="E443">
        <v>5</v>
      </c>
      <c r="F443">
        <v>2</v>
      </c>
      <c r="G443" t="s">
        <v>48</v>
      </c>
      <c r="H443">
        <v>1</v>
      </c>
      <c r="I443">
        <v>591</v>
      </c>
      <c r="J443">
        <v>2</v>
      </c>
      <c r="K443" t="s">
        <v>45</v>
      </c>
      <c r="L443">
        <v>97</v>
      </c>
      <c r="M443">
        <v>3</v>
      </c>
      <c r="N443">
        <v>1</v>
      </c>
      <c r="O443" t="s">
        <v>49</v>
      </c>
      <c r="P443">
        <v>3</v>
      </c>
      <c r="Q443" t="s">
        <v>47</v>
      </c>
      <c r="R443">
        <v>2093</v>
      </c>
      <c r="S443">
        <v>9260</v>
      </c>
      <c r="T443">
        <v>4</v>
      </c>
      <c r="U443" t="s">
        <v>41</v>
      </c>
      <c r="V443" t="s">
        <v>42</v>
      </c>
      <c r="W443">
        <v>17</v>
      </c>
      <c r="X443">
        <v>3</v>
      </c>
      <c r="Y443">
        <v>4</v>
      </c>
      <c r="Z443">
        <v>80</v>
      </c>
      <c r="AA443">
        <v>1</v>
      </c>
      <c r="AB443">
        <v>8</v>
      </c>
      <c r="AC443">
        <v>4</v>
      </c>
      <c r="AD443">
        <v>3</v>
      </c>
      <c r="AE443">
        <v>2</v>
      </c>
      <c r="AF443">
        <v>2</v>
      </c>
      <c r="AG443">
        <v>2</v>
      </c>
      <c r="AH443">
        <v>0</v>
      </c>
    </row>
    <row r="444" spans="1:34" x14ac:dyDescent="0.2">
      <c r="A444">
        <v>36</v>
      </c>
      <c r="B444" t="s">
        <v>42</v>
      </c>
      <c r="C444" t="s">
        <v>54</v>
      </c>
      <c r="D444" t="s">
        <v>36</v>
      </c>
      <c r="E444">
        <v>10</v>
      </c>
      <c r="F444">
        <v>4</v>
      </c>
      <c r="G444" t="s">
        <v>50</v>
      </c>
      <c r="H444">
        <v>1</v>
      </c>
      <c r="I444">
        <v>592</v>
      </c>
      <c r="J444">
        <v>2</v>
      </c>
      <c r="K444" t="s">
        <v>45</v>
      </c>
      <c r="L444">
        <v>32</v>
      </c>
      <c r="M444">
        <v>3</v>
      </c>
      <c r="N444">
        <v>3</v>
      </c>
      <c r="O444" t="s">
        <v>39</v>
      </c>
      <c r="P444">
        <v>4</v>
      </c>
      <c r="Q444" t="s">
        <v>40</v>
      </c>
      <c r="R444">
        <v>9980</v>
      </c>
      <c r="S444">
        <v>15318</v>
      </c>
      <c r="T444">
        <v>1</v>
      </c>
      <c r="U444" t="s">
        <v>41</v>
      </c>
      <c r="V444" t="s">
        <v>42</v>
      </c>
      <c r="W444">
        <v>14</v>
      </c>
      <c r="X444">
        <v>3</v>
      </c>
      <c r="Y444">
        <v>4</v>
      </c>
      <c r="Z444">
        <v>80</v>
      </c>
      <c r="AA444">
        <v>0</v>
      </c>
      <c r="AB444">
        <v>10</v>
      </c>
      <c r="AC444">
        <v>3</v>
      </c>
      <c r="AD444">
        <v>2</v>
      </c>
      <c r="AE444">
        <v>10</v>
      </c>
      <c r="AF444">
        <v>3</v>
      </c>
      <c r="AG444">
        <v>9</v>
      </c>
      <c r="AH444">
        <v>7</v>
      </c>
    </row>
    <row r="445" spans="1:34" x14ac:dyDescent="0.2">
      <c r="A445">
        <v>22</v>
      </c>
      <c r="B445" t="s">
        <v>34</v>
      </c>
      <c r="C445" t="s">
        <v>43</v>
      </c>
      <c r="D445" t="s">
        <v>44</v>
      </c>
      <c r="E445">
        <v>4</v>
      </c>
      <c r="F445">
        <v>1</v>
      </c>
      <c r="G445" t="s">
        <v>59</v>
      </c>
      <c r="H445">
        <v>1</v>
      </c>
      <c r="I445">
        <v>593</v>
      </c>
      <c r="J445">
        <v>3</v>
      </c>
      <c r="K445" t="s">
        <v>45</v>
      </c>
      <c r="L445">
        <v>99</v>
      </c>
      <c r="M445">
        <v>2</v>
      </c>
      <c r="N445">
        <v>1</v>
      </c>
      <c r="O445" t="s">
        <v>49</v>
      </c>
      <c r="P445">
        <v>3</v>
      </c>
      <c r="Q445" t="s">
        <v>40</v>
      </c>
      <c r="R445">
        <v>3894</v>
      </c>
      <c r="S445">
        <v>9129</v>
      </c>
      <c r="T445">
        <v>5</v>
      </c>
      <c r="U445" t="s">
        <v>41</v>
      </c>
      <c r="V445" t="s">
        <v>42</v>
      </c>
      <c r="W445">
        <v>16</v>
      </c>
      <c r="X445">
        <v>3</v>
      </c>
      <c r="Y445">
        <v>3</v>
      </c>
      <c r="Z445">
        <v>80</v>
      </c>
      <c r="AA445">
        <v>0</v>
      </c>
      <c r="AB445">
        <v>4</v>
      </c>
      <c r="AC445">
        <v>3</v>
      </c>
      <c r="AD445">
        <v>3</v>
      </c>
      <c r="AE445">
        <v>2</v>
      </c>
      <c r="AF445">
        <v>2</v>
      </c>
      <c r="AG445">
        <v>1</v>
      </c>
      <c r="AH445">
        <v>2</v>
      </c>
    </row>
    <row r="446" spans="1:34" x14ac:dyDescent="0.2">
      <c r="A446">
        <v>48</v>
      </c>
      <c r="B446" t="s">
        <v>42</v>
      </c>
      <c r="C446" t="s">
        <v>35</v>
      </c>
      <c r="D446" t="s">
        <v>36</v>
      </c>
      <c r="E446">
        <v>2</v>
      </c>
      <c r="F446">
        <v>5</v>
      </c>
      <c r="G446" t="s">
        <v>58</v>
      </c>
      <c r="H446">
        <v>1</v>
      </c>
      <c r="I446">
        <v>595</v>
      </c>
      <c r="J446">
        <v>2</v>
      </c>
      <c r="K446" t="s">
        <v>38</v>
      </c>
      <c r="L446">
        <v>37</v>
      </c>
      <c r="M446">
        <v>3</v>
      </c>
      <c r="N446">
        <v>2</v>
      </c>
      <c r="O446" t="s">
        <v>39</v>
      </c>
      <c r="P446">
        <v>4</v>
      </c>
      <c r="Q446" t="s">
        <v>47</v>
      </c>
      <c r="R446">
        <v>4051</v>
      </c>
      <c r="S446">
        <v>19658</v>
      </c>
      <c r="T446">
        <v>2</v>
      </c>
      <c r="U446" t="s">
        <v>41</v>
      </c>
      <c r="V446" t="s">
        <v>42</v>
      </c>
      <c r="W446">
        <v>14</v>
      </c>
      <c r="X446">
        <v>3</v>
      </c>
      <c r="Y446">
        <v>1</v>
      </c>
      <c r="Z446">
        <v>80</v>
      </c>
      <c r="AA446">
        <v>1</v>
      </c>
      <c r="AB446">
        <v>14</v>
      </c>
      <c r="AC446">
        <v>2</v>
      </c>
      <c r="AD446">
        <v>3</v>
      </c>
      <c r="AE446">
        <v>9</v>
      </c>
      <c r="AF446">
        <v>7</v>
      </c>
      <c r="AG446">
        <v>6</v>
      </c>
      <c r="AH446">
        <v>7</v>
      </c>
    </row>
    <row r="447" spans="1:34" x14ac:dyDescent="0.2">
      <c r="A447">
        <v>55</v>
      </c>
      <c r="B447" t="s">
        <v>42</v>
      </c>
      <c r="C447" t="s">
        <v>35</v>
      </c>
      <c r="D447" t="s">
        <v>36</v>
      </c>
      <c r="E447">
        <v>18</v>
      </c>
      <c r="F447">
        <v>5</v>
      </c>
      <c r="G447" t="s">
        <v>37</v>
      </c>
      <c r="H447">
        <v>1</v>
      </c>
      <c r="I447">
        <v>597</v>
      </c>
      <c r="J447">
        <v>1</v>
      </c>
      <c r="K447" t="s">
        <v>38</v>
      </c>
      <c r="L447">
        <v>83</v>
      </c>
      <c r="M447">
        <v>3</v>
      </c>
      <c r="N447">
        <v>4</v>
      </c>
      <c r="O447" t="s">
        <v>55</v>
      </c>
      <c r="P447">
        <v>2</v>
      </c>
      <c r="Q447" t="s">
        <v>40</v>
      </c>
      <c r="R447">
        <v>16835</v>
      </c>
      <c r="S447">
        <v>9873</v>
      </c>
      <c r="T447">
        <v>3</v>
      </c>
      <c r="U447" t="s">
        <v>41</v>
      </c>
      <c r="V447" t="s">
        <v>42</v>
      </c>
      <c r="W447">
        <v>23</v>
      </c>
      <c r="X447">
        <v>4</v>
      </c>
      <c r="Y447">
        <v>4</v>
      </c>
      <c r="Z447">
        <v>80</v>
      </c>
      <c r="AA447">
        <v>0</v>
      </c>
      <c r="AB447">
        <v>37</v>
      </c>
      <c r="AC447">
        <v>2</v>
      </c>
      <c r="AD447">
        <v>3</v>
      </c>
      <c r="AE447">
        <v>10</v>
      </c>
      <c r="AF447">
        <v>9</v>
      </c>
      <c r="AG447">
        <v>7</v>
      </c>
      <c r="AH447">
        <v>7</v>
      </c>
    </row>
    <row r="448" spans="1:34" x14ac:dyDescent="0.2">
      <c r="A448">
        <v>41</v>
      </c>
      <c r="B448" t="s">
        <v>42</v>
      </c>
      <c r="C448" t="s">
        <v>54</v>
      </c>
      <c r="D448" t="s">
        <v>36</v>
      </c>
      <c r="E448">
        <v>10</v>
      </c>
      <c r="F448">
        <v>2</v>
      </c>
      <c r="G448" t="s">
        <v>37</v>
      </c>
      <c r="H448">
        <v>1</v>
      </c>
      <c r="I448">
        <v>599</v>
      </c>
      <c r="J448">
        <v>4</v>
      </c>
      <c r="K448" t="s">
        <v>45</v>
      </c>
      <c r="L448">
        <v>56</v>
      </c>
      <c r="M448">
        <v>3</v>
      </c>
      <c r="N448">
        <v>2</v>
      </c>
      <c r="O448" t="s">
        <v>39</v>
      </c>
      <c r="P448">
        <v>4</v>
      </c>
      <c r="Q448" t="s">
        <v>40</v>
      </c>
      <c r="R448">
        <v>6230</v>
      </c>
      <c r="S448">
        <v>13430</v>
      </c>
      <c r="T448">
        <v>7</v>
      </c>
      <c r="U448" t="s">
        <v>41</v>
      </c>
      <c r="V448" t="s">
        <v>42</v>
      </c>
      <c r="W448">
        <v>14</v>
      </c>
      <c r="X448">
        <v>3</v>
      </c>
      <c r="Y448">
        <v>4</v>
      </c>
      <c r="Z448">
        <v>80</v>
      </c>
      <c r="AA448">
        <v>0</v>
      </c>
      <c r="AB448">
        <v>16</v>
      </c>
      <c r="AC448">
        <v>3</v>
      </c>
      <c r="AD448">
        <v>3</v>
      </c>
      <c r="AE448">
        <v>14</v>
      </c>
      <c r="AF448">
        <v>3</v>
      </c>
      <c r="AG448">
        <v>1</v>
      </c>
      <c r="AH448">
        <v>10</v>
      </c>
    </row>
    <row r="449" spans="1:34" x14ac:dyDescent="0.2">
      <c r="A449">
        <v>35</v>
      </c>
      <c r="B449" t="s">
        <v>42</v>
      </c>
      <c r="C449" t="s">
        <v>35</v>
      </c>
      <c r="D449" t="s">
        <v>36</v>
      </c>
      <c r="E449">
        <v>1</v>
      </c>
      <c r="F449">
        <v>3</v>
      </c>
      <c r="G449" t="s">
        <v>58</v>
      </c>
      <c r="H449">
        <v>1</v>
      </c>
      <c r="I449">
        <v>600</v>
      </c>
      <c r="J449">
        <v>2</v>
      </c>
      <c r="K449" t="s">
        <v>45</v>
      </c>
      <c r="L449">
        <v>85</v>
      </c>
      <c r="M449">
        <v>3</v>
      </c>
      <c r="N449">
        <v>2</v>
      </c>
      <c r="O449" t="s">
        <v>39</v>
      </c>
      <c r="P449">
        <v>3</v>
      </c>
      <c r="Q449" t="s">
        <v>47</v>
      </c>
      <c r="R449">
        <v>4717</v>
      </c>
      <c r="S449">
        <v>18659</v>
      </c>
      <c r="T449">
        <v>9</v>
      </c>
      <c r="U449" t="s">
        <v>41</v>
      </c>
      <c r="V449" t="s">
        <v>42</v>
      </c>
      <c r="W449">
        <v>11</v>
      </c>
      <c r="X449">
        <v>3</v>
      </c>
      <c r="Y449">
        <v>3</v>
      </c>
      <c r="Z449">
        <v>80</v>
      </c>
      <c r="AA449">
        <v>0</v>
      </c>
      <c r="AB449">
        <v>15</v>
      </c>
      <c r="AC449">
        <v>2</v>
      </c>
      <c r="AD449">
        <v>3</v>
      </c>
      <c r="AE449">
        <v>11</v>
      </c>
      <c r="AF449">
        <v>9</v>
      </c>
      <c r="AG449">
        <v>6</v>
      </c>
      <c r="AH449">
        <v>9</v>
      </c>
    </row>
    <row r="450" spans="1:34" x14ac:dyDescent="0.2">
      <c r="A450">
        <v>40</v>
      </c>
      <c r="B450" t="s">
        <v>42</v>
      </c>
      <c r="C450" t="s">
        <v>35</v>
      </c>
      <c r="D450" t="s">
        <v>44</v>
      </c>
      <c r="E450">
        <v>6</v>
      </c>
      <c r="F450">
        <v>3</v>
      </c>
      <c r="G450" t="s">
        <v>37</v>
      </c>
      <c r="H450">
        <v>1</v>
      </c>
      <c r="I450">
        <v>601</v>
      </c>
      <c r="J450">
        <v>2</v>
      </c>
      <c r="K450" t="s">
        <v>38</v>
      </c>
      <c r="L450">
        <v>75</v>
      </c>
      <c r="M450">
        <v>3</v>
      </c>
      <c r="N450">
        <v>4</v>
      </c>
      <c r="O450" t="s">
        <v>52</v>
      </c>
      <c r="P450">
        <v>3</v>
      </c>
      <c r="Q450" t="s">
        <v>40</v>
      </c>
      <c r="R450">
        <v>13237</v>
      </c>
      <c r="S450">
        <v>20364</v>
      </c>
      <c r="T450">
        <v>7</v>
      </c>
      <c r="U450" t="s">
        <v>41</v>
      </c>
      <c r="V450" t="s">
        <v>42</v>
      </c>
      <c r="W450">
        <v>15</v>
      </c>
      <c r="X450">
        <v>3</v>
      </c>
      <c r="Y450">
        <v>3</v>
      </c>
      <c r="Z450">
        <v>80</v>
      </c>
      <c r="AA450">
        <v>0</v>
      </c>
      <c r="AB450">
        <v>22</v>
      </c>
      <c r="AC450">
        <v>3</v>
      </c>
      <c r="AD450">
        <v>3</v>
      </c>
      <c r="AE450">
        <v>20</v>
      </c>
      <c r="AF450">
        <v>6</v>
      </c>
      <c r="AG450">
        <v>5</v>
      </c>
      <c r="AH450">
        <v>13</v>
      </c>
    </row>
    <row r="451" spans="1:34" x14ac:dyDescent="0.2">
      <c r="A451">
        <v>39</v>
      </c>
      <c r="B451" t="s">
        <v>42</v>
      </c>
      <c r="C451" t="s">
        <v>43</v>
      </c>
      <c r="D451" t="s">
        <v>44</v>
      </c>
      <c r="E451">
        <v>8</v>
      </c>
      <c r="F451">
        <v>1</v>
      </c>
      <c r="G451" t="s">
        <v>37</v>
      </c>
      <c r="H451">
        <v>1</v>
      </c>
      <c r="I451">
        <v>602</v>
      </c>
      <c r="J451">
        <v>3</v>
      </c>
      <c r="K451" t="s">
        <v>38</v>
      </c>
      <c r="L451">
        <v>48</v>
      </c>
      <c r="M451">
        <v>3</v>
      </c>
      <c r="N451">
        <v>1</v>
      </c>
      <c r="O451" t="s">
        <v>49</v>
      </c>
      <c r="P451">
        <v>3</v>
      </c>
      <c r="Q451" t="s">
        <v>47</v>
      </c>
      <c r="R451">
        <v>3755</v>
      </c>
      <c r="S451">
        <v>17872</v>
      </c>
      <c r="T451">
        <v>1</v>
      </c>
      <c r="U451" t="s">
        <v>41</v>
      </c>
      <c r="V451" t="s">
        <v>42</v>
      </c>
      <c r="W451">
        <v>11</v>
      </c>
      <c r="X451">
        <v>3</v>
      </c>
      <c r="Y451">
        <v>1</v>
      </c>
      <c r="Z451">
        <v>80</v>
      </c>
      <c r="AA451">
        <v>1</v>
      </c>
      <c r="AB451">
        <v>8</v>
      </c>
      <c r="AC451">
        <v>3</v>
      </c>
      <c r="AD451">
        <v>3</v>
      </c>
      <c r="AE451">
        <v>8</v>
      </c>
      <c r="AF451">
        <v>3</v>
      </c>
      <c r="AG451">
        <v>0</v>
      </c>
      <c r="AH451">
        <v>7</v>
      </c>
    </row>
    <row r="452" spans="1:34" x14ac:dyDescent="0.2">
      <c r="A452">
        <v>31</v>
      </c>
      <c r="B452" t="s">
        <v>42</v>
      </c>
      <c r="C452" t="s">
        <v>35</v>
      </c>
      <c r="D452" t="s">
        <v>36</v>
      </c>
      <c r="E452">
        <v>2</v>
      </c>
      <c r="F452">
        <v>1</v>
      </c>
      <c r="G452" t="s">
        <v>37</v>
      </c>
      <c r="H452">
        <v>1</v>
      </c>
      <c r="I452">
        <v>604</v>
      </c>
      <c r="J452">
        <v>2</v>
      </c>
      <c r="K452" t="s">
        <v>45</v>
      </c>
      <c r="L452">
        <v>77</v>
      </c>
      <c r="M452">
        <v>3</v>
      </c>
      <c r="N452">
        <v>2</v>
      </c>
      <c r="O452" t="s">
        <v>39</v>
      </c>
      <c r="P452">
        <v>4</v>
      </c>
      <c r="Q452" t="s">
        <v>40</v>
      </c>
      <c r="R452">
        <v>6582</v>
      </c>
      <c r="S452">
        <v>8346</v>
      </c>
      <c r="T452">
        <v>4</v>
      </c>
      <c r="U452" t="s">
        <v>41</v>
      </c>
      <c r="V452" t="s">
        <v>34</v>
      </c>
      <c r="W452">
        <v>13</v>
      </c>
      <c r="X452">
        <v>3</v>
      </c>
      <c r="Y452">
        <v>3</v>
      </c>
      <c r="Z452">
        <v>80</v>
      </c>
      <c r="AA452">
        <v>0</v>
      </c>
      <c r="AB452">
        <v>10</v>
      </c>
      <c r="AC452">
        <v>2</v>
      </c>
      <c r="AD452">
        <v>4</v>
      </c>
      <c r="AE452">
        <v>6</v>
      </c>
      <c r="AF452">
        <v>5</v>
      </c>
      <c r="AG452">
        <v>0</v>
      </c>
      <c r="AH452">
        <v>5</v>
      </c>
    </row>
    <row r="453" spans="1:34" x14ac:dyDescent="0.2">
      <c r="A453">
        <v>42</v>
      </c>
      <c r="B453" t="s">
        <v>42</v>
      </c>
      <c r="C453" t="s">
        <v>35</v>
      </c>
      <c r="D453" t="s">
        <v>44</v>
      </c>
      <c r="E453">
        <v>24</v>
      </c>
      <c r="F453">
        <v>3</v>
      </c>
      <c r="G453" t="s">
        <v>50</v>
      </c>
      <c r="H453">
        <v>1</v>
      </c>
      <c r="I453">
        <v>605</v>
      </c>
      <c r="J453">
        <v>4</v>
      </c>
      <c r="K453" t="s">
        <v>45</v>
      </c>
      <c r="L453">
        <v>56</v>
      </c>
      <c r="M453">
        <v>3</v>
      </c>
      <c r="N453">
        <v>3</v>
      </c>
      <c r="O453" t="s">
        <v>52</v>
      </c>
      <c r="P453">
        <v>1</v>
      </c>
      <c r="Q453" t="s">
        <v>47</v>
      </c>
      <c r="R453">
        <v>7406</v>
      </c>
      <c r="S453">
        <v>6950</v>
      </c>
      <c r="T453">
        <v>1</v>
      </c>
      <c r="U453" t="s">
        <v>41</v>
      </c>
      <c r="V453" t="s">
        <v>34</v>
      </c>
      <c r="W453">
        <v>21</v>
      </c>
      <c r="X453">
        <v>4</v>
      </c>
      <c r="Y453">
        <v>4</v>
      </c>
      <c r="Z453">
        <v>80</v>
      </c>
      <c r="AA453">
        <v>1</v>
      </c>
      <c r="AB453">
        <v>10</v>
      </c>
      <c r="AC453">
        <v>5</v>
      </c>
      <c r="AD453">
        <v>2</v>
      </c>
      <c r="AE453">
        <v>10</v>
      </c>
      <c r="AF453">
        <v>9</v>
      </c>
      <c r="AG453">
        <v>5</v>
      </c>
      <c r="AH453">
        <v>8</v>
      </c>
    </row>
    <row r="454" spans="1:34" x14ac:dyDescent="0.2">
      <c r="A454">
        <v>45</v>
      </c>
      <c r="B454" t="s">
        <v>42</v>
      </c>
      <c r="C454" t="s">
        <v>35</v>
      </c>
      <c r="D454" t="s">
        <v>36</v>
      </c>
      <c r="E454">
        <v>2</v>
      </c>
      <c r="F454">
        <v>3</v>
      </c>
      <c r="G454" t="s">
        <v>48</v>
      </c>
      <c r="H454">
        <v>1</v>
      </c>
      <c r="I454">
        <v>606</v>
      </c>
      <c r="J454">
        <v>4</v>
      </c>
      <c r="K454" t="s">
        <v>45</v>
      </c>
      <c r="L454">
        <v>61</v>
      </c>
      <c r="M454">
        <v>3</v>
      </c>
      <c r="N454">
        <v>2</v>
      </c>
      <c r="O454" t="s">
        <v>39</v>
      </c>
      <c r="P454">
        <v>2</v>
      </c>
      <c r="Q454" t="s">
        <v>47</v>
      </c>
      <c r="R454">
        <v>4805</v>
      </c>
      <c r="S454">
        <v>16177</v>
      </c>
      <c r="T454">
        <v>0</v>
      </c>
      <c r="U454" t="s">
        <v>41</v>
      </c>
      <c r="V454" t="s">
        <v>42</v>
      </c>
      <c r="W454">
        <v>19</v>
      </c>
      <c r="X454">
        <v>3</v>
      </c>
      <c r="Y454">
        <v>2</v>
      </c>
      <c r="Z454">
        <v>80</v>
      </c>
      <c r="AA454">
        <v>1</v>
      </c>
      <c r="AB454">
        <v>9</v>
      </c>
      <c r="AC454">
        <v>3</v>
      </c>
      <c r="AD454">
        <v>4</v>
      </c>
      <c r="AE454">
        <v>8</v>
      </c>
      <c r="AF454">
        <v>7</v>
      </c>
      <c r="AG454">
        <v>3</v>
      </c>
      <c r="AH454">
        <v>7</v>
      </c>
    </row>
    <row r="455" spans="1:34" x14ac:dyDescent="0.2">
      <c r="A455">
        <v>26</v>
      </c>
      <c r="B455" t="s">
        <v>34</v>
      </c>
      <c r="C455" t="s">
        <v>43</v>
      </c>
      <c r="D455" t="s">
        <v>60</v>
      </c>
      <c r="E455">
        <v>17</v>
      </c>
      <c r="F455">
        <v>4</v>
      </c>
      <c r="G455" t="s">
        <v>37</v>
      </c>
      <c r="H455">
        <v>1</v>
      </c>
      <c r="I455">
        <v>608</v>
      </c>
      <c r="J455">
        <v>2</v>
      </c>
      <c r="K455" t="s">
        <v>38</v>
      </c>
      <c r="L455">
        <v>58</v>
      </c>
      <c r="M455">
        <v>3</v>
      </c>
      <c r="N455">
        <v>1</v>
      </c>
      <c r="O455" t="s">
        <v>60</v>
      </c>
      <c r="P455">
        <v>3</v>
      </c>
      <c r="Q455" t="s">
        <v>51</v>
      </c>
      <c r="R455">
        <v>2741</v>
      </c>
      <c r="S455">
        <v>22808</v>
      </c>
      <c r="T455">
        <v>0</v>
      </c>
      <c r="U455" t="s">
        <v>41</v>
      </c>
      <c r="V455" t="s">
        <v>34</v>
      </c>
      <c r="W455">
        <v>11</v>
      </c>
      <c r="X455">
        <v>3</v>
      </c>
      <c r="Y455">
        <v>2</v>
      </c>
      <c r="Z455">
        <v>80</v>
      </c>
      <c r="AA455">
        <v>1</v>
      </c>
      <c r="AB455">
        <v>8</v>
      </c>
      <c r="AC455">
        <v>2</v>
      </c>
      <c r="AD455">
        <v>2</v>
      </c>
      <c r="AE455">
        <v>7</v>
      </c>
      <c r="AF455">
        <v>7</v>
      </c>
      <c r="AG455">
        <v>1</v>
      </c>
      <c r="AH455">
        <v>0</v>
      </c>
    </row>
    <row r="456" spans="1:34" x14ac:dyDescent="0.2">
      <c r="A456">
        <v>29</v>
      </c>
      <c r="B456" t="s">
        <v>42</v>
      </c>
      <c r="C456" t="s">
        <v>35</v>
      </c>
      <c r="D456" t="s">
        <v>44</v>
      </c>
      <c r="E456">
        <v>19</v>
      </c>
      <c r="F456">
        <v>3</v>
      </c>
      <c r="G456" t="s">
        <v>59</v>
      </c>
      <c r="H456">
        <v>1</v>
      </c>
      <c r="I456">
        <v>611</v>
      </c>
      <c r="J456">
        <v>4</v>
      </c>
      <c r="K456" t="s">
        <v>45</v>
      </c>
      <c r="L456">
        <v>34</v>
      </c>
      <c r="M456">
        <v>3</v>
      </c>
      <c r="N456">
        <v>2</v>
      </c>
      <c r="O456" t="s">
        <v>52</v>
      </c>
      <c r="P456">
        <v>4</v>
      </c>
      <c r="Q456" t="s">
        <v>51</v>
      </c>
      <c r="R456">
        <v>4262</v>
      </c>
      <c r="S456">
        <v>22645</v>
      </c>
      <c r="T456">
        <v>4</v>
      </c>
      <c r="U456" t="s">
        <v>41</v>
      </c>
      <c r="V456" t="s">
        <v>42</v>
      </c>
      <c r="W456">
        <v>12</v>
      </c>
      <c r="X456">
        <v>3</v>
      </c>
      <c r="Y456">
        <v>2</v>
      </c>
      <c r="Z456">
        <v>80</v>
      </c>
      <c r="AA456">
        <v>2</v>
      </c>
      <c r="AB456">
        <v>8</v>
      </c>
      <c r="AC456">
        <v>2</v>
      </c>
      <c r="AD456">
        <v>4</v>
      </c>
      <c r="AE456">
        <v>3</v>
      </c>
      <c r="AF456">
        <v>2</v>
      </c>
      <c r="AG456">
        <v>1</v>
      </c>
      <c r="AH456">
        <v>2</v>
      </c>
    </row>
    <row r="457" spans="1:34" x14ac:dyDescent="0.2">
      <c r="A457">
        <v>33</v>
      </c>
      <c r="B457" t="s">
        <v>42</v>
      </c>
      <c r="C457" t="s">
        <v>35</v>
      </c>
      <c r="D457" t="s">
        <v>44</v>
      </c>
      <c r="E457">
        <v>1</v>
      </c>
      <c r="F457">
        <v>5</v>
      </c>
      <c r="G457" t="s">
        <v>50</v>
      </c>
      <c r="H457">
        <v>1</v>
      </c>
      <c r="I457">
        <v>612</v>
      </c>
      <c r="J457">
        <v>1</v>
      </c>
      <c r="K457" t="s">
        <v>38</v>
      </c>
      <c r="L457">
        <v>95</v>
      </c>
      <c r="M457">
        <v>4</v>
      </c>
      <c r="N457">
        <v>4</v>
      </c>
      <c r="O457" t="s">
        <v>57</v>
      </c>
      <c r="P457">
        <v>3</v>
      </c>
      <c r="Q457" t="s">
        <v>51</v>
      </c>
      <c r="R457">
        <v>16184</v>
      </c>
      <c r="S457">
        <v>22578</v>
      </c>
      <c r="T457">
        <v>4</v>
      </c>
      <c r="U457" t="s">
        <v>41</v>
      </c>
      <c r="V457" t="s">
        <v>42</v>
      </c>
      <c r="W457">
        <v>19</v>
      </c>
      <c r="X457">
        <v>3</v>
      </c>
      <c r="Y457">
        <v>3</v>
      </c>
      <c r="Z457">
        <v>80</v>
      </c>
      <c r="AA457">
        <v>1</v>
      </c>
      <c r="AB457">
        <v>10</v>
      </c>
      <c r="AC457">
        <v>2</v>
      </c>
      <c r="AD457">
        <v>3</v>
      </c>
      <c r="AE457">
        <v>6</v>
      </c>
      <c r="AF457">
        <v>1</v>
      </c>
      <c r="AG457">
        <v>0</v>
      </c>
      <c r="AH457">
        <v>5</v>
      </c>
    </row>
    <row r="458" spans="1:34" x14ac:dyDescent="0.2">
      <c r="A458">
        <v>31</v>
      </c>
      <c r="B458" t="s">
        <v>42</v>
      </c>
      <c r="C458" t="s">
        <v>35</v>
      </c>
      <c r="D458" t="s">
        <v>36</v>
      </c>
      <c r="E458">
        <v>7</v>
      </c>
      <c r="F458">
        <v>3</v>
      </c>
      <c r="G458" t="s">
        <v>37</v>
      </c>
      <c r="H458">
        <v>1</v>
      </c>
      <c r="I458">
        <v>613</v>
      </c>
      <c r="J458">
        <v>3</v>
      </c>
      <c r="K458" t="s">
        <v>45</v>
      </c>
      <c r="L458">
        <v>44</v>
      </c>
      <c r="M458">
        <v>2</v>
      </c>
      <c r="N458">
        <v>3</v>
      </c>
      <c r="O458" t="s">
        <v>55</v>
      </c>
      <c r="P458">
        <v>4</v>
      </c>
      <c r="Q458" t="s">
        <v>51</v>
      </c>
      <c r="R458">
        <v>11557</v>
      </c>
      <c r="S458">
        <v>25291</v>
      </c>
      <c r="T458">
        <v>9</v>
      </c>
      <c r="U458" t="s">
        <v>41</v>
      </c>
      <c r="V458" t="s">
        <v>42</v>
      </c>
      <c r="W458">
        <v>21</v>
      </c>
      <c r="X458">
        <v>4</v>
      </c>
      <c r="Y458">
        <v>3</v>
      </c>
      <c r="Z458">
        <v>80</v>
      </c>
      <c r="AA458">
        <v>1</v>
      </c>
      <c r="AB458">
        <v>10</v>
      </c>
      <c r="AC458">
        <v>3</v>
      </c>
      <c r="AD458">
        <v>2</v>
      </c>
      <c r="AE458">
        <v>5</v>
      </c>
      <c r="AF458">
        <v>4</v>
      </c>
      <c r="AG458">
        <v>0</v>
      </c>
      <c r="AH458">
        <v>1</v>
      </c>
    </row>
    <row r="459" spans="1:34" x14ac:dyDescent="0.2">
      <c r="A459">
        <v>18</v>
      </c>
      <c r="B459" t="s">
        <v>34</v>
      </c>
      <c r="C459" t="s">
        <v>43</v>
      </c>
      <c r="D459" t="s">
        <v>36</v>
      </c>
      <c r="E459">
        <v>5</v>
      </c>
      <c r="F459">
        <v>3</v>
      </c>
      <c r="G459" t="s">
        <v>58</v>
      </c>
      <c r="H459">
        <v>1</v>
      </c>
      <c r="I459">
        <v>614</v>
      </c>
      <c r="J459">
        <v>2</v>
      </c>
      <c r="K459" t="s">
        <v>45</v>
      </c>
      <c r="L459">
        <v>69</v>
      </c>
      <c r="M459">
        <v>3</v>
      </c>
      <c r="N459">
        <v>1</v>
      </c>
      <c r="O459" t="s">
        <v>56</v>
      </c>
      <c r="P459">
        <v>2</v>
      </c>
      <c r="Q459" t="s">
        <v>40</v>
      </c>
      <c r="R459">
        <v>1878</v>
      </c>
      <c r="S459">
        <v>8059</v>
      </c>
      <c r="T459">
        <v>1</v>
      </c>
      <c r="U459" t="s">
        <v>41</v>
      </c>
      <c r="V459" t="s">
        <v>34</v>
      </c>
      <c r="W459">
        <v>14</v>
      </c>
      <c r="X459">
        <v>3</v>
      </c>
      <c r="Y459">
        <v>4</v>
      </c>
      <c r="Z459">
        <v>80</v>
      </c>
      <c r="AA459">
        <v>0</v>
      </c>
      <c r="AB459">
        <v>0</v>
      </c>
      <c r="AC459">
        <v>3</v>
      </c>
      <c r="AD459">
        <v>3</v>
      </c>
      <c r="AE459">
        <v>0</v>
      </c>
      <c r="AF459">
        <v>0</v>
      </c>
      <c r="AG459">
        <v>0</v>
      </c>
      <c r="AH459">
        <v>0</v>
      </c>
    </row>
    <row r="460" spans="1:34" x14ac:dyDescent="0.2">
      <c r="A460">
        <v>40</v>
      </c>
      <c r="B460" t="s">
        <v>42</v>
      </c>
      <c r="C460" t="s">
        <v>54</v>
      </c>
      <c r="D460" t="s">
        <v>36</v>
      </c>
      <c r="E460">
        <v>28</v>
      </c>
      <c r="F460">
        <v>3</v>
      </c>
      <c r="G460" t="s">
        <v>48</v>
      </c>
      <c r="H460">
        <v>1</v>
      </c>
      <c r="I460">
        <v>615</v>
      </c>
      <c r="J460">
        <v>3</v>
      </c>
      <c r="K460" t="s">
        <v>45</v>
      </c>
      <c r="L460">
        <v>58</v>
      </c>
      <c r="M460">
        <v>1</v>
      </c>
      <c r="N460">
        <v>3</v>
      </c>
      <c r="O460" t="s">
        <v>39</v>
      </c>
      <c r="P460">
        <v>1</v>
      </c>
      <c r="Q460" t="s">
        <v>51</v>
      </c>
      <c r="R460">
        <v>10932</v>
      </c>
      <c r="S460">
        <v>11373</v>
      </c>
      <c r="T460">
        <v>3</v>
      </c>
      <c r="U460" t="s">
        <v>41</v>
      </c>
      <c r="V460" t="s">
        <v>42</v>
      </c>
      <c r="W460">
        <v>15</v>
      </c>
      <c r="X460">
        <v>3</v>
      </c>
      <c r="Y460">
        <v>3</v>
      </c>
      <c r="Z460">
        <v>80</v>
      </c>
      <c r="AA460">
        <v>1</v>
      </c>
      <c r="AB460">
        <v>20</v>
      </c>
      <c r="AC460">
        <v>2</v>
      </c>
      <c r="AD460">
        <v>3</v>
      </c>
      <c r="AE460">
        <v>1</v>
      </c>
      <c r="AF460">
        <v>0</v>
      </c>
      <c r="AG460">
        <v>0</v>
      </c>
      <c r="AH460">
        <v>1</v>
      </c>
    </row>
    <row r="461" spans="1:34" x14ac:dyDescent="0.2">
      <c r="A461">
        <v>41</v>
      </c>
      <c r="B461" t="s">
        <v>42</v>
      </c>
      <c r="C461" t="s">
        <v>54</v>
      </c>
      <c r="D461" t="s">
        <v>44</v>
      </c>
      <c r="E461">
        <v>2</v>
      </c>
      <c r="F461">
        <v>4</v>
      </c>
      <c r="G461" t="s">
        <v>48</v>
      </c>
      <c r="H461">
        <v>1</v>
      </c>
      <c r="I461">
        <v>616</v>
      </c>
      <c r="J461">
        <v>1</v>
      </c>
      <c r="K461" t="s">
        <v>38</v>
      </c>
      <c r="L461">
        <v>62</v>
      </c>
      <c r="M461">
        <v>2</v>
      </c>
      <c r="N461">
        <v>2</v>
      </c>
      <c r="O461" t="s">
        <v>53</v>
      </c>
      <c r="P461">
        <v>3</v>
      </c>
      <c r="Q461" t="s">
        <v>40</v>
      </c>
      <c r="R461">
        <v>6811</v>
      </c>
      <c r="S461">
        <v>2112</v>
      </c>
      <c r="T461">
        <v>2</v>
      </c>
      <c r="U461" t="s">
        <v>41</v>
      </c>
      <c r="V461" t="s">
        <v>34</v>
      </c>
      <c r="W461">
        <v>17</v>
      </c>
      <c r="X461">
        <v>3</v>
      </c>
      <c r="Y461">
        <v>1</v>
      </c>
      <c r="Z461">
        <v>80</v>
      </c>
      <c r="AA461">
        <v>0</v>
      </c>
      <c r="AB461">
        <v>10</v>
      </c>
      <c r="AC461">
        <v>3</v>
      </c>
      <c r="AD461">
        <v>3</v>
      </c>
      <c r="AE461">
        <v>8</v>
      </c>
      <c r="AF461">
        <v>7</v>
      </c>
      <c r="AG461">
        <v>0</v>
      </c>
      <c r="AH461">
        <v>7</v>
      </c>
    </row>
    <row r="462" spans="1:34" x14ac:dyDescent="0.2">
      <c r="A462">
        <v>26</v>
      </c>
      <c r="B462" t="s">
        <v>42</v>
      </c>
      <c r="C462" t="s">
        <v>35</v>
      </c>
      <c r="D462" t="s">
        <v>36</v>
      </c>
      <c r="E462">
        <v>29</v>
      </c>
      <c r="F462">
        <v>2</v>
      </c>
      <c r="G462" t="s">
        <v>50</v>
      </c>
      <c r="H462">
        <v>1</v>
      </c>
      <c r="I462">
        <v>618</v>
      </c>
      <c r="J462">
        <v>1</v>
      </c>
      <c r="K462" t="s">
        <v>45</v>
      </c>
      <c r="L462">
        <v>45</v>
      </c>
      <c r="M462">
        <v>3</v>
      </c>
      <c r="N462">
        <v>2</v>
      </c>
      <c r="O462" t="s">
        <v>39</v>
      </c>
      <c r="P462">
        <v>3</v>
      </c>
      <c r="Q462" t="s">
        <v>51</v>
      </c>
      <c r="R462">
        <v>4306</v>
      </c>
      <c r="S462">
        <v>4267</v>
      </c>
      <c r="T462">
        <v>5</v>
      </c>
      <c r="U462" t="s">
        <v>41</v>
      </c>
      <c r="V462" t="s">
        <v>42</v>
      </c>
      <c r="W462">
        <v>12</v>
      </c>
      <c r="X462">
        <v>3</v>
      </c>
      <c r="Y462">
        <v>1</v>
      </c>
      <c r="Z462">
        <v>80</v>
      </c>
      <c r="AA462">
        <v>2</v>
      </c>
      <c r="AB462">
        <v>8</v>
      </c>
      <c r="AC462">
        <v>5</v>
      </c>
      <c r="AD462">
        <v>3</v>
      </c>
      <c r="AE462">
        <v>0</v>
      </c>
      <c r="AF462">
        <v>0</v>
      </c>
      <c r="AG462">
        <v>0</v>
      </c>
      <c r="AH462">
        <v>0</v>
      </c>
    </row>
    <row r="463" spans="1:34" x14ac:dyDescent="0.2">
      <c r="A463">
        <v>35</v>
      </c>
      <c r="B463" t="s">
        <v>42</v>
      </c>
      <c r="C463" t="s">
        <v>35</v>
      </c>
      <c r="D463" t="s">
        <v>36</v>
      </c>
      <c r="E463">
        <v>1</v>
      </c>
      <c r="F463">
        <v>3</v>
      </c>
      <c r="G463" t="s">
        <v>50</v>
      </c>
      <c r="H463">
        <v>1</v>
      </c>
      <c r="I463">
        <v>620</v>
      </c>
      <c r="J463">
        <v>1</v>
      </c>
      <c r="K463" t="s">
        <v>38</v>
      </c>
      <c r="L463">
        <v>80</v>
      </c>
      <c r="M463">
        <v>3</v>
      </c>
      <c r="N463">
        <v>2</v>
      </c>
      <c r="O463" t="s">
        <v>39</v>
      </c>
      <c r="P463">
        <v>3</v>
      </c>
      <c r="Q463" t="s">
        <v>40</v>
      </c>
      <c r="R463">
        <v>4859</v>
      </c>
      <c r="S463">
        <v>6698</v>
      </c>
      <c r="T463">
        <v>1</v>
      </c>
      <c r="U463" t="s">
        <v>41</v>
      </c>
      <c r="V463" t="s">
        <v>42</v>
      </c>
      <c r="W463">
        <v>16</v>
      </c>
      <c r="X463">
        <v>3</v>
      </c>
      <c r="Y463">
        <v>4</v>
      </c>
      <c r="Z463">
        <v>80</v>
      </c>
      <c r="AA463">
        <v>0</v>
      </c>
      <c r="AB463">
        <v>5</v>
      </c>
      <c r="AC463">
        <v>3</v>
      </c>
      <c r="AD463">
        <v>3</v>
      </c>
      <c r="AE463">
        <v>5</v>
      </c>
      <c r="AF463">
        <v>4</v>
      </c>
      <c r="AG463">
        <v>0</v>
      </c>
      <c r="AH463">
        <v>3</v>
      </c>
    </row>
    <row r="464" spans="1:34" x14ac:dyDescent="0.2">
      <c r="A464">
        <v>34</v>
      </c>
      <c r="B464" t="s">
        <v>42</v>
      </c>
      <c r="C464" t="s">
        <v>35</v>
      </c>
      <c r="D464" t="s">
        <v>36</v>
      </c>
      <c r="E464">
        <v>21</v>
      </c>
      <c r="F464">
        <v>4</v>
      </c>
      <c r="G464" t="s">
        <v>37</v>
      </c>
      <c r="H464">
        <v>1</v>
      </c>
      <c r="I464">
        <v>621</v>
      </c>
      <c r="J464">
        <v>4</v>
      </c>
      <c r="K464" t="s">
        <v>45</v>
      </c>
      <c r="L464">
        <v>74</v>
      </c>
      <c r="M464">
        <v>4</v>
      </c>
      <c r="N464">
        <v>2</v>
      </c>
      <c r="O464" t="s">
        <v>39</v>
      </c>
      <c r="P464">
        <v>4</v>
      </c>
      <c r="Q464" t="s">
        <v>40</v>
      </c>
      <c r="R464">
        <v>5337</v>
      </c>
      <c r="S464">
        <v>19921</v>
      </c>
      <c r="T464">
        <v>1</v>
      </c>
      <c r="U464" t="s">
        <v>41</v>
      </c>
      <c r="V464" t="s">
        <v>42</v>
      </c>
      <c r="W464">
        <v>12</v>
      </c>
      <c r="X464">
        <v>3</v>
      </c>
      <c r="Y464">
        <v>4</v>
      </c>
      <c r="Z464">
        <v>80</v>
      </c>
      <c r="AA464">
        <v>0</v>
      </c>
      <c r="AB464">
        <v>10</v>
      </c>
      <c r="AC464">
        <v>3</v>
      </c>
      <c r="AD464">
        <v>3</v>
      </c>
      <c r="AE464">
        <v>10</v>
      </c>
      <c r="AF464">
        <v>7</v>
      </c>
      <c r="AG464">
        <v>5</v>
      </c>
      <c r="AH464">
        <v>7</v>
      </c>
    </row>
    <row r="465" spans="1:34" x14ac:dyDescent="0.2">
      <c r="A465">
        <v>26</v>
      </c>
      <c r="B465" t="s">
        <v>34</v>
      </c>
      <c r="C465" t="s">
        <v>35</v>
      </c>
      <c r="D465" t="s">
        <v>44</v>
      </c>
      <c r="E465">
        <v>24</v>
      </c>
      <c r="F465">
        <v>3</v>
      </c>
      <c r="G465" t="s">
        <v>59</v>
      </c>
      <c r="H465">
        <v>1</v>
      </c>
      <c r="I465">
        <v>622</v>
      </c>
      <c r="J465">
        <v>3</v>
      </c>
      <c r="K465" t="s">
        <v>45</v>
      </c>
      <c r="L465">
        <v>66</v>
      </c>
      <c r="M465">
        <v>1</v>
      </c>
      <c r="N465">
        <v>1</v>
      </c>
      <c r="O465" t="s">
        <v>49</v>
      </c>
      <c r="P465">
        <v>4</v>
      </c>
      <c r="Q465" t="s">
        <v>40</v>
      </c>
      <c r="R465">
        <v>2340</v>
      </c>
      <c r="S465">
        <v>23213</v>
      </c>
      <c r="T465">
        <v>1</v>
      </c>
      <c r="U465" t="s">
        <v>41</v>
      </c>
      <c r="V465" t="s">
        <v>34</v>
      </c>
      <c r="W465">
        <v>18</v>
      </c>
      <c r="X465">
        <v>3</v>
      </c>
      <c r="Y465">
        <v>2</v>
      </c>
      <c r="Z465">
        <v>80</v>
      </c>
      <c r="AA465">
        <v>0</v>
      </c>
      <c r="AB465">
        <v>1</v>
      </c>
      <c r="AC465">
        <v>3</v>
      </c>
      <c r="AD465">
        <v>1</v>
      </c>
      <c r="AE465">
        <v>1</v>
      </c>
      <c r="AF465">
        <v>0</v>
      </c>
      <c r="AG465">
        <v>0</v>
      </c>
      <c r="AH465">
        <v>0</v>
      </c>
    </row>
    <row r="466" spans="1:34" x14ac:dyDescent="0.2">
      <c r="A466">
        <v>37</v>
      </c>
      <c r="B466" t="s">
        <v>42</v>
      </c>
      <c r="C466" t="s">
        <v>35</v>
      </c>
      <c r="D466" t="s">
        <v>44</v>
      </c>
      <c r="E466">
        <v>1</v>
      </c>
      <c r="F466">
        <v>3</v>
      </c>
      <c r="G466" t="s">
        <v>59</v>
      </c>
      <c r="H466">
        <v>1</v>
      </c>
      <c r="I466">
        <v>623</v>
      </c>
      <c r="J466">
        <v>2</v>
      </c>
      <c r="K466" t="s">
        <v>38</v>
      </c>
      <c r="L466">
        <v>59</v>
      </c>
      <c r="M466">
        <v>3</v>
      </c>
      <c r="N466">
        <v>3</v>
      </c>
      <c r="O466" t="s">
        <v>52</v>
      </c>
      <c r="P466">
        <v>4</v>
      </c>
      <c r="Q466" t="s">
        <v>40</v>
      </c>
      <c r="R466">
        <v>7491</v>
      </c>
      <c r="S466">
        <v>23848</v>
      </c>
      <c r="T466">
        <v>4</v>
      </c>
      <c r="U466" t="s">
        <v>41</v>
      </c>
      <c r="V466" t="s">
        <v>42</v>
      </c>
      <c r="W466">
        <v>17</v>
      </c>
      <c r="X466">
        <v>3</v>
      </c>
      <c r="Y466">
        <v>4</v>
      </c>
      <c r="Z466">
        <v>80</v>
      </c>
      <c r="AA466">
        <v>0</v>
      </c>
      <c r="AB466">
        <v>12</v>
      </c>
      <c r="AC466">
        <v>3</v>
      </c>
      <c r="AD466">
        <v>4</v>
      </c>
      <c r="AE466">
        <v>6</v>
      </c>
      <c r="AF466">
        <v>5</v>
      </c>
      <c r="AG466">
        <v>1</v>
      </c>
      <c r="AH466">
        <v>2</v>
      </c>
    </row>
    <row r="467" spans="1:34" x14ac:dyDescent="0.2">
      <c r="A467">
        <v>46</v>
      </c>
      <c r="B467" t="s">
        <v>42</v>
      </c>
      <c r="C467" t="s">
        <v>43</v>
      </c>
      <c r="D467" t="s">
        <v>44</v>
      </c>
      <c r="E467">
        <v>18</v>
      </c>
      <c r="F467">
        <v>1</v>
      </c>
      <c r="G467" t="s">
        <v>50</v>
      </c>
      <c r="H467">
        <v>1</v>
      </c>
      <c r="I467">
        <v>624</v>
      </c>
      <c r="J467">
        <v>1</v>
      </c>
      <c r="K467" t="s">
        <v>38</v>
      </c>
      <c r="L467">
        <v>86</v>
      </c>
      <c r="M467">
        <v>3</v>
      </c>
      <c r="N467">
        <v>3</v>
      </c>
      <c r="O467" t="s">
        <v>53</v>
      </c>
      <c r="P467">
        <v>3</v>
      </c>
      <c r="Q467" t="s">
        <v>47</v>
      </c>
      <c r="R467">
        <v>10527</v>
      </c>
      <c r="S467">
        <v>8984</v>
      </c>
      <c r="T467">
        <v>5</v>
      </c>
      <c r="U467" t="s">
        <v>41</v>
      </c>
      <c r="V467" t="s">
        <v>42</v>
      </c>
      <c r="W467">
        <v>11</v>
      </c>
      <c r="X467">
        <v>3</v>
      </c>
      <c r="Y467">
        <v>4</v>
      </c>
      <c r="Z467">
        <v>80</v>
      </c>
      <c r="AA467">
        <v>0</v>
      </c>
      <c r="AB467">
        <v>28</v>
      </c>
      <c r="AC467">
        <v>3</v>
      </c>
      <c r="AD467">
        <v>2</v>
      </c>
      <c r="AE467">
        <v>2</v>
      </c>
      <c r="AF467">
        <v>2</v>
      </c>
      <c r="AG467">
        <v>1</v>
      </c>
      <c r="AH467">
        <v>2</v>
      </c>
    </row>
    <row r="468" spans="1:34" x14ac:dyDescent="0.2">
      <c r="A468">
        <v>41</v>
      </c>
      <c r="B468" t="s">
        <v>42</v>
      </c>
      <c r="C468" t="s">
        <v>35</v>
      </c>
      <c r="D468" t="s">
        <v>36</v>
      </c>
      <c r="E468">
        <v>2</v>
      </c>
      <c r="F468">
        <v>5</v>
      </c>
      <c r="G468" t="s">
        <v>37</v>
      </c>
      <c r="H468">
        <v>1</v>
      </c>
      <c r="I468">
        <v>625</v>
      </c>
      <c r="J468">
        <v>2</v>
      </c>
      <c r="K468" t="s">
        <v>38</v>
      </c>
      <c r="L468">
        <v>91</v>
      </c>
      <c r="M468">
        <v>3</v>
      </c>
      <c r="N468">
        <v>4</v>
      </c>
      <c r="O468" t="s">
        <v>55</v>
      </c>
      <c r="P468">
        <v>1</v>
      </c>
      <c r="Q468" t="s">
        <v>47</v>
      </c>
      <c r="R468">
        <v>16595</v>
      </c>
      <c r="S468">
        <v>5626</v>
      </c>
      <c r="T468">
        <v>7</v>
      </c>
      <c r="U468" t="s">
        <v>41</v>
      </c>
      <c r="V468" t="s">
        <v>42</v>
      </c>
      <c r="W468">
        <v>16</v>
      </c>
      <c r="X468">
        <v>3</v>
      </c>
      <c r="Y468">
        <v>2</v>
      </c>
      <c r="Z468">
        <v>80</v>
      </c>
      <c r="AA468">
        <v>1</v>
      </c>
      <c r="AB468">
        <v>22</v>
      </c>
      <c r="AC468">
        <v>2</v>
      </c>
      <c r="AD468">
        <v>3</v>
      </c>
      <c r="AE468">
        <v>18</v>
      </c>
      <c r="AF468">
        <v>16</v>
      </c>
      <c r="AG468">
        <v>11</v>
      </c>
      <c r="AH468">
        <v>8</v>
      </c>
    </row>
    <row r="469" spans="1:34" x14ac:dyDescent="0.2">
      <c r="A469">
        <v>37</v>
      </c>
      <c r="B469" t="s">
        <v>42</v>
      </c>
      <c r="C469" t="s">
        <v>54</v>
      </c>
      <c r="D469" t="s">
        <v>36</v>
      </c>
      <c r="E469">
        <v>9</v>
      </c>
      <c r="F469">
        <v>4</v>
      </c>
      <c r="G469" t="s">
        <v>50</v>
      </c>
      <c r="H469">
        <v>1</v>
      </c>
      <c r="I469">
        <v>626</v>
      </c>
      <c r="J469">
        <v>1</v>
      </c>
      <c r="K469" t="s">
        <v>45</v>
      </c>
      <c r="L469">
        <v>69</v>
      </c>
      <c r="M469">
        <v>3</v>
      </c>
      <c r="N469">
        <v>3</v>
      </c>
      <c r="O469" t="s">
        <v>39</v>
      </c>
      <c r="P469">
        <v>2</v>
      </c>
      <c r="Q469" t="s">
        <v>51</v>
      </c>
      <c r="R469">
        <v>8834</v>
      </c>
      <c r="S469">
        <v>24666</v>
      </c>
      <c r="T469">
        <v>1</v>
      </c>
      <c r="U469" t="s">
        <v>41</v>
      </c>
      <c r="V469" t="s">
        <v>42</v>
      </c>
      <c r="W469">
        <v>13</v>
      </c>
      <c r="X469">
        <v>3</v>
      </c>
      <c r="Y469">
        <v>4</v>
      </c>
      <c r="Z469">
        <v>80</v>
      </c>
      <c r="AA469">
        <v>1</v>
      </c>
      <c r="AB469">
        <v>9</v>
      </c>
      <c r="AC469">
        <v>6</v>
      </c>
      <c r="AD469">
        <v>3</v>
      </c>
      <c r="AE469">
        <v>9</v>
      </c>
      <c r="AF469">
        <v>5</v>
      </c>
      <c r="AG469">
        <v>7</v>
      </c>
      <c r="AH469">
        <v>7</v>
      </c>
    </row>
    <row r="470" spans="1:34" x14ac:dyDescent="0.2">
      <c r="A470">
        <v>52</v>
      </c>
      <c r="B470" t="s">
        <v>42</v>
      </c>
      <c r="C470" t="s">
        <v>35</v>
      </c>
      <c r="D470" t="s">
        <v>44</v>
      </c>
      <c r="E470">
        <v>6</v>
      </c>
      <c r="F470">
        <v>2</v>
      </c>
      <c r="G470" t="s">
        <v>59</v>
      </c>
      <c r="H470">
        <v>1</v>
      </c>
      <c r="I470">
        <v>630</v>
      </c>
      <c r="J470">
        <v>4</v>
      </c>
      <c r="K470" t="s">
        <v>45</v>
      </c>
      <c r="L470">
        <v>78</v>
      </c>
      <c r="M470">
        <v>3</v>
      </c>
      <c r="N470">
        <v>2</v>
      </c>
      <c r="O470" t="s">
        <v>46</v>
      </c>
      <c r="P470">
        <v>1</v>
      </c>
      <c r="Q470" t="s">
        <v>51</v>
      </c>
      <c r="R470">
        <v>5577</v>
      </c>
      <c r="S470">
        <v>22087</v>
      </c>
      <c r="T470">
        <v>3</v>
      </c>
      <c r="U470" t="s">
        <v>41</v>
      </c>
      <c r="V470" t="s">
        <v>34</v>
      </c>
      <c r="W470">
        <v>12</v>
      </c>
      <c r="X470">
        <v>3</v>
      </c>
      <c r="Y470">
        <v>2</v>
      </c>
      <c r="Z470">
        <v>80</v>
      </c>
      <c r="AA470">
        <v>2</v>
      </c>
      <c r="AB470">
        <v>18</v>
      </c>
      <c r="AC470">
        <v>3</v>
      </c>
      <c r="AD470">
        <v>3</v>
      </c>
      <c r="AE470">
        <v>10</v>
      </c>
      <c r="AF470">
        <v>9</v>
      </c>
      <c r="AG470">
        <v>6</v>
      </c>
      <c r="AH470">
        <v>9</v>
      </c>
    </row>
    <row r="471" spans="1:34" x14ac:dyDescent="0.2">
      <c r="A471">
        <v>32</v>
      </c>
      <c r="B471" t="s">
        <v>34</v>
      </c>
      <c r="C471" t="s">
        <v>54</v>
      </c>
      <c r="D471" t="s">
        <v>36</v>
      </c>
      <c r="E471">
        <v>11</v>
      </c>
      <c r="F471">
        <v>4</v>
      </c>
      <c r="G471" t="s">
        <v>48</v>
      </c>
      <c r="H471">
        <v>1</v>
      </c>
      <c r="I471">
        <v>631</v>
      </c>
      <c r="J471">
        <v>4</v>
      </c>
      <c r="K471" t="s">
        <v>45</v>
      </c>
      <c r="L471">
        <v>60</v>
      </c>
      <c r="M471">
        <v>4</v>
      </c>
      <c r="N471">
        <v>2</v>
      </c>
      <c r="O471" t="s">
        <v>39</v>
      </c>
      <c r="P471">
        <v>3</v>
      </c>
      <c r="Q471" t="s">
        <v>47</v>
      </c>
      <c r="R471">
        <v>4707</v>
      </c>
      <c r="S471">
        <v>23914</v>
      </c>
      <c r="T471">
        <v>8</v>
      </c>
      <c r="U471" t="s">
        <v>41</v>
      </c>
      <c r="V471" t="s">
        <v>42</v>
      </c>
      <c r="W471">
        <v>12</v>
      </c>
      <c r="X471">
        <v>3</v>
      </c>
      <c r="Y471">
        <v>4</v>
      </c>
      <c r="Z471">
        <v>80</v>
      </c>
      <c r="AA471">
        <v>0</v>
      </c>
      <c r="AB471">
        <v>6</v>
      </c>
      <c r="AC471">
        <v>2</v>
      </c>
      <c r="AD471">
        <v>3</v>
      </c>
      <c r="AE471">
        <v>4</v>
      </c>
      <c r="AF471">
        <v>2</v>
      </c>
      <c r="AG471">
        <v>1</v>
      </c>
      <c r="AH471">
        <v>2</v>
      </c>
    </row>
    <row r="472" spans="1:34" x14ac:dyDescent="0.2">
      <c r="A472">
        <v>24</v>
      </c>
      <c r="B472" t="s">
        <v>42</v>
      </c>
      <c r="C472" t="s">
        <v>43</v>
      </c>
      <c r="D472" t="s">
        <v>36</v>
      </c>
      <c r="E472">
        <v>24</v>
      </c>
      <c r="F472">
        <v>3</v>
      </c>
      <c r="G472" t="s">
        <v>50</v>
      </c>
      <c r="H472">
        <v>1</v>
      </c>
      <c r="I472">
        <v>632</v>
      </c>
      <c r="J472">
        <v>4</v>
      </c>
      <c r="K472" t="s">
        <v>45</v>
      </c>
      <c r="L472">
        <v>38</v>
      </c>
      <c r="M472">
        <v>3</v>
      </c>
      <c r="N472">
        <v>1</v>
      </c>
      <c r="O472" t="s">
        <v>56</v>
      </c>
      <c r="P472">
        <v>4</v>
      </c>
      <c r="Q472" t="s">
        <v>47</v>
      </c>
      <c r="R472">
        <v>2400</v>
      </c>
      <c r="S472">
        <v>5530</v>
      </c>
      <c r="T472">
        <v>0</v>
      </c>
      <c r="U472" t="s">
        <v>41</v>
      </c>
      <c r="V472" t="s">
        <v>42</v>
      </c>
      <c r="W472">
        <v>13</v>
      </c>
      <c r="X472">
        <v>3</v>
      </c>
      <c r="Y472">
        <v>3</v>
      </c>
      <c r="Z472">
        <v>80</v>
      </c>
      <c r="AA472">
        <v>2</v>
      </c>
      <c r="AB472">
        <v>3</v>
      </c>
      <c r="AC472">
        <v>3</v>
      </c>
      <c r="AD472">
        <v>3</v>
      </c>
      <c r="AE472">
        <v>2</v>
      </c>
      <c r="AF472">
        <v>2</v>
      </c>
      <c r="AG472">
        <v>2</v>
      </c>
      <c r="AH472">
        <v>1</v>
      </c>
    </row>
    <row r="473" spans="1:34" x14ac:dyDescent="0.2">
      <c r="A473">
        <v>38</v>
      </c>
      <c r="B473" t="s">
        <v>42</v>
      </c>
      <c r="C473" t="s">
        <v>35</v>
      </c>
      <c r="D473" t="s">
        <v>44</v>
      </c>
      <c r="E473">
        <v>10</v>
      </c>
      <c r="F473">
        <v>3</v>
      </c>
      <c r="G473" t="s">
        <v>50</v>
      </c>
      <c r="H473">
        <v>1</v>
      </c>
      <c r="I473">
        <v>634</v>
      </c>
      <c r="J473">
        <v>3</v>
      </c>
      <c r="K473" t="s">
        <v>38</v>
      </c>
      <c r="L473">
        <v>76</v>
      </c>
      <c r="M473">
        <v>3</v>
      </c>
      <c r="N473">
        <v>2</v>
      </c>
      <c r="O473" t="s">
        <v>53</v>
      </c>
      <c r="P473">
        <v>3</v>
      </c>
      <c r="Q473" t="s">
        <v>47</v>
      </c>
      <c r="R473">
        <v>9824</v>
      </c>
      <c r="S473">
        <v>22174</v>
      </c>
      <c r="T473">
        <v>3</v>
      </c>
      <c r="U473" t="s">
        <v>41</v>
      </c>
      <c r="V473" t="s">
        <v>42</v>
      </c>
      <c r="W473">
        <v>19</v>
      </c>
      <c r="X473">
        <v>3</v>
      </c>
      <c r="Y473">
        <v>3</v>
      </c>
      <c r="Z473">
        <v>80</v>
      </c>
      <c r="AA473">
        <v>1</v>
      </c>
      <c r="AB473">
        <v>18</v>
      </c>
      <c r="AC473">
        <v>4</v>
      </c>
      <c r="AD473">
        <v>3</v>
      </c>
      <c r="AE473">
        <v>1</v>
      </c>
      <c r="AF473">
        <v>0</v>
      </c>
      <c r="AG473">
        <v>0</v>
      </c>
      <c r="AH473">
        <v>0</v>
      </c>
    </row>
    <row r="474" spans="1:34" x14ac:dyDescent="0.2">
      <c r="A474">
        <v>37</v>
      </c>
      <c r="B474" t="s">
        <v>42</v>
      </c>
      <c r="C474" t="s">
        <v>35</v>
      </c>
      <c r="D474" t="s">
        <v>44</v>
      </c>
      <c r="E474">
        <v>1</v>
      </c>
      <c r="F474">
        <v>4</v>
      </c>
      <c r="G474" t="s">
        <v>37</v>
      </c>
      <c r="H474">
        <v>1</v>
      </c>
      <c r="I474">
        <v>635</v>
      </c>
      <c r="J474">
        <v>2</v>
      </c>
      <c r="K474" t="s">
        <v>38</v>
      </c>
      <c r="L474">
        <v>65</v>
      </c>
      <c r="M474">
        <v>3</v>
      </c>
      <c r="N474">
        <v>2</v>
      </c>
      <c r="O474" t="s">
        <v>52</v>
      </c>
      <c r="P474">
        <v>2</v>
      </c>
      <c r="Q474" t="s">
        <v>47</v>
      </c>
      <c r="R474">
        <v>6447</v>
      </c>
      <c r="S474">
        <v>15701</v>
      </c>
      <c r="T474">
        <v>6</v>
      </c>
      <c r="U474" t="s">
        <v>41</v>
      </c>
      <c r="V474" t="s">
        <v>42</v>
      </c>
      <c r="W474">
        <v>12</v>
      </c>
      <c r="X474">
        <v>3</v>
      </c>
      <c r="Y474">
        <v>2</v>
      </c>
      <c r="Z474">
        <v>80</v>
      </c>
      <c r="AA474">
        <v>1</v>
      </c>
      <c r="AB474">
        <v>8</v>
      </c>
      <c r="AC474">
        <v>2</v>
      </c>
      <c r="AD474">
        <v>2</v>
      </c>
      <c r="AE474">
        <v>6</v>
      </c>
      <c r="AF474">
        <v>5</v>
      </c>
      <c r="AG474">
        <v>4</v>
      </c>
      <c r="AH474">
        <v>3</v>
      </c>
    </row>
    <row r="475" spans="1:34" x14ac:dyDescent="0.2">
      <c r="A475">
        <v>49</v>
      </c>
      <c r="B475" t="s">
        <v>42</v>
      </c>
      <c r="C475" t="s">
        <v>35</v>
      </c>
      <c r="D475" t="s">
        <v>44</v>
      </c>
      <c r="E475">
        <v>18</v>
      </c>
      <c r="F475">
        <v>4</v>
      </c>
      <c r="G475" t="s">
        <v>37</v>
      </c>
      <c r="H475">
        <v>1</v>
      </c>
      <c r="I475">
        <v>638</v>
      </c>
      <c r="J475">
        <v>4</v>
      </c>
      <c r="K475" t="s">
        <v>45</v>
      </c>
      <c r="L475">
        <v>58</v>
      </c>
      <c r="M475">
        <v>2</v>
      </c>
      <c r="N475">
        <v>5</v>
      </c>
      <c r="O475" t="s">
        <v>57</v>
      </c>
      <c r="P475">
        <v>3</v>
      </c>
      <c r="Q475" t="s">
        <v>51</v>
      </c>
      <c r="R475">
        <v>19502</v>
      </c>
      <c r="S475">
        <v>2125</v>
      </c>
      <c r="T475">
        <v>1</v>
      </c>
      <c r="U475" t="s">
        <v>41</v>
      </c>
      <c r="V475" t="s">
        <v>34</v>
      </c>
      <c r="W475">
        <v>17</v>
      </c>
      <c r="X475">
        <v>3</v>
      </c>
      <c r="Y475">
        <v>3</v>
      </c>
      <c r="Z475">
        <v>80</v>
      </c>
      <c r="AA475">
        <v>1</v>
      </c>
      <c r="AB475">
        <v>31</v>
      </c>
      <c r="AC475">
        <v>5</v>
      </c>
      <c r="AD475">
        <v>3</v>
      </c>
      <c r="AE475">
        <v>31</v>
      </c>
      <c r="AF475">
        <v>9</v>
      </c>
      <c r="AG475">
        <v>0</v>
      </c>
      <c r="AH475">
        <v>9</v>
      </c>
    </row>
    <row r="476" spans="1:34" x14ac:dyDescent="0.2">
      <c r="A476">
        <v>24</v>
      </c>
      <c r="B476" t="s">
        <v>42</v>
      </c>
      <c r="C476" t="s">
        <v>35</v>
      </c>
      <c r="D476" t="s">
        <v>44</v>
      </c>
      <c r="E476">
        <v>23</v>
      </c>
      <c r="F476">
        <v>3</v>
      </c>
      <c r="G476" t="s">
        <v>50</v>
      </c>
      <c r="H476">
        <v>1</v>
      </c>
      <c r="I476">
        <v>639</v>
      </c>
      <c r="J476">
        <v>2</v>
      </c>
      <c r="K476" t="s">
        <v>45</v>
      </c>
      <c r="L476">
        <v>89</v>
      </c>
      <c r="M476">
        <v>4</v>
      </c>
      <c r="N476">
        <v>1</v>
      </c>
      <c r="O476" t="s">
        <v>46</v>
      </c>
      <c r="P476">
        <v>4</v>
      </c>
      <c r="Q476" t="s">
        <v>47</v>
      </c>
      <c r="R476">
        <v>2725</v>
      </c>
      <c r="S476">
        <v>21630</v>
      </c>
      <c r="T476">
        <v>1</v>
      </c>
      <c r="U476" t="s">
        <v>41</v>
      </c>
      <c r="V476" t="s">
        <v>34</v>
      </c>
      <c r="W476">
        <v>11</v>
      </c>
      <c r="X476">
        <v>3</v>
      </c>
      <c r="Y476">
        <v>2</v>
      </c>
      <c r="Z476">
        <v>80</v>
      </c>
      <c r="AA476">
        <v>2</v>
      </c>
      <c r="AB476">
        <v>6</v>
      </c>
      <c r="AC476">
        <v>3</v>
      </c>
      <c r="AD476">
        <v>3</v>
      </c>
      <c r="AE476">
        <v>6</v>
      </c>
      <c r="AF476">
        <v>5</v>
      </c>
      <c r="AG476">
        <v>1</v>
      </c>
      <c r="AH476">
        <v>4</v>
      </c>
    </row>
    <row r="477" spans="1:34" x14ac:dyDescent="0.2">
      <c r="A477">
        <v>26</v>
      </c>
      <c r="B477" t="s">
        <v>42</v>
      </c>
      <c r="C477" t="s">
        <v>35</v>
      </c>
      <c r="D477" t="s">
        <v>36</v>
      </c>
      <c r="E477">
        <v>28</v>
      </c>
      <c r="F477">
        <v>2</v>
      </c>
      <c r="G477" t="s">
        <v>58</v>
      </c>
      <c r="H477">
        <v>1</v>
      </c>
      <c r="I477">
        <v>641</v>
      </c>
      <c r="J477">
        <v>1</v>
      </c>
      <c r="K477" t="s">
        <v>45</v>
      </c>
      <c r="L477">
        <v>66</v>
      </c>
      <c r="M477">
        <v>3</v>
      </c>
      <c r="N477">
        <v>2</v>
      </c>
      <c r="O477" t="s">
        <v>39</v>
      </c>
      <c r="P477">
        <v>2</v>
      </c>
      <c r="Q477" t="s">
        <v>47</v>
      </c>
      <c r="R477">
        <v>6272</v>
      </c>
      <c r="S477">
        <v>7428</v>
      </c>
      <c r="T477">
        <v>1</v>
      </c>
      <c r="U477" t="s">
        <v>41</v>
      </c>
      <c r="V477" t="s">
        <v>42</v>
      </c>
      <c r="W477">
        <v>20</v>
      </c>
      <c r="X477">
        <v>4</v>
      </c>
      <c r="Y477">
        <v>4</v>
      </c>
      <c r="Z477">
        <v>80</v>
      </c>
      <c r="AA477">
        <v>2</v>
      </c>
      <c r="AB477">
        <v>6</v>
      </c>
      <c r="AC477">
        <v>5</v>
      </c>
      <c r="AD477">
        <v>4</v>
      </c>
      <c r="AE477">
        <v>5</v>
      </c>
      <c r="AF477">
        <v>3</v>
      </c>
      <c r="AG477">
        <v>1</v>
      </c>
      <c r="AH477">
        <v>4</v>
      </c>
    </row>
    <row r="478" spans="1:34" x14ac:dyDescent="0.2">
      <c r="A478">
        <v>24</v>
      </c>
      <c r="B478" t="s">
        <v>42</v>
      </c>
      <c r="C478" t="s">
        <v>35</v>
      </c>
      <c r="D478" t="s">
        <v>44</v>
      </c>
      <c r="E478">
        <v>17</v>
      </c>
      <c r="F478">
        <v>2</v>
      </c>
      <c r="G478" t="s">
        <v>48</v>
      </c>
      <c r="H478">
        <v>1</v>
      </c>
      <c r="I478">
        <v>643</v>
      </c>
      <c r="J478">
        <v>4</v>
      </c>
      <c r="K478" t="s">
        <v>45</v>
      </c>
      <c r="L478">
        <v>94</v>
      </c>
      <c r="M478">
        <v>2</v>
      </c>
      <c r="N478">
        <v>1</v>
      </c>
      <c r="O478" t="s">
        <v>49</v>
      </c>
      <c r="P478">
        <v>2</v>
      </c>
      <c r="Q478" t="s">
        <v>47</v>
      </c>
      <c r="R478">
        <v>2127</v>
      </c>
      <c r="S478">
        <v>9100</v>
      </c>
      <c r="T478">
        <v>1</v>
      </c>
      <c r="U478" t="s">
        <v>41</v>
      </c>
      <c r="V478" t="s">
        <v>42</v>
      </c>
      <c r="W478">
        <v>21</v>
      </c>
      <c r="X478">
        <v>4</v>
      </c>
      <c r="Y478">
        <v>4</v>
      </c>
      <c r="Z478">
        <v>80</v>
      </c>
      <c r="AA478">
        <v>1</v>
      </c>
      <c r="AB478">
        <v>1</v>
      </c>
      <c r="AC478">
        <v>2</v>
      </c>
      <c r="AD478">
        <v>3</v>
      </c>
      <c r="AE478">
        <v>1</v>
      </c>
      <c r="AF478">
        <v>0</v>
      </c>
      <c r="AG478">
        <v>0</v>
      </c>
      <c r="AH478">
        <v>0</v>
      </c>
    </row>
    <row r="479" spans="1:34" x14ac:dyDescent="0.2">
      <c r="A479">
        <v>50</v>
      </c>
      <c r="B479" t="s">
        <v>42</v>
      </c>
      <c r="C479" t="s">
        <v>43</v>
      </c>
      <c r="D479" t="s">
        <v>60</v>
      </c>
      <c r="E479">
        <v>3</v>
      </c>
      <c r="F479">
        <v>3</v>
      </c>
      <c r="G479" t="s">
        <v>50</v>
      </c>
      <c r="H479">
        <v>1</v>
      </c>
      <c r="I479">
        <v>644</v>
      </c>
      <c r="J479">
        <v>1</v>
      </c>
      <c r="K479" t="s">
        <v>45</v>
      </c>
      <c r="L479">
        <v>99</v>
      </c>
      <c r="M479">
        <v>3</v>
      </c>
      <c r="N479">
        <v>5</v>
      </c>
      <c r="O479" t="s">
        <v>55</v>
      </c>
      <c r="P479">
        <v>2</v>
      </c>
      <c r="Q479" t="s">
        <v>47</v>
      </c>
      <c r="R479">
        <v>18200</v>
      </c>
      <c r="S479">
        <v>7999</v>
      </c>
      <c r="T479">
        <v>1</v>
      </c>
      <c r="U479" t="s">
        <v>41</v>
      </c>
      <c r="V479" t="s">
        <v>42</v>
      </c>
      <c r="W479">
        <v>11</v>
      </c>
      <c r="X479">
        <v>3</v>
      </c>
      <c r="Y479">
        <v>3</v>
      </c>
      <c r="Z479">
        <v>80</v>
      </c>
      <c r="AA479">
        <v>1</v>
      </c>
      <c r="AB479">
        <v>32</v>
      </c>
      <c r="AC479">
        <v>2</v>
      </c>
      <c r="AD479">
        <v>3</v>
      </c>
      <c r="AE479">
        <v>32</v>
      </c>
      <c r="AF479">
        <v>5</v>
      </c>
      <c r="AG479">
        <v>10</v>
      </c>
      <c r="AH479">
        <v>7</v>
      </c>
    </row>
    <row r="480" spans="1:34" x14ac:dyDescent="0.2">
      <c r="A480">
        <v>25</v>
      </c>
      <c r="B480" t="s">
        <v>42</v>
      </c>
      <c r="C480" t="s">
        <v>35</v>
      </c>
      <c r="D480" t="s">
        <v>36</v>
      </c>
      <c r="E480">
        <v>13</v>
      </c>
      <c r="F480">
        <v>1</v>
      </c>
      <c r="G480" t="s">
        <v>50</v>
      </c>
      <c r="H480">
        <v>1</v>
      </c>
      <c r="I480">
        <v>645</v>
      </c>
      <c r="J480">
        <v>2</v>
      </c>
      <c r="K480" t="s">
        <v>45</v>
      </c>
      <c r="L480">
        <v>40</v>
      </c>
      <c r="M480">
        <v>3</v>
      </c>
      <c r="N480">
        <v>1</v>
      </c>
      <c r="O480" t="s">
        <v>56</v>
      </c>
      <c r="P480">
        <v>3</v>
      </c>
      <c r="Q480" t="s">
        <v>47</v>
      </c>
      <c r="R480">
        <v>2096</v>
      </c>
      <c r="S480">
        <v>26376</v>
      </c>
      <c r="T480">
        <v>1</v>
      </c>
      <c r="U480" t="s">
        <v>41</v>
      </c>
      <c r="V480" t="s">
        <v>42</v>
      </c>
      <c r="W480">
        <v>11</v>
      </c>
      <c r="X480">
        <v>3</v>
      </c>
      <c r="Y480">
        <v>3</v>
      </c>
      <c r="Z480">
        <v>80</v>
      </c>
      <c r="AA480">
        <v>0</v>
      </c>
      <c r="AB480">
        <v>7</v>
      </c>
      <c r="AC480">
        <v>1</v>
      </c>
      <c r="AD480">
        <v>3</v>
      </c>
      <c r="AE480">
        <v>7</v>
      </c>
      <c r="AF480">
        <v>4</v>
      </c>
      <c r="AG480">
        <v>0</v>
      </c>
      <c r="AH480">
        <v>6</v>
      </c>
    </row>
    <row r="481" spans="1:34" x14ac:dyDescent="0.2">
      <c r="A481">
        <v>24</v>
      </c>
      <c r="B481" t="s">
        <v>34</v>
      </c>
      <c r="C481" t="s">
        <v>43</v>
      </c>
      <c r="D481" t="s">
        <v>44</v>
      </c>
      <c r="E481">
        <v>7</v>
      </c>
      <c r="F481">
        <v>3</v>
      </c>
      <c r="G481" t="s">
        <v>37</v>
      </c>
      <c r="H481">
        <v>1</v>
      </c>
      <c r="I481">
        <v>647</v>
      </c>
      <c r="J481">
        <v>1</v>
      </c>
      <c r="K481" t="s">
        <v>38</v>
      </c>
      <c r="L481">
        <v>55</v>
      </c>
      <c r="M481">
        <v>3</v>
      </c>
      <c r="N481">
        <v>1</v>
      </c>
      <c r="O481" t="s">
        <v>49</v>
      </c>
      <c r="P481">
        <v>3</v>
      </c>
      <c r="Q481" t="s">
        <v>47</v>
      </c>
      <c r="R481">
        <v>2886</v>
      </c>
      <c r="S481">
        <v>14168</v>
      </c>
      <c r="T481">
        <v>1</v>
      </c>
      <c r="U481" t="s">
        <v>41</v>
      </c>
      <c r="V481" t="s">
        <v>34</v>
      </c>
      <c r="W481">
        <v>16</v>
      </c>
      <c r="X481">
        <v>3</v>
      </c>
      <c r="Y481">
        <v>4</v>
      </c>
      <c r="Z481">
        <v>80</v>
      </c>
      <c r="AA481">
        <v>1</v>
      </c>
      <c r="AB481">
        <v>6</v>
      </c>
      <c r="AC481">
        <v>4</v>
      </c>
      <c r="AD481">
        <v>3</v>
      </c>
      <c r="AE481">
        <v>6</v>
      </c>
      <c r="AF481">
        <v>3</v>
      </c>
      <c r="AG481">
        <v>1</v>
      </c>
      <c r="AH481">
        <v>2</v>
      </c>
    </row>
    <row r="482" spans="1:34" x14ac:dyDescent="0.2">
      <c r="A482">
        <v>30</v>
      </c>
      <c r="B482" t="s">
        <v>34</v>
      </c>
      <c r="C482" t="s">
        <v>43</v>
      </c>
      <c r="D482" t="s">
        <v>36</v>
      </c>
      <c r="E482">
        <v>12</v>
      </c>
      <c r="F482">
        <v>4</v>
      </c>
      <c r="G482" t="s">
        <v>37</v>
      </c>
      <c r="H482">
        <v>1</v>
      </c>
      <c r="I482">
        <v>648</v>
      </c>
      <c r="J482">
        <v>2</v>
      </c>
      <c r="K482" t="s">
        <v>45</v>
      </c>
      <c r="L482">
        <v>74</v>
      </c>
      <c r="M482">
        <v>2</v>
      </c>
      <c r="N482">
        <v>1</v>
      </c>
      <c r="O482" t="s">
        <v>56</v>
      </c>
      <c r="P482">
        <v>1</v>
      </c>
      <c r="Q482" t="s">
        <v>47</v>
      </c>
      <c r="R482">
        <v>2033</v>
      </c>
      <c r="S482">
        <v>14470</v>
      </c>
      <c r="T482">
        <v>1</v>
      </c>
      <c r="U482" t="s">
        <v>41</v>
      </c>
      <c r="V482" t="s">
        <v>42</v>
      </c>
      <c r="W482">
        <v>18</v>
      </c>
      <c r="X482">
        <v>3</v>
      </c>
      <c r="Y482">
        <v>3</v>
      </c>
      <c r="Z482">
        <v>80</v>
      </c>
      <c r="AA482">
        <v>1</v>
      </c>
      <c r="AB482">
        <v>1</v>
      </c>
      <c r="AC482">
        <v>2</v>
      </c>
      <c r="AD482">
        <v>4</v>
      </c>
      <c r="AE482">
        <v>1</v>
      </c>
      <c r="AF482">
        <v>0</v>
      </c>
      <c r="AG482">
        <v>0</v>
      </c>
      <c r="AH482">
        <v>0</v>
      </c>
    </row>
    <row r="483" spans="1:34" x14ac:dyDescent="0.2">
      <c r="A483">
        <v>34</v>
      </c>
      <c r="B483" t="s">
        <v>42</v>
      </c>
      <c r="C483" t="s">
        <v>35</v>
      </c>
      <c r="D483" t="s">
        <v>44</v>
      </c>
      <c r="E483">
        <v>1</v>
      </c>
      <c r="F483">
        <v>2</v>
      </c>
      <c r="G483" t="s">
        <v>37</v>
      </c>
      <c r="H483">
        <v>1</v>
      </c>
      <c r="I483">
        <v>649</v>
      </c>
      <c r="J483">
        <v>2</v>
      </c>
      <c r="K483" t="s">
        <v>45</v>
      </c>
      <c r="L483">
        <v>83</v>
      </c>
      <c r="M483">
        <v>2</v>
      </c>
      <c r="N483">
        <v>1</v>
      </c>
      <c r="O483" t="s">
        <v>46</v>
      </c>
      <c r="P483">
        <v>4</v>
      </c>
      <c r="Q483" t="s">
        <v>47</v>
      </c>
      <c r="R483">
        <v>3622</v>
      </c>
      <c r="S483">
        <v>22794</v>
      </c>
      <c r="T483">
        <v>1</v>
      </c>
      <c r="U483" t="s">
        <v>41</v>
      </c>
      <c r="V483" t="s">
        <v>34</v>
      </c>
      <c r="W483">
        <v>13</v>
      </c>
      <c r="X483">
        <v>3</v>
      </c>
      <c r="Y483">
        <v>4</v>
      </c>
      <c r="Z483">
        <v>80</v>
      </c>
      <c r="AA483">
        <v>1</v>
      </c>
      <c r="AB483">
        <v>6</v>
      </c>
      <c r="AC483">
        <v>3</v>
      </c>
      <c r="AD483">
        <v>3</v>
      </c>
      <c r="AE483">
        <v>6</v>
      </c>
      <c r="AF483">
        <v>5</v>
      </c>
      <c r="AG483">
        <v>1</v>
      </c>
      <c r="AH483">
        <v>3</v>
      </c>
    </row>
    <row r="484" spans="1:34" x14ac:dyDescent="0.2">
      <c r="A484">
        <v>31</v>
      </c>
      <c r="B484" t="s">
        <v>34</v>
      </c>
      <c r="C484" t="s">
        <v>35</v>
      </c>
      <c r="D484" t="s">
        <v>36</v>
      </c>
      <c r="E484">
        <v>13</v>
      </c>
      <c r="F484">
        <v>4</v>
      </c>
      <c r="G484" t="s">
        <v>50</v>
      </c>
      <c r="H484">
        <v>1</v>
      </c>
      <c r="I484">
        <v>650</v>
      </c>
      <c r="J484">
        <v>2</v>
      </c>
      <c r="K484" t="s">
        <v>45</v>
      </c>
      <c r="L484">
        <v>46</v>
      </c>
      <c r="M484">
        <v>3</v>
      </c>
      <c r="N484">
        <v>2</v>
      </c>
      <c r="O484" t="s">
        <v>39</v>
      </c>
      <c r="P484">
        <v>1</v>
      </c>
      <c r="Q484" t="s">
        <v>51</v>
      </c>
      <c r="R484">
        <v>4233</v>
      </c>
      <c r="S484">
        <v>11512</v>
      </c>
      <c r="T484">
        <v>2</v>
      </c>
      <c r="U484" t="s">
        <v>41</v>
      </c>
      <c r="V484" t="s">
        <v>42</v>
      </c>
      <c r="W484">
        <v>17</v>
      </c>
      <c r="X484">
        <v>3</v>
      </c>
      <c r="Y484">
        <v>3</v>
      </c>
      <c r="Z484">
        <v>80</v>
      </c>
      <c r="AA484">
        <v>0</v>
      </c>
      <c r="AB484">
        <v>9</v>
      </c>
      <c r="AC484">
        <v>2</v>
      </c>
      <c r="AD484">
        <v>1</v>
      </c>
      <c r="AE484">
        <v>3</v>
      </c>
      <c r="AF484">
        <v>1</v>
      </c>
      <c r="AG484">
        <v>1</v>
      </c>
      <c r="AH484">
        <v>2</v>
      </c>
    </row>
    <row r="485" spans="1:34" x14ac:dyDescent="0.2">
      <c r="A485">
        <v>35</v>
      </c>
      <c r="B485" t="s">
        <v>42</v>
      </c>
      <c r="C485" t="s">
        <v>35</v>
      </c>
      <c r="D485" t="s">
        <v>44</v>
      </c>
      <c r="E485">
        <v>25</v>
      </c>
      <c r="F485">
        <v>2</v>
      </c>
      <c r="G485" t="s">
        <v>48</v>
      </c>
      <c r="H485">
        <v>1</v>
      </c>
      <c r="I485">
        <v>652</v>
      </c>
      <c r="J485">
        <v>1</v>
      </c>
      <c r="K485" t="s">
        <v>45</v>
      </c>
      <c r="L485">
        <v>54</v>
      </c>
      <c r="M485">
        <v>2</v>
      </c>
      <c r="N485">
        <v>2</v>
      </c>
      <c r="O485" t="s">
        <v>49</v>
      </c>
      <c r="P485">
        <v>4</v>
      </c>
      <c r="Q485" t="s">
        <v>40</v>
      </c>
      <c r="R485">
        <v>3681</v>
      </c>
      <c r="S485">
        <v>14004</v>
      </c>
      <c r="T485">
        <v>4</v>
      </c>
      <c r="U485" t="s">
        <v>41</v>
      </c>
      <c r="V485" t="s">
        <v>42</v>
      </c>
      <c r="W485">
        <v>14</v>
      </c>
      <c r="X485">
        <v>3</v>
      </c>
      <c r="Y485">
        <v>4</v>
      </c>
      <c r="Z485">
        <v>80</v>
      </c>
      <c r="AA485">
        <v>0</v>
      </c>
      <c r="AB485">
        <v>9</v>
      </c>
      <c r="AC485">
        <v>3</v>
      </c>
      <c r="AD485">
        <v>3</v>
      </c>
      <c r="AE485">
        <v>3</v>
      </c>
      <c r="AF485">
        <v>2</v>
      </c>
      <c r="AG485">
        <v>0</v>
      </c>
      <c r="AH485">
        <v>2</v>
      </c>
    </row>
    <row r="486" spans="1:34" x14ac:dyDescent="0.2">
      <c r="A486">
        <v>31</v>
      </c>
      <c r="B486" t="s">
        <v>42</v>
      </c>
      <c r="C486" t="s">
        <v>35</v>
      </c>
      <c r="D486" t="s">
        <v>36</v>
      </c>
      <c r="E486">
        <v>6</v>
      </c>
      <c r="F486">
        <v>4</v>
      </c>
      <c r="G486" t="s">
        <v>50</v>
      </c>
      <c r="H486">
        <v>1</v>
      </c>
      <c r="I486">
        <v>653</v>
      </c>
      <c r="J486">
        <v>1</v>
      </c>
      <c r="K486" t="s">
        <v>45</v>
      </c>
      <c r="L486">
        <v>66</v>
      </c>
      <c r="M486">
        <v>4</v>
      </c>
      <c r="N486">
        <v>2</v>
      </c>
      <c r="O486" t="s">
        <v>39</v>
      </c>
      <c r="P486">
        <v>4</v>
      </c>
      <c r="Q486" t="s">
        <v>51</v>
      </c>
      <c r="R486">
        <v>5460</v>
      </c>
      <c r="S486">
        <v>6219</v>
      </c>
      <c r="T486">
        <v>4</v>
      </c>
      <c r="U486" t="s">
        <v>41</v>
      </c>
      <c r="V486" t="s">
        <v>42</v>
      </c>
      <c r="W486">
        <v>22</v>
      </c>
      <c r="X486">
        <v>4</v>
      </c>
      <c r="Y486">
        <v>4</v>
      </c>
      <c r="Z486">
        <v>80</v>
      </c>
      <c r="AA486">
        <v>2</v>
      </c>
      <c r="AB486">
        <v>13</v>
      </c>
      <c r="AC486">
        <v>4</v>
      </c>
      <c r="AD486">
        <v>4</v>
      </c>
      <c r="AE486">
        <v>7</v>
      </c>
      <c r="AF486">
        <v>7</v>
      </c>
      <c r="AG486">
        <v>5</v>
      </c>
      <c r="AH486">
        <v>7</v>
      </c>
    </row>
    <row r="487" spans="1:34" x14ac:dyDescent="0.2">
      <c r="A487">
        <v>27</v>
      </c>
      <c r="B487" t="s">
        <v>42</v>
      </c>
      <c r="C487" t="s">
        <v>35</v>
      </c>
      <c r="D487" t="s">
        <v>44</v>
      </c>
      <c r="E487">
        <v>6</v>
      </c>
      <c r="F487">
        <v>4</v>
      </c>
      <c r="G487" t="s">
        <v>50</v>
      </c>
      <c r="H487">
        <v>1</v>
      </c>
      <c r="I487">
        <v>655</v>
      </c>
      <c r="J487">
        <v>1</v>
      </c>
      <c r="K487" t="s">
        <v>38</v>
      </c>
      <c r="L487">
        <v>66</v>
      </c>
      <c r="M487">
        <v>2</v>
      </c>
      <c r="N487">
        <v>1</v>
      </c>
      <c r="O487" t="s">
        <v>46</v>
      </c>
      <c r="P487">
        <v>3</v>
      </c>
      <c r="Q487" t="s">
        <v>51</v>
      </c>
      <c r="R487">
        <v>2187</v>
      </c>
      <c r="S487">
        <v>5013</v>
      </c>
      <c r="T487">
        <v>0</v>
      </c>
      <c r="U487" t="s">
        <v>41</v>
      </c>
      <c r="V487" t="s">
        <v>42</v>
      </c>
      <c r="W487">
        <v>12</v>
      </c>
      <c r="X487">
        <v>3</v>
      </c>
      <c r="Y487">
        <v>3</v>
      </c>
      <c r="Z487">
        <v>80</v>
      </c>
      <c r="AA487">
        <v>2</v>
      </c>
      <c r="AB487">
        <v>6</v>
      </c>
      <c r="AC487">
        <v>5</v>
      </c>
      <c r="AD487">
        <v>2</v>
      </c>
      <c r="AE487">
        <v>5</v>
      </c>
      <c r="AF487">
        <v>3</v>
      </c>
      <c r="AG487">
        <v>0</v>
      </c>
      <c r="AH487">
        <v>3</v>
      </c>
    </row>
    <row r="488" spans="1:34" x14ac:dyDescent="0.2">
      <c r="A488">
        <v>37</v>
      </c>
      <c r="B488" t="s">
        <v>42</v>
      </c>
      <c r="C488" t="s">
        <v>35</v>
      </c>
      <c r="D488" t="s">
        <v>36</v>
      </c>
      <c r="E488">
        <v>2</v>
      </c>
      <c r="F488">
        <v>3</v>
      </c>
      <c r="G488" t="s">
        <v>58</v>
      </c>
      <c r="H488">
        <v>1</v>
      </c>
      <c r="I488">
        <v>656</v>
      </c>
      <c r="J488">
        <v>4</v>
      </c>
      <c r="K488" t="s">
        <v>45</v>
      </c>
      <c r="L488">
        <v>75</v>
      </c>
      <c r="M488">
        <v>3</v>
      </c>
      <c r="N488">
        <v>2</v>
      </c>
      <c r="O488" t="s">
        <v>39</v>
      </c>
      <c r="P488">
        <v>3</v>
      </c>
      <c r="Q488" t="s">
        <v>47</v>
      </c>
      <c r="R488">
        <v>9602</v>
      </c>
      <c r="S488">
        <v>3010</v>
      </c>
      <c r="T488">
        <v>4</v>
      </c>
      <c r="U488" t="s">
        <v>41</v>
      </c>
      <c r="V488" t="s">
        <v>34</v>
      </c>
      <c r="W488">
        <v>11</v>
      </c>
      <c r="X488">
        <v>3</v>
      </c>
      <c r="Y488">
        <v>3</v>
      </c>
      <c r="Z488">
        <v>80</v>
      </c>
      <c r="AA488">
        <v>1</v>
      </c>
      <c r="AB488">
        <v>17</v>
      </c>
      <c r="AC488">
        <v>3</v>
      </c>
      <c r="AD488">
        <v>2</v>
      </c>
      <c r="AE488">
        <v>3</v>
      </c>
      <c r="AF488">
        <v>0</v>
      </c>
      <c r="AG488">
        <v>1</v>
      </c>
      <c r="AH488">
        <v>0</v>
      </c>
    </row>
    <row r="489" spans="1:34" x14ac:dyDescent="0.2">
      <c r="A489">
        <v>20</v>
      </c>
      <c r="B489" t="s">
        <v>42</v>
      </c>
      <c r="C489" t="s">
        <v>35</v>
      </c>
      <c r="D489" t="s">
        <v>44</v>
      </c>
      <c r="E489">
        <v>1</v>
      </c>
      <c r="F489">
        <v>3</v>
      </c>
      <c r="G489" t="s">
        <v>37</v>
      </c>
      <c r="H489">
        <v>1</v>
      </c>
      <c r="I489">
        <v>657</v>
      </c>
      <c r="J489">
        <v>4</v>
      </c>
      <c r="K489" t="s">
        <v>38</v>
      </c>
      <c r="L489">
        <v>83</v>
      </c>
      <c r="M489">
        <v>2</v>
      </c>
      <c r="N489">
        <v>1</v>
      </c>
      <c r="O489" t="s">
        <v>46</v>
      </c>
      <c r="P489">
        <v>2</v>
      </c>
      <c r="Q489" t="s">
        <v>40</v>
      </c>
      <c r="R489">
        <v>2836</v>
      </c>
      <c r="S489">
        <v>11757</v>
      </c>
      <c r="T489">
        <v>1</v>
      </c>
      <c r="U489" t="s">
        <v>41</v>
      </c>
      <c r="V489" t="s">
        <v>42</v>
      </c>
      <c r="W489">
        <v>13</v>
      </c>
      <c r="X489">
        <v>3</v>
      </c>
      <c r="Y489">
        <v>4</v>
      </c>
      <c r="Z489">
        <v>80</v>
      </c>
      <c r="AA489">
        <v>0</v>
      </c>
      <c r="AB489">
        <v>1</v>
      </c>
      <c r="AC489">
        <v>0</v>
      </c>
      <c r="AD489">
        <v>4</v>
      </c>
      <c r="AE489">
        <v>1</v>
      </c>
      <c r="AF489">
        <v>0</v>
      </c>
      <c r="AG489">
        <v>0</v>
      </c>
      <c r="AH489">
        <v>0</v>
      </c>
    </row>
    <row r="490" spans="1:34" x14ac:dyDescent="0.2">
      <c r="A490">
        <v>42</v>
      </c>
      <c r="B490" t="s">
        <v>42</v>
      </c>
      <c r="C490" t="s">
        <v>35</v>
      </c>
      <c r="D490" t="s">
        <v>44</v>
      </c>
      <c r="E490">
        <v>2</v>
      </c>
      <c r="F490">
        <v>4</v>
      </c>
      <c r="G490" t="s">
        <v>37</v>
      </c>
      <c r="H490">
        <v>1</v>
      </c>
      <c r="I490">
        <v>659</v>
      </c>
      <c r="J490">
        <v>3</v>
      </c>
      <c r="K490" t="s">
        <v>38</v>
      </c>
      <c r="L490">
        <v>81</v>
      </c>
      <c r="M490">
        <v>3</v>
      </c>
      <c r="N490">
        <v>2</v>
      </c>
      <c r="O490" t="s">
        <v>53</v>
      </c>
      <c r="P490">
        <v>4</v>
      </c>
      <c r="Q490" t="s">
        <v>47</v>
      </c>
      <c r="R490">
        <v>4089</v>
      </c>
      <c r="S490">
        <v>5718</v>
      </c>
      <c r="T490">
        <v>1</v>
      </c>
      <c r="U490" t="s">
        <v>41</v>
      </c>
      <c r="V490" t="s">
        <v>42</v>
      </c>
      <c r="W490">
        <v>13</v>
      </c>
      <c r="X490">
        <v>3</v>
      </c>
      <c r="Y490">
        <v>2</v>
      </c>
      <c r="Z490">
        <v>80</v>
      </c>
      <c r="AA490">
        <v>2</v>
      </c>
      <c r="AB490">
        <v>10</v>
      </c>
      <c r="AC490">
        <v>4</v>
      </c>
      <c r="AD490">
        <v>3</v>
      </c>
      <c r="AE490">
        <v>10</v>
      </c>
      <c r="AF490">
        <v>2</v>
      </c>
      <c r="AG490">
        <v>2</v>
      </c>
      <c r="AH490">
        <v>2</v>
      </c>
    </row>
    <row r="491" spans="1:34" x14ac:dyDescent="0.2">
      <c r="A491">
        <v>43</v>
      </c>
      <c r="B491" t="s">
        <v>42</v>
      </c>
      <c r="C491" t="s">
        <v>35</v>
      </c>
      <c r="D491" t="s">
        <v>44</v>
      </c>
      <c r="E491">
        <v>6</v>
      </c>
      <c r="F491">
        <v>4</v>
      </c>
      <c r="G491" t="s">
        <v>48</v>
      </c>
      <c r="H491">
        <v>1</v>
      </c>
      <c r="I491">
        <v>661</v>
      </c>
      <c r="J491">
        <v>2</v>
      </c>
      <c r="K491" t="s">
        <v>45</v>
      </c>
      <c r="L491">
        <v>50</v>
      </c>
      <c r="M491">
        <v>2</v>
      </c>
      <c r="N491">
        <v>4</v>
      </c>
      <c r="O491" t="s">
        <v>57</v>
      </c>
      <c r="P491">
        <v>4</v>
      </c>
      <c r="Q491" t="s">
        <v>51</v>
      </c>
      <c r="R491">
        <v>16627</v>
      </c>
      <c r="S491">
        <v>2671</v>
      </c>
      <c r="T491">
        <v>4</v>
      </c>
      <c r="U491" t="s">
        <v>41</v>
      </c>
      <c r="V491" t="s">
        <v>34</v>
      </c>
      <c r="W491">
        <v>14</v>
      </c>
      <c r="X491">
        <v>3</v>
      </c>
      <c r="Y491">
        <v>3</v>
      </c>
      <c r="Z491">
        <v>80</v>
      </c>
      <c r="AA491">
        <v>1</v>
      </c>
      <c r="AB491">
        <v>21</v>
      </c>
      <c r="AC491">
        <v>3</v>
      </c>
      <c r="AD491">
        <v>2</v>
      </c>
      <c r="AE491">
        <v>1</v>
      </c>
      <c r="AF491">
        <v>0</v>
      </c>
      <c r="AG491">
        <v>0</v>
      </c>
      <c r="AH491">
        <v>0</v>
      </c>
    </row>
    <row r="492" spans="1:34" x14ac:dyDescent="0.2">
      <c r="A492">
        <v>38</v>
      </c>
      <c r="B492" t="s">
        <v>42</v>
      </c>
      <c r="C492" t="s">
        <v>35</v>
      </c>
      <c r="D492" t="s">
        <v>44</v>
      </c>
      <c r="E492">
        <v>1</v>
      </c>
      <c r="F492">
        <v>1</v>
      </c>
      <c r="G492" t="s">
        <v>37</v>
      </c>
      <c r="H492">
        <v>1</v>
      </c>
      <c r="I492">
        <v>662</v>
      </c>
      <c r="J492">
        <v>3</v>
      </c>
      <c r="K492" t="s">
        <v>38</v>
      </c>
      <c r="L492">
        <v>43</v>
      </c>
      <c r="M492">
        <v>3</v>
      </c>
      <c r="N492">
        <v>1</v>
      </c>
      <c r="O492" t="s">
        <v>46</v>
      </c>
      <c r="P492">
        <v>1</v>
      </c>
      <c r="Q492" t="s">
        <v>40</v>
      </c>
      <c r="R492">
        <v>2619</v>
      </c>
      <c r="S492">
        <v>14561</v>
      </c>
      <c r="T492">
        <v>3</v>
      </c>
      <c r="U492" t="s">
        <v>41</v>
      </c>
      <c r="V492" t="s">
        <v>42</v>
      </c>
      <c r="W492">
        <v>17</v>
      </c>
      <c r="X492">
        <v>3</v>
      </c>
      <c r="Y492">
        <v>4</v>
      </c>
      <c r="Z492">
        <v>80</v>
      </c>
      <c r="AA492">
        <v>0</v>
      </c>
      <c r="AB492">
        <v>8</v>
      </c>
      <c r="AC492">
        <v>3</v>
      </c>
      <c r="AD492">
        <v>2</v>
      </c>
      <c r="AE492">
        <v>0</v>
      </c>
      <c r="AF492">
        <v>0</v>
      </c>
      <c r="AG492">
        <v>0</v>
      </c>
      <c r="AH492">
        <v>0</v>
      </c>
    </row>
    <row r="493" spans="1:34" x14ac:dyDescent="0.2">
      <c r="A493">
        <v>43</v>
      </c>
      <c r="B493" t="s">
        <v>42</v>
      </c>
      <c r="C493" t="s">
        <v>43</v>
      </c>
      <c r="D493" t="s">
        <v>44</v>
      </c>
      <c r="E493">
        <v>9</v>
      </c>
      <c r="F493">
        <v>5</v>
      </c>
      <c r="G493" t="s">
        <v>50</v>
      </c>
      <c r="H493">
        <v>1</v>
      </c>
      <c r="I493">
        <v>663</v>
      </c>
      <c r="J493">
        <v>4</v>
      </c>
      <c r="K493" t="s">
        <v>45</v>
      </c>
      <c r="L493">
        <v>72</v>
      </c>
      <c r="M493">
        <v>3</v>
      </c>
      <c r="N493">
        <v>2</v>
      </c>
      <c r="O493" t="s">
        <v>49</v>
      </c>
      <c r="P493">
        <v>3</v>
      </c>
      <c r="Q493" t="s">
        <v>51</v>
      </c>
      <c r="R493">
        <v>5679</v>
      </c>
      <c r="S493">
        <v>19627</v>
      </c>
      <c r="T493">
        <v>3</v>
      </c>
      <c r="U493" t="s">
        <v>41</v>
      </c>
      <c r="V493" t="s">
        <v>34</v>
      </c>
      <c r="W493">
        <v>13</v>
      </c>
      <c r="X493">
        <v>3</v>
      </c>
      <c r="Y493">
        <v>2</v>
      </c>
      <c r="Z493">
        <v>80</v>
      </c>
      <c r="AA493">
        <v>1</v>
      </c>
      <c r="AB493">
        <v>10</v>
      </c>
      <c r="AC493">
        <v>3</v>
      </c>
      <c r="AD493">
        <v>3</v>
      </c>
      <c r="AE493">
        <v>8</v>
      </c>
      <c r="AF493">
        <v>7</v>
      </c>
      <c r="AG493">
        <v>4</v>
      </c>
      <c r="AH493">
        <v>7</v>
      </c>
    </row>
    <row r="494" spans="1:34" x14ac:dyDescent="0.2">
      <c r="A494">
        <v>48</v>
      </c>
      <c r="B494" t="s">
        <v>42</v>
      </c>
      <c r="C494" t="s">
        <v>35</v>
      </c>
      <c r="D494" t="s">
        <v>44</v>
      </c>
      <c r="E494">
        <v>1</v>
      </c>
      <c r="F494">
        <v>4</v>
      </c>
      <c r="G494" t="s">
        <v>37</v>
      </c>
      <c r="H494">
        <v>1</v>
      </c>
      <c r="I494">
        <v>664</v>
      </c>
      <c r="J494">
        <v>4</v>
      </c>
      <c r="K494" t="s">
        <v>38</v>
      </c>
      <c r="L494">
        <v>40</v>
      </c>
      <c r="M494">
        <v>2</v>
      </c>
      <c r="N494">
        <v>4</v>
      </c>
      <c r="O494" t="s">
        <v>55</v>
      </c>
      <c r="P494">
        <v>1</v>
      </c>
      <c r="Q494" t="s">
        <v>47</v>
      </c>
      <c r="R494">
        <v>15402</v>
      </c>
      <c r="S494">
        <v>17997</v>
      </c>
      <c r="T494">
        <v>7</v>
      </c>
      <c r="U494" t="s">
        <v>41</v>
      </c>
      <c r="V494" t="s">
        <v>42</v>
      </c>
      <c r="W494">
        <v>11</v>
      </c>
      <c r="X494">
        <v>3</v>
      </c>
      <c r="Y494">
        <v>1</v>
      </c>
      <c r="Z494">
        <v>80</v>
      </c>
      <c r="AA494">
        <v>1</v>
      </c>
      <c r="AB494">
        <v>21</v>
      </c>
      <c r="AC494">
        <v>3</v>
      </c>
      <c r="AD494">
        <v>1</v>
      </c>
      <c r="AE494">
        <v>3</v>
      </c>
      <c r="AF494">
        <v>2</v>
      </c>
      <c r="AG494">
        <v>0</v>
      </c>
      <c r="AH494">
        <v>2</v>
      </c>
    </row>
    <row r="495" spans="1:34" x14ac:dyDescent="0.2">
      <c r="A495">
        <v>44</v>
      </c>
      <c r="B495" t="s">
        <v>42</v>
      </c>
      <c r="C495" t="s">
        <v>35</v>
      </c>
      <c r="D495" t="s">
        <v>60</v>
      </c>
      <c r="E495">
        <v>1</v>
      </c>
      <c r="F495">
        <v>4</v>
      </c>
      <c r="G495" t="s">
        <v>37</v>
      </c>
      <c r="H495">
        <v>1</v>
      </c>
      <c r="I495">
        <v>665</v>
      </c>
      <c r="J495">
        <v>1</v>
      </c>
      <c r="K495" t="s">
        <v>38</v>
      </c>
      <c r="L495">
        <v>50</v>
      </c>
      <c r="M495">
        <v>2</v>
      </c>
      <c r="N495">
        <v>2</v>
      </c>
      <c r="O495" t="s">
        <v>60</v>
      </c>
      <c r="P495">
        <v>3</v>
      </c>
      <c r="Q495" t="s">
        <v>40</v>
      </c>
      <c r="R495">
        <v>5985</v>
      </c>
      <c r="S495">
        <v>26894</v>
      </c>
      <c r="T495">
        <v>4</v>
      </c>
      <c r="U495" t="s">
        <v>41</v>
      </c>
      <c r="V495" t="s">
        <v>42</v>
      </c>
      <c r="W495">
        <v>11</v>
      </c>
      <c r="X495">
        <v>3</v>
      </c>
      <c r="Y495">
        <v>2</v>
      </c>
      <c r="Z495">
        <v>80</v>
      </c>
      <c r="AA495">
        <v>0</v>
      </c>
      <c r="AB495">
        <v>10</v>
      </c>
      <c r="AC495">
        <v>1</v>
      </c>
      <c r="AD495">
        <v>4</v>
      </c>
      <c r="AE495">
        <v>2</v>
      </c>
      <c r="AF495">
        <v>2</v>
      </c>
      <c r="AG495">
        <v>0</v>
      </c>
      <c r="AH495">
        <v>2</v>
      </c>
    </row>
    <row r="496" spans="1:34" x14ac:dyDescent="0.2">
      <c r="A496">
        <v>34</v>
      </c>
      <c r="B496" t="s">
        <v>42</v>
      </c>
      <c r="C496" t="s">
        <v>35</v>
      </c>
      <c r="D496" t="s">
        <v>36</v>
      </c>
      <c r="E496">
        <v>14</v>
      </c>
      <c r="F496">
        <v>3</v>
      </c>
      <c r="G496" t="s">
        <v>59</v>
      </c>
      <c r="H496">
        <v>1</v>
      </c>
      <c r="I496">
        <v>666</v>
      </c>
      <c r="J496">
        <v>3</v>
      </c>
      <c r="K496" t="s">
        <v>38</v>
      </c>
      <c r="L496">
        <v>31</v>
      </c>
      <c r="M496">
        <v>3</v>
      </c>
      <c r="N496">
        <v>1</v>
      </c>
      <c r="O496" t="s">
        <v>56</v>
      </c>
      <c r="P496">
        <v>3</v>
      </c>
      <c r="Q496" t="s">
        <v>51</v>
      </c>
      <c r="R496">
        <v>2579</v>
      </c>
      <c r="S496">
        <v>2912</v>
      </c>
      <c r="T496">
        <v>1</v>
      </c>
      <c r="U496" t="s">
        <v>41</v>
      </c>
      <c r="V496" t="s">
        <v>34</v>
      </c>
      <c r="W496">
        <v>18</v>
      </c>
      <c r="X496">
        <v>3</v>
      </c>
      <c r="Y496">
        <v>4</v>
      </c>
      <c r="Z496">
        <v>80</v>
      </c>
      <c r="AA496">
        <v>2</v>
      </c>
      <c r="AB496">
        <v>8</v>
      </c>
      <c r="AC496">
        <v>3</v>
      </c>
      <c r="AD496">
        <v>3</v>
      </c>
      <c r="AE496">
        <v>8</v>
      </c>
      <c r="AF496">
        <v>2</v>
      </c>
      <c r="AG496">
        <v>0</v>
      </c>
      <c r="AH496">
        <v>6</v>
      </c>
    </row>
    <row r="497" spans="1:34" x14ac:dyDescent="0.2">
      <c r="A497">
        <v>27</v>
      </c>
      <c r="B497" t="s">
        <v>34</v>
      </c>
      <c r="C497" t="s">
        <v>35</v>
      </c>
      <c r="D497" t="s">
        <v>36</v>
      </c>
      <c r="E497">
        <v>2</v>
      </c>
      <c r="F497">
        <v>1</v>
      </c>
      <c r="G497" t="s">
        <v>58</v>
      </c>
      <c r="H497">
        <v>1</v>
      </c>
      <c r="I497">
        <v>667</v>
      </c>
      <c r="J497">
        <v>3</v>
      </c>
      <c r="K497" t="s">
        <v>45</v>
      </c>
      <c r="L497">
        <v>85</v>
      </c>
      <c r="M497">
        <v>3</v>
      </c>
      <c r="N497">
        <v>1</v>
      </c>
      <c r="O497" t="s">
        <v>56</v>
      </c>
      <c r="P497">
        <v>1</v>
      </c>
      <c r="Q497" t="s">
        <v>51</v>
      </c>
      <c r="R497">
        <v>3041</v>
      </c>
      <c r="S497">
        <v>16346</v>
      </c>
      <c r="T497">
        <v>0</v>
      </c>
      <c r="U497" t="s">
        <v>41</v>
      </c>
      <c r="V497" t="s">
        <v>42</v>
      </c>
      <c r="W497">
        <v>11</v>
      </c>
      <c r="X497">
        <v>3</v>
      </c>
      <c r="Y497">
        <v>2</v>
      </c>
      <c r="Z497">
        <v>80</v>
      </c>
      <c r="AA497">
        <v>1</v>
      </c>
      <c r="AB497">
        <v>5</v>
      </c>
      <c r="AC497">
        <v>3</v>
      </c>
      <c r="AD497">
        <v>3</v>
      </c>
      <c r="AE497">
        <v>4</v>
      </c>
      <c r="AF497">
        <v>3</v>
      </c>
      <c r="AG497">
        <v>0</v>
      </c>
      <c r="AH497">
        <v>2</v>
      </c>
    </row>
    <row r="498" spans="1:34" x14ac:dyDescent="0.2">
      <c r="A498">
        <v>21</v>
      </c>
      <c r="B498" t="s">
        <v>42</v>
      </c>
      <c r="C498" t="s">
        <v>35</v>
      </c>
      <c r="D498" t="s">
        <v>36</v>
      </c>
      <c r="E498">
        <v>22</v>
      </c>
      <c r="F498">
        <v>1</v>
      </c>
      <c r="G498" t="s">
        <v>59</v>
      </c>
      <c r="H498">
        <v>1</v>
      </c>
      <c r="I498">
        <v>669</v>
      </c>
      <c r="J498">
        <v>3</v>
      </c>
      <c r="K498" t="s">
        <v>45</v>
      </c>
      <c r="L498">
        <v>49</v>
      </c>
      <c r="M498">
        <v>3</v>
      </c>
      <c r="N498">
        <v>1</v>
      </c>
      <c r="O498" t="s">
        <v>56</v>
      </c>
      <c r="P498">
        <v>3</v>
      </c>
      <c r="Q498" t="s">
        <v>40</v>
      </c>
      <c r="R498">
        <v>3447</v>
      </c>
      <c r="S498">
        <v>24444</v>
      </c>
      <c r="T498">
        <v>1</v>
      </c>
      <c r="U498" t="s">
        <v>41</v>
      </c>
      <c r="V498" t="s">
        <v>42</v>
      </c>
      <c r="W498">
        <v>11</v>
      </c>
      <c r="X498">
        <v>3</v>
      </c>
      <c r="Y498">
        <v>3</v>
      </c>
      <c r="Z498">
        <v>80</v>
      </c>
      <c r="AA498">
        <v>0</v>
      </c>
      <c r="AB498">
        <v>3</v>
      </c>
      <c r="AC498">
        <v>2</v>
      </c>
      <c r="AD498">
        <v>3</v>
      </c>
      <c r="AE498">
        <v>3</v>
      </c>
      <c r="AF498">
        <v>2</v>
      </c>
      <c r="AG498">
        <v>1</v>
      </c>
      <c r="AH498">
        <v>2</v>
      </c>
    </row>
    <row r="499" spans="1:34" x14ac:dyDescent="0.2">
      <c r="A499">
        <v>44</v>
      </c>
      <c r="B499" t="s">
        <v>42</v>
      </c>
      <c r="C499" t="s">
        <v>35</v>
      </c>
      <c r="D499" t="s">
        <v>44</v>
      </c>
      <c r="E499">
        <v>3</v>
      </c>
      <c r="F499">
        <v>4</v>
      </c>
      <c r="G499" t="s">
        <v>48</v>
      </c>
      <c r="H499">
        <v>1</v>
      </c>
      <c r="I499">
        <v>671</v>
      </c>
      <c r="J499">
        <v>4</v>
      </c>
      <c r="K499" t="s">
        <v>45</v>
      </c>
      <c r="L499">
        <v>35</v>
      </c>
      <c r="M499">
        <v>3</v>
      </c>
      <c r="N499">
        <v>5</v>
      </c>
      <c r="O499" t="s">
        <v>55</v>
      </c>
      <c r="P499">
        <v>4</v>
      </c>
      <c r="Q499" t="s">
        <v>47</v>
      </c>
      <c r="R499">
        <v>19513</v>
      </c>
      <c r="S499">
        <v>9358</v>
      </c>
      <c r="T499">
        <v>4</v>
      </c>
      <c r="U499" t="s">
        <v>41</v>
      </c>
      <c r="V499" t="s">
        <v>34</v>
      </c>
      <c r="W499">
        <v>12</v>
      </c>
      <c r="X499">
        <v>3</v>
      </c>
      <c r="Y499">
        <v>1</v>
      </c>
      <c r="Z499">
        <v>80</v>
      </c>
      <c r="AA499">
        <v>1</v>
      </c>
      <c r="AB499">
        <v>26</v>
      </c>
      <c r="AC499">
        <v>2</v>
      </c>
      <c r="AD499">
        <v>4</v>
      </c>
      <c r="AE499">
        <v>2</v>
      </c>
      <c r="AF499">
        <v>2</v>
      </c>
      <c r="AG499">
        <v>0</v>
      </c>
      <c r="AH499">
        <v>1</v>
      </c>
    </row>
    <row r="500" spans="1:34" x14ac:dyDescent="0.2">
      <c r="A500">
        <v>22</v>
      </c>
      <c r="B500" t="s">
        <v>42</v>
      </c>
      <c r="C500" t="s">
        <v>35</v>
      </c>
      <c r="D500" t="s">
        <v>44</v>
      </c>
      <c r="E500">
        <v>6</v>
      </c>
      <c r="F500">
        <v>1</v>
      </c>
      <c r="G500" t="s">
        <v>50</v>
      </c>
      <c r="H500">
        <v>1</v>
      </c>
      <c r="I500">
        <v>675</v>
      </c>
      <c r="J500">
        <v>1</v>
      </c>
      <c r="K500" t="s">
        <v>45</v>
      </c>
      <c r="L500">
        <v>69</v>
      </c>
      <c r="M500">
        <v>3</v>
      </c>
      <c r="N500">
        <v>1</v>
      </c>
      <c r="O500" t="s">
        <v>46</v>
      </c>
      <c r="P500">
        <v>3</v>
      </c>
      <c r="Q500" t="s">
        <v>47</v>
      </c>
      <c r="R500">
        <v>2773</v>
      </c>
      <c r="S500">
        <v>12145</v>
      </c>
      <c r="T500">
        <v>0</v>
      </c>
      <c r="U500" t="s">
        <v>41</v>
      </c>
      <c r="V500" t="s">
        <v>42</v>
      </c>
      <c r="W500">
        <v>20</v>
      </c>
      <c r="X500">
        <v>4</v>
      </c>
      <c r="Y500">
        <v>4</v>
      </c>
      <c r="Z500">
        <v>80</v>
      </c>
      <c r="AA500">
        <v>0</v>
      </c>
      <c r="AB500">
        <v>3</v>
      </c>
      <c r="AC500">
        <v>3</v>
      </c>
      <c r="AD500">
        <v>3</v>
      </c>
      <c r="AE500">
        <v>2</v>
      </c>
      <c r="AF500">
        <v>2</v>
      </c>
      <c r="AG500">
        <v>2</v>
      </c>
      <c r="AH500">
        <v>2</v>
      </c>
    </row>
    <row r="501" spans="1:34" x14ac:dyDescent="0.2">
      <c r="A501">
        <v>33</v>
      </c>
      <c r="B501" t="s">
        <v>42</v>
      </c>
      <c r="C501" t="s">
        <v>35</v>
      </c>
      <c r="D501" t="s">
        <v>36</v>
      </c>
      <c r="E501">
        <v>8</v>
      </c>
      <c r="F501">
        <v>4</v>
      </c>
      <c r="G501" t="s">
        <v>58</v>
      </c>
      <c r="H501">
        <v>1</v>
      </c>
      <c r="I501">
        <v>677</v>
      </c>
      <c r="J501">
        <v>3</v>
      </c>
      <c r="K501" t="s">
        <v>45</v>
      </c>
      <c r="L501">
        <v>39</v>
      </c>
      <c r="M501">
        <v>3</v>
      </c>
      <c r="N501">
        <v>2</v>
      </c>
      <c r="O501" t="s">
        <v>39</v>
      </c>
      <c r="P501">
        <v>3</v>
      </c>
      <c r="Q501" t="s">
        <v>51</v>
      </c>
      <c r="R501">
        <v>7104</v>
      </c>
      <c r="S501">
        <v>20431</v>
      </c>
      <c r="T501">
        <v>0</v>
      </c>
      <c r="U501" t="s">
        <v>41</v>
      </c>
      <c r="V501" t="s">
        <v>42</v>
      </c>
      <c r="W501">
        <v>12</v>
      </c>
      <c r="X501">
        <v>3</v>
      </c>
      <c r="Y501">
        <v>4</v>
      </c>
      <c r="Z501">
        <v>80</v>
      </c>
      <c r="AA501">
        <v>0</v>
      </c>
      <c r="AB501">
        <v>6</v>
      </c>
      <c r="AC501">
        <v>3</v>
      </c>
      <c r="AD501">
        <v>3</v>
      </c>
      <c r="AE501">
        <v>5</v>
      </c>
      <c r="AF501">
        <v>0</v>
      </c>
      <c r="AG501">
        <v>1</v>
      </c>
      <c r="AH501">
        <v>2</v>
      </c>
    </row>
    <row r="502" spans="1:34" x14ac:dyDescent="0.2">
      <c r="A502">
        <v>32</v>
      </c>
      <c r="B502" t="s">
        <v>42</v>
      </c>
      <c r="C502" t="s">
        <v>35</v>
      </c>
      <c r="D502" t="s">
        <v>44</v>
      </c>
      <c r="E502">
        <v>9</v>
      </c>
      <c r="F502">
        <v>4</v>
      </c>
      <c r="G502" t="s">
        <v>37</v>
      </c>
      <c r="H502">
        <v>1</v>
      </c>
      <c r="I502">
        <v>679</v>
      </c>
      <c r="J502">
        <v>1</v>
      </c>
      <c r="K502" t="s">
        <v>38</v>
      </c>
      <c r="L502">
        <v>92</v>
      </c>
      <c r="M502">
        <v>3</v>
      </c>
      <c r="N502">
        <v>2</v>
      </c>
      <c r="O502" t="s">
        <v>46</v>
      </c>
      <c r="P502">
        <v>4</v>
      </c>
      <c r="Q502" t="s">
        <v>47</v>
      </c>
      <c r="R502">
        <v>6322</v>
      </c>
      <c r="S502">
        <v>18089</v>
      </c>
      <c r="T502">
        <v>1</v>
      </c>
      <c r="U502" t="s">
        <v>41</v>
      </c>
      <c r="V502" t="s">
        <v>34</v>
      </c>
      <c r="W502">
        <v>12</v>
      </c>
      <c r="X502">
        <v>3</v>
      </c>
      <c r="Y502">
        <v>4</v>
      </c>
      <c r="Z502">
        <v>80</v>
      </c>
      <c r="AA502">
        <v>1</v>
      </c>
      <c r="AB502">
        <v>6</v>
      </c>
      <c r="AC502">
        <v>2</v>
      </c>
      <c r="AD502">
        <v>2</v>
      </c>
      <c r="AE502">
        <v>6</v>
      </c>
      <c r="AF502">
        <v>4</v>
      </c>
      <c r="AG502">
        <v>0</v>
      </c>
      <c r="AH502">
        <v>5</v>
      </c>
    </row>
    <row r="503" spans="1:34" x14ac:dyDescent="0.2">
      <c r="A503">
        <v>30</v>
      </c>
      <c r="B503" t="s">
        <v>42</v>
      </c>
      <c r="C503" t="s">
        <v>43</v>
      </c>
      <c r="D503" t="s">
        <v>44</v>
      </c>
      <c r="E503">
        <v>3</v>
      </c>
      <c r="F503">
        <v>3</v>
      </c>
      <c r="G503" t="s">
        <v>50</v>
      </c>
      <c r="H503">
        <v>1</v>
      </c>
      <c r="I503">
        <v>680</v>
      </c>
      <c r="J503">
        <v>3</v>
      </c>
      <c r="K503" t="s">
        <v>38</v>
      </c>
      <c r="L503">
        <v>71</v>
      </c>
      <c r="M503">
        <v>3</v>
      </c>
      <c r="N503">
        <v>1</v>
      </c>
      <c r="O503" t="s">
        <v>46</v>
      </c>
      <c r="P503">
        <v>3</v>
      </c>
      <c r="Q503" t="s">
        <v>51</v>
      </c>
      <c r="R503">
        <v>2083</v>
      </c>
      <c r="S503">
        <v>22653</v>
      </c>
      <c r="T503">
        <v>1</v>
      </c>
      <c r="U503" t="s">
        <v>41</v>
      </c>
      <c r="V503" t="s">
        <v>42</v>
      </c>
      <c r="W503">
        <v>20</v>
      </c>
      <c r="X503">
        <v>4</v>
      </c>
      <c r="Y503">
        <v>3</v>
      </c>
      <c r="Z503">
        <v>80</v>
      </c>
      <c r="AA503">
        <v>1</v>
      </c>
      <c r="AB503">
        <v>1</v>
      </c>
      <c r="AC503">
        <v>2</v>
      </c>
      <c r="AD503">
        <v>3</v>
      </c>
      <c r="AE503">
        <v>1</v>
      </c>
      <c r="AF503">
        <v>0</v>
      </c>
      <c r="AG503">
        <v>0</v>
      </c>
      <c r="AH503">
        <v>0</v>
      </c>
    </row>
    <row r="504" spans="1:34" x14ac:dyDescent="0.2">
      <c r="A504">
        <v>53</v>
      </c>
      <c r="B504" t="s">
        <v>42</v>
      </c>
      <c r="C504" t="s">
        <v>35</v>
      </c>
      <c r="D504" t="s">
        <v>36</v>
      </c>
      <c r="E504">
        <v>1</v>
      </c>
      <c r="F504">
        <v>1</v>
      </c>
      <c r="G504" t="s">
        <v>50</v>
      </c>
      <c r="H504">
        <v>1</v>
      </c>
      <c r="I504">
        <v>682</v>
      </c>
      <c r="J504">
        <v>4</v>
      </c>
      <c r="K504" t="s">
        <v>38</v>
      </c>
      <c r="L504">
        <v>34</v>
      </c>
      <c r="M504">
        <v>3</v>
      </c>
      <c r="N504">
        <v>2</v>
      </c>
      <c r="O504" t="s">
        <v>39</v>
      </c>
      <c r="P504">
        <v>1</v>
      </c>
      <c r="Q504" t="s">
        <v>40</v>
      </c>
      <c r="R504">
        <v>8381</v>
      </c>
      <c r="S504">
        <v>7507</v>
      </c>
      <c r="T504">
        <v>7</v>
      </c>
      <c r="U504" t="s">
        <v>41</v>
      </c>
      <c r="V504" t="s">
        <v>42</v>
      </c>
      <c r="W504">
        <v>20</v>
      </c>
      <c r="X504">
        <v>4</v>
      </c>
      <c r="Y504">
        <v>4</v>
      </c>
      <c r="Z504">
        <v>80</v>
      </c>
      <c r="AA504">
        <v>0</v>
      </c>
      <c r="AB504">
        <v>18</v>
      </c>
      <c r="AC504">
        <v>2</v>
      </c>
      <c r="AD504">
        <v>4</v>
      </c>
      <c r="AE504">
        <v>14</v>
      </c>
      <c r="AF504">
        <v>7</v>
      </c>
      <c r="AG504">
        <v>8</v>
      </c>
      <c r="AH504">
        <v>10</v>
      </c>
    </row>
    <row r="505" spans="1:34" x14ac:dyDescent="0.2">
      <c r="A505">
        <v>34</v>
      </c>
      <c r="B505" t="s">
        <v>42</v>
      </c>
      <c r="C505" t="s">
        <v>35</v>
      </c>
      <c r="D505" t="s">
        <v>44</v>
      </c>
      <c r="E505">
        <v>1</v>
      </c>
      <c r="F505">
        <v>5</v>
      </c>
      <c r="G505" t="s">
        <v>37</v>
      </c>
      <c r="H505">
        <v>1</v>
      </c>
      <c r="I505">
        <v>683</v>
      </c>
      <c r="J505">
        <v>2</v>
      </c>
      <c r="K505" t="s">
        <v>45</v>
      </c>
      <c r="L505">
        <v>42</v>
      </c>
      <c r="M505">
        <v>3</v>
      </c>
      <c r="N505">
        <v>1</v>
      </c>
      <c r="O505" t="s">
        <v>46</v>
      </c>
      <c r="P505">
        <v>4</v>
      </c>
      <c r="Q505" t="s">
        <v>47</v>
      </c>
      <c r="R505">
        <v>2691</v>
      </c>
      <c r="S505">
        <v>7660</v>
      </c>
      <c r="T505">
        <v>1</v>
      </c>
      <c r="U505" t="s">
        <v>41</v>
      </c>
      <c r="V505" t="s">
        <v>42</v>
      </c>
      <c r="W505">
        <v>12</v>
      </c>
      <c r="X505">
        <v>3</v>
      </c>
      <c r="Y505">
        <v>4</v>
      </c>
      <c r="Z505">
        <v>80</v>
      </c>
      <c r="AA505">
        <v>1</v>
      </c>
      <c r="AB505">
        <v>10</v>
      </c>
      <c r="AC505">
        <v>4</v>
      </c>
      <c r="AD505">
        <v>2</v>
      </c>
      <c r="AE505">
        <v>10</v>
      </c>
      <c r="AF505">
        <v>9</v>
      </c>
      <c r="AG505">
        <v>8</v>
      </c>
      <c r="AH505">
        <v>8</v>
      </c>
    </row>
    <row r="506" spans="1:34" x14ac:dyDescent="0.2">
      <c r="A506">
        <v>45</v>
      </c>
      <c r="B506" t="s">
        <v>34</v>
      </c>
      <c r="C506" t="s">
        <v>43</v>
      </c>
      <c r="D506" t="s">
        <v>36</v>
      </c>
      <c r="E506">
        <v>26</v>
      </c>
      <c r="F506">
        <v>4</v>
      </c>
      <c r="G506" t="s">
        <v>37</v>
      </c>
      <c r="H506">
        <v>1</v>
      </c>
      <c r="I506">
        <v>684</v>
      </c>
      <c r="J506">
        <v>1</v>
      </c>
      <c r="K506" t="s">
        <v>38</v>
      </c>
      <c r="L506">
        <v>100</v>
      </c>
      <c r="M506">
        <v>3</v>
      </c>
      <c r="N506">
        <v>2</v>
      </c>
      <c r="O506" t="s">
        <v>39</v>
      </c>
      <c r="P506">
        <v>1</v>
      </c>
      <c r="Q506" t="s">
        <v>47</v>
      </c>
      <c r="R506">
        <v>4286</v>
      </c>
      <c r="S506">
        <v>5630</v>
      </c>
      <c r="T506">
        <v>2</v>
      </c>
      <c r="U506" t="s">
        <v>41</v>
      </c>
      <c r="V506" t="s">
        <v>42</v>
      </c>
      <c r="W506">
        <v>14</v>
      </c>
      <c r="X506">
        <v>3</v>
      </c>
      <c r="Y506">
        <v>4</v>
      </c>
      <c r="Z506">
        <v>80</v>
      </c>
      <c r="AA506">
        <v>2</v>
      </c>
      <c r="AB506">
        <v>5</v>
      </c>
      <c r="AC506">
        <v>4</v>
      </c>
      <c r="AD506">
        <v>3</v>
      </c>
      <c r="AE506">
        <v>1</v>
      </c>
      <c r="AF506">
        <v>1</v>
      </c>
      <c r="AG506">
        <v>0</v>
      </c>
      <c r="AH506">
        <v>0</v>
      </c>
    </row>
    <row r="507" spans="1:34" x14ac:dyDescent="0.2">
      <c r="A507">
        <v>26</v>
      </c>
      <c r="B507" t="s">
        <v>42</v>
      </c>
      <c r="C507" t="s">
        <v>35</v>
      </c>
      <c r="D507" t="s">
        <v>44</v>
      </c>
      <c r="E507">
        <v>6</v>
      </c>
      <c r="F507">
        <v>3</v>
      </c>
      <c r="G507" t="s">
        <v>37</v>
      </c>
      <c r="H507">
        <v>1</v>
      </c>
      <c r="I507">
        <v>686</v>
      </c>
      <c r="J507">
        <v>3</v>
      </c>
      <c r="K507" t="s">
        <v>38</v>
      </c>
      <c r="L507">
        <v>71</v>
      </c>
      <c r="M507">
        <v>3</v>
      </c>
      <c r="N507">
        <v>1</v>
      </c>
      <c r="O507" t="s">
        <v>49</v>
      </c>
      <c r="P507">
        <v>4</v>
      </c>
      <c r="Q507" t="s">
        <v>47</v>
      </c>
      <c r="R507">
        <v>2659</v>
      </c>
      <c r="S507">
        <v>17759</v>
      </c>
      <c r="T507">
        <v>1</v>
      </c>
      <c r="U507" t="s">
        <v>41</v>
      </c>
      <c r="V507" t="s">
        <v>34</v>
      </c>
      <c r="W507">
        <v>13</v>
      </c>
      <c r="X507">
        <v>3</v>
      </c>
      <c r="Y507">
        <v>3</v>
      </c>
      <c r="Z507">
        <v>80</v>
      </c>
      <c r="AA507">
        <v>1</v>
      </c>
      <c r="AB507">
        <v>3</v>
      </c>
      <c r="AC507">
        <v>2</v>
      </c>
      <c r="AD507">
        <v>3</v>
      </c>
      <c r="AE507">
        <v>3</v>
      </c>
      <c r="AF507">
        <v>2</v>
      </c>
      <c r="AG507">
        <v>0</v>
      </c>
      <c r="AH507">
        <v>2</v>
      </c>
    </row>
    <row r="508" spans="1:34" x14ac:dyDescent="0.2">
      <c r="A508">
        <v>37</v>
      </c>
      <c r="B508" t="s">
        <v>42</v>
      </c>
      <c r="C508" t="s">
        <v>35</v>
      </c>
      <c r="D508" t="s">
        <v>44</v>
      </c>
      <c r="E508">
        <v>3</v>
      </c>
      <c r="F508">
        <v>3</v>
      </c>
      <c r="G508" t="s">
        <v>48</v>
      </c>
      <c r="H508">
        <v>1</v>
      </c>
      <c r="I508">
        <v>689</v>
      </c>
      <c r="J508">
        <v>3</v>
      </c>
      <c r="K508" t="s">
        <v>45</v>
      </c>
      <c r="L508">
        <v>36</v>
      </c>
      <c r="M508">
        <v>3</v>
      </c>
      <c r="N508">
        <v>3</v>
      </c>
      <c r="O508" t="s">
        <v>52</v>
      </c>
      <c r="P508">
        <v>3</v>
      </c>
      <c r="Q508" t="s">
        <v>47</v>
      </c>
      <c r="R508">
        <v>9434</v>
      </c>
      <c r="S508">
        <v>9606</v>
      </c>
      <c r="T508">
        <v>1</v>
      </c>
      <c r="U508" t="s">
        <v>41</v>
      </c>
      <c r="V508" t="s">
        <v>42</v>
      </c>
      <c r="W508">
        <v>15</v>
      </c>
      <c r="X508">
        <v>3</v>
      </c>
      <c r="Y508">
        <v>3</v>
      </c>
      <c r="Z508">
        <v>80</v>
      </c>
      <c r="AA508">
        <v>1</v>
      </c>
      <c r="AB508">
        <v>10</v>
      </c>
      <c r="AC508">
        <v>2</v>
      </c>
      <c r="AD508">
        <v>3</v>
      </c>
      <c r="AE508">
        <v>10</v>
      </c>
      <c r="AF508">
        <v>7</v>
      </c>
      <c r="AG508">
        <v>7</v>
      </c>
      <c r="AH508">
        <v>8</v>
      </c>
    </row>
    <row r="509" spans="1:34" x14ac:dyDescent="0.2">
      <c r="A509">
        <v>29</v>
      </c>
      <c r="B509" t="s">
        <v>42</v>
      </c>
      <c r="C509" t="s">
        <v>35</v>
      </c>
      <c r="D509" t="s">
        <v>36</v>
      </c>
      <c r="E509">
        <v>3</v>
      </c>
      <c r="F509">
        <v>2</v>
      </c>
      <c r="G509" t="s">
        <v>50</v>
      </c>
      <c r="H509">
        <v>1</v>
      </c>
      <c r="I509">
        <v>690</v>
      </c>
      <c r="J509">
        <v>2</v>
      </c>
      <c r="K509" t="s">
        <v>38</v>
      </c>
      <c r="L509">
        <v>62</v>
      </c>
      <c r="M509">
        <v>3</v>
      </c>
      <c r="N509">
        <v>2</v>
      </c>
      <c r="O509" t="s">
        <v>39</v>
      </c>
      <c r="P509">
        <v>3</v>
      </c>
      <c r="Q509" t="s">
        <v>47</v>
      </c>
      <c r="R509">
        <v>5561</v>
      </c>
      <c r="S509">
        <v>3487</v>
      </c>
      <c r="T509">
        <v>1</v>
      </c>
      <c r="U509" t="s">
        <v>41</v>
      </c>
      <c r="V509" t="s">
        <v>42</v>
      </c>
      <c r="W509">
        <v>14</v>
      </c>
      <c r="X509">
        <v>3</v>
      </c>
      <c r="Y509">
        <v>1</v>
      </c>
      <c r="Z509">
        <v>80</v>
      </c>
      <c r="AA509">
        <v>1</v>
      </c>
      <c r="AB509">
        <v>6</v>
      </c>
      <c r="AC509">
        <v>5</v>
      </c>
      <c r="AD509">
        <v>2</v>
      </c>
      <c r="AE509">
        <v>6</v>
      </c>
      <c r="AF509">
        <v>0</v>
      </c>
      <c r="AG509">
        <v>1</v>
      </c>
      <c r="AH509">
        <v>2</v>
      </c>
    </row>
    <row r="510" spans="1:34" x14ac:dyDescent="0.2">
      <c r="A510">
        <v>35</v>
      </c>
      <c r="B510" t="s">
        <v>42</v>
      </c>
      <c r="C510" t="s">
        <v>35</v>
      </c>
      <c r="D510" t="s">
        <v>44</v>
      </c>
      <c r="E510">
        <v>6</v>
      </c>
      <c r="F510">
        <v>4</v>
      </c>
      <c r="G510" t="s">
        <v>37</v>
      </c>
      <c r="H510">
        <v>1</v>
      </c>
      <c r="I510">
        <v>691</v>
      </c>
      <c r="J510">
        <v>2</v>
      </c>
      <c r="K510" t="s">
        <v>45</v>
      </c>
      <c r="L510">
        <v>82</v>
      </c>
      <c r="M510">
        <v>1</v>
      </c>
      <c r="N510">
        <v>2</v>
      </c>
      <c r="O510" t="s">
        <v>46</v>
      </c>
      <c r="P510">
        <v>4</v>
      </c>
      <c r="Q510" t="s">
        <v>40</v>
      </c>
      <c r="R510">
        <v>6646</v>
      </c>
      <c r="S510">
        <v>19368</v>
      </c>
      <c r="T510">
        <v>1</v>
      </c>
      <c r="U510" t="s">
        <v>41</v>
      </c>
      <c r="V510" t="s">
        <v>42</v>
      </c>
      <c r="W510">
        <v>13</v>
      </c>
      <c r="X510">
        <v>3</v>
      </c>
      <c r="Y510">
        <v>2</v>
      </c>
      <c r="Z510">
        <v>80</v>
      </c>
      <c r="AA510">
        <v>0</v>
      </c>
      <c r="AB510">
        <v>17</v>
      </c>
      <c r="AC510">
        <v>3</v>
      </c>
      <c r="AD510">
        <v>3</v>
      </c>
      <c r="AE510">
        <v>17</v>
      </c>
      <c r="AF510">
        <v>11</v>
      </c>
      <c r="AG510">
        <v>11</v>
      </c>
      <c r="AH510">
        <v>8</v>
      </c>
    </row>
    <row r="511" spans="1:34" x14ac:dyDescent="0.2">
      <c r="A511">
        <v>33</v>
      </c>
      <c r="B511" t="s">
        <v>42</v>
      </c>
      <c r="C511" t="s">
        <v>43</v>
      </c>
      <c r="D511" t="s">
        <v>44</v>
      </c>
      <c r="E511">
        <v>6</v>
      </c>
      <c r="F511">
        <v>3</v>
      </c>
      <c r="G511" t="s">
        <v>37</v>
      </c>
      <c r="H511">
        <v>1</v>
      </c>
      <c r="I511">
        <v>692</v>
      </c>
      <c r="J511">
        <v>3</v>
      </c>
      <c r="K511" t="s">
        <v>45</v>
      </c>
      <c r="L511">
        <v>30</v>
      </c>
      <c r="M511">
        <v>3</v>
      </c>
      <c r="N511">
        <v>2</v>
      </c>
      <c r="O511" t="s">
        <v>53</v>
      </c>
      <c r="P511">
        <v>4</v>
      </c>
      <c r="Q511" t="s">
        <v>51</v>
      </c>
      <c r="R511">
        <v>7725</v>
      </c>
      <c r="S511">
        <v>5335</v>
      </c>
      <c r="T511">
        <v>3</v>
      </c>
      <c r="U511" t="s">
        <v>41</v>
      </c>
      <c r="V511" t="s">
        <v>42</v>
      </c>
      <c r="W511">
        <v>23</v>
      </c>
      <c r="X511">
        <v>4</v>
      </c>
      <c r="Y511">
        <v>3</v>
      </c>
      <c r="Z511">
        <v>80</v>
      </c>
      <c r="AA511">
        <v>1</v>
      </c>
      <c r="AB511">
        <v>15</v>
      </c>
      <c r="AC511">
        <v>2</v>
      </c>
      <c r="AD511">
        <v>1</v>
      </c>
      <c r="AE511">
        <v>13</v>
      </c>
      <c r="AF511">
        <v>11</v>
      </c>
      <c r="AG511">
        <v>4</v>
      </c>
      <c r="AH511">
        <v>7</v>
      </c>
    </row>
    <row r="512" spans="1:34" x14ac:dyDescent="0.2">
      <c r="A512">
        <v>54</v>
      </c>
      <c r="B512" t="s">
        <v>42</v>
      </c>
      <c r="C512" t="s">
        <v>35</v>
      </c>
      <c r="D512" t="s">
        <v>60</v>
      </c>
      <c r="E512">
        <v>19</v>
      </c>
      <c r="F512">
        <v>4</v>
      </c>
      <c r="G512" t="s">
        <v>50</v>
      </c>
      <c r="H512">
        <v>1</v>
      </c>
      <c r="I512">
        <v>698</v>
      </c>
      <c r="J512">
        <v>3</v>
      </c>
      <c r="K512" t="s">
        <v>45</v>
      </c>
      <c r="L512">
        <v>88</v>
      </c>
      <c r="M512">
        <v>3</v>
      </c>
      <c r="N512">
        <v>3</v>
      </c>
      <c r="O512" t="s">
        <v>60</v>
      </c>
      <c r="P512">
        <v>2</v>
      </c>
      <c r="Q512" t="s">
        <v>47</v>
      </c>
      <c r="R512">
        <v>10725</v>
      </c>
      <c r="S512">
        <v>6729</v>
      </c>
      <c r="T512">
        <v>2</v>
      </c>
      <c r="U512" t="s">
        <v>41</v>
      </c>
      <c r="V512" t="s">
        <v>42</v>
      </c>
      <c r="W512">
        <v>15</v>
      </c>
      <c r="X512">
        <v>3</v>
      </c>
      <c r="Y512">
        <v>3</v>
      </c>
      <c r="Z512">
        <v>80</v>
      </c>
      <c r="AA512">
        <v>1</v>
      </c>
      <c r="AB512">
        <v>16</v>
      </c>
      <c r="AC512">
        <v>1</v>
      </c>
      <c r="AD512">
        <v>4</v>
      </c>
      <c r="AE512">
        <v>9</v>
      </c>
      <c r="AF512">
        <v>7</v>
      </c>
      <c r="AG512">
        <v>7</v>
      </c>
      <c r="AH512">
        <v>1</v>
      </c>
    </row>
    <row r="513" spans="1:34" x14ac:dyDescent="0.2">
      <c r="A513">
        <v>36</v>
      </c>
      <c r="B513" t="s">
        <v>42</v>
      </c>
      <c r="C513" t="s">
        <v>35</v>
      </c>
      <c r="D513" t="s">
        <v>44</v>
      </c>
      <c r="E513">
        <v>9</v>
      </c>
      <c r="F513">
        <v>2</v>
      </c>
      <c r="G513" t="s">
        <v>50</v>
      </c>
      <c r="H513">
        <v>1</v>
      </c>
      <c r="I513">
        <v>699</v>
      </c>
      <c r="J513">
        <v>2</v>
      </c>
      <c r="K513" t="s">
        <v>45</v>
      </c>
      <c r="L513">
        <v>48</v>
      </c>
      <c r="M513">
        <v>2</v>
      </c>
      <c r="N513">
        <v>2</v>
      </c>
      <c r="O513" t="s">
        <v>52</v>
      </c>
      <c r="P513">
        <v>2</v>
      </c>
      <c r="Q513" t="s">
        <v>51</v>
      </c>
      <c r="R513">
        <v>8847</v>
      </c>
      <c r="S513">
        <v>13934</v>
      </c>
      <c r="T513">
        <v>2</v>
      </c>
      <c r="U513" t="s">
        <v>41</v>
      </c>
      <c r="V513" t="s">
        <v>34</v>
      </c>
      <c r="W513">
        <v>11</v>
      </c>
      <c r="X513">
        <v>3</v>
      </c>
      <c r="Y513">
        <v>3</v>
      </c>
      <c r="Z513">
        <v>80</v>
      </c>
      <c r="AA513">
        <v>1</v>
      </c>
      <c r="AB513">
        <v>13</v>
      </c>
      <c r="AC513">
        <v>2</v>
      </c>
      <c r="AD513">
        <v>3</v>
      </c>
      <c r="AE513">
        <v>3</v>
      </c>
      <c r="AF513">
        <v>2</v>
      </c>
      <c r="AG513">
        <v>0</v>
      </c>
      <c r="AH513">
        <v>2</v>
      </c>
    </row>
    <row r="514" spans="1:34" x14ac:dyDescent="0.2">
      <c r="A514">
        <v>27</v>
      </c>
      <c r="B514" t="s">
        <v>42</v>
      </c>
      <c r="C514" t="s">
        <v>35</v>
      </c>
      <c r="D514" t="s">
        <v>44</v>
      </c>
      <c r="E514">
        <v>3</v>
      </c>
      <c r="F514">
        <v>4</v>
      </c>
      <c r="G514" t="s">
        <v>50</v>
      </c>
      <c r="H514">
        <v>1</v>
      </c>
      <c r="I514">
        <v>700</v>
      </c>
      <c r="J514">
        <v>1</v>
      </c>
      <c r="K514" t="s">
        <v>45</v>
      </c>
      <c r="L514">
        <v>54</v>
      </c>
      <c r="M514">
        <v>2</v>
      </c>
      <c r="N514">
        <v>1</v>
      </c>
      <c r="O514" t="s">
        <v>46</v>
      </c>
      <c r="P514">
        <v>4</v>
      </c>
      <c r="Q514" t="s">
        <v>40</v>
      </c>
      <c r="R514">
        <v>2045</v>
      </c>
      <c r="S514">
        <v>15174</v>
      </c>
      <c r="T514">
        <v>0</v>
      </c>
      <c r="U514" t="s">
        <v>41</v>
      </c>
      <c r="V514" t="s">
        <v>42</v>
      </c>
      <c r="W514">
        <v>13</v>
      </c>
      <c r="X514">
        <v>3</v>
      </c>
      <c r="Y514">
        <v>4</v>
      </c>
      <c r="Z514">
        <v>80</v>
      </c>
      <c r="AA514">
        <v>0</v>
      </c>
      <c r="AB514">
        <v>5</v>
      </c>
      <c r="AC514">
        <v>0</v>
      </c>
      <c r="AD514">
        <v>3</v>
      </c>
      <c r="AE514">
        <v>4</v>
      </c>
      <c r="AF514">
        <v>2</v>
      </c>
      <c r="AG514">
        <v>1</v>
      </c>
      <c r="AH514">
        <v>1</v>
      </c>
    </row>
    <row r="515" spans="1:34" x14ac:dyDescent="0.2">
      <c r="A515">
        <v>20</v>
      </c>
      <c r="B515" t="s">
        <v>34</v>
      </c>
      <c r="C515" t="s">
        <v>35</v>
      </c>
      <c r="D515" t="s">
        <v>44</v>
      </c>
      <c r="E515">
        <v>10</v>
      </c>
      <c r="F515">
        <v>1</v>
      </c>
      <c r="G515" t="s">
        <v>50</v>
      </c>
      <c r="H515">
        <v>1</v>
      </c>
      <c r="I515">
        <v>701</v>
      </c>
      <c r="J515">
        <v>4</v>
      </c>
      <c r="K515" t="s">
        <v>45</v>
      </c>
      <c r="L515">
        <v>32</v>
      </c>
      <c r="M515">
        <v>3</v>
      </c>
      <c r="N515">
        <v>1</v>
      </c>
      <c r="O515" t="s">
        <v>46</v>
      </c>
      <c r="P515">
        <v>3</v>
      </c>
      <c r="Q515" t="s">
        <v>40</v>
      </c>
      <c r="R515">
        <v>1009</v>
      </c>
      <c r="S515">
        <v>26999</v>
      </c>
      <c r="T515">
        <v>1</v>
      </c>
      <c r="U515" t="s">
        <v>41</v>
      </c>
      <c r="V515" t="s">
        <v>34</v>
      </c>
      <c r="W515">
        <v>11</v>
      </c>
      <c r="X515">
        <v>3</v>
      </c>
      <c r="Y515">
        <v>4</v>
      </c>
      <c r="Z515">
        <v>80</v>
      </c>
      <c r="AA515">
        <v>0</v>
      </c>
      <c r="AB515">
        <v>1</v>
      </c>
      <c r="AC515">
        <v>5</v>
      </c>
      <c r="AD515">
        <v>3</v>
      </c>
      <c r="AE515">
        <v>1</v>
      </c>
      <c r="AF515">
        <v>0</v>
      </c>
      <c r="AG515">
        <v>1</v>
      </c>
      <c r="AH515">
        <v>1</v>
      </c>
    </row>
    <row r="516" spans="1:34" x14ac:dyDescent="0.2">
      <c r="A516">
        <v>33</v>
      </c>
      <c r="B516" t="s">
        <v>34</v>
      </c>
      <c r="C516" t="s">
        <v>43</v>
      </c>
      <c r="D516" t="s">
        <v>44</v>
      </c>
      <c r="E516">
        <v>3</v>
      </c>
      <c r="F516">
        <v>3</v>
      </c>
      <c r="G516" t="s">
        <v>37</v>
      </c>
      <c r="H516">
        <v>1</v>
      </c>
      <c r="I516">
        <v>702</v>
      </c>
      <c r="J516">
        <v>1</v>
      </c>
      <c r="K516" t="s">
        <v>45</v>
      </c>
      <c r="L516">
        <v>70</v>
      </c>
      <c r="M516">
        <v>3</v>
      </c>
      <c r="N516">
        <v>1</v>
      </c>
      <c r="O516" t="s">
        <v>46</v>
      </c>
      <c r="P516">
        <v>1</v>
      </c>
      <c r="Q516" t="s">
        <v>40</v>
      </c>
      <c r="R516">
        <v>3348</v>
      </c>
      <c r="S516">
        <v>3164</v>
      </c>
      <c r="T516">
        <v>1</v>
      </c>
      <c r="U516" t="s">
        <v>41</v>
      </c>
      <c r="V516" t="s">
        <v>34</v>
      </c>
      <c r="W516">
        <v>11</v>
      </c>
      <c r="X516">
        <v>3</v>
      </c>
      <c r="Y516">
        <v>1</v>
      </c>
      <c r="Z516">
        <v>80</v>
      </c>
      <c r="AA516">
        <v>0</v>
      </c>
      <c r="AB516">
        <v>10</v>
      </c>
      <c r="AC516">
        <v>3</v>
      </c>
      <c r="AD516">
        <v>3</v>
      </c>
      <c r="AE516">
        <v>10</v>
      </c>
      <c r="AF516">
        <v>8</v>
      </c>
      <c r="AG516">
        <v>9</v>
      </c>
      <c r="AH516">
        <v>7</v>
      </c>
    </row>
    <row r="517" spans="1:34" x14ac:dyDescent="0.2">
      <c r="A517">
        <v>35</v>
      </c>
      <c r="B517" t="s">
        <v>42</v>
      </c>
      <c r="C517" t="s">
        <v>54</v>
      </c>
      <c r="D517" t="s">
        <v>44</v>
      </c>
      <c r="E517">
        <v>3</v>
      </c>
      <c r="F517">
        <v>3</v>
      </c>
      <c r="G517" t="s">
        <v>37</v>
      </c>
      <c r="H517">
        <v>1</v>
      </c>
      <c r="I517">
        <v>704</v>
      </c>
      <c r="J517">
        <v>3</v>
      </c>
      <c r="K517" t="s">
        <v>45</v>
      </c>
      <c r="L517">
        <v>41</v>
      </c>
      <c r="M517">
        <v>2</v>
      </c>
      <c r="N517">
        <v>1</v>
      </c>
      <c r="O517" t="s">
        <v>49</v>
      </c>
      <c r="P517">
        <v>3</v>
      </c>
      <c r="Q517" t="s">
        <v>47</v>
      </c>
      <c r="R517">
        <v>1281</v>
      </c>
      <c r="S517">
        <v>16900</v>
      </c>
      <c r="T517">
        <v>1</v>
      </c>
      <c r="U517" t="s">
        <v>41</v>
      </c>
      <c r="V517" t="s">
        <v>42</v>
      </c>
      <c r="W517">
        <v>18</v>
      </c>
      <c r="X517">
        <v>3</v>
      </c>
      <c r="Y517">
        <v>3</v>
      </c>
      <c r="Z517">
        <v>80</v>
      </c>
      <c r="AA517">
        <v>2</v>
      </c>
      <c r="AB517">
        <v>1</v>
      </c>
      <c r="AC517">
        <v>3</v>
      </c>
      <c r="AD517">
        <v>3</v>
      </c>
      <c r="AE517">
        <v>1</v>
      </c>
      <c r="AF517">
        <v>0</v>
      </c>
      <c r="AG517">
        <v>0</v>
      </c>
      <c r="AH517">
        <v>0</v>
      </c>
    </row>
    <row r="518" spans="1:34" x14ac:dyDescent="0.2">
      <c r="A518">
        <v>23</v>
      </c>
      <c r="B518" t="s">
        <v>42</v>
      </c>
      <c r="C518" t="s">
        <v>35</v>
      </c>
      <c r="D518" t="s">
        <v>44</v>
      </c>
      <c r="E518">
        <v>4</v>
      </c>
      <c r="F518">
        <v>3</v>
      </c>
      <c r="G518" t="s">
        <v>50</v>
      </c>
      <c r="H518">
        <v>1</v>
      </c>
      <c r="I518">
        <v>705</v>
      </c>
      <c r="J518">
        <v>1</v>
      </c>
      <c r="K518" t="s">
        <v>45</v>
      </c>
      <c r="L518">
        <v>58</v>
      </c>
      <c r="M518">
        <v>4</v>
      </c>
      <c r="N518">
        <v>1</v>
      </c>
      <c r="O518" t="s">
        <v>46</v>
      </c>
      <c r="P518">
        <v>1</v>
      </c>
      <c r="Q518" t="s">
        <v>47</v>
      </c>
      <c r="R518">
        <v>2819</v>
      </c>
      <c r="S518">
        <v>8544</v>
      </c>
      <c r="T518">
        <v>2</v>
      </c>
      <c r="U518" t="s">
        <v>41</v>
      </c>
      <c r="V518" t="s">
        <v>42</v>
      </c>
      <c r="W518">
        <v>16</v>
      </c>
      <c r="X518">
        <v>3</v>
      </c>
      <c r="Y518">
        <v>1</v>
      </c>
      <c r="Z518">
        <v>80</v>
      </c>
      <c r="AA518">
        <v>1</v>
      </c>
      <c r="AB518">
        <v>5</v>
      </c>
      <c r="AC518">
        <v>3</v>
      </c>
      <c r="AD518">
        <v>4</v>
      </c>
      <c r="AE518">
        <v>3</v>
      </c>
      <c r="AF518">
        <v>2</v>
      </c>
      <c r="AG518">
        <v>0</v>
      </c>
      <c r="AH518">
        <v>2</v>
      </c>
    </row>
    <row r="519" spans="1:34" x14ac:dyDescent="0.2">
      <c r="A519">
        <v>25</v>
      </c>
      <c r="B519" t="s">
        <v>42</v>
      </c>
      <c r="C519" t="s">
        <v>35</v>
      </c>
      <c r="D519" t="s">
        <v>36</v>
      </c>
      <c r="E519">
        <v>8</v>
      </c>
      <c r="F519">
        <v>3</v>
      </c>
      <c r="G519" t="s">
        <v>37</v>
      </c>
      <c r="H519">
        <v>1</v>
      </c>
      <c r="I519">
        <v>707</v>
      </c>
      <c r="J519">
        <v>4</v>
      </c>
      <c r="K519" t="s">
        <v>45</v>
      </c>
      <c r="L519">
        <v>57</v>
      </c>
      <c r="M519">
        <v>4</v>
      </c>
      <c r="N519">
        <v>2</v>
      </c>
      <c r="O519" t="s">
        <v>39</v>
      </c>
      <c r="P519">
        <v>2</v>
      </c>
      <c r="Q519" t="s">
        <v>47</v>
      </c>
      <c r="R519">
        <v>4851</v>
      </c>
      <c r="S519">
        <v>15678</v>
      </c>
      <c r="T519">
        <v>0</v>
      </c>
      <c r="U519" t="s">
        <v>41</v>
      </c>
      <c r="V519" t="s">
        <v>42</v>
      </c>
      <c r="W519">
        <v>22</v>
      </c>
      <c r="X519">
        <v>4</v>
      </c>
      <c r="Y519">
        <v>3</v>
      </c>
      <c r="Z519">
        <v>80</v>
      </c>
      <c r="AA519">
        <v>1</v>
      </c>
      <c r="AB519">
        <v>4</v>
      </c>
      <c r="AC519">
        <v>4</v>
      </c>
      <c r="AD519">
        <v>3</v>
      </c>
      <c r="AE519">
        <v>3</v>
      </c>
      <c r="AF519">
        <v>2</v>
      </c>
      <c r="AG519">
        <v>1</v>
      </c>
      <c r="AH519">
        <v>2</v>
      </c>
    </row>
    <row r="520" spans="1:34" x14ac:dyDescent="0.2">
      <c r="A520">
        <v>38</v>
      </c>
      <c r="B520" t="s">
        <v>42</v>
      </c>
      <c r="C520" t="s">
        <v>35</v>
      </c>
      <c r="D520" t="s">
        <v>36</v>
      </c>
      <c r="E520">
        <v>7</v>
      </c>
      <c r="F520">
        <v>4</v>
      </c>
      <c r="G520" t="s">
        <v>58</v>
      </c>
      <c r="H520">
        <v>1</v>
      </c>
      <c r="I520">
        <v>709</v>
      </c>
      <c r="J520">
        <v>4</v>
      </c>
      <c r="K520" t="s">
        <v>38</v>
      </c>
      <c r="L520">
        <v>46</v>
      </c>
      <c r="M520">
        <v>2</v>
      </c>
      <c r="N520">
        <v>2</v>
      </c>
      <c r="O520" t="s">
        <v>39</v>
      </c>
      <c r="P520">
        <v>4</v>
      </c>
      <c r="Q520" t="s">
        <v>40</v>
      </c>
      <c r="R520">
        <v>4028</v>
      </c>
      <c r="S520">
        <v>7791</v>
      </c>
      <c r="T520">
        <v>0</v>
      </c>
      <c r="U520" t="s">
        <v>41</v>
      </c>
      <c r="V520" t="s">
        <v>42</v>
      </c>
      <c r="W520">
        <v>20</v>
      </c>
      <c r="X520">
        <v>4</v>
      </c>
      <c r="Y520">
        <v>1</v>
      </c>
      <c r="Z520">
        <v>80</v>
      </c>
      <c r="AA520">
        <v>0</v>
      </c>
      <c r="AB520">
        <v>8</v>
      </c>
      <c r="AC520">
        <v>2</v>
      </c>
      <c r="AD520">
        <v>3</v>
      </c>
      <c r="AE520">
        <v>7</v>
      </c>
      <c r="AF520">
        <v>7</v>
      </c>
      <c r="AG520">
        <v>0</v>
      </c>
      <c r="AH520">
        <v>5</v>
      </c>
    </row>
    <row r="521" spans="1:34" x14ac:dyDescent="0.2">
      <c r="A521">
        <v>29</v>
      </c>
      <c r="B521" t="s">
        <v>42</v>
      </c>
      <c r="C521" t="s">
        <v>43</v>
      </c>
      <c r="D521" t="s">
        <v>44</v>
      </c>
      <c r="E521">
        <v>1</v>
      </c>
      <c r="F521">
        <v>4</v>
      </c>
      <c r="G521" t="s">
        <v>37</v>
      </c>
      <c r="H521">
        <v>1</v>
      </c>
      <c r="I521">
        <v>710</v>
      </c>
      <c r="J521">
        <v>2</v>
      </c>
      <c r="K521" t="s">
        <v>45</v>
      </c>
      <c r="L521">
        <v>76</v>
      </c>
      <c r="M521">
        <v>1</v>
      </c>
      <c r="N521">
        <v>1</v>
      </c>
      <c r="O521" t="s">
        <v>46</v>
      </c>
      <c r="P521">
        <v>4</v>
      </c>
      <c r="Q521" t="s">
        <v>51</v>
      </c>
      <c r="R521">
        <v>2720</v>
      </c>
      <c r="S521">
        <v>18959</v>
      </c>
      <c r="T521">
        <v>1</v>
      </c>
      <c r="U521" t="s">
        <v>41</v>
      </c>
      <c r="V521" t="s">
        <v>42</v>
      </c>
      <c r="W521">
        <v>18</v>
      </c>
      <c r="X521">
        <v>3</v>
      </c>
      <c r="Y521">
        <v>4</v>
      </c>
      <c r="Z521">
        <v>80</v>
      </c>
      <c r="AA521">
        <v>1</v>
      </c>
      <c r="AB521">
        <v>10</v>
      </c>
      <c r="AC521">
        <v>5</v>
      </c>
      <c r="AD521">
        <v>3</v>
      </c>
      <c r="AE521">
        <v>10</v>
      </c>
      <c r="AF521">
        <v>7</v>
      </c>
      <c r="AG521">
        <v>2</v>
      </c>
      <c r="AH521">
        <v>8</v>
      </c>
    </row>
    <row r="522" spans="1:34" x14ac:dyDescent="0.2">
      <c r="A522">
        <v>48</v>
      </c>
      <c r="B522" t="s">
        <v>42</v>
      </c>
      <c r="C522" t="s">
        <v>35</v>
      </c>
      <c r="D522" t="s">
        <v>36</v>
      </c>
      <c r="E522">
        <v>2</v>
      </c>
      <c r="F522">
        <v>1</v>
      </c>
      <c r="G522" t="s">
        <v>58</v>
      </c>
      <c r="H522">
        <v>1</v>
      </c>
      <c r="I522">
        <v>712</v>
      </c>
      <c r="J522">
        <v>2</v>
      </c>
      <c r="K522" t="s">
        <v>45</v>
      </c>
      <c r="L522">
        <v>56</v>
      </c>
      <c r="M522">
        <v>4</v>
      </c>
      <c r="N522">
        <v>2</v>
      </c>
      <c r="O522" t="s">
        <v>39</v>
      </c>
      <c r="P522">
        <v>2</v>
      </c>
      <c r="Q522" t="s">
        <v>47</v>
      </c>
      <c r="R522">
        <v>8120</v>
      </c>
      <c r="S522">
        <v>18597</v>
      </c>
      <c r="T522">
        <v>3</v>
      </c>
      <c r="U522" t="s">
        <v>41</v>
      </c>
      <c r="V522" t="s">
        <v>42</v>
      </c>
      <c r="W522">
        <v>12</v>
      </c>
      <c r="X522">
        <v>3</v>
      </c>
      <c r="Y522">
        <v>4</v>
      </c>
      <c r="Z522">
        <v>80</v>
      </c>
      <c r="AA522">
        <v>0</v>
      </c>
      <c r="AB522">
        <v>12</v>
      </c>
      <c r="AC522">
        <v>3</v>
      </c>
      <c r="AD522">
        <v>3</v>
      </c>
      <c r="AE522">
        <v>2</v>
      </c>
      <c r="AF522">
        <v>2</v>
      </c>
      <c r="AG522">
        <v>2</v>
      </c>
      <c r="AH522">
        <v>2</v>
      </c>
    </row>
    <row r="523" spans="1:34" x14ac:dyDescent="0.2">
      <c r="A523">
        <v>27</v>
      </c>
      <c r="B523" t="s">
        <v>42</v>
      </c>
      <c r="C523" t="s">
        <v>43</v>
      </c>
      <c r="D523" t="s">
        <v>36</v>
      </c>
      <c r="E523">
        <v>3</v>
      </c>
      <c r="F523">
        <v>1</v>
      </c>
      <c r="G523" t="s">
        <v>50</v>
      </c>
      <c r="H523">
        <v>1</v>
      </c>
      <c r="I523">
        <v>714</v>
      </c>
      <c r="J523">
        <v>4</v>
      </c>
      <c r="K523" t="s">
        <v>38</v>
      </c>
      <c r="L523">
        <v>71</v>
      </c>
      <c r="M523">
        <v>4</v>
      </c>
      <c r="N523">
        <v>2</v>
      </c>
      <c r="O523" t="s">
        <v>39</v>
      </c>
      <c r="P523">
        <v>4</v>
      </c>
      <c r="Q523" t="s">
        <v>51</v>
      </c>
      <c r="R523">
        <v>4647</v>
      </c>
      <c r="S523">
        <v>16673</v>
      </c>
      <c r="T523">
        <v>1</v>
      </c>
      <c r="U523" t="s">
        <v>41</v>
      </c>
      <c r="V523" t="s">
        <v>34</v>
      </c>
      <c r="W523">
        <v>20</v>
      </c>
      <c r="X523">
        <v>4</v>
      </c>
      <c r="Y523">
        <v>2</v>
      </c>
      <c r="Z523">
        <v>80</v>
      </c>
      <c r="AA523">
        <v>2</v>
      </c>
      <c r="AB523">
        <v>6</v>
      </c>
      <c r="AC523">
        <v>3</v>
      </c>
      <c r="AD523">
        <v>3</v>
      </c>
      <c r="AE523">
        <v>6</v>
      </c>
      <c r="AF523">
        <v>5</v>
      </c>
      <c r="AG523">
        <v>0</v>
      </c>
      <c r="AH523">
        <v>4</v>
      </c>
    </row>
    <row r="524" spans="1:34" x14ac:dyDescent="0.2">
      <c r="A524">
        <v>37</v>
      </c>
      <c r="B524" t="s">
        <v>42</v>
      </c>
      <c r="C524" t="s">
        <v>35</v>
      </c>
      <c r="D524" t="s">
        <v>44</v>
      </c>
      <c r="E524">
        <v>10</v>
      </c>
      <c r="F524">
        <v>2</v>
      </c>
      <c r="G524" t="s">
        <v>37</v>
      </c>
      <c r="H524">
        <v>1</v>
      </c>
      <c r="I524">
        <v>715</v>
      </c>
      <c r="J524">
        <v>4</v>
      </c>
      <c r="K524" t="s">
        <v>45</v>
      </c>
      <c r="L524">
        <v>80</v>
      </c>
      <c r="M524">
        <v>4</v>
      </c>
      <c r="N524">
        <v>1</v>
      </c>
      <c r="O524" t="s">
        <v>46</v>
      </c>
      <c r="P524">
        <v>4</v>
      </c>
      <c r="Q524" t="s">
        <v>40</v>
      </c>
      <c r="R524">
        <v>4680</v>
      </c>
      <c r="S524">
        <v>15232</v>
      </c>
      <c r="T524">
        <v>3</v>
      </c>
      <c r="U524" t="s">
        <v>41</v>
      </c>
      <c r="V524" t="s">
        <v>42</v>
      </c>
      <c r="W524">
        <v>17</v>
      </c>
      <c r="X524">
        <v>3</v>
      </c>
      <c r="Y524">
        <v>1</v>
      </c>
      <c r="Z524">
        <v>80</v>
      </c>
      <c r="AA524">
        <v>0</v>
      </c>
      <c r="AB524">
        <v>4</v>
      </c>
      <c r="AC524">
        <v>2</v>
      </c>
      <c r="AD524">
        <v>3</v>
      </c>
      <c r="AE524">
        <v>1</v>
      </c>
      <c r="AF524">
        <v>0</v>
      </c>
      <c r="AG524">
        <v>0</v>
      </c>
      <c r="AH524">
        <v>0</v>
      </c>
    </row>
    <row r="525" spans="1:34" x14ac:dyDescent="0.2">
      <c r="A525">
        <v>50</v>
      </c>
      <c r="B525" t="s">
        <v>42</v>
      </c>
      <c r="C525" t="s">
        <v>35</v>
      </c>
      <c r="D525" t="s">
        <v>44</v>
      </c>
      <c r="E525">
        <v>28</v>
      </c>
      <c r="F525">
        <v>1</v>
      </c>
      <c r="G525" t="s">
        <v>50</v>
      </c>
      <c r="H525">
        <v>1</v>
      </c>
      <c r="I525">
        <v>716</v>
      </c>
      <c r="J525">
        <v>4</v>
      </c>
      <c r="K525" t="s">
        <v>45</v>
      </c>
      <c r="L525">
        <v>74</v>
      </c>
      <c r="M525">
        <v>4</v>
      </c>
      <c r="N525">
        <v>1</v>
      </c>
      <c r="O525" t="s">
        <v>49</v>
      </c>
      <c r="P525">
        <v>3</v>
      </c>
      <c r="Q525" t="s">
        <v>47</v>
      </c>
      <c r="R525">
        <v>3221</v>
      </c>
      <c r="S525">
        <v>3297</v>
      </c>
      <c r="T525">
        <v>1</v>
      </c>
      <c r="U525" t="s">
        <v>41</v>
      </c>
      <c r="V525" t="s">
        <v>34</v>
      </c>
      <c r="W525">
        <v>11</v>
      </c>
      <c r="X525">
        <v>3</v>
      </c>
      <c r="Y525">
        <v>3</v>
      </c>
      <c r="Z525">
        <v>80</v>
      </c>
      <c r="AA525">
        <v>3</v>
      </c>
      <c r="AB525">
        <v>20</v>
      </c>
      <c r="AC525">
        <v>3</v>
      </c>
      <c r="AD525">
        <v>3</v>
      </c>
      <c r="AE525">
        <v>20</v>
      </c>
      <c r="AF525">
        <v>8</v>
      </c>
      <c r="AG525">
        <v>3</v>
      </c>
      <c r="AH525">
        <v>8</v>
      </c>
    </row>
    <row r="526" spans="1:34" x14ac:dyDescent="0.2">
      <c r="A526">
        <v>34</v>
      </c>
      <c r="B526" t="s">
        <v>42</v>
      </c>
      <c r="C526" t="s">
        <v>35</v>
      </c>
      <c r="D526" t="s">
        <v>44</v>
      </c>
      <c r="E526">
        <v>9</v>
      </c>
      <c r="F526">
        <v>3</v>
      </c>
      <c r="G526" t="s">
        <v>50</v>
      </c>
      <c r="H526">
        <v>1</v>
      </c>
      <c r="I526">
        <v>717</v>
      </c>
      <c r="J526">
        <v>4</v>
      </c>
      <c r="K526" t="s">
        <v>38</v>
      </c>
      <c r="L526">
        <v>46</v>
      </c>
      <c r="M526">
        <v>2</v>
      </c>
      <c r="N526">
        <v>3</v>
      </c>
      <c r="O526" t="s">
        <v>53</v>
      </c>
      <c r="P526">
        <v>2</v>
      </c>
      <c r="Q526" t="s">
        <v>40</v>
      </c>
      <c r="R526">
        <v>8621</v>
      </c>
      <c r="S526">
        <v>17654</v>
      </c>
      <c r="T526">
        <v>1</v>
      </c>
      <c r="U526" t="s">
        <v>41</v>
      </c>
      <c r="V526" t="s">
        <v>42</v>
      </c>
      <c r="W526">
        <v>14</v>
      </c>
      <c r="X526">
        <v>3</v>
      </c>
      <c r="Y526">
        <v>2</v>
      </c>
      <c r="Z526">
        <v>80</v>
      </c>
      <c r="AA526">
        <v>0</v>
      </c>
      <c r="AB526">
        <v>9</v>
      </c>
      <c r="AC526">
        <v>3</v>
      </c>
      <c r="AD526">
        <v>4</v>
      </c>
      <c r="AE526">
        <v>8</v>
      </c>
      <c r="AF526">
        <v>7</v>
      </c>
      <c r="AG526">
        <v>7</v>
      </c>
      <c r="AH526">
        <v>7</v>
      </c>
    </row>
    <row r="527" spans="1:34" x14ac:dyDescent="0.2">
      <c r="A527">
        <v>24</v>
      </c>
      <c r="B527" t="s">
        <v>34</v>
      </c>
      <c r="C527" t="s">
        <v>35</v>
      </c>
      <c r="D527" t="s">
        <v>36</v>
      </c>
      <c r="E527">
        <v>3</v>
      </c>
      <c r="F527">
        <v>2</v>
      </c>
      <c r="G527" t="s">
        <v>37</v>
      </c>
      <c r="H527">
        <v>1</v>
      </c>
      <c r="I527">
        <v>720</v>
      </c>
      <c r="J527">
        <v>1</v>
      </c>
      <c r="K527" t="s">
        <v>38</v>
      </c>
      <c r="L527">
        <v>65</v>
      </c>
      <c r="M527">
        <v>3</v>
      </c>
      <c r="N527">
        <v>2</v>
      </c>
      <c r="O527" t="s">
        <v>39</v>
      </c>
      <c r="P527">
        <v>3</v>
      </c>
      <c r="Q527" t="s">
        <v>40</v>
      </c>
      <c r="R527">
        <v>4577</v>
      </c>
      <c r="S527">
        <v>24785</v>
      </c>
      <c r="T527">
        <v>9</v>
      </c>
      <c r="U527" t="s">
        <v>41</v>
      </c>
      <c r="V527" t="s">
        <v>42</v>
      </c>
      <c r="W527">
        <v>14</v>
      </c>
      <c r="X527">
        <v>3</v>
      </c>
      <c r="Y527">
        <v>1</v>
      </c>
      <c r="Z527">
        <v>80</v>
      </c>
      <c r="AA527">
        <v>0</v>
      </c>
      <c r="AB527">
        <v>4</v>
      </c>
      <c r="AC527">
        <v>3</v>
      </c>
      <c r="AD527">
        <v>3</v>
      </c>
      <c r="AE527">
        <v>2</v>
      </c>
      <c r="AF527">
        <v>2</v>
      </c>
      <c r="AG527">
        <v>2</v>
      </c>
      <c r="AH527">
        <v>0</v>
      </c>
    </row>
    <row r="528" spans="1:34" x14ac:dyDescent="0.2">
      <c r="A528">
        <v>39</v>
      </c>
      <c r="B528" t="s">
        <v>42</v>
      </c>
      <c r="C528" t="s">
        <v>35</v>
      </c>
      <c r="D528" t="s">
        <v>44</v>
      </c>
      <c r="E528">
        <v>2</v>
      </c>
      <c r="F528">
        <v>4</v>
      </c>
      <c r="G528" t="s">
        <v>59</v>
      </c>
      <c r="H528">
        <v>1</v>
      </c>
      <c r="I528">
        <v>721</v>
      </c>
      <c r="J528">
        <v>4</v>
      </c>
      <c r="K528" t="s">
        <v>38</v>
      </c>
      <c r="L528">
        <v>80</v>
      </c>
      <c r="M528">
        <v>2</v>
      </c>
      <c r="N528">
        <v>2</v>
      </c>
      <c r="O528" t="s">
        <v>53</v>
      </c>
      <c r="P528">
        <v>3</v>
      </c>
      <c r="Q528" t="s">
        <v>40</v>
      </c>
      <c r="R528">
        <v>4553</v>
      </c>
      <c r="S528">
        <v>20978</v>
      </c>
      <c r="T528">
        <v>1</v>
      </c>
      <c r="U528" t="s">
        <v>41</v>
      </c>
      <c r="V528" t="s">
        <v>42</v>
      </c>
      <c r="W528">
        <v>11</v>
      </c>
      <c r="X528">
        <v>3</v>
      </c>
      <c r="Y528">
        <v>1</v>
      </c>
      <c r="Z528">
        <v>80</v>
      </c>
      <c r="AA528">
        <v>0</v>
      </c>
      <c r="AB528">
        <v>20</v>
      </c>
      <c r="AC528">
        <v>4</v>
      </c>
      <c r="AD528">
        <v>3</v>
      </c>
      <c r="AE528">
        <v>20</v>
      </c>
      <c r="AF528">
        <v>7</v>
      </c>
      <c r="AG528">
        <v>11</v>
      </c>
      <c r="AH528">
        <v>10</v>
      </c>
    </row>
    <row r="529" spans="1:34" x14ac:dyDescent="0.2">
      <c r="A529">
        <v>32</v>
      </c>
      <c r="B529" t="s">
        <v>42</v>
      </c>
      <c r="C529" t="s">
        <v>35</v>
      </c>
      <c r="D529" t="s">
        <v>36</v>
      </c>
      <c r="E529">
        <v>10</v>
      </c>
      <c r="F529">
        <v>3</v>
      </c>
      <c r="G529" t="s">
        <v>58</v>
      </c>
      <c r="H529">
        <v>1</v>
      </c>
      <c r="I529">
        <v>722</v>
      </c>
      <c r="J529">
        <v>4</v>
      </c>
      <c r="K529" t="s">
        <v>45</v>
      </c>
      <c r="L529">
        <v>55</v>
      </c>
      <c r="M529">
        <v>3</v>
      </c>
      <c r="N529">
        <v>2</v>
      </c>
      <c r="O529" t="s">
        <v>39</v>
      </c>
      <c r="P529">
        <v>4</v>
      </c>
      <c r="Q529" t="s">
        <v>40</v>
      </c>
      <c r="R529">
        <v>5396</v>
      </c>
      <c r="S529">
        <v>21703</v>
      </c>
      <c r="T529">
        <v>1</v>
      </c>
      <c r="U529" t="s">
        <v>41</v>
      </c>
      <c r="V529" t="s">
        <v>42</v>
      </c>
      <c r="W529">
        <v>12</v>
      </c>
      <c r="X529">
        <v>3</v>
      </c>
      <c r="Y529">
        <v>4</v>
      </c>
      <c r="Z529">
        <v>80</v>
      </c>
      <c r="AA529">
        <v>0</v>
      </c>
      <c r="AB529">
        <v>10</v>
      </c>
      <c r="AC529">
        <v>2</v>
      </c>
      <c r="AD529">
        <v>2</v>
      </c>
      <c r="AE529">
        <v>10</v>
      </c>
      <c r="AF529">
        <v>7</v>
      </c>
      <c r="AG529">
        <v>0</v>
      </c>
      <c r="AH529">
        <v>8</v>
      </c>
    </row>
    <row r="530" spans="1:34" x14ac:dyDescent="0.2">
      <c r="A530">
        <v>50</v>
      </c>
      <c r="B530" t="s">
        <v>34</v>
      </c>
      <c r="C530" t="s">
        <v>43</v>
      </c>
      <c r="D530" t="s">
        <v>36</v>
      </c>
      <c r="E530">
        <v>8</v>
      </c>
      <c r="F530">
        <v>2</v>
      </c>
      <c r="G530" t="s">
        <v>59</v>
      </c>
      <c r="H530">
        <v>1</v>
      </c>
      <c r="I530">
        <v>723</v>
      </c>
      <c r="J530">
        <v>2</v>
      </c>
      <c r="K530" t="s">
        <v>45</v>
      </c>
      <c r="L530">
        <v>50</v>
      </c>
      <c r="M530">
        <v>3</v>
      </c>
      <c r="N530">
        <v>2</v>
      </c>
      <c r="O530" t="s">
        <v>39</v>
      </c>
      <c r="P530">
        <v>3</v>
      </c>
      <c r="Q530" t="s">
        <v>47</v>
      </c>
      <c r="R530">
        <v>6796</v>
      </c>
      <c r="S530">
        <v>23452</v>
      </c>
      <c r="T530">
        <v>3</v>
      </c>
      <c r="U530" t="s">
        <v>41</v>
      </c>
      <c r="V530" t="s">
        <v>34</v>
      </c>
      <c r="W530">
        <v>14</v>
      </c>
      <c r="X530">
        <v>3</v>
      </c>
      <c r="Y530">
        <v>1</v>
      </c>
      <c r="Z530">
        <v>80</v>
      </c>
      <c r="AA530">
        <v>1</v>
      </c>
      <c r="AB530">
        <v>18</v>
      </c>
      <c r="AC530">
        <v>4</v>
      </c>
      <c r="AD530">
        <v>3</v>
      </c>
      <c r="AE530">
        <v>4</v>
      </c>
      <c r="AF530">
        <v>3</v>
      </c>
      <c r="AG530">
        <v>1</v>
      </c>
      <c r="AH530">
        <v>3</v>
      </c>
    </row>
    <row r="531" spans="1:34" x14ac:dyDescent="0.2">
      <c r="A531">
        <v>38</v>
      </c>
      <c r="B531" t="s">
        <v>42</v>
      </c>
      <c r="C531" t="s">
        <v>35</v>
      </c>
      <c r="D531" t="s">
        <v>44</v>
      </c>
      <c r="E531">
        <v>1</v>
      </c>
      <c r="F531">
        <v>4</v>
      </c>
      <c r="G531" t="s">
        <v>37</v>
      </c>
      <c r="H531">
        <v>1</v>
      </c>
      <c r="I531">
        <v>724</v>
      </c>
      <c r="J531">
        <v>2</v>
      </c>
      <c r="K531" t="s">
        <v>38</v>
      </c>
      <c r="L531">
        <v>33</v>
      </c>
      <c r="M531">
        <v>4</v>
      </c>
      <c r="N531">
        <v>2</v>
      </c>
      <c r="O531" t="s">
        <v>53</v>
      </c>
      <c r="P531">
        <v>4</v>
      </c>
      <c r="Q531" t="s">
        <v>40</v>
      </c>
      <c r="R531">
        <v>7625</v>
      </c>
      <c r="S531">
        <v>19383</v>
      </c>
      <c r="T531">
        <v>0</v>
      </c>
      <c r="U531" t="s">
        <v>41</v>
      </c>
      <c r="V531" t="s">
        <v>42</v>
      </c>
      <c r="W531">
        <v>13</v>
      </c>
      <c r="X531">
        <v>3</v>
      </c>
      <c r="Y531">
        <v>3</v>
      </c>
      <c r="Z531">
        <v>80</v>
      </c>
      <c r="AA531">
        <v>0</v>
      </c>
      <c r="AB531">
        <v>10</v>
      </c>
      <c r="AC531">
        <v>4</v>
      </c>
      <c r="AD531">
        <v>2</v>
      </c>
      <c r="AE531">
        <v>9</v>
      </c>
      <c r="AF531">
        <v>7</v>
      </c>
      <c r="AG531">
        <v>1</v>
      </c>
      <c r="AH531">
        <v>8</v>
      </c>
    </row>
    <row r="532" spans="1:34" x14ac:dyDescent="0.2">
      <c r="A532">
        <v>27</v>
      </c>
      <c r="B532" t="s">
        <v>42</v>
      </c>
      <c r="C532" t="s">
        <v>35</v>
      </c>
      <c r="D532" t="s">
        <v>44</v>
      </c>
      <c r="E532">
        <v>1</v>
      </c>
      <c r="F532">
        <v>2</v>
      </c>
      <c r="G532" t="s">
        <v>37</v>
      </c>
      <c r="H532">
        <v>1</v>
      </c>
      <c r="I532">
        <v>725</v>
      </c>
      <c r="J532">
        <v>3</v>
      </c>
      <c r="K532" t="s">
        <v>38</v>
      </c>
      <c r="L532">
        <v>68</v>
      </c>
      <c r="M532">
        <v>3</v>
      </c>
      <c r="N532">
        <v>3</v>
      </c>
      <c r="O532" t="s">
        <v>52</v>
      </c>
      <c r="P532">
        <v>1</v>
      </c>
      <c r="Q532" t="s">
        <v>47</v>
      </c>
      <c r="R532">
        <v>7412</v>
      </c>
      <c r="S532">
        <v>6009</v>
      </c>
      <c r="T532">
        <v>1</v>
      </c>
      <c r="U532" t="s">
        <v>41</v>
      </c>
      <c r="V532" t="s">
        <v>42</v>
      </c>
      <c r="W532">
        <v>11</v>
      </c>
      <c r="X532">
        <v>3</v>
      </c>
      <c r="Y532">
        <v>4</v>
      </c>
      <c r="Z532">
        <v>80</v>
      </c>
      <c r="AA532">
        <v>0</v>
      </c>
      <c r="AB532">
        <v>9</v>
      </c>
      <c r="AC532">
        <v>3</v>
      </c>
      <c r="AD532">
        <v>3</v>
      </c>
      <c r="AE532">
        <v>9</v>
      </c>
      <c r="AF532">
        <v>7</v>
      </c>
      <c r="AG532">
        <v>0</v>
      </c>
      <c r="AH532">
        <v>7</v>
      </c>
    </row>
    <row r="533" spans="1:34" x14ac:dyDescent="0.2">
      <c r="A533">
        <v>32</v>
      </c>
      <c r="B533" t="s">
        <v>42</v>
      </c>
      <c r="C533" t="s">
        <v>35</v>
      </c>
      <c r="D533" t="s">
        <v>44</v>
      </c>
      <c r="E533">
        <v>3</v>
      </c>
      <c r="F533">
        <v>2</v>
      </c>
      <c r="G533" t="s">
        <v>37</v>
      </c>
      <c r="H533">
        <v>1</v>
      </c>
      <c r="I533">
        <v>727</v>
      </c>
      <c r="J533">
        <v>3</v>
      </c>
      <c r="K533" t="s">
        <v>38</v>
      </c>
      <c r="L533">
        <v>39</v>
      </c>
      <c r="M533">
        <v>3</v>
      </c>
      <c r="N533">
        <v>3</v>
      </c>
      <c r="O533" t="s">
        <v>57</v>
      </c>
      <c r="P533">
        <v>4</v>
      </c>
      <c r="Q533" t="s">
        <v>40</v>
      </c>
      <c r="R533">
        <v>11159</v>
      </c>
      <c r="S533">
        <v>19373</v>
      </c>
      <c r="T533">
        <v>3</v>
      </c>
      <c r="U533" t="s">
        <v>41</v>
      </c>
      <c r="V533" t="s">
        <v>42</v>
      </c>
      <c r="W533">
        <v>15</v>
      </c>
      <c r="X533">
        <v>3</v>
      </c>
      <c r="Y533">
        <v>4</v>
      </c>
      <c r="Z533">
        <v>80</v>
      </c>
      <c r="AA533">
        <v>0</v>
      </c>
      <c r="AB533">
        <v>10</v>
      </c>
      <c r="AC533">
        <v>6</v>
      </c>
      <c r="AD533">
        <v>3</v>
      </c>
      <c r="AE533">
        <v>7</v>
      </c>
      <c r="AF533">
        <v>7</v>
      </c>
      <c r="AG533">
        <v>7</v>
      </c>
      <c r="AH533">
        <v>7</v>
      </c>
    </row>
    <row r="534" spans="1:34" x14ac:dyDescent="0.2">
      <c r="A534">
        <v>47</v>
      </c>
      <c r="B534" t="s">
        <v>42</v>
      </c>
      <c r="C534" t="s">
        <v>35</v>
      </c>
      <c r="D534" t="s">
        <v>36</v>
      </c>
      <c r="E534">
        <v>14</v>
      </c>
      <c r="F534">
        <v>4</v>
      </c>
      <c r="G534" t="s">
        <v>58</v>
      </c>
      <c r="H534">
        <v>1</v>
      </c>
      <c r="I534">
        <v>728</v>
      </c>
      <c r="J534">
        <v>4</v>
      </c>
      <c r="K534" t="s">
        <v>45</v>
      </c>
      <c r="L534">
        <v>42</v>
      </c>
      <c r="M534">
        <v>3</v>
      </c>
      <c r="N534">
        <v>2</v>
      </c>
      <c r="O534" t="s">
        <v>39</v>
      </c>
      <c r="P534">
        <v>1</v>
      </c>
      <c r="Q534" t="s">
        <v>40</v>
      </c>
      <c r="R534">
        <v>4960</v>
      </c>
      <c r="S534">
        <v>11825</v>
      </c>
      <c r="T534">
        <v>2</v>
      </c>
      <c r="U534" t="s">
        <v>41</v>
      </c>
      <c r="V534" t="s">
        <v>42</v>
      </c>
      <c r="W534">
        <v>12</v>
      </c>
      <c r="X534">
        <v>3</v>
      </c>
      <c r="Y534">
        <v>4</v>
      </c>
      <c r="Z534">
        <v>80</v>
      </c>
      <c r="AA534">
        <v>0</v>
      </c>
      <c r="AB534">
        <v>20</v>
      </c>
      <c r="AC534">
        <v>2</v>
      </c>
      <c r="AD534">
        <v>3</v>
      </c>
      <c r="AE534">
        <v>7</v>
      </c>
      <c r="AF534">
        <v>7</v>
      </c>
      <c r="AG534">
        <v>1</v>
      </c>
      <c r="AH534">
        <v>7</v>
      </c>
    </row>
    <row r="535" spans="1:34" x14ac:dyDescent="0.2">
      <c r="A535">
        <v>40</v>
      </c>
      <c r="B535" t="s">
        <v>42</v>
      </c>
      <c r="C535" t="s">
        <v>43</v>
      </c>
      <c r="D535" t="s">
        <v>36</v>
      </c>
      <c r="E535">
        <v>5</v>
      </c>
      <c r="F535">
        <v>4</v>
      </c>
      <c r="G535" t="s">
        <v>37</v>
      </c>
      <c r="H535">
        <v>1</v>
      </c>
      <c r="I535">
        <v>729</v>
      </c>
      <c r="J535">
        <v>4</v>
      </c>
      <c r="K535" t="s">
        <v>45</v>
      </c>
      <c r="L535">
        <v>48</v>
      </c>
      <c r="M535">
        <v>2</v>
      </c>
      <c r="N535">
        <v>3</v>
      </c>
      <c r="O535" t="s">
        <v>39</v>
      </c>
      <c r="P535">
        <v>1</v>
      </c>
      <c r="Q535" t="s">
        <v>47</v>
      </c>
      <c r="R535">
        <v>10475</v>
      </c>
      <c r="S535">
        <v>23772</v>
      </c>
      <c r="T535">
        <v>5</v>
      </c>
      <c r="U535" t="s">
        <v>41</v>
      </c>
      <c r="V535" t="s">
        <v>34</v>
      </c>
      <c r="W535">
        <v>21</v>
      </c>
      <c r="X535">
        <v>4</v>
      </c>
      <c r="Y535">
        <v>3</v>
      </c>
      <c r="Z535">
        <v>80</v>
      </c>
      <c r="AA535">
        <v>1</v>
      </c>
      <c r="AB535">
        <v>20</v>
      </c>
      <c r="AC535">
        <v>2</v>
      </c>
      <c r="AD535">
        <v>3</v>
      </c>
      <c r="AE535">
        <v>18</v>
      </c>
      <c r="AF535">
        <v>13</v>
      </c>
      <c r="AG535">
        <v>1</v>
      </c>
      <c r="AH535">
        <v>12</v>
      </c>
    </row>
    <row r="536" spans="1:34" x14ac:dyDescent="0.2">
      <c r="A536">
        <v>53</v>
      </c>
      <c r="B536" t="s">
        <v>42</v>
      </c>
      <c r="C536" t="s">
        <v>35</v>
      </c>
      <c r="D536" t="s">
        <v>44</v>
      </c>
      <c r="E536">
        <v>7</v>
      </c>
      <c r="F536">
        <v>3</v>
      </c>
      <c r="G536" t="s">
        <v>37</v>
      </c>
      <c r="H536">
        <v>1</v>
      </c>
      <c r="I536">
        <v>730</v>
      </c>
      <c r="J536">
        <v>3</v>
      </c>
      <c r="K536" t="s">
        <v>45</v>
      </c>
      <c r="L536">
        <v>59</v>
      </c>
      <c r="M536">
        <v>4</v>
      </c>
      <c r="N536">
        <v>4</v>
      </c>
      <c r="O536" t="s">
        <v>57</v>
      </c>
      <c r="P536">
        <v>3</v>
      </c>
      <c r="Q536" t="s">
        <v>47</v>
      </c>
      <c r="R536">
        <v>14814</v>
      </c>
      <c r="S536">
        <v>13514</v>
      </c>
      <c r="T536">
        <v>3</v>
      </c>
      <c r="U536" t="s">
        <v>41</v>
      </c>
      <c r="V536" t="s">
        <v>42</v>
      </c>
      <c r="W536">
        <v>19</v>
      </c>
      <c r="X536">
        <v>3</v>
      </c>
      <c r="Y536">
        <v>3</v>
      </c>
      <c r="Z536">
        <v>80</v>
      </c>
      <c r="AA536">
        <v>0</v>
      </c>
      <c r="AB536">
        <v>32</v>
      </c>
      <c r="AC536">
        <v>3</v>
      </c>
      <c r="AD536">
        <v>3</v>
      </c>
      <c r="AE536">
        <v>5</v>
      </c>
      <c r="AF536">
        <v>1</v>
      </c>
      <c r="AG536">
        <v>1</v>
      </c>
      <c r="AH536">
        <v>3</v>
      </c>
    </row>
    <row r="537" spans="1:34" x14ac:dyDescent="0.2">
      <c r="A537">
        <v>41</v>
      </c>
      <c r="B537" t="s">
        <v>42</v>
      </c>
      <c r="C537" t="s">
        <v>35</v>
      </c>
      <c r="D537" t="s">
        <v>60</v>
      </c>
      <c r="E537">
        <v>10</v>
      </c>
      <c r="F537">
        <v>4</v>
      </c>
      <c r="G537" t="s">
        <v>60</v>
      </c>
      <c r="H537">
        <v>1</v>
      </c>
      <c r="I537">
        <v>731</v>
      </c>
      <c r="J537">
        <v>2</v>
      </c>
      <c r="K537" t="s">
        <v>45</v>
      </c>
      <c r="L537">
        <v>73</v>
      </c>
      <c r="M537">
        <v>2</v>
      </c>
      <c r="N537">
        <v>5</v>
      </c>
      <c r="O537" t="s">
        <v>55</v>
      </c>
      <c r="P537">
        <v>4</v>
      </c>
      <c r="Q537" t="s">
        <v>51</v>
      </c>
      <c r="R537">
        <v>19141</v>
      </c>
      <c r="S537">
        <v>8861</v>
      </c>
      <c r="T537">
        <v>3</v>
      </c>
      <c r="U537" t="s">
        <v>41</v>
      </c>
      <c r="V537" t="s">
        <v>42</v>
      </c>
      <c r="W537">
        <v>15</v>
      </c>
      <c r="X537">
        <v>3</v>
      </c>
      <c r="Y537">
        <v>2</v>
      </c>
      <c r="Z537">
        <v>80</v>
      </c>
      <c r="AA537">
        <v>3</v>
      </c>
      <c r="AB537">
        <v>23</v>
      </c>
      <c r="AC537">
        <v>2</v>
      </c>
      <c r="AD537">
        <v>2</v>
      </c>
      <c r="AE537">
        <v>21</v>
      </c>
      <c r="AF537">
        <v>6</v>
      </c>
      <c r="AG537">
        <v>12</v>
      </c>
      <c r="AH537">
        <v>6</v>
      </c>
    </row>
    <row r="538" spans="1:34" x14ac:dyDescent="0.2">
      <c r="A538">
        <v>60</v>
      </c>
      <c r="B538" t="s">
        <v>42</v>
      </c>
      <c r="C538" t="s">
        <v>35</v>
      </c>
      <c r="D538" t="s">
        <v>36</v>
      </c>
      <c r="E538">
        <v>16</v>
      </c>
      <c r="F538">
        <v>4</v>
      </c>
      <c r="G538" t="s">
        <v>58</v>
      </c>
      <c r="H538">
        <v>1</v>
      </c>
      <c r="I538">
        <v>732</v>
      </c>
      <c r="J538">
        <v>1</v>
      </c>
      <c r="K538" t="s">
        <v>45</v>
      </c>
      <c r="L538">
        <v>84</v>
      </c>
      <c r="M538">
        <v>3</v>
      </c>
      <c r="N538">
        <v>2</v>
      </c>
      <c r="O538" t="s">
        <v>39</v>
      </c>
      <c r="P538">
        <v>1</v>
      </c>
      <c r="Q538" t="s">
        <v>40</v>
      </c>
      <c r="R538">
        <v>5405</v>
      </c>
      <c r="S538">
        <v>11924</v>
      </c>
      <c r="T538">
        <v>8</v>
      </c>
      <c r="U538" t="s">
        <v>41</v>
      </c>
      <c r="V538" t="s">
        <v>42</v>
      </c>
      <c r="W538">
        <v>14</v>
      </c>
      <c r="X538">
        <v>3</v>
      </c>
      <c r="Y538">
        <v>4</v>
      </c>
      <c r="Z538">
        <v>80</v>
      </c>
      <c r="AA538">
        <v>0</v>
      </c>
      <c r="AB538">
        <v>10</v>
      </c>
      <c r="AC538">
        <v>1</v>
      </c>
      <c r="AD538">
        <v>3</v>
      </c>
      <c r="AE538">
        <v>2</v>
      </c>
      <c r="AF538">
        <v>2</v>
      </c>
      <c r="AG538">
        <v>2</v>
      </c>
      <c r="AH538">
        <v>2</v>
      </c>
    </row>
    <row r="539" spans="1:34" x14ac:dyDescent="0.2">
      <c r="A539">
        <v>27</v>
      </c>
      <c r="B539" t="s">
        <v>42</v>
      </c>
      <c r="C539" t="s">
        <v>43</v>
      </c>
      <c r="D539" t="s">
        <v>44</v>
      </c>
      <c r="E539">
        <v>10</v>
      </c>
      <c r="F539">
        <v>2</v>
      </c>
      <c r="G539" t="s">
        <v>37</v>
      </c>
      <c r="H539">
        <v>1</v>
      </c>
      <c r="I539">
        <v>733</v>
      </c>
      <c r="J539">
        <v>4</v>
      </c>
      <c r="K539" t="s">
        <v>45</v>
      </c>
      <c r="L539">
        <v>32</v>
      </c>
      <c r="M539">
        <v>3</v>
      </c>
      <c r="N539">
        <v>3</v>
      </c>
      <c r="O539" t="s">
        <v>52</v>
      </c>
      <c r="P539">
        <v>1</v>
      </c>
      <c r="Q539" t="s">
        <v>51</v>
      </c>
      <c r="R539">
        <v>8793</v>
      </c>
      <c r="S539">
        <v>4809</v>
      </c>
      <c r="T539">
        <v>1</v>
      </c>
      <c r="U539" t="s">
        <v>41</v>
      </c>
      <c r="V539" t="s">
        <v>42</v>
      </c>
      <c r="W539">
        <v>21</v>
      </c>
      <c r="X539">
        <v>4</v>
      </c>
      <c r="Y539">
        <v>3</v>
      </c>
      <c r="Z539">
        <v>80</v>
      </c>
      <c r="AA539">
        <v>2</v>
      </c>
      <c r="AB539">
        <v>9</v>
      </c>
      <c r="AC539">
        <v>4</v>
      </c>
      <c r="AD539">
        <v>2</v>
      </c>
      <c r="AE539">
        <v>9</v>
      </c>
      <c r="AF539">
        <v>7</v>
      </c>
      <c r="AG539">
        <v>1</v>
      </c>
      <c r="AH539">
        <v>7</v>
      </c>
    </row>
    <row r="540" spans="1:34" x14ac:dyDescent="0.2">
      <c r="A540">
        <v>41</v>
      </c>
      <c r="B540" t="s">
        <v>42</v>
      </c>
      <c r="C540" t="s">
        <v>35</v>
      </c>
      <c r="D540" t="s">
        <v>60</v>
      </c>
      <c r="E540">
        <v>1</v>
      </c>
      <c r="F540">
        <v>3</v>
      </c>
      <c r="G540" t="s">
        <v>60</v>
      </c>
      <c r="H540">
        <v>1</v>
      </c>
      <c r="I540">
        <v>734</v>
      </c>
      <c r="J540">
        <v>4</v>
      </c>
      <c r="K540" t="s">
        <v>45</v>
      </c>
      <c r="L540">
        <v>59</v>
      </c>
      <c r="M540">
        <v>2</v>
      </c>
      <c r="N540">
        <v>5</v>
      </c>
      <c r="O540" t="s">
        <v>55</v>
      </c>
      <c r="P540">
        <v>3</v>
      </c>
      <c r="Q540" t="s">
        <v>47</v>
      </c>
      <c r="R540">
        <v>19189</v>
      </c>
      <c r="S540">
        <v>19562</v>
      </c>
      <c r="T540">
        <v>1</v>
      </c>
      <c r="U540" t="s">
        <v>41</v>
      </c>
      <c r="V540" t="s">
        <v>42</v>
      </c>
      <c r="W540">
        <v>12</v>
      </c>
      <c r="X540">
        <v>3</v>
      </c>
      <c r="Y540">
        <v>2</v>
      </c>
      <c r="Z540">
        <v>80</v>
      </c>
      <c r="AA540">
        <v>1</v>
      </c>
      <c r="AB540">
        <v>22</v>
      </c>
      <c r="AC540">
        <v>3</v>
      </c>
      <c r="AD540">
        <v>3</v>
      </c>
      <c r="AE540">
        <v>22</v>
      </c>
      <c r="AF540">
        <v>7</v>
      </c>
      <c r="AG540">
        <v>2</v>
      </c>
      <c r="AH540">
        <v>10</v>
      </c>
    </row>
    <row r="541" spans="1:34" x14ac:dyDescent="0.2">
      <c r="A541">
        <v>50</v>
      </c>
      <c r="B541" t="s">
        <v>42</v>
      </c>
      <c r="C541" t="s">
        <v>35</v>
      </c>
      <c r="D541" t="s">
        <v>36</v>
      </c>
      <c r="E541">
        <v>8</v>
      </c>
      <c r="F541">
        <v>4</v>
      </c>
      <c r="G541" t="s">
        <v>58</v>
      </c>
      <c r="H541">
        <v>1</v>
      </c>
      <c r="I541">
        <v>738</v>
      </c>
      <c r="J541">
        <v>4</v>
      </c>
      <c r="K541" t="s">
        <v>45</v>
      </c>
      <c r="L541">
        <v>54</v>
      </c>
      <c r="M541">
        <v>3</v>
      </c>
      <c r="N541">
        <v>1</v>
      </c>
      <c r="O541" t="s">
        <v>56</v>
      </c>
      <c r="P541">
        <v>2</v>
      </c>
      <c r="Q541" t="s">
        <v>47</v>
      </c>
      <c r="R541">
        <v>3875</v>
      </c>
      <c r="S541">
        <v>9983</v>
      </c>
      <c r="T541">
        <v>7</v>
      </c>
      <c r="U541" t="s">
        <v>41</v>
      </c>
      <c r="V541" t="s">
        <v>42</v>
      </c>
      <c r="W541">
        <v>15</v>
      </c>
      <c r="X541">
        <v>3</v>
      </c>
      <c r="Y541">
        <v>4</v>
      </c>
      <c r="Z541">
        <v>80</v>
      </c>
      <c r="AA541">
        <v>1</v>
      </c>
      <c r="AB541">
        <v>4</v>
      </c>
      <c r="AC541">
        <v>2</v>
      </c>
      <c r="AD541">
        <v>3</v>
      </c>
      <c r="AE541">
        <v>2</v>
      </c>
      <c r="AF541">
        <v>2</v>
      </c>
      <c r="AG541">
        <v>2</v>
      </c>
      <c r="AH541">
        <v>2</v>
      </c>
    </row>
    <row r="542" spans="1:34" x14ac:dyDescent="0.2">
      <c r="A542">
        <v>28</v>
      </c>
      <c r="B542" t="s">
        <v>34</v>
      </c>
      <c r="C542" t="s">
        <v>35</v>
      </c>
      <c r="D542" t="s">
        <v>44</v>
      </c>
      <c r="E542">
        <v>1</v>
      </c>
      <c r="F542">
        <v>2</v>
      </c>
      <c r="G542" t="s">
        <v>37</v>
      </c>
      <c r="H542">
        <v>1</v>
      </c>
      <c r="I542">
        <v>741</v>
      </c>
      <c r="J542">
        <v>1</v>
      </c>
      <c r="K542" t="s">
        <v>38</v>
      </c>
      <c r="L542">
        <v>67</v>
      </c>
      <c r="M542">
        <v>1</v>
      </c>
      <c r="N542">
        <v>1</v>
      </c>
      <c r="O542" t="s">
        <v>46</v>
      </c>
      <c r="P542">
        <v>2</v>
      </c>
      <c r="Q542" t="s">
        <v>40</v>
      </c>
      <c r="R542">
        <v>2216</v>
      </c>
      <c r="S542">
        <v>3872</v>
      </c>
      <c r="T542">
        <v>7</v>
      </c>
      <c r="U542" t="s">
        <v>41</v>
      </c>
      <c r="V542" t="s">
        <v>34</v>
      </c>
      <c r="W542">
        <v>13</v>
      </c>
      <c r="X542">
        <v>3</v>
      </c>
      <c r="Y542">
        <v>4</v>
      </c>
      <c r="Z542">
        <v>80</v>
      </c>
      <c r="AA542">
        <v>0</v>
      </c>
      <c r="AB542">
        <v>10</v>
      </c>
      <c r="AC542">
        <v>4</v>
      </c>
      <c r="AD542">
        <v>3</v>
      </c>
      <c r="AE542">
        <v>7</v>
      </c>
      <c r="AF542">
        <v>7</v>
      </c>
      <c r="AG542">
        <v>3</v>
      </c>
      <c r="AH542">
        <v>7</v>
      </c>
    </row>
    <row r="543" spans="1:34" x14ac:dyDescent="0.2">
      <c r="A543">
        <v>36</v>
      </c>
      <c r="B543" t="s">
        <v>42</v>
      </c>
      <c r="C543" t="s">
        <v>54</v>
      </c>
      <c r="D543" t="s">
        <v>44</v>
      </c>
      <c r="E543">
        <v>8</v>
      </c>
      <c r="F543">
        <v>3</v>
      </c>
      <c r="G543" t="s">
        <v>37</v>
      </c>
      <c r="H543">
        <v>1</v>
      </c>
      <c r="I543">
        <v>742</v>
      </c>
      <c r="J543">
        <v>1</v>
      </c>
      <c r="K543" t="s">
        <v>38</v>
      </c>
      <c r="L543">
        <v>63</v>
      </c>
      <c r="M543">
        <v>4</v>
      </c>
      <c r="N543">
        <v>3</v>
      </c>
      <c r="O543" t="s">
        <v>57</v>
      </c>
      <c r="P543">
        <v>1</v>
      </c>
      <c r="Q543" t="s">
        <v>47</v>
      </c>
      <c r="R543">
        <v>11713</v>
      </c>
      <c r="S543">
        <v>20335</v>
      </c>
      <c r="T543">
        <v>9</v>
      </c>
      <c r="U543" t="s">
        <v>41</v>
      </c>
      <c r="V543" t="s">
        <v>42</v>
      </c>
      <c r="W543">
        <v>14</v>
      </c>
      <c r="X543">
        <v>3</v>
      </c>
      <c r="Y543">
        <v>1</v>
      </c>
      <c r="Z543">
        <v>80</v>
      </c>
      <c r="AA543">
        <v>1</v>
      </c>
      <c r="AB543">
        <v>10</v>
      </c>
      <c r="AC543">
        <v>2</v>
      </c>
      <c r="AD543">
        <v>3</v>
      </c>
      <c r="AE543">
        <v>8</v>
      </c>
      <c r="AF543">
        <v>7</v>
      </c>
      <c r="AG543">
        <v>0</v>
      </c>
      <c r="AH543">
        <v>5</v>
      </c>
    </row>
    <row r="544" spans="1:34" x14ac:dyDescent="0.2">
      <c r="A544">
        <v>38</v>
      </c>
      <c r="B544" t="s">
        <v>42</v>
      </c>
      <c r="C544" t="s">
        <v>35</v>
      </c>
      <c r="D544" t="s">
        <v>44</v>
      </c>
      <c r="E544">
        <v>1</v>
      </c>
      <c r="F544">
        <v>3</v>
      </c>
      <c r="G544" t="s">
        <v>37</v>
      </c>
      <c r="H544">
        <v>1</v>
      </c>
      <c r="I544">
        <v>743</v>
      </c>
      <c r="J544">
        <v>3</v>
      </c>
      <c r="K544" t="s">
        <v>38</v>
      </c>
      <c r="L544">
        <v>81</v>
      </c>
      <c r="M544">
        <v>3</v>
      </c>
      <c r="N544">
        <v>3</v>
      </c>
      <c r="O544" t="s">
        <v>52</v>
      </c>
      <c r="P544">
        <v>3</v>
      </c>
      <c r="Q544" t="s">
        <v>40</v>
      </c>
      <c r="R544">
        <v>7861</v>
      </c>
      <c r="S544">
        <v>15397</v>
      </c>
      <c r="T544">
        <v>4</v>
      </c>
      <c r="U544" t="s">
        <v>41</v>
      </c>
      <c r="V544" t="s">
        <v>34</v>
      </c>
      <c r="W544">
        <v>14</v>
      </c>
      <c r="X544">
        <v>3</v>
      </c>
      <c r="Y544">
        <v>4</v>
      </c>
      <c r="Z544">
        <v>80</v>
      </c>
      <c r="AA544">
        <v>0</v>
      </c>
      <c r="AB544">
        <v>10</v>
      </c>
      <c r="AC544">
        <v>4</v>
      </c>
      <c r="AD544">
        <v>4</v>
      </c>
      <c r="AE544">
        <v>1</v>
      </c>
      <c r="AF544">
        <v>0</v>
      </c>
      <c r="AG544">
        <v>0</v>
      </c>
      <c r="AH544">
        <v>0</v>
      </c>
    </row>
    <row r="545" spans="1:34" x14ac:dyDescent="0.2">
      <c r="A545">
        <v>44</v>
      </c>
      <c r="B545" t="s">
        <v>42</v>
      </c>
      <c r="C545" t="s">
        <v>54</v>
      </c>
      <c r="D545" t="s">
        <v>44</v>
      </c>
      <c r="E545">
        <v>24</v>
      </c>
      <c r="F545">
        <v>3</v>
      </c>
      <c r="G545" t="s">
        <v>50</v>
      </c>
      <c r="H545">
        <v>1</v>
      </c>
      <c r="I545">
        <v>744</v>
      </c>
      <c r="J545">
        <v>1</v>
      </c>
      <c r="K545" t="s">
        <v>45</v>
      </c>
      <c r="L545">
        <v>49</v>
      </c>
      <c r="M545">
        <v>1</v>
      </c>
      <c r="N545">
        <v>1</v>
      </c>
      <c r="O545" t="s">
        <v>49</v>
      </c>
      <c r="P545">
        <v>3</v>
      </c>
      <c r="Q545" t="s">
        <v>40</v>
      </c>
      <c r="R545">
        <v>3708</v>
      </c>
      <c r="S545">
        <v>2104</v>
      </c>
      <c r="T545">
        <v>2</v>
      </c>
      <c r="U545" t="s">
        <v>41</v>
      </c>
      <c r="V545" t="s">
        <v>42</v>
      </c>
      <c r="W545">
        <v>14</v>
      </c>
      <c r="X545">
        <v>3</v>
      </c>
      <c r="Y545">
        <v>3</v>
      </c>
      <c r="Z545">
        <v>80</v>
      </c>
      <c r="AA545">
        <v>0</v>
      </c>
      <c r="AB545">
        <v>9</v>
      </c>
      <c r="AC545">
        <v>5</v>
      </c>
      <c r="AD545">
        <v>3</v>
      </c>
      <c r="AE545">
        <v>5</v>
      </c>
      <c r="AF545">
        <v>2</v>
      </c>
      <c r="AG545">
        <v>1</v>
      </c>
      <c r="AH545">
        <v>4</v>
      </c>
    </row>
    <row r="546" spans="1:34" x14ac:dyDescent="0.2">
      <c r="A546">
        <v>47</v>
      </c>
      <c r="B546" t="s">
        <v>42</v>
      </c>
      <c r="C546" t="s">
        <v>43</v>
      </c>
      <c r="D546" t="s">
        <v>36</v>
      </c>
      <c r="E546">
        <v>3</v>
      </c>
      <c r="F546">
        <v>3</v>
      </c>
      <c r="G546" t="s">
        <v>50</v>
      </c>
      <c r="H546">
        <v>1</v>
      </c>
      <c r="I546">
        <v>746</v>
      </c>
      <c r="J546">
        <v>4</v>
      </c>
      <c r="K546" t="s">
        <v>38</v>
      </c>
      <c r="L546">
        <v>49</v>
      </c>
      <c r="M546">
        <v>3</v>
      </c>
      <c r="N546">
        <v>4</v>
      </c>
      <c r="O546" t="s">
        <v>39</v>
      </c>
      <c r="P546">
        <v>3</v>
      </c>
      <c r="Q546" t="s">
        <v>51</v>
      </c>
      <c r="R546">
        <v>13770</v>
      </c>
      <c r="S546">
        <v>10225</v>
      </c>
      <c r="T546">
        <v>9</v>
      </c>
      <c r="U546" t="s">
        <v>41</v>
      </c>
      <c r="V546" t="s">
        <v>34</v>
      </c>
      <c r="W546">
        <v>12</v>
      </c>
      <c r="X546">
        <v>3</v>
      </c>
      <c r="Y546">
        <v>4</v>
      </c>
      <c r="Z546">
        <v>80</v>
      </c>
      <c r="AA546">
        <v>2</v>
      </c>
      <c r="AB546">
        <v>28</v>
      </c>
      <c r="AC546">
        <v>2</v>
      </c>
      <c r="AD546">
        <v>2</v>
      </c>
      <c r="AE546">
        <v>22</v>
      </c>
      <c r="AF546">
        <v>2</v>
      </c>
      <c r="AG546">
        <v>11</v>
      </c>
      <c r="AH546">
        <v>13</v>
      </c>
    </row>
    <row r="547" spans="1:34" x14ac:dyDescent="0.2">
      <c r="A547">
        <v>30</v>
      </c>
      <c r="B547" t="s">
        <v>42</v>
      </c>
      <c r="C547" t="s">
        <v>35</v>
      </c>
      <c r="D547" t="s">
        <v>36</v>
      </c>
      <c r="E547">
        <v>27</v>
      </c>
      <c r="F547">
        <v>5</v>
      </c>
      <c r="G547" t="s">
        <v>58</v>
      </c>
      <c r="H547">
        <v>1</v>
      </c>
      <c r="I547">
        <v>747</v>
      </c>
      <c r="J547">
        <v>3</v>
      </c>
      <c r="K547" t="s">
        <v>45</v>
      </c>
      <c r="L547">
        <v>99</v>
      </c>
      <c r="M547">
        <v>3</v>
      </c>
      <c r="N547">
        <v>2</v>
      </c>
      <c r="O547" t="s">
        <v>39</v>
      </c>
      <c r="P547">
        <v>4</v>
      </c>
      <c r="Q547" t="s">
        <v>51</v>
      </c>
      <c r="R547">
        <v>5304</v>
      </c>
      <c r="S547">
        <v>25275</v>
      </c>
      <c r="T547">
        <v>7</v>
      </c>
      <c r="U547" t="s">
        <v>41</v>
      </c>
      <c r="V547" t="s">
        <v>42</v>
      </c>
      <c r="W547">
        <v>23</v>
      </c>
      <c r="X547">
        <v>4</v>
      </c>
      <c r="Y547">
        <v>4</v>
      </c>
      <c r="Z547">
        <v>80</v>
      </c>
      <c r="AA547">
        <v>1</v>
      </c>
      <c r="AB547">
        <v>10</v>
      </c>
      <c r="AC547">
        <v>2</v>
      </c>
      <c r="AD547">
        <v>2</v>
      </c>
      <c r="AE547">
        <v>8</v>
      </c>
      <c r="AF547">
        <v>7</v>
      </c>
      <c r="AG547">
        <v>7</v>
      </c>
      <c r="AH547">
        <v>7</v>
      </c>
    </row>
    <row r="548" spans="1:34" x14ac:dyDescent="0.2">
      <c r="A548">
        <v>29</v>
      </c>
      <c r="B548" t="s">
        <v>42</v>
      </c>
      <c r="C548" t="s">
        <v>35</v>
      </c>
      <c r="D548" t="s">
        <v>36</v>
      </c>
      <c r="E548">
        <v>10</v>
      </c>
      <c r="F548">
        <v>3</v>
      </c>
      <c r="G548" t="s">
        <v>37</v>
      </c>
      <c r="H548">
        <v>1</v>
      </c>
      <c r="I548">
        <v>749</v>
      </c>
      <c r="J548">
        <v>3</v>
      </c>
      <c r="K548" t="s">
        <v>45</v>
      </c>
      <c r="L548">
        <v>99</v>
      </c>
      <c r="M548">
        <v>3</v>
      </c>
      <c r="N548">
        <v>1</v>
      </c>
      <c r="O548" t="s">
        <v>56</v>
      </c>
      <c r="P548">
        <v>3</v>
      </c>
      <c r="Q548" t="s">
        <v>40</v>
      </c>
      <c r="R548">
        <v>2642</v>
      </c>
      <c r="S548">
        <v>2755</v>
      </c>
      <c r="T548">
        <v>1</v>
      </c>
      <c r="U548" t="s">
        <v>41</v>
      </c>
      <c r="V548" t="s">
        <v>42</v>
      </c>
      <c r="W548">
        <v>11</v>
      </c>
      <c r="X548">
        <v>3</v>
      </c>
      <c r="Y548">
        <v>3</v>
      </c>
      <c r="Z548">
        <v>80</v>
      </c>
      <c r="AA548">
        <v>0</v>
      </c>
      <c r="AB548">
        <v>1</v>
      </c>
      <c r="AC548">
        <v>6</v>
      </c>
      <c r="AD548">
        <v>3</v>
      </c>
      <c r="AE548">
        <v>1</v>
      </c>
      <c r="AF548">
        <v>0</v>
      </c>
      <c r="AG548">
        <v>0</v>
      </c>
      <c r="AH548">
        <v>0</v>
      </c>
    </row>
    <row r="549" spans="1:34" x14ac:dyDescent="0.2">
      <c r="A549">
        <v>42</v>
      </c>
      <c r="B549" t="s">
        <v>34</v>
      </c>
      <c r="C549" t="s">
        <v>43</v>
      </c>
      <c r="D549" t="s">
        <v>44</v>
      </c>
      <c r="E549">
        <v>19</v>
      </c>
      <c r="F549">
        <v>3</v>
      </c>
      <c r="G549" t="s">
        <v>50</v>
      </c>
      <c r="H549">
        <v>1</v>
      </c>
      <c r="I549">
        <v>752</v>
      </c>
      <c r="J549">
        <v>3</v>
      </c>
      <c r="K549" t="s">
        <v>45</v>
      </c>
      <c r="L549">
        <v>57</v>
      </c>
      <c r="M549">
        <v>4</v>
      </c>
      <c r="N549">
        <v>1</v>
      </c>
      <c r="O549" t="s">
        <v>46</v>
      </c>
      <c r="P549">
        <v>3</v>
      </c>
      <c r="Q549" t="s">
        <v>51</v>
      </c>
      <c r="R549">
        <v>2759</v>
      </c>
      <c r="S549">
        <v>20366</v>
      </c>
      <c r="T549">
        <v>6</v>
      </c>
      <c r="U549" t="s">
        <v>41</v>
      </c>
      <c r="V549" t="s">
        <v>34</v>
      </c>
      <c r="W549">
        <v>12</v>
      </c>
      <c r="X549">
        <v>3</v>
      </c>
      <c r="Y549">
        <v>4</v>
      </c>
      <c r="Z549">
        <v>80</v>
      </c>
      <c r="AA549">
        <v>0</v>
      </c>
      <c r="AB549">
        <v>7</v>
      </c>
      <c r="AC549">
        <v>2</v>
      </c>
      <c r="AD549">
        <v>3</v>
      </c>
      <c r="AE549">
        <v>2</v>
      </c>
      <c r="AF549">
        <v>2</v>
      </c>
      <c r="AG549">
        <v>2</v>
      </c>
      <c r="AH549">
        <v>2</v>
      </c>
    </row>
    <row r="550" spans="1:34" x14ac:dyDescent="0.2">
      <c r="A550">
        <v>43</v>
      </c>
      <c r="B550" t="s">
        <v>42</v>
      </c>
      <c r="C550" t="s">
        <v>43</v>
      </c>
      <c r="D550" t="s">
        <v>36</v>
      </c>
      <c r="E550">
        <v>15</v>
      </c>
      <c r="F550">
        <v>3</v>
      </c>
      <c r="G550" t="s">
        <v>37</v>
      </c>
      <c r="H550">
        <v>1</v>
      </c>
      <c r="I550">
        <v>754</v>
      </c>
      <c r="J550">
        <v>4</v>
      </c>
      <c r="K550" t="s">
        <v>45</v>
      </c>
      <c r="L550">
        <v>47</v>
      </c>
      <c r="M550">
        <v>2</v>
      </c>
      <c r="N550">
        <v>2</v>
      </c>
      <c r="O550" t="s">
        <v>39</v>
      </c>
      <c r="P550">
        <v>4</v>
      </c>
      <c r="Q550" t="s">
        <v>47</v>
      </c>
      <c r="R550">
        <v>6804</v>
      </c>
      <c r="S550">
        <v>23683</v>
      </c>
      <c r="T550">
        <v>3</v>
      </c>
      <c r="U550" t="s">
        <v>41</v>
      </c>
      <c r="V550" t="s">
        <v>42</v>
      </c>
      <c r="W550">
        <v>18</v>
      </c>
      <c r="X550">
        <v>3</v>
      </c>
      <c r="Y550">
        <v>3</v>
      </c>
      <c r="Z550">
        <v>80</v>
      </c>
      <c r="AA550">
        <v>1</v>
      </c>
      <c r="AB550">
        <v>7</v>
      </c>
      <c r="AC550">
        <v>5</v>
      </c>
      <c r="AD550">
        <v>3</v>
      </c>
      <c r="AE550">
        <v>2</v>
      </c>
      <c r="AF550">
        <v>2</v>
      </c>
      <c r="AG550">
        <v>2</v>
      </c>
      <c r="AH550">
        <v>2</v>
      </c>
    </row>
    <row r="551" spans="1:34" x14ac:dyDescent="0.2">
      <c r="A551">
        <v>34</v>
      </c>
      <c r="B551" t="s">
        <v>42</v>
      </c>
      <c r="C551" t="s">
        <v>35</v>
      </c>
      <c r="D551" t="s">
        <v>44</v>
      </c>
      <c r="E551">
        <v>8</v>
      </c>
      <c r="F551">
        <v>2</v>
      </c>
      <c r="G551" t="s">
        <v>50</v>
      </c>
      <c r="H551">
        <v>1</v>
      </c>
      <c r="I551">
        <v>757</v>
      </c>
      <c r="J551">
        <v>2</v>
      </c>
      <c r="K551" t="s">
        <v>38</v>
      </c>
      <c r="L551">
        <v>96</v>
      </c>
      <c r="M551">
        <v>3</v>
      </c>
      <c r="N551">
        <v>2</v>
      </c>
      <c r="O551" t="s">
        <v>53</v>
      </c>
      <c r="P551">
        <v>3</v>
      </c>
      <c r="Q551" t="s">
        <v>40</v>
      </c>
      <c r="R551">
        <v>6142</v>
      </c>
      <c r="S551">
        <v>7360</v>
      </c>
      <c r="T551">
        <v>3</v>
      </c>
      <c r="U551" t="s">
        <v>41</v>
      </c>
      <c r="V551" t="s">
        <v>42</v>
      </c>
      <c r="W551">
        <v>11</v>
      </c>
      <c r="X551">
        <v>3</v>
      </c>
      <c r="Y551">
        <v>4</v>
      </c>
      <c r="Z551">
        <v>80</v>
      </c>
      <c r="AA551">
        <v>0</v>
      </c>
      <c r="AB551">
        <v>10</v>
      </c>
      <c r="AC551">
        <v>2</v>
      </c>
      <c r="AD551">
        <v>3</v>
      </c>
      <c r="AE551">
        <v>5</v>
      </c>
      <c r="AF551">
        <v>1</v>
      </c>
      <c r="AG551">
        <v>4</v>
      </c>
      <c r="AH551">
        <v>3</v>
      </c>
    </row>
    <row r="552" spans="1:34" x14ac:dyDescent="0.2">
      <c r="A552">
        <v>23</v>
      </c>
      <c r="B552" t="s">
        <v>42</v>
      </c>
      <c r="C552" t="s">
        <v>35</v>
      </c>
      <c r="D552" t="s">
        <v>44</v>
      </c>
      <c r="E552">
        <v>9</v>
      </c>
      <c r="F552">
        <v>1</v>
      </c>
      <c r="G552" t="s">
        <v>50</v>
      </c>
      <c r="H552">
        <v>1</v>
      </c>
      <c r="I552">
        <v>758</v>
      </c>
      <c r="J552">
        <v>2</v>
      </c>
      <c r="K552" t="s">
        <v>45</v>
      </c>
      <c r="L552">
        <v>37</v>
      </c>
      <c r="M552">
        <v>3</v>
      </c>
      <c r="N552">
        <v>1</v>
      </c>
      <c r="O552" t="s">
        <v>49</v>
      </c>
      <c r="P552">
        <v>1</v>
      </c>
      <c r="Q552" t="s">
        <v>47</v>
      </c>
      <c r="R552">
        <v>2500</v>
      </c>
      <c r="S552">
        <v>4344</v>
      </c>
      <c r="T552">
        <v>1</v>
      </c>
      <c r="U552" t="s">
        <v>41</v>
      </c>
      <c r="V552" t="s">
        <v>42</v>
      </c>
      <c r="W552">
        <v>14</v>
      </c>
      <c r="X552">
        <v>3</v>
      </c>
      <c r="Y552">
        <v>4</v>
      </c>
      <c r="Z552">
        <v>80</v>
      </c>
      <c r="AA552">
        <v>1</v>
      </c>
      <c r="AB552">
        <v>5</v>
      </c>
      <c r="AC552">
        <v>2</v>
      </c>
      <c r="AD552">
        <v>4</v>
      </c>
      <c r="AE552">
        <v>4</v>
      </c>
      <c r="AF552">
        <v>3</v>
      </c>
      <c r="AG552">
        <v>0</v>
      </c>
      <c r="AH552">
        <v>2</v>
      </c>
    </row>
    <row r="553" spans="1:34" x14ac:dyDescent="0.2">
      <c r="A553">
        <v>39</v>
      </c>
      <c r="B553" t="s">
        <v>42</v>
      </c>
      <c r="C553" t="s">
        <v>35</v>
      </c>
      <c r="D553" t="s">
        <v>60</v>
      </c>
      <c r="E553">
        <v>3</v>
      </c>
      <c r="F553">
        <v>3</v>
      </c>
      <c r="G553" t="s">
        <v>60</v>
      </c>
      <c r="H553">
        <v>1</v>
      </c>
      <c r="I553">
        <v>760</v>
      </c>
      <c r="J553">
        <v>3</v>
      </c>
      <c r="K553" t="s">
        <v>38</v>
      </c>
      <c r="L553">
        <v>44</v>
      </c>
      <c r="M553">
        <v>4</v>
      </c>
      <c r="N553">
        <v>2</v>
      </c>
      <c r="O553" t="s">
        <v>60</v>
      </c>
      <c r="P553">
        <v>2</v>
      </c>
      <c r="Q553" t="s">
        <v>47</v>
      </c>
      <c r="R553">
        <v>6389</v>
      </c>
      <c r="S553">
        <v>18767</v>
      </c>
      <c r="T553">
        <v>9</v>
      </c>
      <c r="U553" t="s">
        <v>41</v>
      </c>
      <c r="V553" t="s">
        <v>42</v>
      </c>
      <c r="W553">
        <v>15</v>
      </c>
      <c r="X553">
        <v>3</v>
      </c>
      <c r="Y553">
        <v>3</v>
      </c>
      <c r="Z553">
        <v>80</v>
      </c>
      <c r="AA553">
        <v>1</v>
      </c>
      <c r="AB553">
        <v>12</v>
      </c>
      <c r="AC553">
        <v>3</v>
      </c>
      <c r="AD553">
        <v>1</v>
      </c>
      <c r="AE553">
        <v>8</v>
      </c>
      <c r="AF553">
        <v>3</v>
      </c>
      <c r="AG553">
        <v>3</v>
      </c>
      <c r="AH553">
        <v>6</v>
      </c>
    </row>
    <row r="554" spans="1:34" x14ac:dyDescent="0.2">
      <c r="A554">
        <v>56</v>
      </c>
      <c r="B554" t="s">
        <v>42</v>
      </c>
      <c r="C554" t="s">
        <v>35</v>
      </c>
      <c r="D554" t="s">
        <v>44</v>
      </c>
      <c r="E554">
        <v>9</v>
      </c>
      <c r="F554">
        <v>3</v>
      </c>
      <c r="G554" t="s">
        <v>50</v>
      </c>
      <c r="H554">
        <v>1</v>
      </c>
      <c r="I554">
        <v>762</v>
      </c>
      <c r="J554">
        <v>3</v>
      </c>
      <c r="K554" t="s">
        <v>45</v>
      </c>
      <c r="L554">
        <v>81</v>
      </c>
      <c r="M554">
        <v>3</v>
      </c>
      <c r="N554">
        <v>4</v>
      </c>
      <c r="O554" t="s">
        <v>53</v>
      </c>
      <c r="P554">
        <v>4</v>
      </c>
      <c r="Q554" t="s">
        <v>47</v>
      </c>
      <c r="R554">
        <v>11103</v>
      </c>
      <c r="S554">
        <v>20420</v>
      </c>
      <c r="T554">
        <v>7</v>
      </c>
      <c r="U554" t="s">
        <v>41</v>
      </c>
      <c r="V554" t="s">
        <v>42</v>
      </c>
      <c r="W554">
        <v>11</v>
      </c>
      <c r="X554">
        <v>3</v>
      </c>
      <c r="Y554">
        <v>3</v>
      </c>
      <c r="Z554">
        <v>80</v>
      </c>
      <c r="AA554">
        <v>0</v>
      </c>
      <c r="AB554">
        <v>30</v>
      </c>
      <c r="AC554">
        <v>1</v>
      </c>
      <c r="AD554">
        <v>2</v>
      </c>
      <c r="AE554">
        <v>10</v>
      </c>
      <c r="AF554">
        <v>7</v>
      </c>
      <c r="AG554">
        <v>1</v>
      </c>
      <c r="AH554">
        <v>1</v>
      </c>
    </row>
    <row r="555" spans="1:34" x14ac:dyDescent="0.2">
      <c r="A555">
        <v>40</v>
      </c>
      <c r="B555" t="s">
        <v>42</v>
      </c>
      <c r="C555" t="s">
        <v>35</v>
      </c>
      <c r="D555" t="s">
        <v>44</v>
      </c>
      <c r="E555">
        <v>2</v>
      </c>
      <c r="F555">
        <v>1</v>
      </c>
      <c r="G555" t="s">
        <v>50</v>
      </c>
      <c r="H555">
        <v>1</v>
      </c>
      <c r="I555">
        <v>763</v>
      </c>
      <c r="J555">
        <v>4</v>
      </c>
      <c r="K555" t="s">
        <v>38</v>
      </c>
      <c r="L555">
        <v>86</v>
      </c>
      <c r="M555">
        <v>2</v>
      </c>
      <c r="N555">
        <v>1</v>
      </c>
      <c r="O555" t="s">
        <v>46</v>
      </c>
      <c r="P555">
        <v>4</v>
      </c>
      <c r="Q555" t="s">
        <v>40</v>
      </c>
      <c r="R555">
        <v>2342</v>
      </c>
      <c r="S555">
        <v>22929</v>
      </c>
      <c r="T555">
        <v>0</v>
      </c>
      <c r="U555" t="s">
        <v>41</v>
      </c>
      <c r="V555" t="s">
        <v>34</v>
      </c>
      <c r="W555">
        <v>20</v>
      </c>
      <c r="X555">
        <v>4</v>
      </c>
      <c r="Y555">
        <v>4</v>
      </c>
      <c r="Z555">
        <v>80</v>
      </c>
      <c r="AA555">
        <v>0</v>
      </c>
      <c r="AB555">
        <v>5</v>
      </c>
      <c r="AC555">
        <v>2</v>
      </c>
      <c r="AD555">
        <v>2</v>
      </c>
      <c r="AE555">
        <v>4</v>
      </c>
      <c r="AF555">
        <v>2</v>
      </c>
      <c r="AG555">
        <v>2</v>
      </c>
      <c r="AH555">
        <v>3</v>
      </c>
    </row>
    <row r="556" spans="1:34" x14ac:dyDescent="0.2">
      <c r="A556">
        <v>27</v>
      </c>
      <c r="B556" t="s">
        <v>42</v>
      </c>
      <c r="C556" t="s">
        <v>35</v>
      </c>
      <c r="D556" t="s">
        <v>44</v>
      </c>
      <c r="E556">
        <v>7</v>
      </c>
      <c r="F556">
        <v>3</v>
      </c>
      <c r="G556" t="s">
        <v>50</v>
      </c>
      <c r="H556">
        <v>1</v>
      </c>
      <c r="I556">
        <v>764</v>
      </c>
      <c r="J556">
        <v>4</v>
      </c>
      <c r="K556" t="s">
        <v>38</v>
      </c>
      <c r="L556">
        <v>55</v>
      </c>
      <c r="M556">
        <v>2</v>
      </c>
      <c r="N556">
        <v>2</v>
      </c>
      <c r="O556" t="s">
        <v>53</v>
      </c>
      <c r="P556">
        <v>1</v>
      </c>
      <c r="Q556" t="s">
        <v>40</v>
      </c>
      <c r="R556">
        <v>6811</v>
      </c>
      <c r="S556">
        <v>23398</v>
      </c>
      <c r="T556">
        <v>8</v>
      </c>
      <c r="U556" t="s">
        <v>41</v>
      </c>
      <c r="V556" t="s">
        <v>42</v>
      </c>
      <c r="W556">
        <v>19</v>
      </c>
      <c r="X556">
        <v>3</v>
      </c>
      <c r="Y556">
        <v>1</v>
      </c>
      <c r="Z556">
        <v>80</v>
      </c>
      <c r="AA556">
        <v>0</v>
      </c>
      <c r="AB556">
        <v>9</v>
      </c>
      <c r="AC556">
        <v>2</v>
      </c>
      <c r="AD556">
        <v>1</v>
      </c>
      <c r="AE556">
        <v>7</v>
      </c>
      <c r="AF556">
        <v>6</v>
      </c>
      <c r="AG556">
        <v>0</v>
      </c>
      <c r="AH556">
        <v>7</v>
      </c>
    </row>
    <row r="557" spans="1:34" x14ac:dyDescent="0.2">
      <c r="A557">
        <v>29</v>
      </c>
      <c r="B557" t="s">
        <v>42</v>
      </c>
      <c r="C557" t="s">
        <v>35</v>
      </c>
      <c r="D557" t="s">
        <v>36</v>
      </c>
      <c r="E557">
        <v>10</v>
      </c>
      <c r="F557">
        <v>3</v>
      </c>
      <c r="G557" t="s">
        <v>58</v>
      </c>
      <c r="H557">
        <v>1</v>
      </c>
      <c r="I557">
        <v>766</v>
      </c>
      <c r="J557">
        <v>4</v>
      </c>
      <c r="K557" t="s">
        <v>45</v>
      </c>
      <c r="L557">
        <v>83</v>
      </c>
      <c r="M557">
        <v>3</v>
      </c>
      <c r="N557">
        <v>1</v>
      </c>
      <c r="O557" t="s">
        <v>56</v>
      </c>
      <c r="P557">
        <v>2</v>
      </c>
      <c r="Q557" t="s">
        <v>51</v>
      </c>
      <c r="R557">
        <v>2297</v>
      </c>
      <c r="S557">
        <v>17967</v>
      </c>
      <c r="T557">
        <v>1</v>
      </c>
      <c r="U557" t="s">
        <v>41</v>
      </c>
      <c r="V557" t="s">
        <v>42</v>
      </c>
      <c r="W557">
        <v>14</v>
      </c>
      <c r="X557">
        <v>3</v>
      </c>
      <c r="Y557">
        <v>4</v>
      </c>
      <c r="Z557">
        <v>80</v>
      </c>
      <c r="AA557">
        <v>2</v>
      </c>
      <c r="AB557">
        <v>2</v>
      </c>
      <c r="AC557">
        <v>2</v>
      </c>
      <c r="AD557">
        <v>3</v>
      </c>
      <c r="AE557">
        <v>2</v>
      </c>
      <c r="AF557">
        <v>2</v>
      </c>
      <c r="AG557">
        <v>2</v>
      </c>
      <c r="AH557">
        <v>2</v>
      </c>
    </row>
    <row r="558" spans="1:34" x14ac:dyDescent="0.2">
      <c r="A558">
        <v>53</v>
      </c>
      <c r="B558" t="s">
        <v>42</v>
      </c>
      <c r="C558" t="s">
        <v>35</v>
      </c>
      <c r="D558" t="s">
        <v>44</v>
      </c>
      <c r="E558">
        <v>6</v>
      </c>
      <c r="F558">
        <v>3</v>
      </c>
      <c r="G558" t="s">
        <v>37</v>
      </c>
      <c r="H558">
        <v>1</v>
      </c>
      <c r="I558">
        <v>769</v>
      </c>
      <c r="J558">
        <v>4</v>
      </c>
      <c r="K558" t="s">
        <v>45</v>
      </c>
      <c r="L558">
        <v>86</v>
      </c>
      <c r="M558">
        <v>3</v>
      </c>
      <c r="N558">
        <v>2</v>
      </c>
      <c r="O558" t="s">
        <v>49</v>
      </c>
      <c r="P558">
        <v>4</v>
      </c>
      <c r="Q558" t="s">
        <v>40</v>
      </c>
      <c r="R558">
        <v>2450</v>
      </c>
      <c r="S558">
        <v>10919</v>
      </c>
      <c r="T558">
        <v>2</v>
      </c>
      <c r="U558" t="s">
        <v>41</v>
      </c>
      <c r="V558" t="s">
        <v>42</v>
      </c>
      <c r="W558">
        <v>17</v>
      </c>
      <c r="X558">
        <v>3</v>
      </c>
      <c r="Y558">
        <v>4</v>
      </c>
      <c r="Z558">
        <v>80</v>
      </c>
      <c r="AA558">
        <v>0</v>
      </c>
      <c r="AB558">
        <v>19</v>
      </c>
      <c r="AC558">
        <v>4</v>
      </c>
      <c r="AD558">
        <v>3</v>
      </c>
      <c r="AE558">
        <v>2</v>
      </c>
      <c r="AF558">
        <v>2</v>
      </c>
      <c r="AG558">
        <v>2</v>
      </c>
      <c r="AH558">
        <v>2</v>
      </c>
    </row>
    <row r="559" spans="1:34" x14ac:dyDescent="0.2">
      <c r="A559">
        <v>35</v>
      </c>
      <c r="B559" t="s">
        <v>42</v>
      </c>
      <c r="C559" t="s">
        <v>54</v>
      </c>
      <c r="D559" t="s">
        <v>44</v>
      </c>
      <c r="E559">
        <v>2</v>
      </c>
      <c r="F559">
        <v>4</v>
      </c>
      <c r="G559" t="s">
        <v>37</v>
      </c>
      <c r="H559">
        <v>1</v>
      </c>
      <c r="I559">
        <v>771</v>
      </c>
      <c r="J559">
        <v>4</v>
      </c>
      <c r="K559" t="s">
        <v>38</v>
      </c>
      <c r="L559">
        <v>61</v>
      </c>
      <c r="M559">
        <v>3</v>
      </c>
      <c r="N559">
        <v>2</v>
      </c>
      <c r="O559" t="s">
        <v>53</v>
      </c>
      <c r="P559">
        <v>1</v>
      </c>
      <c r="Q559" t="s">
        <v>51</v>
      </c>
      <c r="R559">
        <v>5093</v>
      </c>
      <c r="S559">
        <v>4761</v>
      </c>
      <c r="T559">
        <v>2</v>
      </c>
      <c r="U559" t="s">
        <v>41</v>
      </c>
      <c r="V559" t="s">
        <v>42</v>
      </c>
      <c r="W559">
        <v>11</v>
      </c>
      <c r="X559">
        <v>3</v>
      </c>
      <c r="Y559">
        <v>1</v>
      </c>
      <c r="Z559">
        <v>80</v>
      </c>
      <c r="AA559">
        <v>1</v>
      </c>
      <c r="AB559">
        <v>16</v>
      </c>
      <c r="AC559">
        <v>2</v>
      </c>
      <c r="AD559">
        <v>4</v>
      </c>
      <c r="AE559">
        <v>1</v>
      </c>
      <c r="AF559">
        <v>0</v>
      </c>
      <c r="AG559">
        <v>0</v>
      </c>
      <c r="AH559">
        <v>0</v>
      </c>
    </row>
    <row r="560" spans="1:34" x14ac:dyDescent="0.2">
      <c r="A560">
        <v>32</v>
      </c>
      <c r="B560" t="s">
        <v>42</v>
      </c>
      <c r="C560" t="s">
        <v>43</v>
      </c>
      <c r="D560" t="s">
        <v>44</v>
      </c>
      <c r="E560">
        <v>24</v>
      </c>
      <c r="F560">
        <v>4</v>
      </c>
      <c r="G560" t="s">
        <v>37</v>
      </c>
      <c r="H560">
        <v>1</v>
      </c>
      <c r="I560">
        <v>772</v>
      </c>
      <c r="J560">
        <v>1</v>
      </c>
      <c r="K560" t="s">
        <v>45</v>
      </c>
      <c r="L560">
        <v>80</v>
      </c>
      <c r="M560">
        <v>3</v>
      </c>
      <c r="N560">
        <v>2</v>
      </c>
      <c r="O560" t="s">
        <v>49</v>
      </c>
      <c r="P560">
        <v>4</v>
      </c>
      <c r="Q560" t="s">
        <v>47</v>
      </c>
      <c r="R560">
        <v>5309</v>
      </c>
      <c r="S560">
        <v>21146</v>
      </c>
      <c r="T560">
        <v>1</v>
      </c>
      <c r="U560" t="s">
        <v>41</v>
      </c>
      <c r="V560" t="s">
        <v>42</v>
      </c>
      <c r="W560">
        <v>15</v>
      </c>
      <c r="X560">
        <v>3</v>
      </c>
      <c r="Y560">
        <v>4</v>
      </c>
      <c r="Z560">
        <v>80</v>
      </c>
      <c r="AA560">
        <v>2</v>
      </c>
      <c r="AB560">
        <v>10</v>
      </c>
      <c r="AC560">
        <v>2</v>
      </c>
      <c r="AD560">
        <v>3</v>
      </c>
      <c r="AE560">
        <v>10</v>
      </c>
      <c r="AF560">
        <v>8</v>
      </c>
      <c r="AG560">
        <v>4</v>
      </c>
      <c r="AH560">
        <v>7</v>
      </c>
    </row>
    <row r="561" spans="1:34" x14ac:dyDescent="0.2">
      <c r="A561">
        <v>38</v>
      </c>
      <c r="B561" t="s">
        <v>42</v>
      </c>
      <c r="C561" t="s">
        <v>35</v>
      </c>
      <c r="D561" t="s">
        <v>44</v>
      </c>
      <c r="E561">
        <v>2</v>
      </c>
      <c r="F561">
        <v>5</v>
      </c>
      <c r="G561" t="s">
        <v>50</v>
      </c>
      <c r="H561">
        <v>1</v>
      </c>
      <c r="I561">
        <v>773</v>
      </c>
      <c r="J561">
        <v>4</v>
      </c>
      <c r="K561" t="s">
        <v>45</v>
      </c>
      <c r="L561">
        <v>92</v>
      </c>
      <c r="M561">
        <v>3</v>
      </c>
      <c r="N561">
        <v>1</v>
      </c>
      <c r="O561" t="s">
        <v>46</v>
      </c>
      <c r="P561">
        <v>3</v>
      </c>
      <c r="Q561" t="s">
        <v>47</v>
      </c>
      <c r="R561">
        <v>3057</v>
      </c>
      <c r="S561">
        <v>20471</v>
      </c>
      <c r="T561">
        <v>6</v>
      </c>
      <c r="U561" t="s">
        <v>41</v>
      </c>
      <c r="V561" t="s">
        <v>34</v>
      </c>
      <c r="W561">
        <v>13</v>
      </c>
      <c r="X561">
        <v>3</v>
      </c>
      <c r="Y561">
        <v>2</v>
      </c>
      <c r="Z561">
        <v>80</v>
      </c>
      <c r="AA561">
        <v>1</v>
      </c>
      <c r="AB561">
        <v>6</v>
      </c>
      <c r="AC561">
        <v>0</v>
      </c>
      <c r="AD561">
        <v>1</v>
      </c>
      <c r="AE561">
        <v>1</v>
      </c>
      <c r="AF561">
        <v>0</v>
      </c>
      <c r="AG561">
        <v>0</v>
      </c>
      <c r="AH561">
        <v>1</v>
      </c>
    </row>
    <row r="562" spans="1:34" x14ac:dyDescent="0.2">
      <c r="A562">
        <v>34</v>
      </c>
      <c r="B562" t="s">
        <v>42</v>
      </c>
      <c r="C562" t="s">
        <v>35</v>
      </c>
      <c r="D562" t="s">
        <v>44</v>
      </c>
      <c r="E562">
        <v>8</v>
      </c>
      <c r="F562">
        <v>5</v>
      </c>
      <c r="G562" t="s">
        <v>37</v>
      </c>
      <c r="H562">
        <v>1</v>
      </c>
      <c r="I562">
        <v>775</v>
      </c>
      <c r="J562">
        <v>2</v>
      </c>
      <c r="K562" t="s">
        <v>38</v>
      </c>
      <c r="L562">
        <v>32</v>
      </c>
      <c r="M562">
        <v>3</v>
      </c>
      <c r="N562">
        <v>2</v>
      </c>
      <c r="O562" t="s">
        <v>52</v>
      </c>
      <c r="P562">
        <v>1</v>
      </c>
      <c r="Q562" t="s">
        <v>51</v>
      </c>
      <c r="R562">
        <v>5121</v>
      </c>
      <c r="S562">
        <v>4187</v>
      </c>
      <c r="T562">
        <v>3</v>
      </c>
      <c r="U562" t="s">
        <v>41</v>
      </c>
      <c r="V562" t="s">
        <v>42</v>
      </c>
      <c r="W562">
        <v>14</v>
      </c>
      <c r="X562">
        <v>3</v>
      </c>
      <c r="Y562">
        <v>3</v>
      </c>
      <c r="Z562">
        <v>80</v>
      </c>
      <c r="AA562">
        <v>1</v>
      </c>
      <c r="AB562">
        <v>7</v>
      </c>
      <c r="AC562">
        <v>3</v>
      </c>
      <c r="AD562">
        <v>3</v>
      </c>
      <c r="AE562">
        <v>0</v>
      </c>
      <c r="AF562">
        <v>0</v>
      </c>
      <c r="AG562">
        <v>0</v>
      </c>
      <c r="AH562">
        <v>0</v>
      </c>
    </row>
    <row r="563" spans="1:34" x14ac:dyDescent="0.2">
      <c r="A563">
        <v>52</v>
      </c>
      <c r="B563" t="s">
        <v>42</v>
      </c>
      <c r="C563" t="s">
        <v>35</v>
      </c>
      <c r="D563" t="s">
        <v>36</v>
      </c>
      <c r="E563">
        <v>3</v>
      </c>
      <c r="F563">
        <v>4</v>
      </c>
      <c r="G563" t="s">
        <v>58</v>
      </c>
      <c r="H563">
        <v>1</v>
      </c>
      <c r="I563">
        <v>776</v>
      </c>
      <c r="J563">
        <v>3</v>
      </c>
      <c r="K563" t="s">
        <v>45</v>
      </c>
      <c r="L563">
        <v>31</v>
      </c>
      <c r="M563">
        <v>2</v>
      </c>
      <c r="N563">
        <v>4</v>
      </c>
      <c r="O563" t="s">
        <v>55</v>
      </c>
      <c r="P563">
        <v>1</v>
      </c>
      <c r="Q563" t="s">
        <v>47</v>
      </c>
      <c r="R563">
        <v>16856</v>
      </c>
      <c r="S563">
        <v>10084</v>
      </c>
      <c r="T563">
        <v>1</v>
      </c>
      <c r="U563" t="s">
        <v>41</v>
      </c>
      <c r="V563" t="s">
        <v>42</v>
      </c>
      <c r="W563">
        <v>11</v>
      </c>
      <c r="X563">
        <v>3</v>
      </c>
      <c r="Y563">
        <v>1</v>
      </c>
      <c r="Z563">
        <v>80</v>
      </c>
      <c r="AA563">
        <v>0</v>
      </c>
      <c r="AB563">
        <v>34</v>
      </c>
      <c r="AC563">
        <v>3</v>
      </c>
      <c r="AD563">
        <v>4</v>
      </c>
      <c r="AE563">
        <v>34</v>
      </c>
      <c r="AF563">
        <v>6</v>
      </c>
      <c r="AG563">
        <v>1</v>
      </c>
      <c r="AH563">
        <v>16</v>
      </c>
    </row>
    <row r="564" spans="1:34" x14ac:dyDescent="0.2">
      <c r="A564">
        <v>33</v>
      </c>
      <c r="B564" t="s">
        <v>34</v>
      </c>
      <c r="C564" t="s">
        <v>35</v>
      </c>
      <c r="D564" t="s">
        <v>44</v>
      </c>
      <c r="E564">
        <v>1</v>
      </c>
      <c r="F564">
        <v>4</v>
      </c>
      <c r="G564" t="s">
        <v>48</v>
      </c>
      <c r="H564">
        <v>1</v>
      </c>
      <c r="I564">
        <v>780</v>
      </c>
      <c r="J564">
        <v>4</v>
      </c>
      <c r="K564" t="s">
        <v>45</v>
      </c>
      <c r="L564">
        <v>63</v>
      </c>
      <c r="M564">
        <v>3</v>
      </c>
      <c r="N564">
        <v>1</v>
      </c>
      <c r="O564" t="s">
        <v>46</v>
      </c>
      <c r="P564">
        <v>4</v>
      </c>
      <c r="Q564" t="s">
        <v>40</v>
      </c>
      <c r="R564">
        <v>2686</v>
      </c>
      <c r="S564">
        <v>5207</v>
      </c>
      <c r="T564">
        <v>1</v>
      </c>
      <c r="U564" t="s">
        <v>41</v>
      </c>
      <c r="V564" t="s">
        <v>34</v>
      </c>
      <c r="W564">
        <v>13</v>
      </c>
      <c r="X564">
        <v>3</v>
      </c>
      <c r="Y564">
        <v>3</v>
      </c>
      <c r="Z564">
        <v>80</v>
      </c>
      <c r="AA564">
        <v>0</v>
      </c>
      <c r="AB564">
        <v>10</v>
      </c>
      <c r="AC564">
        <v>2</v>
      </c>
      <c r="AD564">
        <v>2</v>
      </c>
      <c r="AE564">
        <v>10</v>
      </c>
      <c r="AF564">
        <v>9</v>
      </c>
      <c r="AG564">
        <v>7</v>
      </c>
      <c r="AH564">
        <v>8</v>
      </c>
    </row>
    <row r="565" spans="1:34" x14ac:dyDescent="0.2">
      <c r="A565">
        <v>25</v>
      </c>
      <c r="B565" t="s">
        <v>42</v>
      </c>
      <c r="C565" t="s">
        <v>35</v>
      </c>
      <c r="D565" t="s">
        <v>36</v>
      </c>
      <c r="E565">
        <v>26</v>
      </c>
      <c r="F565">
        <v>1</v>
      </c>
      <c r="G565" t="s">
        <v>50</v>
      </c>
      <c r="H565">
        <v>1</v>
      </c>
      <c r="I565">
        <v>781</v>
      </c>
      <c r="J565">
        <v>3</v>
      </c>
      <c r="K565" t="s">
        <v>38</v>
      </c>
      <c r="L565">
        <v>32</v>
      </c>
      <c r="M565">
        <v>3</v>
      </c>
      <c r="N565">
        <v>2</v>
      </c>
      <c r="O565" t="s">
        <v>39</v>
      </c>
      <c r="P565">
        <v>4</v>
      </c>
      <c r="Q565" t="s">
        <v>40</v>
      </c>
      <c r="R565">
        <v>6180</v>
      </c>
      <c r="S565">
        <v>22807</v>
      </c>
      <c r="T565">
        <v>1</v>
      </c>
      <c r="U565" t="s">
        <v>41</v>
      </c>
      <c r="V565" t="s">
        <v>42</v>
      </c>
      <c r="W565">
        <v>23</v>
      </c>
      <c r="X565">
        <v>4</v>
      </c>
      <c r="Y565">
        <v>2</v>
      </c>
      <c r="Z565">
        <v>80</v>
      </c>
      <c r="AA565">
        <v>0</v>
      </c>
      <c r="AB565">
        <v>6</v>
      </c>
      <c r="AC565">
        <v>5</v>
      </c>
      <c r="AD565">
        <v>2</v>
      </c>
      <c r="AE565">
        <v>6</v>
      </c>
      <c r="AF565">
        <v>5</v>
      </c>
      <c r="AG565">
        <v>1</v>
      </c>
      <c r="AH565">
        <v>4</v>
      </c>
    </row>
    <row r="566" spans="1:34" x14ac:dyDescent="0.2">
      <c r="A566">
        <v>45</v>
      </c>
      <c r="B566" t="s">
        <v>42</v>
      </c>
      <c r="C566" t="s">
        <v>35</v>
      </c>
      <c r="D566" t="s">
        <v>36</v>
      </c>
      <c r="E566">
        <v>2</v>
      </c>
      <c r="F566">
        <v>2</v>
      </c>
      <c r="G566" t="s">
        <v>59</v>
      </c>
      <c r="H566">
        <v>1</v>
      </c>
      <c r="I566">
        <v>783</v>
      </c>
      <c r="J566">
        <v>2</v>
      </c>
      <c r="K566" t="s">
        <v>45</v>
      </c>
      <c r="L566">
        <v>46</v>
      </c>
      <c r="M566">
        <v>1</v>
      </c>
      <c r="N566">
        <v>2</v>
      </c>
      <c r="O566" t="s">
        <v>56</v>
      </c>
      <c r="P566">
        <v>3</v>
      </c>
      <c r="Q566" t="s">
        <v>40</v>
      </c>
      <c r="R566">
        <v>6632</v>
      </c>
      <c r="S566">
        <v>12388</v>
      </c>
      <c r="T566">
        <v>0</v>
      </c>
      <c r="U566" t="s">
        <v>41</v>
      </c>
      <c r="V566" t="s">
        <v>42</v>
      </c>
      <c r="W566">
        <v>13</v>
      </c>
      <c r="X566">
        <v>3</v>
      </c>
      <c r="Y566">
        <v>1</v>
      </c>
      <c r="Z566">
        <v>80</v>
      </c>
      <c r="AA566">
        <v>0</v>
      </c>
      <c r="AB566">
        <v>9</v>
      </c>
      <c r="AC566">
        <v>3</v>
      </c>
      <c r="AD566">
        <v>3</v>
      </c>
      <c r="AE566">
        <v>8</v>
      </c>
      <c r="AF566">
        <v>7</v>
      </c>
      <c r="AG566">
        <v>3</v>
      </c>
      <c r="AH566">
        <v>1</v>
      </c>
    </row>
    <row r="567" spans="1:34" x14ac:dyDescent="0.2">
      <c r="A567">
        <v>23</v>
      </c>
      <c r="B567" t="s">
        <v>42</v>
      </c>
      <c r="C567" t="s">
        <v>35</v>
      </c>
      <c r="D567" t="s">
        <v>44</v>
      </c>
      <c r="E567">
        <v>10</v>
      </c>
      <c r="F567">
        <v>1</v>
      </c>
      <c r="G567" t="s">
        <v>50</v>
      </c>
      <c r="H567">
        <v>1</v>
      </c>
      <c r="I567">
        <v>784</v>
      </c>
      <c r="J567">
        <v>1</v>
      </c>
      <c r="K567" t="s">
        <v>45</v>
      </c>
      <c r="L567">
        <v>79</v>
      </c>
      <c r="M567">
        <v>4</v>
      </c>
      <c r="N567">
        <v>1</v>
      </c>
      <c r="O567" t="s">
        <v>46</v>
      </c>
      <c r="P567">
        <v>3</v>
      </c>
      <c r="Q567" t="s">
        <v>40</v>
      </c>
      <c r="R567">
        <v>3505</v>
      </c>
      <c r="S567">
        <v>19630</v>
      </c>
      <c r="T567">
        <v>1</v>
      </c>
      <c r="U567" t="s">
        <v>41</v>
      </c>
      <c r="V567" t="s">
        <v>42</v>
      </c>
      <c r="W567">
        <v>18</v>
      </c>
      <c r="X567">
        <v>3</v>
      </c>
      <c r="Y567">
        <v>4</v>
      </c>
      <c r="Z567">
        <v>80</v>
      </c>
      <c r="AA567">
        <v>0</v>
      </c>
      <c r="AB567">
        <v>2</v>
      </c>
      <c r="AC567">
        <v>3</v>
      </c>
      <c r="AD567">
        <v>3</v>
      </c>
      <c r="AE567">
        <v>2</v>
      </c>
      <c r="AF567">
        <v>2</v>
      </c>
      <c r="AG567">
        <v>0</v>
      </c>
      <c r="AH567">
        <v>2</v>
      </c>
    </row>
    <row r="568" spans="1:34" x14ac:dyDescent="0.2">
      <c r="A568">
        <v>47</v>
      </c>
      <c r="B568" t="s">
        <v>34</v>
      </c>
      <c r="C568" t="s">
        <v>43</v>
      </c>
      <c r="D568" t="s">
        <v>36</v>
      </c>
      <c r="E568">
        <v>27</v>
      </c>
      <c r="F568">
        <v>2</v>
      </c>
      <c r="G568" t="s">
        <v>37</v>
      </c>
      <c r="H568">
        <v>1</v>
      </c>
      <c r="I568">
        <v>785</v>
      </c>
      <c r="J568">
        <v>2</v>
      </c>
      <c r="K568" t="s">
        <v>38</v>
      </c>
      <c r="L568">
        <v>77</v>
      </c>
      <c r="M568">
        <v>4</v>
      </c>
      <c r="N568">
        <v>2</v>
      </c>
      <c r="O568" t="s">
        <v>39</v>
      </c>
      <c r="P568">
        <v>3</v>
      </c>
      <c r="Q568" t="s">
        <v>40</v>
      </c>
      <c r="R568">
        <v>6397</v>
      </c>
      <c r="S568">
        <v>10339</v>
      </c>
      <c r="T568">
        <v>4</v>
      </c>
      <c r="U568" t="s">
        <v>41</v>
      </c>
      <c r="V568" t="s">
        <v>34</v>
      </c>
      <c r="W568">
        <v>12</v>
      </c>
      <c r="X568">
        <v>3</v>
      </c>
      <c r="Y568">
        <v>4</v>
      </c>
      <c r="Z568">
        <v>80</v>
      </c>
      <c r="AA568">
        <v>0</v>
      </c>
      <c r="AB568">
        <v>8</v>
      </c>
      <c r="AC568">
        <v>2</v>
      </c>
      <c r="AD568">
        <v>3</v>
      </c>
      <c r="AE568">
        <v>5</v>
      </c>
      <c r="AF568">
        <v>4</v>
      </c>
      <c r="AG568">
        <v>1</v>
      </c>
      <c r="AH568">
        <v>3</v>
      </c>
    </row>
    <row r="569" spans="1:34" x14ac:dyDescent="0.2">
      <c r="A569">
        <v>34</v>
      </c>
      <c r="B569" t="s">
        <v>42</v>
      </c>
      <c r="C569" t="s">
        <v>35</v>
      </c>
      <c r="D569" t="s">
        <v>36</v>
      </c>
      <c r="E569">
        <v>2</v>
      </c>
      <c r="F569">
        <v>3</v>
      </c>
      <c r="G569" t="s">
        <v>48</v>
      </c>
      <c r="H569">
        <v>1</v>
      </c>
      <c r="I569">
        <v>786</v>
      </c>
      <c r="J569">
        <v>4</v>
      </c>
      <c r="K569" t="s">
        <v>45</v>
      </c>
      <c r="L569">
        <v>60</v>
      </c>
      <c r="M569">
        <v>3</v>
      </c>
      <c r="N569">
        <v>2</v>
      </c>
      <c r="O569" t="s">
        <v>39</v>
      </c>
      <c r="P569">
        <v>4</v>
      </c>
      <c r="Q569" t="s">
        <v>40</v>
      </c>
      <c r="R569">
        <v>6274</v>
      </c>
      <c r="S569">
        <v>18686</v>
      </c>
      <c r="T569">
        <v>1</v>
      </c>
      <c r="U569" t="s">
        <v>41</v>
      </c>
      <c r="V569" t="s">
        <v>42</v>
      </c>
      <c r="W569">
        <v>22</v>
      </c>
      <c r="X569">
        <v>4</v>
      </c>
      <c r="Y569">
        <v>3</v>
      </c>
      <c r="Z569">
        <v>80</v>
      </c>
      <c r="AA569">
        <v>0</v>
      </c>
      <c r="AB569">
        <v>6</v>
      </c>
      <c r="AC569">
        <v>5</v>
      </c>
      <c r="AD569">
        <v>3</v>
      </c>
      <c r="AE569">
        <v>6</v>
      </c>
      <c r="AF569">
        <v>5</v>
      </c>
      <c r="AG569">
        <v>1</v>
      </c>
      <c r="AH569">
        <v>4</v>
      </c>
    </row>
    <row r="570" spans="1:34" x14ac:dyDescent="0.2">
      <c r="A570">
        <v>55</v>
      </c>
      <c r="B570" t="s">
        <v>34</v>
      </c>
      <c r="C570" t="s">
        <v>35</v>
      </c>
      <c r="D570" t="s">
        <v>44</v>
      </c>
      <c r="E570">
        <v>2</v>
      </c>
      <c r="F570">
        <v>3</v>
      </c>
      <c r="G570" t="s">
        <v>50</v>
      </c>
      <c r="H570">
        <v>1</v>
      </c>
      <c r="I570">
        <v>787</v>
      </c>
      <c r="J570">
        <v>4</v>
      </c>
      <c r="K570" t="s">
        <v>45</v>
      </c>
      <c r="L570">
        <v>78</v>
      </c>
      <c r="M570">
        <v>3</v>
      </c>
      <c r="N570">
        <v>5</v>
      </c>
      <c r="O570" t="s">
        <v>55</v>
      </c>
      <c r="P570">
        <v>1</v>
      </c>
      <c r="Q570" t="s">
        <v>47</v>
      </c>
      <c r="R570">
        <v>19859</v>
      </c>
      <c r="S570">
        <v>21199</v>
      </c>
      <c r="T570">
        <v>5</v>
      </c>
      <c r="U570" t="s">
        <v>41</v>
      </c>
      <c r="V570" t="s">
        <v>34</v>
      </c>
      <c r="W570">
        <v>13</v>
      </c>
      <c r="X570">
        <v>3</v>
      </c>
      <c r="Y570">
        <v>4</v>
      </c>
      <c r="Z570">
        <v>80</v>
      </c>
      <c r="AA570">
        <v>1</v>
      </c>
      <c r="AB570">
        <v>24</v>
      </c>
      <c r="AC570">
        <v>2</v>
      </c>
      <c r="AD570">
        <v>3</v>
      </c>
      <c r="AE570">
        <v>5</v>
      </c>
      <c r="AF570">
        <v>2</v>
      </c>
      <c r="AG570">
        <v>1</v>
      </c>
      <c r="AH570">
        <v>4</v>
      </c>
    </row>
    <row r="571" spans="1:34" x14ac:dyDescent="0.2">
      <c r="A571">
        <v>36</v>
      </c>
      <c r="B571" t="s">
        <v>42</v>
      </c>
      <c r="C571" t="s">
        <v>54</v>
      </c>
      <c r="D571" t="s">
        <v>36</v>
      </c>
      <c r="E571">
        <v>8</v>
      </c>
      <c r="F571">
        <v>4</v>
      </c>
      <c r="G571" t="s">
        <v>37</v>
      </c>
      <c r="H571">
        <v>1</v>
      </c>
      <c r="I571">
        <v>789</v>
      </c>
      <c r="J571">
        <v>1</v>
      </c>
      <c r="K571" t="s">
        <v>45</v>
      </c>
      <c r="L571">
        <v>76</v>
      </c>
      <c r="M571">
        <v>2</v>
      </c>
      <c r="N571">
        <v>3</v>
      </c>
      <c r="O571" t="s">
        <v>39</v>
      </c>
      <c r="P571">
        <v>1</v>
      </c>
      <c r="Q571" t="s">
        <v>40</v>
      </c>
      <c r="R571">
        <v>7587</v>
      </c>
      <c r="S571">
        <v>14229</v>
      </c>
      <c r="T571">
        <v>1</v>
      </c>
      <c r="U571" t="s">
        <v>41</v>
      </c>
      <c r="V571" t="s">
        <v>42</v>
      </c>
      <c r="W571">
        <v>15</v>
      </c>
      <c r="X571">
        <v>3</v>
      </c>
      <c r="Y571">
        <v>2</v>
      </c>
      <c r="Z571">
        <v>80</v>
      </c>
      <c r="AA571">
        <v>0</v>
      </c>
      <c r="AB571">
        <v>10</v>
      </c>
      <c r="AC571">
        <v>1</v>
      </c>
      <c r="AD571">
        <v>3</v>
      </c>
      <c r="AE571">
        <v>10</v>
      </c>
      <c r="AF571">
        <v>7</v>
      </c>
      <c r="AG571">
        <v>0</v>
      </c>
      <c r="AH571">
        <v>9</v>
      </c>
    </row>
    <row r="572" spans="1:34" x14ac:dyDescent="0.2">
      <c r="A572">
        <v>52</v>
      </c>
      <c r="B572" t="s">
        <v>42</v>
      </c>
      <c r="C572" t="s">
        <v>54</v>
      </c>
      <c r="D572" t="s">
        <v>44</v>
      </c>
      <c r="E572">
        <v>19</v>
      </c>
      <c r="F572">
        <v>4</v>
      </c>
      <c r="G572" t="s">
        <v>50</v>
      </c>
      <c r="H572">
        <v>1</v>
      </c>
      <c r="I572">
        <v>791</v>
      </c>
      <c r="J572">
        <v>4</v>
      </c>
      <c r="K572" t="s">
        <v>45</v>
      </c>
      <c r="L572">
        <v>41</v>
      </c>
      <c r="M572">
        <v>3</v>
      </c>
      <c r="N572">
        <v>1</v>
      </c>
      <c r="O572" t="s">
        <v>46</v>
      </c>
      <c r="P572">
        <v>4</v>
      </c>
      <c r="Q572" t="s">
        <v>47</v>
      </c>
      <c r="R572">
        <v>4258</v>
      </c>
      <c r="S572">
        <v>26589</v>
      </c>
      <c r="T572">
        <v>0</v>
      </c>
      <c r="U572" t="s">
        <v>41</v>
      </c>
      <c r="V572" t="s">
        <v>42</v>
      </c>
      <c r="W572">
        <v>18</v>
      </c>
      <c r="X572">
        <v>3</v>
      </c>
      <c r="Y572">
        <v>1</v>
      </c>
      <c r="Z572">
        <v>80</v>
      </c>
      <c r="AA572">
        <v>1</v>
      </c>
      <c r="AB572">
        <v>5</v>
      </c>
      <c r="AC572">
        <v>3</v>
      </c>
      <c r="AD572">
        <v>3</v>
      </c>
      <c r="AE572">
        <v>4</v>
      </c>
      <c r="AF572">
        <v>3</v>
      </c>
      <c r="AG572">
        <v>1</v>
      </c>
      <c r="AH572">
        <v>2</v>
      </c>
    </row>
    <row r="573" spans="1:34" x14ac:dyDescent="0.2">
      <c r="A573">
        <v>26</v>
      </c>
      <c r="B573" t="s">
        <v>42</v>
      </c>
      <c r="C573" t="s">
        <v>43</v>
      </c>
      <c r="D573" t="s">
        <v>44</v>
      </c>
      <c r="E573">
        <v>1</v>
      </c>
      <c r="F573">
        <v>2</v>
      </c>
      <c r="G573" t="s">
        <v>37</v>
      </c>
      <c r="H573">
        <v>1</v>
      </c>
      <c r="I573">
        <v>792</v>
      </c>
      <c r="J573">
        <v>1</v>
      </c>
      <c r="K573" t="s">
        <v>38</v>
      </c>
      <c r="L573">
        <v>71</v>
      </c>
      <c r="M573">
        <v>1</v>
      </c>
      <c r="N573">
        <v>1</v>
      </c>
      <c r="O573" t="s">
        <v>49</v>
      </c>
      <c r="P573">
        <v>4</v>
      </c>
      <c r="Q573" t="s">
        <v>51</v>
      </c>
      <c r="R573">
        <v>4364</v>
      </c>
      <c r="S573">
        <v>5288</v>
      </c>
      <c r="T573">
        <v>3</v>
      </c>
      <c r="U573" t="s">
        <v>41</v>
      </c>
      <c r="V573" t="s">
        <v>42</v>
      </c>
      <c r="W573">
        <v>14</v>
      </c>
      <c r="X573">
        <v>3</v>
      </c>
      <c r="Y573">
        <v>1</v>
      </c>
      <c r="Z573">
        <v>80</v>
      </c>
      <c r="AA573">
        <v>1</v>
      </c>
      <c r="AB573">
        <v>5</v>
      </c>
      <c r="AC573">
        <v>2</v>
      </c>
      <c r="AD573">
        <v>3</v>
      </c>
      <c r="AE573">
        <v>2</v>
      </c>
      <c r="AF573">
        <v>2</v>
      </c>
      <c r="AG573">
        <v>2</v>
      </c>
      <c r="AH573">
        <v>0</v>
      </c>
    </row>
    <row r="574" spans="1:34" x14ac:dyDescent="0.2">
      <c r="A574">
        <v>29</v>
      </c>
      <c r="B574" t="s">
        <v>42</v>
      </c>
      <c r="C574" t="s">
        <v>35</v>
      </c>
      <c r="D574" t="s">
        <v>44</v>
      </c>
      <c r="E574">
        <v>27</v>
      </c>
      <c r="F574">
        <v>3</v>
      </c>
      <c r="G574" t="s">
        <v>50</v>
      </c>
      <c r="H574">
        <v>1</v>
      </c>
      <c r="I574">
        <v>793</v>
      </c>
      <c r="J574">
        <v>2</v>
      </c>
      <c r="K574" t="s">
        <v>38</v>
      </c>
      <c r="L574">
        <v>66</v>
      </c>
      <c r="M574">
        <v>3</v>
      </c>
      <c r="N574">
        <v>2</v>
      </c>
      <c r="O574" t="s">
        <v>53</v>
      </c>
      <c r="P574">
        <v>3</v>
      </c>
      <c r="Q574" t="s">
        <v>47</v>
      </c>
      <c r="R574">
        <v>4335</v>
      </c>
      <c r="S574">
        <v>25549</v>
      </c>
      <c r="T574">
        <v>4</v>
      </c>
      <c r="U574" t="s">
        <v>41</v>
      </c>
      <c r="V574" t="s">
        <v>42</v>
      </c>
      <c r="W574">
        <v>12</v>
      </c>
      <c r="X574">
        <v>3</v>
      </c>
      <c r="Y574">
        <v>1</v>
      </c>
      <c r="Z574">
        <v>80</v>
      </c>
      <c r="AA574">
        <v>1</v>
      </c>
      <c r="AB574">
        <v>11</v>
      </c>
      <c r="AC574">
        <v>3</v>
      </c>
      <c r="AD574">
        <v>2</v>
      </c>
      <c r="AE574">
        <v>8</v>
      </c>
      <c r="AF574">
        <v>7</v>
      </c>
      <c r="AG574">
        <v>1</v>
      </c>
      <c r="AH574">
        <v>1</v>
      </c>
    </row>
    <row r="575" spans="1:34" x14ac:dyDescent="0.2">
      <c r="A575">
        <v>26</v>
      </c>
      <c r="B575" t="s">
        <v>34</v>
      </c>
      <c r="C575" t="s">
        <v>35</v>
      </c>
      <c r="D575" t="s">
        <v>36</v>
      </c>
      <c r="E575">
        <v>8</v>
      </c>
      <c r="F575">
        <v>3</v>
      </c>
      <c r="G575" t="s">
        <v>59</v>
      </c>
      <c r="H575">
        <v>1</v>
      </c>
      <c r="I575">
        <v>796</v>
      </c>
      <c r="J575">
        <v>4</v>
      </c>
      <c r="K575" t="s">
        <v>45</v>
      </c>
      <c r="L575">
        <v>38</v>
      </c>
      <c r="M575">
        <v>2</v>
      </c>
      <c r="N575">
        <v>2</v>
      </c>
      <c r="O575" t="s">
        <v>39</v>
      </c>
      <c r="P575">
        <v>1</v>
      </c>
      <c r="Q575" t="s">
        <v>40</v>
      </c>
      <c r="R575">
        <v>5326</v>
      </c>
      <c r="S575">
        <v>3064</v>
      </c>
      <c r="T575">
        <v>6</v>
      </c>
      <c r="U575" t="s">
        <v>41</v>
      </c>
      <c r="V575" t="s">
        <v>42</v>
      </c>
      <c r="W575">
        <v>17</v>
      </c>
      <c r="X575">
        <v>3</v>
      </c>
      <c r="Y575">
        <v>3</v>
      </c>
      <c r="Z575">
        <v>80</v>
      </c>
      <c r="AA575">
        <v>0</v>
      </c>
      <c r="AB575">
        <v>6</v>
      </c>
      <c r="AC575">
        <v>2</v>
      </c>
      <c r="AD575">
        <v>2</v>
      </c>
      <c r="AE575">
        <v>4</v>
      </c>
      <c r="AF575">
        <v>3</v>
      </c>
      <c r="AG575">
        <v>1</v>
      </c>
      <c r="AH575">
        <v>2</v>
      </c>
    </row>
    <row r="576" spans="1:34" x14ac:dyDescent="0.2">
      <c r="A576">
        <v>34</v>
      </c>
      <c r="B576" t="s">
        <v>42</v>
      </c>
      <c r="C576" t="s">
        <v>35</v>
      </c>
      <c r="D576" t="s">
        <v>44</v>
      </c>
      <c r="E576">
        <v>1</v>
      </c>
      <c r="F576">
        <v>4</v>
      </c>
      <c r="G576" t="s">
        <v>37</v>
      </c>
      <c r="H576">
        <v>1</v>
      </c>
      <c r="I576">
        <v>797</v>
      </c>
      <c r="J576">
        <v>2</v>
      </c>
      <c r="K576" t="s">
        <v>38</v>
      </c>
      <c r="L576">
        <v>72</v>
      </c>
      <c r="M576">
        <v>4</v>
      </c>
      <c r="N576">
        <v>1</v>
      </c>
      <c r="O576" t="s">
        <v>46</v>
      </c>
      <c r="P576">
        <v>4</v>
      </c>
      <c r="Q576" t="s">
        <v>40</v>
      </c>
      <c r="R576">
        <v>3280</v>
      </c>
      <c r="S576">
        <v>13551</v>
      </c>
      <c r="T576">
        <v>2</v>
      </c>
      <c r="U576" t="s">
        <v>41</v>
      </c>
      <c r="V576" t="s">
        <v>42</v>
      </c>
      <c r="W576">
        <v>16</v>
      </c>
      <c r="X576">
        <v>3</v>
      </c>
      <c r="Y576">
        <v>3</v>
      </c>
      <c r="Z576">
        <v>80</v>
      </c>
      <c r="AA576">
        <v>0</v>
      </c>
      <c r="AB576">
        <v>10</v>
      </c>
      <c r="AC576">
        <v>2</v>
      </c>
      <c r="AD576">
        <v>3</v>
      </c>
      <c r="AE576">
        <v>4</v>
      </c>
      <c r="AF576">
        <v>2</v>
      </c>
      <c r="AG576">
        <v>1</v>
      </c>
      <c r="AH576">
        <v>3</v>
      </c>
    </row>
    <row r="577" spans="1:34" x14ac:dyDescent="0.2">
      <c r="A577">
        <v>54</v>
      </c>
      <c r="B577" t="s">
        <v>42</v>
      </c>
      <c r="C577" t="s">
        <v>35</v>
      </c>
      <c r="D577" t="s">
        <v>44</v>
      </c>
      <c r="E577">
        <v>19</v>
      </c>
      <c r="F577">
        <v>4</v>
      </c>
      <c r="G577" t="s">
        <v>50</v>
      </c>
      <c r="H577">
        <v>1</v>
      </c>
      <c r="I577">
        <v>799</v>
      </c>
      <c r="J577">
        <v>4</v>
      </c>
      <c r="K577" t="s">
        <v>38</v>
      </c>
      <c r="L577">
        <v>95</v>
      </c>
      <c r="M577">
        <v>3</v>
      </c>
      <c r="N577">
        <v>2</v>
      </c>
      <c r="O577" t="s">
        <v>52</v>
      </c>
      <c r="P577">
        <v>1</v>
      </c>
      <c r="Q577" t="s">
        <v>51</v>
      </c>
      <c r="R577">
        <v>5485</v>
      </c>
      <c r="S577">
        <v>22670</v>
      </c>
      <c r="T577">
        <v>9</v>
      </c>
      <c r="U577" t="s">
        <v>41</v>
      </c>
      <c r="V577" t="s">
        <v>34</v>
      </c>
      <c r="W577">
        <v>11</v>
      </c>
      <c r="X577">
        <v>3</v>
      </c>
      <c r="Y577">
        <v>2</v>
      </c>
      <c r="Z577">
        <v>80</v>
      </c>
      <c r="AA577">
        <v>2</v>
      </c>
      <c r="AB577">
        <v>9</v>
      </c>
      <c r="AC577">
        <v>4</v>
      </c>
      <c r="AD577">
        <v>3</v>
      </c>
      <c r="AE577">
        <v>5</v>
      </c>
      <c r="AF577">
        <v>3</v>
      </c>
      <c r="AG577">
        <v>1</v>
      </c>
      <c r="AH577">
        <v>4</v>
      </c>
    </row>
    <row r="578" spans="1:34" x14ac:dyDescent="0.2">
      <c r="A578">
        <v>27</v>
      </c>
      <c r="B578" t="s">
        <v>42</v>
      </c>
      <c r="C578" t="s">
        <v>43</v>
      </c>
      <c r="D578" t="s">
        <v>36</v>
      </c>
      <c r="E578">
        <v>8</v>
      </c>
      <c r="F578">
        <v>1</v>
      </c>
      <c r="G578" t="s">
        <v>58</v>
      </c>
      <c r="H578">
        <v>1</v>
      </c>
      <c r="I578">
        <v>800</v>
      </c>
      <c r="J578">
        <v>3</v>
      </c>
      <c r="K578" t="s">
        <v>45</v>
      </c>
      <c r="L578">
        <v>84</v>
      </c>
      <c r="M578">
        <v>3</v>
      </c>
      <c r="N578">
        <v>2</v>
      </c>
      <c r="O578" t="s">
        <v>39</v>
      </c>
      <c r="P578">
        <v>4</v>
      </c>
      <c r="Q578" t="s">
        <v>47</v>
      </c>
      <c r="R578">
        <v>4342</v>
      </c>
      <c r="S578">
        <v>24008</v>
      </c>
      <c r="T578">
        <v>0</v>
      </c>
      <c r="U578" t="s">
        <v>41</v>
      </c>
      <c r="V578" t="s">
        <v>42</v>
      </c>
      <c r="W578">
        <v>19</v>
      </c>
      <c r="X578">
        <v>3</v>
      </c>
      <c r="Y578">
        <v>2</v>
      </c>
      <c r="Z578">
        <v>80</v>
      </c>
      <c r="AA578">
        <v>1</v>
      </c>
      <c r="AB578">
        <v>5</v>
      </c>
      <c r="AC578">
        <v>3</v>
      </c>
      <c r="AD578">
        <v>3</v>
      </c>
      <c r="AE578">
        <v>4</v>
      </c>
      <c r="AF578">
        <v>2</v>
      </c>
      <c r="AG578">
        <v>1</v>
      </c>
      <c r="AH578">
        <v>1</v>
      </c>
    </row>
    <row r="579" spans="1:34" x14ac:dyDescent="0.2">
      <c r="A579">
        <v>37</v>
      </c>
      <c r="B579" t="s">
        <v>42</v>
      </c>
      <c r="C579" t="s">
        <v>35</v>
      </c>
      <c r="D579" t="s">
        <v>44</v>
      </c>
      <c r="E579">
        <v>10</v>
      </c>
      <c r="F579">
        <v>1</v>
      </c>
      <c r="G579" t="s">
        <v>37</v>
      </c>
      <c r="H579">
        <v>1</v>
      </c>
      <c r="I579">
        <v>802</v>
      </c>
      <c r="J579">
        <v>4</v>
      </c>
      <c r="K579" t="s">
        <v>38</v>
      </c>
      <c r="L579">
        <v>82</v>
      </c>
      <c r="M579">
        <v>3</v>
      </c>
      <c r="N579">
        <v>1</v>
      </c>
      <c r="O579" t="s">
        <v>46</v>
      </c>
      <c r="P579">
        <v>1</v>
      </c>
      <c r="Q579" t="s">
        <v>51</v>
      </c>
      <c r="R579">
        <v>2782</v>
      </c>
      <c r="S579">
        <v>19905</v>
      </c>
      <c r="T579">
        <v>0</v>
      </c>
      <c r="U579" t="s">
        <v>41</v>
      </c>
      <c r="V579" t="s">
        <v>34</v>
      </c>
      <c r="W579">
        <v>13</v>
      </c>
      <c r="X579">
        <v>3</v>
      </c>
      <c r="Y579">
        <v>2</v>
      </c>
      <c r="Z579">
        <v>80</v>
      </c>
      <c r="AA579">
        <v>2</v>
      </c>
      <c r="AB579">
        <v>6</v>
      </c>
      <c r="AC579">
        <v>3</v>
      </c>
      <c r="AD579">
        <v>2</v>
      </c>
      <c r="AE579">
        <v>5</v>
      </c>
      <c r="AF579">
        <v>3</v>
      </c>
      <c r="AG579">
        <v>4</v>
      </c>
      <c r="AH579">
        <v>3</v>
      </c>
    </row>
    <row r="580" spans="1:34" x14ac:dyDescent="0.2">
      <c r="A580">
        <v>38</v>
      </c>
      <c r="B580" t="s">
        <v>42</v>
      </c>
      <c r="C580" t="s">
        <v>43</v>
      </c>
      <c r="D580" t="s">
        <v>44</v>
      </c>
      <c r="E580">
        <v>2</v>
      </c>
      <c r="F580">
        <v>4</v>
      </c>
      <c r="G580" t="s">
        <v>37</v>
      </c>
      <c r="H580">
        <v>1</v>
      </c>
      <c r="I580">
        <v>803</v>
      </c>
      <c r="J580">
        <v>1</v>
      </c>
      <c r="K580" t="s">
        <v>38</v>
      </c>
      <c r="L580">
        <v>75</v>
      </c>
      <c r="M580">
        <v>4</v>
      </c>
      <c r="N580">
        <v>2</v>
      </c>
      <c r="O580" t="s">
        <v>52</v>
      </c>
      <c r="P580">
        <v>1</v>
      </c>
      <c r="Q580" t="s">
        <v>40</v>
      </c>
      <c r="R580">
        <v>5980</v>
      </c>
      <c r="S580">
        <v>26085</v>
      </c>
      <c r="T580">
        <v>6</v>
      </c>
      <c r="U580" t="s">
        <v>41</v>
      </c>
      <c r="V580" t="s">
        <v>34</v>
      </c>
      <c r="W580">
        <v>12</v>
      </c>
      <c r="X580">
        <v>3</v>
      </c>
      <c r="Y580">
        <v>4</v>
      </c>
      <c r="Z580">
        <v>80</v>
      </c>
      <c r="AA580">
        <v>0</v>
      </c>
      <c r="AB580">
        <v>17</v>
      </c>
      <c r="AC580">
        <v>2</v>
      </c>
      <c r="AD580">
        <v>3</v>
      </c>
      <c r="AE580">
        <v>15</v>
      </c>
      <c r="AF580">
        <v>7</v>
      </c>
      <c r="AG580">
        <v>4</v>
      </c>
      <c r="AH580">
        <v>12</v>
      </c>
    </row>
    <row r="581" spans="1:34" x14ac:dyDescent="0.2">
      <c r="A581">
        <v>34</v>
      </c>
      <c r="B581" t="s">
        <v>42</v>
      </c>
      <c r="C581" t="s">
        <v>35</v>
      </c>
      <c r="D581" t="s">
        <v>44</v>
      </c>
      <c r="E581">
        <v>2</v>
      </c>
      <c r="F581">
        <v>4</v>
      </c>
      <c r="G581" t="s">
        <v>50</v>
      </c>
      <c r="H581">
        <v>1</v>
      </c>
      <c r="I581">
        <v>804</v>
      </c>
      <c r="J581">
        <v>3</v>
      </c>
      <c r="K581" t="s">
        <v>38</v>
      </c>
      <c r="L581">
        <v>86</v>
      </c>
      <c r="M581">
        <v>2</v>
      </c>
      <c r="N581">
        <v>1</v>
      </c>
      <c r="O581" t="s">
        <v>46</v>
      </c>
      <c r="P581">
        <v>1</v>
      </c>
      <c r="Q581" t="s">
        <v>40</v>
      </c>
      <c r="R581">
        <v>4381</v>
      </c>
      <c r="S581">
        <v>7530</v>
      </c>
      <c r="T581">
        <v>1</v>
      </c>
      <c r="U581" t="s">
        <v>41</v>
      </c>
      <c r="V581" t="s">
        <v>42</v>
      </c>
      <c r="W581">
        <v>11</v>
      </c>
      <c r="X581">
        <v>3</v>
      </c>
      <c r="Y581">
        <v>3</v>
      </c>
      <c r="Z581">
        <v>80</v>
      </c>
      <c r="AA581">
        <v>0</v>
      </c>
      <c r="AB581">
        <v>6</v>
      </c>
      <c r="AC581">
        <v>3</v>
      </c>
      <c r="AD581">
        <v>3</v>
      </c>
      <c r="AE581">
        <v>6</v>
      </c>
      <c r="AF581">
        <v>5</v>
      </c>
      <c r="AG581">
        <v>1</v>
      </c>
      <c r="AH581">
        <v>3</v>
      </c>
    </row>
    <row r="582" spans="1:34" x14ac:dyDescent="0.2">
      <c r="A582">
        <v>35</v>
      </c>
      <c r="B582" t="s">
        <v>42</v>
      </c>
      <c r="C582" t="s">
        <v>35</v>
      </c>
      <c r="D582" t="s">
        <v>36</v>
      </c>
      <c r="E582">
        <v>8</v>
      </c>
      <c r="F582">
        <v>4</v>
      </c>
      <c r="G582" t="s">
        <v>37</v>
      </c>
      <c r="H582">
        <v>1</v>
      </c>
      <c r="I582">
        <v>805</v>
      </c>
      <c r="J582">
        <v>1</v>
      </c>
      <c r="K582" t="s">
        <v>38</v>
      </c>
      <c r="L582">
        <v>72</v>
      </c>
      <c r="M582">
        <v>3</v>
      </c>
      <c r="N582">
        <v>1</v>
      </c>
      <c r="O582" t="s">
        <v>56</v>
      </c>
      <c r="P582">
        <v>4</v>
      </c>
      <c r="Q582" t="s">
        <v>47</v>
      </c>
      <c r="R582">
        <v>2572</v>
      </c>
      <c r="S582">
        <v>20317</v>
      </c>
      <c r="T582">
        <v>1</v>
      </c>
      <c r="U582" t="s">
        <v>41</v>
      </c>
      <c r="V582" t="s">
        <v>42</v>
      </c>
      <c r="W582">
        <v>16</v>
      </c>
      <c r="X582">
        <v>3</v>
      </c>
      <c r="Y582">
        <v>2</v>
      </c>
      <c r="Z582">
        <v>80</v>
      </c>
      <c r="AA582">
        <v>1</v>
      </c>
      <c r="AB582">
        <v>3</v>
      </c>
      <c r="AC582">
        <v>1</v>
      </c>
      <c r="AD582">
        <v>2</v>
      </c>
      <c r="AE582">
        <v>3</v>
      </c>
      <c r="AF582">
        <v>2</v>
      </c>
      <c r="AG582">
        <v>0</v>
      </c>
      <c r="AH582">
        <v>2</v>
      </c>
    </row>
    <row r="583" spans="1:34" x14ac:dyDescent="0.2">
      <c r="A583">
        <v>30</v>
      </c>
      <c r="B583" t="s">
        <v>42</v>
      </c>
      <c r="C583" t="s">
        <v>35</v>
      </c>
      <c r="D583" t="s">
        <v>44</v>
      </c>
      <c r="E583">
        <v>1</v>
      </c>
      <c r="F583">
        <v>3</v>
      </c>
      <c r="G583" t="s">
        <v>37</v>
      </c>
      <c r="H583">
        <v>1</v>
      </c>
      <c r="I583">
        <v>806</v>
      </c>
      <c r="J583">
        <v>4</v>
      </c>
      <c r="K583" t="s">
        <v>45</v>
      </c>
      <c r="L583">
        <v>38</v>
      </c>
      <c r="M583">
        <v>1</v>
      </c>
      <c r="N583">
        <v>1</v>
      </c>
      <c r="O583" t="s">
        <v>49</v>
      </c>
      <c r="P583">
        <v>3</v>
      </c>
      <c r="Q583" t="s">
        <v>47</v>
      </c>
      <c r="R583">
        <v>3833</v>
      </c>
      <c r="S583">
        <v>24375</v>
      </c>
      <c r="T583">
        <v>3</v>
      </c>
      <c r="U583" t="s">
        <v>41</v>
      </c>
      <c r="V583" t="s">
        <v>42</v>
      </c>
      <c r="W583">
        <v>21</v>
      </c>
      <c r="X583">
        <v>4</v>
      </c>
      <c r="Y583">
        <v>3</v>
      </c>
      <c r="Z583">
        <v>80</v>
      </c>
      <c r="AA583">
        <v>2</v>
      </c>
      <c r="AB583">
        <v>7</v>
      </c>
      <c r="AC583">
        <v>2</v>
      </c>
      <c r="AD583">
        <v>3</v>
      </c>
      <c r="AE583">
        <v>2</v>
      </c>
      <c r="AF583">
        <v>2</v>
      </c>
      <c r="AG583">
        <v>0</v>
      </c>
      <c r="AH583">
        <v>2</v>
      </c>
    </row>
    <row r="584" spans="1:34" x14ac:dyDescent="0.2">
      <c r="A584">
        <v>40</v>
      </c>
      <c r="B584" t="s">
        <v>42</v>
      </c>
      <c r="C584" t="s">
        <v>43</v>
      </c>
      <c r="D584" t="s">
        <v>44</v>
      </c>
      <c r="E584">
        <v>2</v>
      </c>
      <c r="F584">
        <v>2</v>
      </c>
      <c r="G584" t="s">
        <v>50</v>
      </c>
      <c r="H584">
        <v>1</v>
      </c>
      <c r="I584">
        <v>807</v>
      </c>
      <c r="J584">
        <v>3</v>
      </c>
      <c r="K584" t="s">
        <v>38</v>
      </c>
      <c r="L584">
        <v>38</v>
      </c>
      <c r="M584">
        <v>4</v>
      </c>
      <c r="N584">
        <v>2</v>
      </c>
      <c r="O584" t="s">
        <v>53</v>
      </c>
      <c r="P584">
        <v>2</v>
      </c>
      <c r="Q584" t="s">
        <v>47</v>
      </c>
      <c r="R584">
        <v>4244</v>
      </c>
      <c r="S584">
        <v>9931</v>
      </c>
      <c r="T584">
        <v>1</v>
      </c>
      <c r="U584" t="s">
        <v>41</v>
      </c>
      <c r="V584" t="s">
        <v>42</v>
      </c>
      <c r="W584">
        <v>24</v>
      </c>
      <c r="X584">
        <v>4</v>
      </c>
      <c r="Y584">
        <v>4</v>
      </c>
      <c r="Z584">
        <v>80</v>
      </c>
      <c r="AA584">
        <v>1</v>
      </c>
      <c r="AB584">
        <v>8</v>
      </c>
      <c r="AC584">
        <v>2</v>
      </c>
      <c r="AD584">
        <v>3</v>
      </c>
      <c r="AE584">
        <v>8</v>
      </c>
      <c r="AF584">
        <v>7</v>
      </c>
      <c r="AG584">
        <v>3</v>
      </c>
      <c r="AH584">
        <v>7</v>
      </c>
    </row>
    <row r="585" spans="1:34" x14ac:dyDescent="0.2">
      <c r="A585">
        <v>34</v>
      </c>
      <c r="B585" t="s">
        <v>42</v>
      </c>
      <c r="C585" t="s">
        <v>35</v>
      </c>
      <c r="D585" t="s">
        <v>36</v>
      </c>
      <c r="E585">
        <v>8</v>
      </c>
      <c r="F585">
        <v>2</v>
      </c>
      <c r="G585" t="s">
        <v>37</v>
      </c>
      <c r="H585">
        <v>1</v>
      </c>
      <c r="I585">
        <v>808</v>
      </c>
      <c r="J585">
        <v>3</v>
      </c>
      <c r="K585" t="s">
        <v>38</v>
      </c>
      <c r="L585">
        <v>93</v>
      </c>
      <c r="M585">
        <v>3</v>
      </c>
      <c r="N585">
        <v>2</v>
      </c>
      <c r="O585" t="s">
        <v>39</v>
      </c>
      <c r="P585">
        <v>1</v>
      </c>
      <c r="Q585" t="s">
        <v>47</v>
      </c>
      <c r="R585">
        <v>6500</v>
      </c>
      <c r="S585">
        <v>13305</v>
      </c>
      <c r="T585">
        <v>5</v>
      </c>
      <c r="U585" t="s">
        <v>41</v>
      </c>
      <c r="V585" t="s">
        <v>42</v>
      </c>
      <c r="W585">
        <v>17</v>
      </c>
      <c r="X585">
        <v>3</v>
      </c>
      <c r="Y585">
        <v>2</v>
      </c>
      <c r="Z585">
        <v>80</v>
      </c>
      <c r="AA585">
        <v>1</v>
      </c>
      <c r="AB585">
        <v>6</v>
      </c>
      <c r="AC585">
        <v>1</v>
      </c>
      <c r="AD585">
        <v>3</v>
      </c>
      <c r="AE585">
        <v>3</v>
      </c>
      <c r="AF585">
        <v>2</v>
      </c>
      <c r="AG585">
        <v>1</v>
      </c>
      <c r="AH585">
        <v>2</v>
      </c>
    </row>
    <row r="586" spans="1:34" x14ac:dyDescent="0.2">
      <c r="A586">
        <v>42</v>
      </c>
      <c r="B586" t="s">
        <v>42</v>
      </c>
      <c r="C586" t="s">
        <v>43</v>
      </c>
      <c r="D586" t="s">
        <v>44</v>
      </c>
      <c r="E586">
        <v>8</v>
      </c>
      <c r="F586">
        <v>3</v>
      </c>
      <c r="G586" t="s">
        <v>37</v>
      </c>
      <c r="H586">
        <v>1</v>
      </c>
      <c r="I586">
        <v>809</v>
      </c>
      <c r="J586">
        <v>2</v>
      </c>
      <c r="K586" t="s">
        <v>45</v>
      </c>
      <c r="L586">
        <v>66</v>
      </c>
      <c r="M586">
        <v>3</v>
      </c>
      <c r="N586">
        <v>5</v>
      </c>
      <c r="O586" t="s">
        <v>55</v>
      </c>
      <c r="P586">
        <v>4</v>
      </c>
      <c r="Q586" t="s">
        <v>51</v>
      </c>
      <c r="R586">
        <v>18430</v>
      </c>
      <c r="S586">
        <v>16225</v>
      </c>
      <c r="T586">
        <v>1</v>
      </c>
      <c r="U586" t="s">
        <v>41</v>
      </c>
      <c r="V586" t="s">
        <v>42</v>
      </c>
      <c r="W586">
        <v>13</v>
      </c>
      <c r="X586">
        <v>3</v>
      </c>
      <c r="Y586">
        <v>2</v>
      </c>
      <c r="Z586">
        <v>80</v>
      </c>
      <c r="AA586">
        <v>1</v>
      </c>
      <c r="AB586">
        <v>24</v>
      </c>
      <c r="AC586">
        <v>4</v>
      </c>
      <c r="AD586">
        <v>2</v>
      </c>
      <c r="AE586">
        <v>24</v>
      </c>
      <c r="AF586">
        <v>7</v>
      </c>
      <c r="AG586">
        <v>14</v>
      </c>
      <c r="AH586">
        <v>9</v>
      </c>
    </row>
    <row r="587" spans="1:34" x14ac:dyDescent="0.2">
      <c r="A587">
        <v>23</v>
      </c>
      <c r="B587" t="s">
        <v>34</v>
      </c>
      <c r="C587" t="s">
        <v>35</v>
      </c>
      <c r="D587" t="s">
        <v>44</v>
      </c>
      <c r="E587">
        <v>6</v>
      </c>
      <c r="F587">
        <v>3</v>
      </c>
      <c r="G587" t="s">
        <v>37</v>
      </c>
      <c r="H587">
        <v>1</v>
      </c>
      <c r="I587">
        <v>811</v>
      </c>
      <c r="J587">
        <v>3</v>
      </c>
      <c r="K587" t="s">
        <v>45</v>
      </c>
      <c r="L587">
        <v>63</v>
      </c>
      <c r="M587">
        <v>4</v>
      </c>
      <c r="N587">
        <v>1</v>
      </c>
      <c r="O587" t="s">
        <v>49</v>
      </c>
      <c r="P587">
        <v>1</v>
      </c>
      <c r="Q587" t="s">
        <v>47</v>
      </c>
      <c r="R587">
        <v>1601</v>
      </c>
      <c r="S587">
        <v>3445</v>
      </c>
      <c r="T587">
        <v>1</v>
      </c>
      <c r="U587" t="s">
        <v>41</v>
      </c>
      <c r="V587" t="s">
        <v>34</v>
      </c>
      <c r="W587">
        <v>21</v>
      </c>
      <c r="X587">
        <v>4</v>
      </c>
      <c r="Y587">
        <v>3</v>
      </c>
      <c r="Z587">
        <v>80</v>
      </c>
      <c r="AA587">
        <v>2</v>
      </c>
      <c r="AB587">
        <v>1</v>
      </c>
      <c r="AC587">
        <v>2</v>
      </c>
      <c r="AD587">
        <v>3</v>
      </c>
      <c r="AE587">
        <v>0</v>
      </c>
      <c r="AF587">
        <v>0</v>
      </c>
      <c r="AG587">
        <v>0</v>
      </c>
      <c r="AH587">
        <v>0</v>
      </c>
    </row>
    <row r="588" spans="1:34" x14ac:dyDescent="0.2">
      <c r="A588">
        <v>24</v>
      </c>
      <c r="B588" t="s">
        <v>42</v>
      </c>
      <c r="C588" t="s">
        <v>54</v>
      </c>
      <c r="D588" t="s">
        <v>44</v>
      </c>
      <c r="E588">
        <v>9</v>
      </c>
      <c r="F588">
        <v>3</v>
      </c>
      <c r="G588" t="s">
        <v>37</v>
      </c>
      <c r="H588">
        <v>1</v>
      </c>
      <c r="I588">
        <v>812</v>
      </c>
      <c r="J588">
        <v>3</v>
      </c>
      <c r="K588" t="s">
        <v>45</v>
      </c>
      <c r="L588">
        <v>60</v>
      </c>
      <c r="M588">
        <v>2</v>
      </c>
      <c r="N588">
        <v>1</v>
      </c>
      <c r="O588" t="s">
        <v>49</v>
      </c>
      <c r="P588">
        <v>2</v>
      </c>
      <c r="Q588" t="s">
        <v>51</v>
      </c>
      <c r="R588">
        <v>2694</v>
      </c>
      <c r="S588">
        <v>26551</v>
      </c>
      <c r="T588">
        <v>1</v>
      </c>
      <c r="U588" t="s">
        <v>41</v>
      </c>
      <c r="V588" t="s">
        <v>42</v>
      </c>
      <c r="W588">
        <v>11</v>
      </c>
      <c r="X588">
        <v>3</v>
      </c>
      <c r="Y588">
        <v>3</v>
      </c>
      <c r="Z588">
        <v>80</v>
      </c>
      <c r="AA588">
        <v>3</v>
      </c>
      <c r="AB588">
        <v>1</v>
      </c>
      <c r="AC588">
        <v>4</v>
      </c>
      <c r="AD588">
        <v>3</v>
      </c>
      <c r="AE588">
        <v>1</v>
      </c>
      <c r="AF588">
        <v>0</v>
      </c>
      <c r="AG588">
        <v>0</v>
      </c>
      <c r="AH588">
        <v>0</v>
      </c>
    </row>
    <row r="589" spans="1:34" x14ac:dyDescent="0.2">
      <c r="A589">
        <v>52</v>
      </c>
      <c r="B589" t="s">
        <v>42</v>
      </c>
      <c r="C589" t="s">
        <v>35</v>
      </c>
      <c r="D589" t="s">
        <v>44</v>
      </c>
      <c r="E589">
        <v>11</v>
      </c>
      <c r="F589">
        <v>4</v>
      </c>
      <c r="G589" t="s">
        <v>37</v>
      </c>
      <c r="H589">
        <v>1</v>
      </c>
      <c r="I589">
        <v>813</v>
      </c>
      <c r="J589">
        <v>4</v>
      </c>
      <c r="K589" t="s">
        <v>38</v>
      </c>
      <c r="L589">
        <v>82</v>
      </c>
      <c r="M589">
        <v>3</v>
      </c>
      <c r="N589">
        <v>2</v>
      </c>
      <c r="O589" t="s">
        <v>49</v>
      </c>
      <c r="P589">
        <v>3</v>
      </c>
      <c r="Q589" t="s">
        <v>47</v>
      </c>
      <c r="R589">
        <v>3149</v>
      </c>
      <c r="S589">
        <v>21821</v>
      </c>
      <c r="T589">
        <v>8</v>
      </c>
      <c r="U589" t="s">
        <v>41</v>
      </c>
      <c r="V589" t="s">
        <v>42</v>
      </c>
      <c r="W589">
        <v>20</v>
      </c>
      <c r="X589">
        <v>4</v>
      </c>
      <c r="Y589">
        <v>2</v>
      </c>
      <c r="Z589">
        <v>80</v>
      </c>
      <c r="AA589">
        <v>1</v>
      </c>
      <c r="AB589">
        <v>9</v>
      </c>
      <c r="AC589">
        <v>3</v>
      </c>
      <c r="AD589">
        <v>3</v>
      </c>
      <c r="AE589">
        <v>5</v>
      </c>
      <c r="AF589">
        <v>2</v>
      </c>
      <c r="AG589">
        <v>1</v>
      </c>
      <c r="AH589">
        <v>4</v>
      </c>
    </row>
    <row r="590" spans="1:34" x14ac:dyDescent="0.2">
      <c r="A590">
        <v>50</v>
      </c>
      <c r="B590" t="s">
        <v>42</v>
      </c>
      <c r="C590" t="s">
        <v>35</v>
      </c>
      <c r="D590" t="s">
        <v>44</v>
      </c>
      <c r="E590">
        <v>2</v>
      </c>
      <c r="F590">
        <v>3</v>
      </c>
      <c r="G590" t="s">
        <v>50</v>
      </c>
      <c r="H590">
        <v>1</v>
      </c>
      <c r="I590">
        <v>815</v>
      </c>
      <c r="J590">
        <v>3</v>
      </c>
      <c r="K590" t="s">
        <v>45</v>
      </c>
      <c r="L590">
        <v>64</v>
      </c>
      <c r="M590">
        <v>3</v>
      </c>
      <c r="N590">
        <v>4</v>
      </c>
      <c r="O590" t="s">
        <v>57</v>
      </c>
      <c r="P590">
        <v>3</v>
      </c>
      <c r="Q590" t="s">
        <v>47</v>
      </c>
      <c r="R590">
        <v>17639</v>
      </c>
      <c r="S590">
        <v>6881</v>
      </c>
      <c r="T590">
        <v>5</v>
      </c>
      <c r="U590" t="s">
        <v>41</v>
      </c>
      <c r="V590" t="s">
        <v>42</v>
      </c>
      <c r="W590">
        <v>16</v>
      </c>
      <c r="X590">
        <v>3</v>
      </c>
      <c r="Y590">
        <v>4</v>
      </c>
      <c r="Z590">
        <v>80</v>
      </c>
      <c r="AA590">
        <v>0</v>
      </c>
      <c r="AB590">
        <v>30</v>
      </c>
      <c r="AC590">
        <v>3</v>
      </c>
      <c r="AD590">
        <v>3</v>
      </c>
      <c r="AE590">
        <v>4</v>
      </c>
      <c r="AF590">
        <v>3</v>
      </c>
      <c r="AG590">
        <v>0</v>
      </c>
      <c r="AH590">
        <v>3</v>
      </c>
    </row>
    <row r="591" spans="1:34" x14ac:dyDescent="0.2">
      <c r="A591">
        <v>29</v>
      </c>
      <c r="B591" t="s">
        <v>34</v>
      </c>
      <c r="C591" t="s">
        <v>35</v>
      </c>
      <c r="D591" t="s">
        <v>44</v>
      </c>
      <c r="E591">
        <v>1</v>
      </c>
      <c r="F591">
        <v>2</v>
      </c>
      <c r="G591" t="s">
        <v>37</v>
      </c>
      <c r="H591">
        <v>1</v>
      </c>
      <c r="I591">
        <v>816</v>
      </c>
      <c r="J591">
        <v>2</v>
      </c>
      <c r="K591" t="s">
        <v>38</v>
      </c>
      <c r="L591">
        <v>36</v>
      </c>
      <c r="M591">
        <v>2</v>
      </c>
      <c r="N591">
        <v>1</v>
      </c>
      <c r="O591" t="s">
        <v>49</v>
      </c>
      <c r="P591">
        <v>1</v>
      </c>
      <c r="Q591" t="s">
        <v>47</v>
      </c>
      <c r="R591">
        <v>2319</v>
      </c>
      <c r="S591">
        <v>6689</v>
      </c>
      <c r="T591">
        <v>1</v>
      </c>
      <c r="U591" t="s">
        <v>41</v>
      </c>
      <c r="V591" t="s">
        <v>34</v>
      </c>
      <c r="W591">
        <v>11</v>
      </c>
      <c r="X591">
        <v>3</v>
      </c>
      <c r="Y591">
        <v>4</v>
      </c>
      <c r="Z591">
        <v>80</v>
      </c>
      <c r="AA591">
        <v>1</v>
      </c>
      <c r="AB591">
        <v>1</v>
      </c>
      <c r="AC591">
        <v>1</v>
      </c>
      <c r="AD591">
        <v>3</v>
      </c>
      <c r="AE591">
        <v>1</v>
      </c>
      <c r="AF591">
        <v>0</v>
      </c>
      <c r="AG591">
        <v>0</v>
      </c>
      <c r="AH591">
        <v>0</v>
      </c>
    </row>
    <row r="592" spans="1:34" x14ac:dyDescent="0.2">
      <c r="A592">
        <v>33</v>
      </c>
      <c r="B592" t="s">
        <v>42</v>
      </c>
      <c r="C592" t="s">
        <v>35</v>
      </c>
      <c r="D592" t="s">
        <v>44</v>
      </c>
      <c r="E592">
        <v>7</v>
      </c>
      <c r="F592">
        <v>3</v>
      </c>
      <c r="G592" t="s">
        <v>50</v>
      </c>
      <c r="H592">
        <v>1</v>
      </c>
      <c r="I592">
        <v>817</v>
      </c>
      <c r="J592">
        <v>3</v>
      </c>
      <c r="K592" t="s">
        <v>45</v>
      </c>
      <c r="L592">
        <v>49</v>
      </c>
      <c r="M592">
        <v>3</v>
      </c>
      <c r="N592">
        <v>3</v>
      </c>
      <c r="O592" t="s">
        <v>57</v>
      </c>
      <c r="P592">
        <v>3</v>
      </c>
      <c r="Q592" t="s">
        <v>47</v>
      </c>
      <c r="R592">
        <v>11691</v>
      </c>
      <c r="S592">
        <v>25995</v>
      </c>
      <c r="T592">
        <v>0</v>
      </c>
      <c r="U592" t="s">
        <v>41</v>
      </c>
      <c r="V592" t="s">
        <v>42</v>
      </c>
      <c r="W592">
        <v>11</v>
      </c>
      <c r="X592">
        <v>3</v>
      </c>
      <c r="Y592">
        <v>4</v>
      </c>
      <c r="Z592">
        <v>80</v>
      </c>
      <c r="AA592">
        <v>0</v>
      </c>
      <c r="AB592">
        <v>14</v>
      </c>
      <c r="AC592">
        <v>3</v>
      </c>
      <c r="AD592">
        <v>4</v>
      </c>
      <c r="AE592">
        <v>13</v>
      </c>
      <c r="AF592">
        <v>9</v>
      </c>
      <c r="AG592">
        <v>3</v>
      </c>
      <c r="AH592">
        <v>7</v>
      </c>
    </row>
    <row r="593" spans="1:34" x14ac:dyDescent="0.2">
      <c r="A593">
        <v>33</v>
      </c>
      <c r="B593" t="s">
        <v>34</v>
      </c>
      <c r="C593" t="s">
        <v>35</v>
      </c>
      <c r="D593" t="s">
        <v>36</v>
      </c>
      <c r="E593">
        <v>16</v>
      </c>
      <c r="F593">
        <v>3</v>
      </c>
      <c r="G593" t="s">
        <v>58</v>
      </c>
      <c r="H593">
        <v>1</v>
      </c>
      <c r="I593">
        <v>819</v>
      </c>
      <c r="J593">
        <v>1</v>
      </c>
      <c r="K593" t="s">
        <v>38</v>
      </c>
      <c r="L593">
        <v>69</v>
      </c>
      <c r="M593">
        <v>3</v>
      </c>
      <c r="N593">
        <v>2</v>
      </c>
      <c r="O593" t="s">
        <v>39</v>
      </c>
      <c r="P593">
        <v>1</v>
      </c>
      <c r="Q593" t="s">
        <v>40</v>
      </c>
      <c r="R593">
        <v>5324</v>
      </c>
      <c r="S593">
        <v>26507</v>
      </c>
      <c r="T593">
        <v>5</v>
      </c>
      <c r="U593" t="s">
        <v>41</v>
      </c>
      <c r="V593" t="s">
        <v>42</v>
      </c>
      <c r="W593">
        <v>15</v>
      </c>
      <c r="X593">
        <v>3</v>
      </c>
      <c r="Y593">
        <v>3</v>
      </c>
      <c r="Z593">
        <v>80</v>
      </c>
      <c r="AA593">
        <v>0</v>
      </c>
      <c r="AB593">
        <v>6</v>
      </c>
      <c r="AC593">
        <v>3</v>
      </c>
      <c r="AD593">
        <v>3</v>
      </c>
      <c r="AE593">
        <v>3</v>
      </c>
      <c r="AF593">
        <v>2</v>
      </c>
      <c r="AG593">
        <v>0</v>
      </c>
      <c r="AH593">
        <v>2</v>
      </c>
    </row>
    <row r="594" spans="1:34" x14ac:dyDescent="0.2">
      <c r="A594">
        <v>47</v>
      </c>
      <c r="B594" t="s">
        <v>42</v>
      </c>
      <c r="C594" t="s">
        <v>35</v>
      </c>
      <c r="D594" t="s">
        <v>44</v>
      </c>
      <c r="E594">
        <v>2</v>
      </c>
      <c r="F594">
        <v>2</v>
      </c>
      <c r="G594" t="s">
        <v>48</v>
      </c>
      <c r="H594">
        <v>1</v>
      </c>
      <c r="I594">
        <v>820</v>
      </c>
      <c r="J594">
        <v>3</v>
      </c>
      <c r="K594" t="s">
        <v>38</v>
      </c>
      <c r="L594">
        <v>33</v>
      </c>
      <c r="M594">
        <v>3</v>
      </c>
      <c r="N594">
        <v>4</v>
      </c>
      <c r="O594" t="s">
        <v>55</v>
      </c>
      <c r="P594">
        <v>4</v>
      </c>
      <c r="Q594" t="s">
        <v>47</v>
      </c>
      <c r="R594">
        <v>16752</v>
      </c>
      <c r="S594">
        <v>12982</v>
      </c>
      <c r="T594">
        <v>1</v>
      </c>
      <c r="U594" t="s">
        <v>41</v>
      </c>
      <c r="V594" t="s">
        <v>34</v>
      </c>
      <c r="W594">
        <v>11</v>
      </c>
      <c r="X594">
        <v>3</v>
      </c>
      <c r="Y594">
        <v>3</v>
      </c>
      <c r="Z594">
        <v>80</v>
      </c>
      <c r="AA594">
        <v>1</v>
      </c>
      <c r="AB594">
        <v>26</v>
      </c>
      <c r="AC594">
        <v>3</v>
      </c>
      <c r="AD594">
        <v>2</v>
      </c>
      <c r="AE594">
        <v>26</v>
      </c>
      <c r="AF594">
        <v>14</v>
      </c>
      <c r="AG594">
        <v>3</v>
      </c>
      <c r="AH594">
        <v>0</v>
      </c>
    </row>
    <row r="595" spans="1:34" x14ac:dyDescent="0.2">
      <c r="A595">
        <v>36</v>
      </c>
      <c r="B595" t="s">
        <v>42</v>
      </c>
      <c r="C595" t="s">
        <v>35</v>
      </c>
      <c r="D595" t="s">
        <v>44</v>
      </c>
      <c r="E595">
        <v>1</v>
      </c>
      <c r="F595">
        <v>3</v>
      </c>
      <c r="G595" t="s">
        <v>48</v>
      </c>
      <c r="H595">
        <v>1</v>
      </c>
      <c r="I595">
        <v>823</v>
      </c>
      <c r="J595">
        <v>3</v>
      </c>
      <c r="K595" t="s">
        <v>38</v>
      </c>
      <c r="L595">
        <v>35</v>
      </c>
      <c r="M595">
        <v>3</v>
      </c>
      <c r="N595">
        <v>2</v>
      </c>
      <c r="O595" t="s">
        <v>52</v>
      </c>
      <c r="P595">
        <v>2</v>
      </c>
      <c r="Q595" t="s">
        <v>47</v>
      </c>
      <c r="R595">
        <v>5228</v>
      </c>
      <c r="S595">
        <v>23361</v>
      </c>
      <c r="T595">
        <v>0</v>
      </c>
      <c r="U595" t="s">
        <v>41</v>
      </c>
      <c r="V595" t="s">
        <v>42</v>
      </c>
      <c r="W595">
        <v>15</v>
      </c>
      <c r="X595">
        <v>3</v>
      </c>
      <c r="Y595">
        <v>1</v>
      </c>
      <c r="Z595">
        <v>80</v>
      </c>
      <c r="AA595">
        <v>1</v>
      </c>
      <c r="AB595">
        <v>10</v>
      </c>
      <c r="AC595">
        <v>2</v>
      </c>
      <c r="AD595">
        <v>3</v>
      </c>
      <c r="AE595">
        <v>9</v>
      </c>
      <c r="AF595">
        <v>7</v>
      </c>
      <c r="AG595">
        <v>0</v>
      </c>
      <c r="AH595">
        <v>5</v>
      </c>
    </row>
    <row r="596" spans="1:34" x14ac:dyDescent="0.2">
      <c r="A596">
        <v>29</v>
      </c>
      <c r="B596" t="s">
        <v>42</v>
      </c>
      <c r="C596" t="s">
        <v>35</v>
      </c>
      <c r="D596" t="s">
        <v>44</v>
      </c>
      <c r="E596">
        <v>23</v>
      </c>
      <c r="F596">
        <v>2</v>
      </c>
      <c r="G596" t="s">
        <v>37</v>
      </c>
      <c r="H596">
        <v>1</v>
      </c>
      <c r="I596">
        <v>824</v>
      </c>
      <c r="J596">
        <v>3</v>
      </c>
      <c r="K596" t="s">
        <v>45</v>
      </c>
      <c r="L596">
        <v>81</v>
      </c>
      <c r="M596">
        <v>4</v>
      </c>
      <c r="N596">
        <v>1</v>
      </c>
      <c r="O596" t="s">
        <v>46</v>
      </c>
      <c r="P596">
        <v>3</v>
      </c>
      <c r="Q596" t="s">
        <v>47</v>
      </c>
      <c r="R596">
        <v>2700</v>
      </c>
      <c r="S596">
        <v>23779</v>
      </c>
      <c r="T596">
        <v>1</v>
      </c>
      <c r="U596" t="s">
        <v>41</v>
      </c>
      <c r="V596" t="s">
        <v>42</v>
      </c>
      <c r="W596">
        <v>24</v>
      </c>
      <c r="X596">
        <v>4</v>
      </c>
      <c r="Y596">
        <v>3</v>
      </c>
      <c r="Z596">
        <v>80</v>
      </c>
      <c r="AA596">
        <v>1</v>
      </c>
      <c r="AB596">
        <v>10</v>
      </c>
      <c r="AC596">
        <v>3</v>
      </c>
      <c r="AD596">
        <v>3</v>
      </c>
      <c r="AE596">
        <v>10</v>
      </c>
      <c r="AF596">
        <v>7</v>
      </c>
      <c r="AG596">
        <v>0</v>
      </c>
      <c r="AH596">
        <v>7</v>
      </c>
    </row>
    <row r="597" spans="1:34" x14ac:dyDescent="0.2">
      <c r="A597">
        <v>58</v>
      </c>
      <c r="B597" t="s">
        <v>34</v>
      </c>
      <c r="C597" t="s">
        <v>35</v>
      </c>
      <c r="D597" t="s">
        <v>44</v>
      </c>
      <c r="E597">
        <v>2</v>
      </c>
      <c r="F597">
        <v>4</v>
      </c>
      <c r="G597" t="s">
        <v>37</v>
      </c>
      <c r="H597">
        <v>1</v>
      </c>
      <c r="I597">
        <v>825</v>
      </c>
      <c r="J597">
        <v>4</v>
      </c>
      <c r="K597" t="s">
        <v>45</v>
      </c>
      <c r="L597">
        <v>31</v>
      </c>
      <c r="M597">
        <v>3</v>
      </c>
      <c r="N597">
        <v>5</v>
      </c>
      <c r="O597" t="s">
        <v>57</v>
      </c>
      <c r="P597">
        <v>2</v>
      </c>
      <c r="Q597" t="s">
        <v>40</v>
      </c>
      <c r="R597">
        <v>19246</v>
      </c>
      <c r="S597">
        <v>25761</v>
      </c>
      <c r="T597">
        <v>7</v>
      </c>
      <c r="U597" t="s">
        <v>41</v>
      </c>
      <c r="V597" t="s">
        <v>34</v>
      </c>
      <c r="W597">
        <v>12</v>
      </c>
      <c r="X597">
        <v>3</v>
      </c>
      <c r="Y597">
        <v>4</v>
      </c>
      <c r="Z597">
        <v>80</v>
      </c>
      <c r="AA597">
        <v>0</v>
      </c>
      <c r="AB597">
        <v>40</v>
      </c>
      <c r="AC597">
        <v>2</v>
      </c>
      <c r="AD597">
        <v>3</v>
      </c>
      <c r="AE597">
        <v>31</v>
      </c>
      <c r="AF597">
        <v>15</v>
      </c>
      <c r="AG597">
        <v>13</v>
      </c>
      <c r="AH597">
        <v>8</v>
      </c>
    </row>
    <row r="598" spans="1:34" x14ac:dyDescent="0.2">
      <c r="A598">
        <v>35</v>
      </c>
      <c r="B598" t="s">
        <v>42</v>
      </c>
      <c r="C598" t="s">
        <v>35</v>
      </c>
      <c r="D598" t="s">
        <v>44</v>
      </c>
      <c r="E598">
        <v>1</v>
      </c>
      <c r="F598">
        <v>4</v>
      </c>
      <c r="G598" t="s">
        <v>37</v>
      </c>
      <c r="H598">
        <v>1</v>
      </c>
      <c r="I598">
        <v>826</v>
      </c>
      <c r="J598">
        <v>4</v>
      </c>
      <c r="K598" t="s">
        <v>38</v>
      </c>
      <c r="L598">
        <v>40</v>
      </c>
      <c r="M598">
        <v>4</v>
      </c>
      <c r="N598">
        <v>1</v>
      </c>
      <c r="O598" t="s">
        <v>46</v>
      </c>
      <c r="P598">
        <v>3</v>
      </c>
      <c r="Q598" t="s">
        <v>40</v>
      </c>
      <c r="R598">
        <v>2506</v>
      </c>
      <c r="S598">
        <v>13301</v>
      </c>
      <c r="T598">
        <v>3</v>
      </c>
      <c r="U598" t="s">
        <v>41</v>
      </c>
      <c r="V598" t="s">
        <v>42</v>
      </c>
      <c r="W598">
        <v>13</v>
      </c>
      <c r="X598">
        <v>3</v>
      </c>
      <c r="Y598">
        <v>3</v>
      </c>
      <c r="Z598">
        <v>80</v>
      </c>
      <c r="AA598">
        <v>0</v>
      </c>
      <c r="AB598">
        <v>7</v>
      </c>
      <c r="AC598">
        <v>0</v>
      </c>
      <c r="AD598">
        <v>3</v>
      </c>
      <c r="AE598">
        <v>2</v>
      </c>
      <c r="AF598">
        <v>2</v>
      </c>
      <c r="AG598">
        <v>2</v>
      </c>
      <c r="AH598">
        <v>2</v>
      </c>
    </row>
    <row r="599" spans="1:34" x14ac:dyDescent="0.2">
      <c r="A599">
        <v>42</v>
      </c>
      <c r="B599" t="s">
        <v>42</v>
      </c>
      <c r="C599" t="s">
        <v>35</v>
      </c>
      <c r="D599" t="s">
        <v>44</v>
      </c>
      <c r="E599">
        <v>1</v>
      </c>
      <c r="F599">
        <v>2</v>
      </c>
      <c r="G599" t="s">
        <v>37</v>
      </c>
      <c r="H599">
        <v>1</v>
      </c>
      <c r="I599">
        <v>827</v>
      </c>
      <c r="J599">
        <v>4</v>
      </c>
      <c r="K599" t="s">
        <v>38</v>
      </c>
      <c r="L599">
        <v>43</v>
      </c>
      <c r="M599">
        <v>2</v>
      </c>
      <c r="N599">
        <v>2</v>
      </c>
      <c r="O599" t="s">
        <v>52</v>
      </c>
      <c r="P599">
        <v>4</v>
      </c>
      <c r="Q599" t="s">
        <v>47</v>
      </c>
      <c r="R599">
        <v>6062</v>
      </c>
      <c r="S599">
        <v>4051</v>
      </c>
      <c r="T599">
        <v>9</v>
      </c>
      <c r="U599" t="s">
        <v>41</v>
      </c>
      <c r="V599" t="s">
        <v>34</v>
      </c>
      <c r="W599">
        <v>13</v>
      </c>
      <c r="X599">
        <v>3</v>
      </c>
      <c r="Y599">
        <v>4</v>
      </c>
      <c r="Z599">
        <v>80</v>
      </c>
      <c r="AA599">
        <v>1</v>
      </c>
      <c r="AB599">
        <v>8</v>
      </c>
      <c r="AC599">
        <v>4</v>
      </c>
      <c r="AD599">
        <v>3</v>
      </c>
      <c r="AE599">
        <v>4</v>
      </c>
      <c r="AF599">
        <v>3</v>
      </c>
      <c r="AG599">
        <v>0</v>
      </c>
      <c r="AH599">
        <v>2</v>
      </c>
    </row>
    <row r="600" spans="1:34" x14ac:dyDescent="0.2">
      <c r="A600">
        <v>28</v>
      </c>
      <c r="B600" t="s">
        <v>34</v>
      </c>
      <c r="C600" t="s">
        <v>35</v>
      </c>
      <c r="D600" t="s">
        <v>44</v>
      </c>
      <c r="E600">
        <v>2</v>
      </c>
      <c r="F600">
        <v>4</v>
      </c>
      <c r="G600" t="s">
        <v>50</v>
      </c>
      <c r="H600">
        <v>1</v>
      </c>
      <c r="I600">
        <v>828</v>
      </c>
      <c r="J600">
        <v>3</v>
      </c>
      <c r="K600" t="s">
        <v>45</v>
      </c>
      <c r="L600">
        <v>46</v>
      </c>
      <c r="M600">
        <v>3</v>
      </c>
      <c r="N600">
        <v>1</v>
      </c>
      <c r="O600" t="s">
        <v>46</v>
      </c>
      <c r="P600">
        <v>3</v>
      </c>
      <c r="Q600" t="s">
        <v>40</v>
      </c>
      <c r="R600">
        <v>4382</v>
      </c>
      <c r="S600">
        <v>16374</v>
      </c>
      <c r="T600">
        <v>6</v>
      </c>
      <c r="U600" t="s">
        <v>41</v>
      </c>
      <c r="V600" t="s">
        <v>42</v>
      </c>
      <c r="W600">
        <v>17</v>
      </c>
      <c r="X600">
        <v>3</v>
      </c>
      <c r="Y600">
        <v>4</v>
      </c>
      <c r="Z600">
        <v>80</v>
      </c>
      <c r="AA600">
        <v>0</v>
      </c>
      <c r="AB600">
        <v>5</v>
      </c>
      <c r="AC600">
        <v>3</v>
      </c>
      <c r="AD600">
        <v>2</v>
      </c>
      <c r="AE600">
        <v>2</v>
      </c>
      <c r="AF600">
        <v>2</v>
      </c>
      <c r="AG600">
        <v>2</v>
      </c>
      <c r="AH600">
        <v>1</v>
      </c>
    </row>
    <row r="601" spans="1:34" x14ac:dyDescent="0.2">
      <c r="A601">
        <v>36</v>
      </c>
      <c r="B601" t="s">
        <v>42</v>
      </c>
      <c r="C601" t="s">
        <v>35</v>
      </c>
      <c r="D601" t="s">
        <v>60</v>
      </c>
      <c r="E601">
        <v>13</v>
      </c>
      <c r="F601">
        <v>3</v>
      </c>
      <c r="G601" t="s">
        <v>60</v>
      </c>
      <c r="H601">
        <v>1</v>
      </c>
      <c r="I601">
        <v>829</v>
      </c>
      <c r="J601">
        <v>3</v>
      </c>
      <c r="K601" t="s">
        <v>45</v>
      </c>
      <c r="L601">
        <v>36</v>
      </c>
      <c r="M601">
        <v>3</v>
      </c>
      <c r="N601">
        <v>1</v>
      </c>
      <c r="O601" t="s">
        <v>60</v>
      </c>
      <c r="P601">
        <v>2</v>
      </c>
      <c r="Q601" t="s">
        <v>47</v>
      </c>
      <c r="R601">
        <v>2143</v>
      </c>
      <c r="S601">
        <v>25527</v>
      </c>
      <c r="T601">
        <v>4</v>
      </c>
      <c r="U601" t="s">
        <v>41</v>
      </c>
      <c r="V601" t="s">
        <v>42</v>
      </c>
      <c r="W601">
        <v>13</v>
      </c>
      <c r="X601">
        <v>3</v>
      </c>
      <c r="Y601">
        <v>2</v>
      </c>
      <c r="Z601">
        <v>80</v>
      </c>
      <c r="AA601">
        <v>1</v>
      </c>
      <c r="AB601">
        <v>8</v>
      </c>
      <c r="AC601">
        <v>2</v>
      </c>
      <c r="AD601">
        <v>3</v>
      </c>
      <c r="AE601">
        <v>5</v>
      </c>
      <c r="AF601">
        <v>2</v>
      </c>
      <c r="AG601">
        <v>0</v>
      </c>
      <c r="AH601">
        <v>4</v>
      </c>
    </row>
    <row r="602" spans="1:34" x14ac:dyDescent="0.2">
      <c r="A602">
        <v>32</v>
      </c>
      <c r="B602" t="s">
        <v>42</v>
      </c>
      <c r="C602" t="s">
        <v>35</v>
      </c>
      <c r="D602" t="s">
        <v>44</v>
      </c>
      <c r="E602">
        <v>4</v>
      </c>
      <c r="F602">
        <v>3</v>
      </c>
      <c r="G602" t="s">
        <v>37</v>
      </c>
      <c r="H602">
        <v>1</v>
      </c>
      <c r="I602">
        <v>830</v>
      </c>
      <c r="J602">
        <v>3</v>
      </c>
      <c r="K602" t="s">
        <v>38</v>
      </c>
      <c r="L602">
        <v>98</v>
      </c>
      <c r="M602">
        <v>2</v>
      </c>
      <c r="N602">
        <v>2</v>
      </c>
      <c r="O602" t="s">
        <v>52</v>
      </c>
      <c r="P602">
        <v>3</v>
      </c>
      <c r="Q602" t="s">
        <v>47</v>
      </c>
      <c r="R602">
        <v>6162</v>
      </c>
      <c r="S602">
        <v>19124</v>
      </c>
      <c r="T602">
        <v>1</v>
      </c>
      <c r="U602" t="s">
        <v>41</v>
      </c>
      <c r="V602" t="s">
        <v>42</v>
      </c>
      <c r="W602">
        <v>12</v>
      </c>
      <c r="X602">
        <v>3</v>
      </c>
      <c r="Y602">
        <v>3</v>
      </c>
      <c r="Z602">
        <v>80</v>
      </c>
      <c r="AA602">
        <v>1</v>
      </c>
      <c r="AB602">
        <v>14</v>
      </c>
      <c r="AC602">
        <v>3</v>
      </c>
      <c r="AD602">
        <v>3</v>
      </c>
      <c r="AE602">
        <v>14</v>
      </c>
      <c r="AF602">
        <v>13</v>
      </c>
      <c r="AG602">
        <v>6</v>
      </c>
      <c r="AH602">
        <v>8</v>
      </c>
    </row>
    <row r="603" spans="1:34" x14ac:dyDescent="0.2">
      <c r="A603">
        <v>40</v>
      </c>
      <c r="B603" t="s">
        <v>42</v>
      </c>
      <c r="C603" t="s">
        <v>43</v>
      </c>
      <c r="D603" t="s">
        <v>44</v>
      </c>
      <c r="E603">
        <v>16</v>
      </c>
      <c r="F603">
        <v>4</v>
      </c>
      <c r="G603" t="s">
        <v>50</v>
      </c>
      <c r="H603">
        <v>1</v>
      </c>
      <c r="I603">
        <v>832</v>
      </c>
      <c r="J603">
        <v>1</v>
      </c>
      <c r="K603" t="s">
        <v>45</v>
      </c>
      <c r="L603">
        <v>51</v>
      </c>
      <c r="M603">
        <v>2</v>
      </c>
      <c r="N603">
        <v>2</v>
      </c>
      <c r="O603" t="s">
        <v>49</v>
      </c>
      <c r="P603">
        <v>3</v>
      </c>
      <c r="Q603" t="s">
        <v>40</v>
      </c>
      <c r="R603">
        <v>5094</v>
      </c>
      <c r="S603">
        <v>11983</v>
      </c>
      <c r="T603">
        <v>6</v>
      </c>
      <c r="U603" t="s">
        <v>41</v>
      </c>
      <c r="V603" t="s">
        <v>42</v>
      </c>
      <c r="W603">
        <v>14</v>
      </c>
      <c r="X603">
        <v>3</v>
      </c>
      <c r="Y603">
        <v>4</v>
      </c>
      <c r="Z603">
        <v>80</v>
      </c>
      <c r="AA603">
        <v>0</v>
      </c>
      <c r="AB603">
        <v>10</v>
      </c>
      <c r="AC603">
        <v>6</v>
      </c>
      <c r="AD603">
        <v>3</v>
      </c>
      <c r="AE603">
        <v>1</v>
      </c>
      <c r="AF603">
        <v>0</v>
      </c>
      <c r="AG603">
        <v>0</v>
      </c>
      <c r="AH603">
        <v>0</v>
      </c>
    </row>
    <row r="604" spans="1:34" x14ac:dyDescent="0.2">
      <c r="A604">
        <v>30</v>
      </c>
      <c r="B604" t="s">
        <v>42</v>
      </c>
      <c r="C604" t="s">
        <v>35</v>
      </c>
      <c r="D604" t="s">
        <v>44</v>
      </c>
      <c r="E604">
        <v>2</v>
      </c>
      <c r="F604">
        <v>3</v>
      </c>
      <c r="G604" t="s">
        <v>50</v>
      </c>
      <c r="H604">
        <v>1</v>
      </c>
      <c r="I604">
        <v>833</v>
      </c>
      <c r="J604">
        <v>3</v>
      </c>
      <c r="K604" t="s">
        <v>38</v>
      </c>
      <c r="L604">
        <v>52</v>
      </c>
      <c r="M604">
        <v>2</v>
      </c>
      <c r="N604">
        <v>2</v>
      </c>
      <c r="O604" t="s">
        <v>52</v>
      </c>
      <c r="P604">
        <v>4</v>
      </c>
      <c r="Q604" t="s">
        <v>40</v>
      </c>
      <c r="R604">
        <v>6877</v>
      </c>
      <c r="S604">
        <v>20234</v>
      </c>
      <c r="T604">
        <v>5</v>
      </c>
      <c r="U604" t="s">
        <v>41</v>
      </c>
      <c r="V604" t="s">
        <v>34</v>
      </c>
      <c r="W604">
        <v>24</v>
      </c>
      <c r="X604">
        <v>4</v>
      </c>
      <c r="Y604">
        <v>2</v>
      </c>
      <c r="Z604">
        <v>80</v>
      </c>
      <c r="AA604">
        <v>0</v>
      </c>
      <c r="AB604">
        <v>12</v>
      </c>
      <c r="AC604">
        <v>4</v>
      </c>
      <c r="AD604">
        <v>2</v>
      </c>
      <c r="AE604">
        <v>0</v>
      </c>
      <c r="AF604">
        <v>0</v>
      </c>
      <c r="AG604">
        <v>0</v>
      </c>
      <c r="AH604">
        <v>0</v>
      </c>
    </row>
    <row r="605" spans="1:34" x14ac:dyDescent="0.2">
      <c r="A605">
        <v>45</v>
      </c>
      <c r="B605" t="s">
        <v>42</v>
      </c>
      <c r="C605" t="s">
        <v>35</v>
      </c>
      <c r="D605" t="s">
        <v>44</v>
      </c>
      <c r="E605">
        <v>2</v>
      </c>
      <c r="F605">
        <v>3</v>
      </c>
      <c r="G605" t="s">
        <v>37</v>
      </c>
      <c r="H605">
        <v>1</v>
      </c>
      <c r="I605">
        <v>834</v>
      </c>
      <c r="J605">
        <v>2</v>
      </c>
      <c r="K605" t="s">
        <v>38</v>
      </c>
      <c r="L605">
        <v>95</v>
      </c>
      <c r="M605">
        <v>2</v>
      </c>
      <c r="N605">
        <v>1</v>
      </c>
      <c r="O605" t="s">
        <v>46</v>
      </c>
      <c r="P605">
        <v>3</v>
      </c>
      <c r="Q605" t="s">
        <v>40</v>
      </c>
      <c r="R605">
        <v>2274</v>
      </c>
      <c r="S605">
        <v>6153</v>
      </c>
      <c r="T605">
        <v>1</v>
      </c>
      <c r="U605" t="s">
        <v>41</v>
      </c>
      <c r="V605" t="s">
        <v>42</v>
      </c>
      <c r="W605">
        <v>14</v>
      </c>
      <c r="X605">
        <v>3</v>
      </c>
      <c r="Y605">
        <v>4</v>
      </c>
      <c r="Z605">
        <v>80</v>
      </c>
      <c r="AA605">
        <v>0</v>
      </c>
      <c r="AB605">
        <v>1</v>
      </c>
      <c r="AC605">
        <v>3</v>
      </c>
      <c r="AD605">
        <v>3</v>
      </c>
      <c r="AE605">
        <v>1</v>
      </c>
      <c r="AF605">
        <v>0</v>
      </c>
      <c r="AG605">
        <v>0</v>
      </c>
      <c r="AH605">
        <v>0</v>
      </c>
    </row>
    <row r="606" spans="1:34" x14ac:dyDescent="0.2">
      <c r="A606">
        <v>42</v>
      </c>
      <c r="B606" t="s">
        <v>42</v>
      </c>
      <c r="C606" t="s">
        <v>35</v>
      </c>
      <c r="D606" t="s">
        <v>44</v>
      </c>
      <c r="E606">
        <v>29</v>
      </c>
      <c r="F606">
        <v>3</v>
      </c>
      <c r="G606" t="s">
        <v>37</v>
      </c>
      <c r="H606">
        <v>1</v>
      </c>
      <c r="I606">
        <v>836</v>
      </c>
      <c r="J606">
        <v>2</v>
      </c>
      <c r="K606" t="s">
        <v>45</v>
      </c>
      <c r="L606">
        <v>98</v>
      </c>
      <c r="M606">
        <v>3</v>
      </c>
      <c r="N606">
        <v>2</v>
      </c>
      <c r="O606" t="s">
        <v>52</v>
      </c>
      <c r="P606">
        <v>2</v>
      </c>
      <c r="Q606" t="s">
        <v>47</v>
      </c>
      <c r="R606">
        <v>4434</v>
      </c>
      <c r="S606">
        <v>11806</v>
      </c>
      <c r="T606">
        <v>1</v>
      </c>
      <c r="U606" t="s">
        <v>41</v>
      </c>
      <c r="V606" t="s">
        <v>42</v>
      </c>
      <c r="W606">
        <v>13</v>
      </c>
      <c r="X606">
        <v>3</v>
      </c>
      <c r="Y606">
        <v>4</v>
      </c>
      <c r="Z606">
        <v>80</v>
      </c>
      <c r="AA606">
        <v>1</v>
      </c>
      <c r="AB606">
        <v>10</v>
      </c>
      <c r="AC606">
        <v>3</v>
      </c>
      <c r="AD606">
        <v>2</v>
      </c>
      <c r="AE606">
        <v>9</v>
      </c>
      <c r="AF606">
        <v>8</v>
      </c>
      <c r="AG606">
        <v>7</v>
      </c>
      <c r="AH606">
        <v>8</v>
      </c>
    </row>
    <row r="607" spans="1:34" x14ac:dyDescent="0.2">
      <c r="A607">
        <v>38</v>
      </c>
      <c r="B607" t="s">
        <v>42</v>
      </c>
      <c r="C607" t="s">
        <v>43</v>
      </c>
      <c r="D607" t="s">
        <v>44</v>
      </c>
      <c r="E607">
        <v>12</v>
      </c>
      <c r="F607">
        <v>3</v>
      </c>
      <c r="G607" t="s">
        <v>37</v>
      </c>
      <c r="H607">
        <v>1</v>
      </c>
      <c r="I607">
        <v>837</v>
      </c>
      <c r="J607">
        <v>1</v>
      </c>
      <c r="K607" t="s">
        <v>45</v>
      </c>
      <c r="L607">
        <v>45</v>
      </c>
      <c r="M607">
        <v>2</v>
      </c>
      <c r="N607">
        <v>2</v>
      </c>
      <c r="O607" t="s">
        <v>53</v>
      </c>
      <c r="P607">
        <v>1</v>
      </c>
      <c r="Q607" t="s">
        <v>51</v>
      </c>
      <c r="R607">
        <v>6288</v>
      </c>
      <c r="S607">
        <v>4284</v>
      </c>
      <c r="T607">
        <v>2</v>
      </c>
      <c r="U607" t="s">
        <v>41</v>
      </c>
      <c r="V607" t="s">
        <v>42</v>
      </c>
      <c r="W607">
        <v>15</v>
      </c>
      <c r="X607">
        <v>3</v>
      </c>
      <c r="Y607">
        <v>3</v>
      </c>
      <c r="Z607">
        <v>80</v>
      </c>
      <c r="AA607">
        <v>1</v>
      </c>
      <c r="AB607">
        <v>13</v>
      </c>
      <c r="AC607">
        <v>3</v>
      </c>
      <c r="AD607">
        <v>2</v>
      </c>
      <c r="AE607">
        <v>4</v>
      </c>
      <c r="AF607">
        <v>3</v>
      </c>
      <c r="AG607">
        <v>1</v>
      </c>
      <c r="AH607">
        <v>2</v>
      </c>
    </row>
    <row r="608" spans="1:34" x14ac:dyDescent="0.2">
      <c r="A608">
        <v>34</v>
      </c>
      <c r="B608" t="s">
        <v>42</v>
      </c>
      <c r="C608" t="s">
        <v>43</v>
      </c>
      <c r="D608" t="s">
        <v>44</v>
      </c>
      <c r="E608">
        <v>16</v>
      </c>
      <c r="F608">
        <v>4</v>
      </c>
      <c r="G608" t="s">
        <v>37</v>
      </c>
      <c r="H608">
        <v>1</v>
      </c>
      <c r="I608">
        <v>838</v>
      </c>
      <c r="J608">
        <v>3</v>
      </c>
      <c r="K608" t="s">
        <v>38</v>
      </c>
      <c r="L608">
        <v>100</v>
      </c>
      <c r="M608">
        <v>2</v>
      </c>
      <c r="N608">
        <v>1</v>
      </c>
      <c r="O608" t="s">
        <v>46</v>
      </c>
      <c r="P608">
        <v>4</v>
      </c>
      <c r="Q608" t="s">
        <v>40</v>
      </c>
      <c r="R608">
        <v>2553</v>
      </c>
      <c r="S608">
        <v>8306</v>
      </c>
      <c r="T608">
        <v>1</v>
      </c>
      <c r="U608" t="s">
        <v>41</v>
      </c>
      <c r="V608" t="s">
        <v>42</v>
      </c>
      <c r="W608">
        <v>16</v>
      </c>
      <c r="X608">
        <v>3</v>
      </c>
      <c r="Y608">
        <v>3</v>
      </c>
      <c r="Z608">
        <v>80</v>
      </c>
      <c r="AA608">
        <v>0</v>
      </c>
      <c r="AB608">
        <v>6</v>
      </c>
      <c r="AC608">
        <v>3</v>
      </c>
      <c r="AD608">
        <v>3</v>
      </c>
      <c r="AE608">
        <v>5</v>
      </c>
      <c r="AF608">
        <v>2</v>
      </c>
      <c r="AG608">
        <v>1</v>
      </c>
      <c r="AH608">
        <v>3</v>
      </c>
    </row>
    <row r="609" spans="1:34" x14ac:dyDescent="0.2">
      <c r="A609">
        <v>49</v>
      </c>
      <c r="B609" t="s">
        <v>34</v>
      </c>
      <c r="C609" t="s">
        <v>35</v>
      </c>
      <c r="D609" t="s">
        <v>36</v>
      </c>
      <c r="E609">
        <v>11</v>
      </c>
      <c r="F609">
        <v>3</v>
      </c>
      <c r="G609" t="s">
        <v>58</v>
      </c>
      <c r="H609">
        <v>1</v>
      </c>
      <c r="I609">
        <v>840</v>
      </c>
      <c r="J609">
        <v>3</v>
      </c>
      <c r="K609" t="s">
        <v>38</v>
      </c>
      <c r="L609">
        <v>43</v>
      </c>
      <c r="M609">
        <v>3</v>
      </c>
      <c r="N609">
        <v>3</v>
      </c>
      <c r="O609" t="s">
        <v>39</v>
      </c>
      <c r="P609">
        <v>4</v>
      </c>
      <c r="Q609" t="s">
        <v>47</v>
      </c>
      <c r="R609">
        <v>7654</v>
      </c>
      <c r="S609">
        <v>5860</v>
      </c>
      <c r="T609">
        <v>1</v>
      </c>
      <c r="U609" t="s">
        <v>41</v>
      </c>
      <c r="V609" t="s">
        <v>42</v>
      </c>
      <c r="W609">
        <v>18</v>
      </c>
      <c r="X609">
        <v>3</v>
      </c>
      <c r="Y609">
        <v>1</v>
      </c>
      <c r="Z609">
        <v>80</v>
      </c>
      <c r="AA609">
        <v>2</v>
      </c>
      <c r="AB609">
        <v>9</v>
      </c>
      <c r="AC609">
        <v>3</v>
      </c>
      <c r="AD609">
        <v>4</v>
      </c>
      <c r="AE609">
        <v>9</v>
      </c>
      <c r="AF609">
        <v>8</v>
      </c>
      <c r="AG609">
        <v>7</v>
      </c>
      <c r="AH609">
        <v>7</v>
      </c>
    </row>
    <row r="610" spans="1:34" x14ac:dyDescent="0.2">
      <c r="A610">
        <v>55</v>
      </c>
      <c r="B610" t="s">
        <v>34</v>
      </c>
      <c r="C610" t="s">
        <v>35</v>
      </c>
      <c r="D610" t="s">
        <v>36</v>
      </c>
      <c r="E610">
        <v>2</v>
      </c>
      <c r="F610">
        <v>1</v>
      </c>
      <c r="G610" t="s">
        <v>50</v>
      </c>
      <c r="H610">
        <v>1</v>
      </c>
      <c r="I610">
        <v>842</v>
      </c>
      <c r="J610">
        <v>3</v>
      </c>
      <c r="K610" t="s">
        <v>45</v>
      </c>
      <c r="L610">
        <v>37</v>
      </c>
      <c r="M610">
        <v>3</v>
      </c>
      <c r="N610">
        <v>2</v>
      </c>
      <c r="O610" t="s">
        <v>39</v>
      </c>
      <c r="P610">
        <v>4</v>
      </c>
      <c r="Q610" t="s">
        <v>40</v>
      </c>
      <c r="R610">
        <v>5160</v>
      </c>
      <c r="S610">
        <v>21519</v>
      </c>
      <c r="T610">
        <v>4</v>
      </c>
      <c r="U610" t="s">
        <v>41</v>
      </c>
      <c r="V610" t="s">
        <v>42</v>
      </c>
      <c r="W610">
        <v>16</v>
      </c>
      <c r="X610">
        <v>3</v>
      </c>
      <c r="Y610">
        <v>3</v>
      </c>
      <c r="Z610">
        <v>80</v>
      </c>
      <c r="AA610">
        <v>0</v>
      </c>
      <c r="AB610">
        <v>12</v>
      </c>
      <c r="AC610">
        <v>3</v>
      </c>
      <c r="AD610">
        <v>2</v>
      </c>
      <c r="AE610">
        <v>9</v>
      </c>
      <c r="AF610">
        <v>7</v>
      </c>
      <c r="AG610">
        <v>7</v>
      </c>
      <c r="AH610">
        <v>3</v>
      </c>
    </row>
    <row r="611" spans="1:34" x14ac:dyDescent="0.2">
      <c r="A611">
        <v>43</v>
      </c>
      <c r="B611" t="s">
        <v>42</v>
      </c>
      <c r="C611" t="s">
        <v>35</v>
      </c>
      <c r="D611" t="s">
        <v>44</v>
      </c>
      <c r="E611">
        <v>14</v>
      </c>
      <c r="F611">
        <v>2</v>
      </c>
      <c r="G611" t="s">
        <v>37</v>
      </c>
      <c r="H611">
        <v>1</v>
      </c>
      <c r="I611">
        <v>843</v>
      </c>
      <c r="J611">
        <v>2</v>
      </c>
      <c r="K611" t="s">
        <v>45</v>
      </c>
      <c r="L611">
        <v>94</v>
      </c>
      <c r="M611">
        <v>3</v>
      </c>
      <c r="N611">
        <v>4</v>
      </c>
      <c r="O611" t="s">
        <v>57</v>
      </c>
      <c r="P611">
        <v>1</v>
      </c>
      <c r="Q611" t="s">
        <v>47</v>
      </c>
      <c r="R611">
        <v>17159</v>
      </c>
      <c r="S611">
        <v>5200</v>
      </c>
      <c r="T611">
        <v>6</v>
      </c>
      <c r="U611" t="s">
        <v>41</v>
      </c>
      <c r="V611" t="s">
        <v>42</v>
      </c>
      <c r="W611">
        <v>24</v>
      </c>
      <c r="X611">
        <v>4</v>
      </c>
      <c r="Y611">
        <v>3</v>
      </c>
      <c r="Z611">
        <v>80</v>
      </c>
      <c r="AA611">
        <v>1</v>
      </c>
      <c r="AB611">
        <v>22</v>
      </c>
      <c r="AC611">
        <v>3</v>
      </c>
      <c r="AD611">
        <v>3</v>
      </c>
      <c r="AE611">
        <v>4</v>
      </c>
      <c r="AF611">
        <v>1</v>
      </c>
      <c r="AG611">
        <v>1</v>
      </c>
      <c r="AH611">
        <v>0</v>
      </c>
    </row>
    <row r="612" spans="1:34" x14ac:dyDescent="0.2">
      <c r="A612">
        <v>27</v>
      </c>
      <c r="B612" t="s">
        <v>42</v>
      </c>
      <c r="C612" t="s">
        <v>35</v>
      </c>
      <c r="D612" t="s">
        <v>44</v>
      </c>
      <c r="E612">
        <v>5</v>
      </c>
      <c r="F612">
        <v>1</v>
      </c>
      <c r="G612" t="s">
        <v>59</v>
      </c>
      <c r="H612">
        <v>1</v>
      </c>
      <c r="I612">
        <v>844</v>
      </c>
      <c r="J612">
        <v>3</v>
      </c>
      <c r="K612" t="s">
        <v>45</v>
      </c>
      <c r="L612">
        <v>42</v>
      </c>
      <c r="M612">
        <v>2</v>
      </c>
      <c r="N612">
        <v>3</v>
      </c>
      <c r="O612" t="s">
        <v>57</v>
      </c>
      <c r="P612">
        <v>4</v>
      </c>
      <c r="Q612" t="s">
        <v>51</v>
      </c>
      <c r="R612">
        <v>12808</v>
      </c>
      <c r="S612">
        <v>8842</v>
      </c>
      <c r="T612">
        <v>1</v>
      </c>
      <c r="U612" t="s">
        <v>41</v>
      </c>
      <c r="V612" t="s">
        <v>34</v>
      </c>
      <c r="W612">
        <v>16</v>
      </c>
      <c r="X612">
        <v>3</v>
      </c>
      <c r="Y612">
        <v>2</v>
      </c>
      <c r="Z612">
        <v>80</v>
      </c>
      <c r="AA612">
        <v>1</v>
      </c>
      <c r="AB612">
        <v>9</v>
      </c>
      <c r="AC612">
        <v>3</v>
      </c>
      <c r="AD612">
        <v>3</v>
      </c>
      <c r="AE612">
        <v>9</v>
      </c>
      <c r="AF612">
        <v>8</v>
      </c>
      <c r="AG612">
        <v>0</v>
      </c>
      <c r="AH612">
        <v>8</v>
      </c>
    </row>
    <row r="613" spans="1:34" x14ac:dyDescent="0.2">
      <c r="A613">
        <v>35</v>
      </c>
      <c r="B613" t="s">
        <v>42</v>
      </c>
      <c r="C613" t="s">
        <v>35</v>
      </c>
      <c r="D613" t="s">
        <v>44</v>
      </c>
      <c r="E613">
        <v>7</v>
      </c>
      <c r="F613">
        <v>3</v>
      </c>
      <c r="G613" t="s">
        <v>48</v>
      </c>
      <c r="H613">
        <v>1</v>
      </c>
      <c r="I613">
        <v>845</v>
      </c>
      <c r="J613">
        <v>3</v>
      </c>
      <c r="K613" t="s">
        <v>45</v>
      </c>
      <c r="L613">
        <v>59</v>
      </c>
      <c r="M613">
        <v>3</v>
      </c>
      <c r="N613">
        <v>3</v>
      </c>
      <c r="O613" t="s">
        <v>52</v>
      </c>
      <c r="P613">
        <v>3</v>
      </c>
      <c r="Q613" t="s">
        <v>40</v>
      </c>
      <c r="R613">
        <v>10221</v>
      </c>
      <c r="S613">
        <v>18869</v>
      </c>
      <c r="T613">
        <v>3</v>
      </c>
      <c r="U613" t="s">
        <v>41</v>
      </c>
      <c r="V613" t="s">
        <v>42</v>
      </c>
      <c r="W613">
        <v>21</v>
      </c>
      <c r="X613">
        <v>4</v>
      </c>
      <c r="Y613">
        <v>2</v>
      </c>
      <c r="Z613">
        <v>80</v>
      </c>
      <c r="AA613">
        <v>0</v>
      </c>
      <c r="AB613">
        <v>17</v>
      </c>
      <c r="AC613">
        <v>3</v>
      </c>
      <c r="AD613">
        <v>4</v>
      </c>
      <c r="AE613">
        <v>8</v>
      </c>
      <c r="AF613">
        <v>5</v>
      </c>
      <c r="AG613">
        <v>1</v>
      </c>
      <c r="AH613">
        <v>6</v>
      </c>
    </row>
    <row r="614" spans="1:34" x14ac:dyDescent="0.2">
      <c r="A614">
        <v>28</v>
      </c>
      <c r="B614" t="s">
        <v>42</v>
      </c>
      <c r="C614" t="s">
        <v>35</v>
      </c>
      <c r="D614" t="s">
        <v>36</v>
      </c>
      <c r="E614">
        <v>2</v>
      </c>
      <c r="F614">
        <v>4</v>
      </c>
      <c r="G614" t="s">
        <v>58</v>
      </c>
      <c r="H614">
        <v>1</v>
      </c>
      <c r="I614">
        <v>846</v>
      </c>
      <c r="J614">
        <v>2</v>
      </c>
      <c r="K614" t="s">
        <v>38</v>
      </c>
      <c r="L614">
        <v>81</v>
      </c>
      <c r="M614">
        <v>3</v>
      </c>
      <c r="N614">
        <v>2</v>
      </c>
      <c r="O614" t="s">
        <v>39</v>
      </c>
      <c r="P614">
        <v>2</v>
      </c>
      <c r="Q614" t="s">
        <v>47</v>
      </c>
      <c r="R614">
        <v>4779</v>
      </c>
      <c r="S614">
        <v>3698</v>
      </c>
      <c r="T614">
        <v>1</v>
      </c>
      <c r="U614" t="s">
        <v>41</v>
      </c>
      <c r="V614" t="s">
        <v>34</v>
      </c>
      <c r="W614">
        <v>20</v>
      </c>
      <c r="X614">
        <v>4</v>
      </c>
      <c r="Y614">
        <v>1</v>
      </c>
      <c r="Z614">
        <v>80</v>
      </c>
      <c r="AA614">
        <v>0</v>
      </c>
      <c r="AB614">
        <v>8</v>
      </c>
      <c r="AC614">
        <v>2</v>
      </c>
      <c r="AD614">
        <v>3</v>
      </c>
      <c r="AE614">
        <v>8</v>
      </c>
      <c r="AF614">
        <v>7</v>
      </c>
      <c r="AG614">
        <v>7</v>
      </c>
      <c r="AH614">
        <v>5</v>
      </c>
    </row>
    <row r="615" spans="1:34" x14ac:dyDescent="0.2">
      <c r="A615">
        <v>34</v>
      </c>
      <c r="B615" t="s">
        <v>42</v>
      </c>
      <c r="C615" t="s">
        <v>35</v>
      </c>
      <c r="D615" t="s">
        <v>60</v>
      </c>
      <c r="E615">
        <v>3</v>
      </c>
      <c r="F615">
        <v>2</v>
      </c>
      <c r="G615" t="s">
        <v>60</v>
      </c>
      <c r="H615">
        <v>1</v>
      </c>
      <c r="I615">
        <v>847</v>
      </c>
      <c r="J615">
        <v>3</v>
      </c>
      <c r="K615" t="s">
        <v>45</v>
      </c>
      <c r="L615">
        <v>88</v>
      </c>
      <c r="M615">
        <v>3</v>
      </c>
      <c r="N615">
        <v>1</v>
      </c>
      <c r="O615" t="s">
        <v>60</v>
      </c>
      <c r="P615">
        <v>4</v>
      </c>
      <c r="Q615" t="s">
        <v>47</v>
      </c>
      <c r="R615">
        <v>3737</v>
      </c>
      <c r="S615">
        <v>2243</v>
      </c>
      <c r="T615">
        <v>0</v>
      </c>
      <c r="U615" t="s">
        <v>41</v>
      </c>
      <c r="V615" t="s">
        <v>42</v>
      </c>
      <c r="W615">
        <v>19</v>
      </c>
      <c r="X615">
        <v>3</v>
      </c>
      <c r="Y615">
        <v>3</v>
      </c>
      <c r="Z615">
        <v>80</v>
      </c>
      <c r="AA615">
        <v>1</v>
      </c>
      <c r="AB615">
        <v>4</v>
      </c>
      <c r="AC615">
        <v>1</v>
      </c>
      <c r="AD615">
        <v>1</v>
      </c>
      <c r="AE615">
        <v>3</v>
      </c>
      <c r="AF615">
        <v>2</v>
      </c>
      <c r="AG615">
        <v>0</v>
      </c>
      <c r="AH615">
        <v>2</v>
      </c>
    </row>
    <row r="616" spans="1:34" x14ac:dyDescent="0.2">
      <c r="A616">
        <v>26</v>
      </c>
      <c r="B616" t="s">
        <v>34</v>
      </c>
      <c r="C616" t="s">
        <v>43</v>
      </c>
      <c r="D616" t="s">
        <v>44</v>
      </c>
      <c r="E616">
        <v>5</v>
      </c>
      <c r="F616">
        <v>2</v>
      </c>
      <c r="G616" t="s">
        <v>50</v>
      </c>
      <c r="H616">
        <v>1</v>
      </c>
      <c r="I616">
        <v>848</v>
      </c>
      <c r="J616">
        <v>3</v>
      </c>
      <c r="K616" t="s">
        <v>38</v>
      </c>
      <c r="L616">
        <v>88</v>
      </c>
      <c r="M616">
        <v>2</v>
      </c>
      <c r="N616">
        <v>1</v>
      </c>
      <c r="O616" t="s">
        <v>46</v>
      </c>
      <c r="P616">
        <v>3</v>
      </c>
      <c r="Q616" t="s">
        <v>47</v>
      </c>
      <c r="R616">
        <v>2366</v>
      </c>
      <c r="S616">
        <v>20898</v>
      </c>
      <c r="T616">
        <v>1</v>
      </c>
      <c r="U616" t="s">
        <v>41</v>
      </c>
      <c r="V616" t="s">
        <v>34</v>
      </c>
      <c r="W616">
        <v>14</v>
      </c>
      <c r="X616">
        <v>3</v>
      </c>
      <c r="Y616">
        <v>1</v>
      </c>
      <c r="Z616">
        <v>80</v>
      </c>
      <c r="AA616">
        <v>1</v>
      </c>
      <c r="AB616">
        <v>8</v>
      </c>
      <c r="AC616">
        <v>2</v>
      </c>
      <c r="AD616">
        <v>3</v>
      </c>
      <c r="AE616">
        <v>8</v>
      </c>
      <c r="AF616">
        <v>7</v>
      </c>
      <c r="AG616">
        <v>1</v>
      </c>
      <c r="AH616">
        <v>7</v>
      </c>
    </row>
    <row r="617" spans="1:34" x14ac:dyDescent="0.2">
      <c r="A617">
        <v>27</v>
      </c>
      <c r="B617" t="s">
        <v>42</v>
      </c>
      <c r="C617" t="s">
        <v>54</v>
      </c>
      <c r="D617" t="s">
        <v>44</v>
      </c>
      <c r="E617">
        <v>3</v>
      </c>
      <c r="F617">
        <v>3</v>
      </c>
      <c r="G617" t="s">
        <v>50</v>
      </c>
      <c r="H617">
        <v>1</v>
      </c>
      <c r="I617">
        <v>850</v>
      </c>
      <c r="J617">
        <v>4</v>
      </c>
      <c r="K617" t="s">
        <v>45</v>
      </c>
      <c r="L617">
        <v>50</v>
      </c>
      <c r="M617">
        <v>3</v>
      </c>
      <c r="N617">
        <v>1</v>
      </c>
      <c r="O617" t="s">
        <v>46</v>
      </c>
      <c r="P617">
        <v>4</v>
      </c>
      <c r="Q617" t="s">
        <v>47</v>
      </c>
      <c r="R617">
        <v>1706</v>
      </c>
      <c r="S617">
        <v>16571</v>
      </c>
      <c r="T617">
        <v>1</v>
      </c>
      <c r="U617" t="s">
        <v>41</v>
      </c>
      <c r="V617" t="s">
        <v>42</v>
      </c>
      <c r="W617">
        <v>11</v>
      </c>
      <c r="X617">
        <v>3</v>
      </c>
      <c r="Y617">
        <v>3</v>
      </c>
      <c r="Z617">
        <v>80</v>
      </c>
      <c r="AA617">
        <v>3</v>
      </c>
      <c r="AB617">
        <v>0</v>
      </c>
      <c r="AC617">
        <v>6</v>
      </c>
      <c r="AD617">
        <v>2</v>
      </c>
      <c r="AE617">
        <v>0</v>
      </c>
      <c r="AF617">
        <v>0</v>
      </c>
      <c r="AG617">
        <v>0</v>
      </c>
      <c r="AH617">
        <v>0</v>
      </c>
    </row>
    <row r="618" spans="1:34" x14ac:dyDescent="0.2">
      <c r="A618">
        <v>51</v>
      </c>
      <c r="B618" t="s">
        <v>42</v>
      </c>
      <c r="C618" t="s">
        <v>35</v>
      </c>
      <c r="D618" t="s">
        <v>36</v>
      </c>
      <c r="E618">
        <v>26</v>
      </c>
      <c r="F618">
        <v>4</v>
      </c>
      <c r="G618" t="s">
        <v>58</v>
      </c>
      <c r="H618">
        <v>1</v>
      </c>
      <c r="I618">
        <v>851</v>
      </c>
      <c r="J618">
        <v>1</v>
      </c>
      <c r="K618" t="s">
        <v>38</v>
      </c>
      <c r="L618">
        <v>66</v>
      </c>
      <c r="M618">
        <v>3</v>
      </c>
      <c r="N618">
        <v>4</v>
      </c>
      <c r="O618" t="s">
        <v>55</v>
      </c>
      <c r="P618">
        <v>3</v>
      </c>
      <c r="Q618" t="s">
        <v>47</v>
      </c>
      <c r="R618">
        <v>16307</v>
      </c>
      <c r="S618">
        <v>5594</v>
      </c>
      <c r="T618">
        <v>2</v>
      </c>
      <c r="U618" t="s">
        <v>41</v>
      </c>
      <c r="V618" t="s">
        <v>42</v>
      </c>
      <c r="W618">
        <v>14</v>
      </c>
      <c r="X618">
        <v>3</v>
      </c>
      <c r="Y618">
        <v>3</v>
      </c>
      <c r="Z618">
        <v>80</v>
      </c>
      <c r="AA618">
        <v>1</v>
      </c>
      <c r="AB618">
        <v>29</v>
      </c>
      <c r="AC618">
        <v>2</v>
      </c>
      <c r="AD618">
        <v>2</v>
      </c>
      <c r="AE618">
        <v>20</v>
      </c>
      <c r="AF618">
        <v>6</v>
      </c>
      <c r="AG618">
        <v>4</v>
      </c>
      <c r="AH618">
        <v>17</v>
      </c>
    </row>
    <row r="619" spans="1:34" x14ac:dyDescent="0.2">
      <c r="A619">
        <v>44</v>
      </c>
      <c r="B619" t="s">
        <v>42</v>
      </c>
      <c r="C619" t="s">
        <v>35</v>
      </c>
      <c r="D619" t="s">
        <v>44</v>
      </c>
      <c r="E619">
        <v>4</v>
      </c>
      <c r="F619">
        <v>3</v>
      </c>
      <c r="G619" t="s">
        <v>50</v>
      </c>
      <c r="H619">
        <v>1</v>
      </c>
      <c r="I619">
        <v>852</v>
      </c>
      <c r="J619">
        <v>4</v>
      </c>
      <c r="K619" t="s">
        <v>45</v>
      </c>
      <c r="L619">
        <v>50</v>
      </c>
      <c r="M619">
        <v>3</v>
      </c>
      <c r="N619">
        <v>2</v>
      </c>
      <c r="O619" t="s">
        <v>53</v>
      </c>
      <c r="P619">
        <v>2</v>
      </c>
      <c r="Q619" t="s">
        <v>40</v>
      </c>
      <c r="R619">
        <v>5933</v>
      </c>
      <c r="S619">
        <v>5197</v>
      </c>
      <c r="T619">
        <v>9</v>
      </c>
      <c r="U619" t="s">
        <v>41</v>
      </c>
      <c r="V619" t="s">
        <v>42</v>
      </c>
      <c r="W619">
        <v>12</v>
      </c>
      <c r="X619">
        <v>3</v>
      </c>
      <c r="Y619">
        <v>4</v>
      </c>
      <c r="Z619">
        <v>80</v>
      </c>
      <c r="AA619">
        <v>0</v>
      </c>
      <c r="AB619">
        <v>10</v>
      </c>
      <c r="AC619">
        <v>2</v>
      </c>
      <c r="AD619">
        <v>2</v>
      </c>
      <c r="AE619">
        <v>5</v>
      </c>
      <c r="AF619">
        <v>2</v>
      </c>
      <c r="AG619">
        <v>2</v>
      </c>
      <c r="AH619">
        <v>3</v>
      </c>
    </row>
    <row r="620" spans="1:34" x14ac:dyDescent="0.2">
      <c r="A620">
        <v>25</v>
      </c>
      <c r="B620" t="s">
        <v>42</v>
      </c>
      <c r="C620" t="s">
        <v>35</v>
      </c>
      <c r="D620" t="s">
        <v>44</v>
      </c>
      <c r="E620">
        <v>2</v>
      </c>
      <c r="F620">
        <v>1</v>
      </c>
      <c r="G620" t="s">
        <v>50</v>
      </c>
      <c r="H620">
        <v>1</v>
      </c>
      <c r="I620">
        <v>854</v>
      </c>
      <c r="J620">
        <v>1</v>
      </c>
      <c r="K620" t="s">
        <v>45</v>
      </c>
      <c r="L620">
        <v>65</v>
      </c>
      <c r="M620">
        <v>4</v>
      </c>
      <c r="N620">
        <v>1</v>
      </c>
      <c r="O620" t="s">
        <v>46</v>
      </c>
      <c r="P620">
        <v>1</v>
      </c>
      <c r="Q620" t="s">
        <v>40</v>
      </c>
      <c r="R620">
        <v>3424</v>
      </c>
      <c r="S620">
        <v>21632</v>
      </c>
      <c r="T620">
        <v>7</v>
      </c>
      <c r="U620" t="s">
        <v>41</v>
      </c>
      <c r="V620" t="s">
        <v>42</v>
      </c>
      <c r="W620">
        <v>13</v>
      </c>
      <c r="X620">
        <v>3</v>
      </c>
      <c r="Y620">
        <v>3</v>
      </c>
      <c r="Z620">
        <v>80</v>
      </c>
      <c r="AA620">
        <v>0</v>
      </c>
      <c r="AB620">
        <v>6</v>
      </c>
      <c r="AC620">
        <v>3</v>
      </c>
      <c r="AD620">
        <v>2</v>
      </c>
      <c r="AE620">
        <v>4</v>
      </c>
      <c r="AF620">
        <v>3</v>
      </c>
      <c r="AG620">
        <v>0</v>
      </c>
      <c r="AH620">
        <v>1</v>
      </c>
    </row>
    <row r="621" spans="1:34" x14ac:dyDescent="0.2">
      <c r="A621">
        <v>33</v>
      </c>
      <c r="B621" t="s">
        <v>42</v>
      </c>
      <c r="C621" t="s">
        <v>35</v>
      </c>
      <c r="D621" t="s">
        <v>36</v>
      </c>
      <c r="E621">
        <v>1</v>
      </c>
      <c r="F621">
        <v>3</v>
      </c>
      <c r="G621" t="s">
        <v>50</v>
      </c>
      <c r="H621">
        <v>1</v>
      </c>
      <c r="I621">
        <v>855</v>
      </c>
      <c r="J621">
        <v>1</v>
      </c>
      <c r="K621" t="s">
        <v>45</v>
      </c>
      <c r="L621">
        <v>48</v>
      </c>
      <c r="M621">
        <v>4</v>
      </c>
      <c r="N621">
        <v>2</v>
      </c>
      <c r="O621" t="s">
        <v>39</v>
      </c>
      <c r="P621">
        <v>1</v>
      </c>
      <c r="Q621" t="s">
        <v>51</v>
      </c>
      <c r="R621">
        <v>4037</v>
      </c>
      <c r="S621">
        <v>21816</v>
      </c>
      <c r="T621">
        <v>1</v>
      </c>
      <c r="U621" t="s">
        <v>41</v>
      </c>
      <c r="V621" t="s">
        <v>42</v>
      </c>
      <c r="W621">
        <v>22</v>
      </c>
      <c r="X621">
        <v>4</v>
      </c>
      <c r="Y621">
        <v>1</v>
      </c>
      <c r="Z621">
        <v>80</v>
      </c>
      <c r="AA621">
        <v>1</v>
      </c>
      <c r="AB621">
        <v>9</v>
      </c>
      <c r="AC621">
        <v>5</v>
      </c>
      <c r="AD621">
        <v>3</v>
      </c>
      <c r="AE621">
        <v>9</v>
      </c>
      <c r="AF621">
        <v>8</v>
      </c>
      <c r="AG621">
        <v>0</v>
      </c>
      <c r="AH621">
        <v>8</v>
      </c>
    </row>
    <row r="622" spans="1:34" x14ac:dyDescent="0.2">
      <c r="A622">
        <v>35</v>
      </c>
      <c r="B622" t="s">
        <v>42</v>
      </c>
      <c r="C622" t="s">
        <v>35</v>
      </c>
      <c r="D622" t="s">
        <v>44</v>
      </c>
      <c r="E622">
        <v>27</v>
      </c>
      <c r="F622">
        <v>1</v>
      </c>
      <c r="G622" t="s">
        <v>50</v>
      </c>
      <c r="H622">
        <v>1</v>
      </c>
      <c r="I622">
        <v>856</v>
      </c>
      <c r="J622">
        <v>3</v>
      </c>
      <c r="K622" t="s">
        <v>38</v>
      </c>
      <c r="L622">
        <v>53</v>
      </c>
      <c r="M622">
        <v>2</v>
      </c>
      <c r="N622">
        <v>1</v>
      </c>
      <c r="O622" t="s">
        <v>46</v>
      </c>
      <c r="P622">
        <v>1</v>
      </c>
      <c r="Q622" t="s">
        <v>40</v>
      </c>
      <c r="R622">
        <v>2559</v>
      </c>
      <c r="S622">
        <v>17852</v>
      </c>
      <c r="T622">
        <v>1</v>
      </c>
      <c r="U622" t="s">
        <v>41</v>
      </c>
      <c r="V622" t="s">
        <v>42</v>
      </c>
      <c r="W622">
        <v>11</v>
      </c>
      <c r="X622">
        <v>3</v>
      </c>
      <c r="Y622">
        <v>4</v>
      </c>
      <c r="Z622">
        <v>80</v>
      </c>
      <c r="AA622">
        <v>0</v>
      </c>
      <c r="AB622">
        <v>6</v>
      </c>
      <c r="AC622">
        <v>3</v>
      </c>
      <c r="AD622">
        <v>2</v>
      </c>
      <c r="AE622">
        <v>6</v>
      </c>
      <c r="AF622">
        <v>5</v>
      </c>
      <c r="AG622">
        <v>1</v>
      </c>
      <c r="AH622">
        <v>1</v>
      </c>
    </row>
    <row r="623" spans="1:34" x14ac:dyDescent="0.2">
      <c r="A623">
        <v>36</v>
      </c>
      <c r="B623" t="s">
        <v>42</v>
      </c>
      <c r="C623" t="s">
        <v>35</v>
      </c>
      <c r="D623" t="s">
        <v>36</v>
      </c>
      <c r="E623">
        <v>1</v>
      </c>
      <c r="F623">
        <v>2</v>
      </c>
      <c r="G623" t="s">
        <v>37</v>
      </c>
      <c r="H623">
        <v>1</v>
      </c>
      <c r="I623">
        <v>857</v>
      </c>
      <c r="J623">
        <v>2</v>
      </c>
      <c r="K623" t="s">
        <v>45</v>
      </c>
      <c r="L623">
        <v>56</v>
      </c>
      <c r="M623">
        <v>3</v>
      </c>
      <c r="N623">
        <v>2</v>
      </c>
      <c r="O623" t="s">
        <v>39</v>
      </c>
      <c r="P623">
        <v>4</v>
      </c>
      <c r="Q623" t="s">
        <v>47</v>
      </c>
      <c r="R623">
        <v>6201</v>
      </c>
      <c r="S623">
        <v>2823</v>
      </c>
      <c r="T623">
        <v>1</v>
      </c>
      <c r="U623" t="s">
        <v>41</v>
      </c>
      <c r="V623" t="s">
        <v>34</v>
      </c>
      <c r="W623">
        <v>14</v>
      </c>
      <c r="X623">
        <v>3</v>
      </c>
      <c r="Y623">
        <v>4</v>
      </c>
      <c r="Z623">
        <v>80</v>
      </c>
      <c r="AA623">
        <v>1</v>
      </c>
      <c r="AB623">
        <v>18</v>
      </c>
      <c r="AC623">
        <v>1</v>
      </c>
      <c r="AD623">
        <v>2</v>
      </c>
      <c r="AE623">
        <v>18</v>
      </c>
      <c r="AF623">
        <v>14</v>
      </c>
      <c r="AG623">
        <v>4</v>
      </c>
      <c r="AH623">
        <v>11</v>
      </c>
    </row>
    <row r="624" spans="1:34" x14ac:dyDescent="0.2">
      <c r="A624">
        <v>32</v>
      </c>
      <c r="B624" t="s">
        <v>42</v>
      </c>
      <c r="C624" t="s">
        <v>35</v>
      </c>
      <c r="D624" t="s">
        <v>36</v>
      </c>
      <c r="E624">
        <v>13</v>
      </c>
      <c r="F624">
        <v>4</v>
      </c>
      <c r="G624" t="s">
        <v>37</v>
      </c>
      <c r="H624">
        <v>1</v>
      </c>
      <c r="I624">
        <v>859</v>
      </c>
      <c r="J624">
        <v>2</v>
      </c>
      <c r="K624" t="s">
        <v>45</v>
      </c>
      <c r="L624">
        <v>73</v>
      </c>
      <c r="M624">
        <v>3</v>
      </c>
      <c r="N624">
        <v>2</v>
      </c>
      <c r="O624" t="s">
        <v>39</v>
      </c>
      <c r="P624">
        <v>4</v>
      </c>
      <c r="Q624" t="s">
        <v>51</v>
      </c>
      <c r="R624">
        <v>4403</v>
      </c>
      <c r="S624">
        <v>9250</v>
      </c>
      <c r="T624">
        <v>2</v>
      </c>
      <c r="U624" t="s">
        <v>41</v>
      </c>
      <c r="V624" t="s">
        <v>42</v>
      </c>
      <c r="W624">
        <v>11</v>
      </c>
      <c r="X624">
        <v>3</v>
      </c>
      <c r="Y624">
        <v>3</v>
      </c>
      <c r="Z624">
        <v>80</v>
      </c>
      <c r="AA624">
        <v>1</v>
      </c>
      <c r="AB624">
        <v>8</v>
      </c>
      <c r="AC624">
        <v>3</v>
      </c>
      <c r="AD624">
        <v>2</v>
      </c>
      <c r="AE624">
        <v>5</v>
      </c>
      <c r="AF624">
        <v>2</v>
      </c>
      <c r="AG624">
        <v>0</v>
      </c>
      <c r="AH624">
        <v>3</v>
      </c>
    </row>
    <row r="625" spans="1:34" x14ac:dyDescent="0.2">
      <c r="A625">
        <v>30</v>
      </c>
      <c r="B625" t="s">
        <v>42</v>
      </c>
      <c r="C625" t="s">
        <v>43</v>
      </c>
      <c r="D625" t="s">
        <v>44</v>
      </c>
      <c r="E625">
        <v>5</v>
      </c>
      <c r="F625">
        <v>4</v>
      </c>
      <c r="G625" t="s">
        <v>37</v>
      </c>
      <c r="H625">
        <v>1</v>
      </c>
      <c r="I625">
        <v>861</v>
      </c>
      <c r="J625">
        <v>2</v>
      </c>
      <c r="K625" t="s">
        <v>45</v>
      </c>
      <c r="L625">
        <v>75</v>
      </c>
      <c r="M625">
        <v>2</v>
      </c>
      <c r="N625">
        <v>1</v>
      </c>
      <c r="O625" t="s">
        <v>46</v>
      </c>
      <c r="P625">
        <v>4</v>
      </c>
      <c r="Q625" t="s">
        <v>51</v>
      </c>
      <c r="R625">
        <v>3761</v>
      </c>
      <c r="S625">
        <v>2373</v>
      </c>
      <c r="T625">
        <v>9</v>
      </c>
      <c r="U625" t="s">
        <v>41</v>
      </c>
      <c r="V625" t="s">
        <v>42</v>
      </c>
      <c r="W625">
        <v>12</v>
      </c>
      <c r="X625">
        <v>3</v>
      </c>
      <c r="Y625">
        <v>2</v>
      </c>
      <c r="Z625">
        <v>80</v>
      </c>
      <c r="AA625">
        <v>1</v>
      </c>
      <c r="AB625">
        <v>10</v>
      </c>
      <c r="AC625">
        <v>3</v>
      </c>
      <c r="AD625">
        <v>2</v>
      </c>
      <c r="AE625">
        <v>5</v>
      </c>
      <c r="AF625">
        <v>4</v>
      </c>
      <c r="AG625">
        <v>0</v>
      </c>
      <c r="AH625">
        <v>3</v>
      </c>
    </row>
    <row r="626" spans="1:34" x14ac:dyDescent="0.2">
      <c r="A626">
        <v>53</v>
      </c>
      <c r="B626" t="s">
        <v>42</v>
      </c>
      <c r="C626" t="s">
        <v>35</v>
      </c>
      <c r="D626" t="s">
        <v>36</v>
      </c>
      <c r="E626">
        <v>7</v>
      </c>
      <c r="F626">
        <v>2</v>
      </c>
      <c r="G626" t="s">
        <v>58</v>
      </c>
      <c r="H626">
        <v>1</v>
      </c>
      <c r="I626">
        <v>862</v>
      </c>
      <c r="J626">
        <v>1</v>
      </c>
      <c r="K626" t="s">
        <v>38</v>
      </c>
      <c r="L626">
        <v>78</v>
      </c>
      <c r="M626">
        <v>2</v>
      </c>
      <c r="N626">
        <v>3</v>
      </c>
      <c r="O626" t="s">
        <v>39</v>
      </c>
      <c r="P626">
        <v>4</v>
      </c>
      <c r="Q626" t="s">
        <v>47</v>
      </c>
      <c r="R626">
        <v>10934</v>
      </c>
      <c r="S626">
        <v>20715</v>
      </c>
      <c r="T626">
        <v>7</v>
      </c>
      <c r="U626" t="s">
        <v>41</v>
      </c>
      <c r="V626" t="s">
        <v>34</v>
      </c>
      <c r="W626">
        <v>18</v>
      </c>
      <c r="X626">
        <v>3</v>
      </c>
      <c r="Y626">
        <v>4</v>
      </c>
      <c r="Z626">
        <v>80</v>
      </c>
      <c r="AA626">
        <v>1</v>
      </c>
      <c r="AB626">
        <v>35</v>
      </c>
      <c r="AC626">
        <v>3</v>
      </c>
      <c r="AD626">
        <v>3</v>
      </c>
      <c r="AE626">
        <v>5</v>
      </c>
      <c r="AF626">
        <v>2</v>
      </c>
      <c r="AG626">
        <v>0</v>
      </c>
      <c r="AH626">
        <v>4</v>
      </c>
    </row>
    <row r="627" spans="1:34" x14ac:dyDescent="0.2">
      <c r="A627">
        <v>45</v>
      </c>
      <c r="B627" t="s">
        <v>42</v>
      </c>
      <c r="C627" t="s">
        <v>35</v>
      </c>
      <c r="D627" t="s">
        <v>36</v>
      </c>
      <c r="E627">
        <v>9</v>
      </c>
      <c r="F627">
        <v>3</v>
      </c>
      <c r="G627" t="s">
        <v>58</v>
      </c>
      <c r="H627">
        <v>1</v>
      </c>
      <c r="I627">
        <v>864</v>
      </c>
      <c r="J627">
        <v>4</v>
      </c>
      <c r="K627" t="s">
        <v>45</v>
      </c>
      <c r="L627">
        <v>74</v>
      </c>
      <c r="M627">
        <v>3</v>
      </c>
      <c r="N627">
        <v>3</v>
      </c>
      <c r="O627" t="s">
        <v>39</v>
      </c>
      <c r="P627">
        <v>1</v>
      </c>
      <c r="Q627" t="s">
        <v>51</v>
      </c>
      <c r="R627">
        <v>10761</v>
      </c>
      <c r="S627">
        <v>19239</v>
      </c>
      <c r="T627">
        <v>4</v>
      </c>
      <c r="U627" t="s">
        <v>41</v>
      </c>
      <c r="V627" t="s">
        <v>34</v>
      </c>
      <c r="W627">
        <v>12</v>
      </c>
      <c r="X627">
        <v>3</v>
      </c>
      <c r="Y627">
        <v>3</v>
      </c>
      <c r="Z627">
        <v>80</v>
      </c>
      <c r="AA627">
        <v>1</v>
      </c>
      <c r="AB627">
        <v>18</v>
      </c>
      <c r="AC627">
        <v>2</v>
      </c>
      <c r="AD627">
        <v>3</v>
      </c>
      <c r="AE627">
        <v>5</v>
      </c>
      <c r="AF627">
        <v>4</v>
      </c>
      <c r="AG627">
        <v>0</v>
      </c>
      <c r="AH627">
        <v>2</v>
      </c>
    </row>
    <row r="628" spans="1:34" x14ac:dyDescent="0.2">
      <c r="A628">
        <v>32</v>
      </c>
      <c r="B628" t="s">
        <v>42</v>
      </c>
      <c r="C628" t="s">
        <v>35</v>
      </c>
      <c r="D628" t="s">
        <v>44</v>
      </c>
      <c r="E628">
        <v>8</v>
      </c>
      <c r="F628">
        <v>2</v>
      </c>
      <c r="G628" t="s">
        <v>50</v>
      </c>
      <c r="H628">
        <v>1</v>
      </c>
      <c r="I628">
        <v>865</v>
      </c>
      <c r="J628">
        <v>3</v>
      </c>
      <c r="K628" t="s">
        <v>38</v>
      </c>
      <c r="L628">
        <v>91</v>
      </c>
      <c r="M628">
        <v>4</v>
      </c>
      <c r="N628">
        <v>2</v>
      </c>
      <c r="O628" t="s">
        <v>46</v>
      </c>
      <c r="P628">
        <v>3</v>
      </c>
      <c r="Q628" t="s">
        <v>47</v>
      </c>
      <c r="R628">
        <v>5175</v>
      </c>
      <c r="S628">
        <v>22162</v>
      </c>
      <c r="T628">
        <v>5</v>
      </c>
      <c r="U628" t="s">
        <v>41</v>
      </c>
      <c r="V628" t="s">
        <v>42</v>
      </c>
      <c r="W628">
        <v>12</v>
      </c>
      <c r="X628">
        <v>3</v>
      </c>
      <c r="Y628">
        <v>3</v>
      </c>
      <c r="Z628">
        <v>80</v>
      </c>
      <c r="AA628">
        <v>1</v>
      </c>
      <c r="AB628">
        <v>9</v>
      </c>
      <c r="AC628">
        <v>3</v>
      </c>
      <c r="AD628">
        <v>2</v>
      </c>
      <c r="AE628">
        <v>5</v>
      </c>
      <c r="AF628">
        <v>3</v>
      </c>
      <c r="AG628">
        <v>1</v>
      </c>
      <c r="AH628">
        <v>3</v>
      </c>
    </row>
    <row r="629" spans="1:34" x14ac:dyDescent="0.2">
      <c r="A629">
        <v>52</v>
      </c>
      <c r="B629" t="s">
        <v>42</v>
      </c>
      <c r="C629" t="s">
        <v>43</v>
      </c>
      <c r="D629" t="s">
        <v>44</v>
      </c>
      <c r="E629">
        <v>25</v>
      </c>
      <c r="F629">
        <v>4</v>
      </c>
      <c r="G629" t="s">
        <v>50</v>
      </c>
      <c r="H629">
        <v>1</v>
      </c>
      <c r="I629">
        <v>867</v>
      </c>
      <c r="J629">
        <v>3</v>
      </c>
      <c r="K629" t="s">
        <v>38</v>
      </c>
      <c r="L629">
        <v>81</v>
      </c>
      <c r="M629">
        <v>2</v>
      </c>
      <c r="N629">
        <v>4</v>
      </c>
      <c r="O629" t="s">
        <v>52</v>
      </c>
      <c r="P629">
        <v>4</v>
      </c>
      <c r="Q629" t="s">
        <v>47</v>
      </c>
      <c r="R629">
        <v>13826</v>
      </c>
      <c r="S629">
        <v>19028</v>
      </c>
      <c r="T629">
        <v>3</v>
      </c>
      <c r="U629" t="s">
        <v>41</v>
      </c>
      <c r="V629" t="s">
        <v>42</v>
      </c>
      <c r="W629">
        <v>22</v>
      </c>
      <c r="X629">
        <v>4</v>
      </c>
      <c r="Y629">
        <v>3</v>
      </c>
      <c r="Z629">
        <v>80</v>
      </c>
      <c r="AA629">
        <v>0</v>
      </c>
      <c r="AB629">
        <v>31</v>
      </c>
      <c r="AC629">
        <v>3</v>
      </c>
      <c r="AD629">
        <v>3</v>
      </c>
      <c r="AE629">
        <v>9</v>
      </c>
      <c r="AF629">
        <v>8</v>
      </c>
      <c r="AG629">
        <v>0</v>
      </c>
      <c r="AH629">
        <v>0</v>
      </c>
    </row>
    <row r="630" spans="1:34" x14ac:dyDescent="0.2">
      <c r="A630">
        <v>37</v>
      </c>
      <c r="B630" t="s">
        <v>42</v>
      </c>
      <c r="C630" t="s">
        <v>35</v>
      </c>
      <c r="D630" t="s">
        <v>36</v>
      </c>
      <c r="E630">
        <v>16</v>
      </c>
      <c r="F630">
        <v>4</v>
      </c>
      <c r="G630" t="s">
        <v>58</v>
      </c>
      <c r="H630">
        <v>1</v>
      </c>
      <c r="I630">
        <v>868</v>
      </c>
      <c r="J630">
        <v>4</v>
      </c>
      <c r="K630" t="s">
        <v>45</v>
      </c>
      <c r="L630">
        <v>66</v>
      </c>
      <c r="M630">
        <v>2</v>
      </c>
      <c r="N630">
        <v>2</v>
      </c>
      <c r="O630" t="s">
        <v>39</v>
      </c>
      <c r="P630">
        <v>3</v>
      </c>
      <c r="Q630" t="s">
        <v>51</v>
      </c>
      <c r="R630">
        <v>6334</v>
      </c>
      <c r="S630">
        <v>24558</v>
      </c>
      <c r="T630">
        <v>4</v>
      </c>
      <c r="U630" t="s">
        <v>41</v>
      </c>
      <c r="V630" t="s">
        <v>42</v>
      </c>
      <c r="W630">
        <v>19</v>
      </c>
      <c r="X630">
        <v>3</v>
      </c>
      <c r="Y630">
        <v>4</v>
      </c>
      <c r="Z630">
        <v>80</v>
      </c>
      <c r="AA630">
        <v>2</v>
      </c>
      <c r="AB630">
        <v>9</v>
      </c>
      <c r="AC630">
        <v>2</v>
      </c>
      <c r="AD630">
        <v>3</v>
      </c>
      <c r="AE630">
        <v>1</v>
      </c>
      <c r="AF630">
        <v>0</v>
      </c>
      <c r="AG630">
        <v>0</v>
      </c>
      <c r="AH630">
        <v>0</v>
      </c>
    </row>
    <row r="631" spans="1:34" x14ac:dyDescent="0.2">
      <c r="A631">
        <v>28</v>
      </c>
      <c r="B631" t="s">
        <v>42</v>
      </c>
      <c r="C631" t="s">
        <v>35</v>
      </c>
      <c r="D631" t="s">
        <v>60</v>
      </c>
      <c r="E631">
        <v>8</v>
      </c>
      <c r="F631">
        <v>2</v>
      </c>
      <c r="G631" t="s">
        <v>50</v>
      </c>
      <c r="H631">
        <v>1</v>
      </c>
      <c r="I631">
        <v>869</v>
      </c>
      <c r="J631">
        <v>2</v>
      </c>
      <c r="K631" t="s">
        <v>45</v>
      </c>
      <c r="L631">
        <v>63</v>
      </c>
      <c r="M631">
        <v>2</v>
      </c>
      <c r="N631">
        <v>1</v>
      </c>
      <c r="O631" t="s">
        <v>60</v>
      </c>
      <c r="P631">
        <v>4</v>
      </c>
      <c r="Q631" t="s">
        <v>51</v>
      </c>
      <c r="R631">
        <v>4936</v>
      </c>
      <c r="S631">
        <v>23965</v>
      </c>
      <c r="T631">
        <v>1</v>
      </c>
      <c r="U631" t="s">
        <v>41</v>
      </c>
      <c r="V631" t="s">
        <v>42</v>
      </c>
      <c r="W631">
        <v>13</v>
      </c>
      <c r="X631">
        <v>3</v>
      </c>
      <c r="Y631">
        <v>4</v>
      </c>
      <c r="Z631">
        <v>80</v>
      </c>
      <c r="AA631">
        <v>1</v>
      </c>
      <c r="AB631">
        <v>6</v>
      </c>
      <c r="AC631">
        <v>6</v>
      </c>
      <c r="AD631">
        <v>3</v>
      </c>
      <c r="AE631">
        <v>5</v>
      </c>
      <c r="AF631">
        <v>1</v>
      </c>
      <c r="AG631">
        <v>0</v>
      </c>
      <c r="AH631">
        <v>4</v>
      </c>
    </row>
    <row r="632" spans="1:34" x14ac:dyDescent="0.2">
      <c r="A632">
        <v>22</v>
      </c>
      <c r="B632" t="s">
        <v>42</v>
      </c>
      <c r="C632" t="s">
        <v>35</v>
      </c>
      <c r="D632" t="s">
        <v>44</v>
      </c>
      <c r="E632">
        <v>1</v>
      </c>
      <c r="F632">
        <v>2</v>
      </c>
      <c r="G632" t="s">
        <v>37</v>
      </c>
      <c r="H632">
        <v>1</v>
      </c>
      <c r="I632">
        <v>872</v>
      </c>
      <c r="J632">
        <v>4</v>
      </c>
      <c r="K632" t="s">
        <v>45</v>
      </c>
      <c r="L632">
        <v>33</v>
      </c>
      <c r="M632">
        <v>2</v>
      </c>
      <c r="N632">
        <v>2</v>
      </c>
      <c r="O632" t="s">
        <v>52</v>
      </c>
      <c r="P632">
        <v>4</v>
      </c>
      <c r="Q632" t="s">
        <v>47</v>
      </c>
      <c r="R632">
        <v>4775</v>
      </c>
      <c r="S632">
        <v>19146</v>
      </c>
      <c r="T632">
        <v>6</v>
      </c>
      <c r="U632" t="s">
        <v>41</v>
      </c>
      <c r="V632" t="s">
        <v>42</v>
      </c>
      <c r="W632">
        <v>22</v>
      </c>
      <c r="X632">
        <v>4</v>
      </c>
      <c r="Y632">
        <v>1</v>
      </c>
      <c r="Z632">
        <v>80</v>
      </c>
      <c r="AA632">
        <v>2</v>
      </c>
      <c r="AB632">
        <v>4</v>
      </c>
      <c r="AC632">
        <v>2</v>
      </c>
      <c r="AD632">
        <v>1</v>
      </c>
      <c r="AE632">
        <v>2</v>
      </c>
      <c r="AF632">
        <v>2</v>
      </c>
      <c r="AG632">
        <v>2</v>
      </c>
      <c r="AH632">
        <v>2</v>
      </c>
    </row>
    <row r="633" spans="1:34" x14ac:dyDescent="0.2">
      <c r="A633">
        <v>44</v>
      </c>
      <c r="B633" t="s">
        <v>42</v>
      </c>
      <c r="C633" t="s">
        <v>35</v>
      </c>
      <c r="D633" t="s">
        <v>44</v>
      </c>
      <c r="E633">
        <v>8</v>
      </c>
      <c r="F633">
        <v>4</v>
      </c>
      <c r="G633" t="s">
        <v>37</v>
      </c>
      <c r="H633">
        <v>1</v>
      </c>
      <c r="I633">
        <v>874</v>
      </c>
      <c r="J633">
        <v>1</v>
      </c>
      <c r="K633" t="s">
        <v>45</v>
      </c>
      <c r="L633">
        <v>62</v>
      </c>
      <c r="M633">
        <v>4</v>
      </c>
      <c r="N633">
        <v>1</v>
      </c>
      <c r="O633" t="s">
        <v>49</v>
      </c>
      <c r="P633">
        <v>4</v>
      </c>
      <c r="Q633" t="s">
        <v>47</v>
      </c>
      <c r="R633">
        <v>2818</v>
      </c>
      <c r="S633">
        <v>5044</v>
      </c>
      <c r="T633">
        <v>2</v>
      </c>
      <c r="U633" t="s">
        <v>41</v>
      </c>
      <c r="V633" t="s">
        <v>34</v>
      </c>
      <c r="W633">
        <v>24</v>
      </c>
      <c r="X633">
        <v>4</v>
      </c>
      <c r="Y633">
        <v>3</v>
      </c>
      <c r="Z633">
        <v>80</v>
      </c>
      <c r="AA633">
        <v>1</v>
      </c>
      <c r="AB633">
        <v>10</v>
      </c>
      <c r="AC633">
        <v>2</v>
      </c>
      <c r="AD633">
        <v>2</v>
      </c>
      <c r="AE633">
        <v>3</v>
      </c>
      <c r="AF633">
        <v>2</v>
      </c>
      <c r="AG633">
        <v>0</v>
      </c>
      <c r="AH633">
        <v>2</v>
      </c>
    </row>
    <row r="634" spans="1:34" x14ac:dyDescent="0.2">
      <c r="A634">
        <v>42</v>
      </c>
      <c r="B634" t="s">
        <v>42</v>
      </c>
      <c r="C634" t="s">
        <v>43</v>
      </c>
      <c r="D634" t="s">
        <v>44</v>
      </c>
      <c r="E634">
        <v>2</v>
      </c>
      <c r="F634">
        <v>1</v>
      </c>
      <c r="G634" t="s">
        <v>50</v>
      </c>
      <c r="H634">
        <v>1</v>
      </c>
      <c r="I634">
        <v>875</v>
      </c>
      <c r="J634">
        <v>2</v>
      </c>
      <c r="K634" t="s">
        <v>45</v>
      </c>
      <c r="L634">
        <v>35</v>
      </c>
      <c r="M634">
        <v>3</v>
      </c>
      <c r="N634">
        <v>1</v>
      </c>
      <c r="O634" t="s">
        <v>46</v>
      </c>
      <c r="P634">
        <v>4</v>
      </c>
      <c r="Q634" t="s">
        <v>40</v>
      </c>
      <c r="R634">
        <v>2515</v>
      </c>
      <c r="S634">
        <v>9068</v>
      </c>
      <c r="T634">
        <v>5</v>
      </c>
      <c r="U634" t="s">
        <v>41</v>
      </c>
      <c r="V634" t="s">
        <v>34</v>
      </c>
      <c r="W634">
        <v>14</v>
      </c>
      <c r="X634">
        <v>3</v>
      </c>
      <c r="Y634">
        <v>4</v>
      </c>
      <c r="Z634">
        <v>80</v>
      </c>
      <c r="AA634">
        <v>0</v>
      </c>
      <c r="AB634">
        <v>8</v>
      </c>
      <c r="AC634">
        <v>2</v>
      </c>
      <c r="AD634">
        <v>3</v>
      </c>
      <c r="AE634">
        <v>2</v>
      </c>
      <c r="AF634">
        <v>1</v>
      </c>
      <c r="AG634">
        <v>2</v>
      </c>
      <c r="AH634">
        <v>2</v>
      </c>
    </row>
    <row r="635" spans="1:34" x14ac:dyDescent="0.2">
      <c r="A635">
        <v>36</v>
      </c>
      <c r="B635" t="s">
        <v>42</v>
      </c>
      <c r="C635" t="s">
        <v>35</v>
      </c>
      <c r="D635" t="s">
        <v>60</v>
      </c>
      <c r="E635">
        <v>8</v>
      </c>
      <c r="F635">
        <v>3</v>
      </c>
      <c r="G635" t="s">
        <v>37</v>
      </c>
      <c r="H635">
        <v>1</v>
      </c>
      <c r="I635">
        <v>878</v>
      </c>
      <c r="J635">
        <v>1</v>
      </c>
      <c r="K635" t="s">
        <v>45</v>
      </c>
      <c r="L635">
        <v>77</v>
      </c>
      <c r="M635">
        <v>2</v>
      </c>
      <c r="N635">
        <v>1</v>
      </c>
      <c r="O635" t="s">
        <v>60</v>
      </c>
      <c r="P635">
        <v>1</v>
      </c>
      <c r="Q635" t="s">
        <v>47</v>
      </c>
      <c r="R635">
        <v>2342</v>
      </c>
      <c r="S635">
        <v>8635</v>
      </c>
      <c r="T635">
        <v>0</v>
      </c>
      <c r="U635" t="s">
        <v>41</v>
      </c>
      <c r="V635" t="s">
        <v>42</v>
      </c>
      <c r="W635">
        <v>21</v>
      </c>
      <c r="X635">
        <v>4</v>
      </c>
      <c r="Y635">
        <v>3</v>
      </c>
      <c r="Z635">
        <v>80</v>
      </c>
      <c r="AA635">
        <v>0</v>
      </c>
      <c r="AB635">
        <v>6</v>
      </c>
      <c r="AC635">
        <v>3</v>
      </c>
      <c r="AD635">
        <v>3</v>
      </c>
      <c r="AE635">
        <v>5</v>
      </c>
      <c r="AF635">
        <v>4</v>
      </c>
      <c r="AG635">
        <v>0</v>
      </c>
      <c r="AH635">
        <v>3</v>
      </c>
    </row>
    <row r="636" spans="1:34" x14ac:dyDescent="0.2">
      <c r="A636">
        <v>25</v>
      </c>
      <c r="B636" t="s">
        <v>42</v>
      </c>
      <c r="C636" t="s">
        <v>35</v>
      </c>
      <c r="D636" t="s">
        <v>36</v>
      </c>
      <c r="E636">
        <v>3</v>
      </c>
      <c r="F636">
        <v>1</v>
      </c>
      <c r="G636" t="s">
        <v>48</v>
      </c>
      <c r="H636">
        <v>1</v>
      </c>
      <c r="I636">
        <v>879</v>
      </c>
      <c r="J636">
        <v>3</v>
      </c>
      <c r="K636" t="s">
        <v>45</v>
      </c>
      <c r="L636">
        <v>98</v>
      </c>
      <c r="M636">
        <v>3</v>
      </c>
      <c r="N636">
        <v>2</v>
      </c>
      <c r="O636" t="s">
        <v>39</v>
      </c>
      <c r="P636">
        <v>1</v>
      </c>
      <c r="Q636" t="s">
        <v>47</v>
      </c>
      <c r="R636">
        <v>4194</v>
      </c>
      <c r="S636">
        <v>14363</v>
      </c>
      <c r="T636">
        <v>1</v>
      </c>
      <c r="U636" t="s">
        <v>41</v>
      </c>
      <c r="V636" t="s">
        <v>34</v>
      </c>
      <c r="W636">
        <v>18</v>
      </c>
      <c r="X636">
        <v>3</v>
      </c>
      <c r="Y636">
        <v>4</v>
      </c>
      <c r="Z636">
        <v>80</v>
      </c>
      <c r="AA636">
        <v>0</v>
      </c>
      <c r="AB636">
        <v>5</v>
      </c>
      <c r="AC636">
        <v>3</v>
      </c>
      <c r="AD636">
        <v>3</v>
      </c>
      <c r="AE636">
        <v>5</v>
      </c>
      <c r="AF636">
        <v>3</v>
      </c>
      <c r="AG636">
        <v>0</v>
      </c>
      <c r="AH636">
        <v>3</v>
      </c>
    </row>
    <row r="637" spans="1:34" x14ac:dyDescent="0.2">
      <c r="A637">
        <v>35</v>
      </c>
      <c r="B637" t="s">
        <v>42</v>
      </c>
      <c r="C637" t="s">
        <v>35</v>
      </c>
      <c r="D637" t="s">
        <v>44</v>
      </c>
      <c r="E637">
        <v>9</v>
      </c>
      <c r="F637">
        <v>3</v>
      </c>
      <c r="G637" t="s">
        <v>37</v>
      </c>
      <c r="H637">
        <v>1</v>
      </c>
      <c r="I637">
        <v>880</v>
      </c>
      <c r="J637">
        <v>4</v>
      </c>
      <c r="K637" t="s">
        <v>38</v>
      </c>
      <c r="L637">
        <v>66</v>
      </c>
      <c r="M637">
        <v>2</v>
      </c>
      <c r="N637">
        <v>3</v>
      </c>
      <c r="O637" t="s">
        <v>52</v>
      </c>
      <c r="P637">
        <v>3</v>
      </c>
      <c r="Q637" t="s">
        <v>47</v>
      </c>
      <c r="R637">
        <v>10685</v>
      </c>
      <c r="S637">
        <v>23457</v>
      </c>
      <c r="T637">
        <v>1</v>
      </c>
      <c r="U637" t="s">
        <v>41</v>
      </c>
      <c r="V637" t="s">
        <v>34</v>
      </c>
      <c r="W637">
        <v>20</v>
      </c>
      <c r="X637">
        <v>4</v>
      </c>
      <c r="Y637">
        <v>2</v>
      </c>
      <c r="Z637">
        <v>80</v>
      </c>
      <c r="AA637">
        <v>1</v>
      </c>
      <c r="AB637">
        <v>17</v>
      </c>
      <c r="AC637">
        <v>2</v>
      </c>
      <c r="AD637">
        <v>3</v>
      </c>
      <c r="AE637">
        <v>17</v>
      </c>
      <c r="AF637">
        <v>14</v>
      </c>
      <c r="AG637">
        <v>5</v>
      </c>
      <c r="AH637">
        <v>15</v>
      </c>
    </row>
    <row r="638" spans="1:34" x14ac:dyDescent="0.2">
      <c r="A638">
        <v>35</v>
      </c>
      <c r="B638" t="s">
        <v>34</v>
      </c>
      <c r="C638" t="s">
        <v>43</v>
      </c>
      <c r="D638" t="s">
        <v>44</v>
      </c>
      <c r="E638">
        <v>25</v>
      </c>
      <c r="F638">
        <v>4</v>
      </c>
      <c r="G638" t="s">
        <v>37</v>
      </c>
      <c r="H638">
        <v>1</v>
      </c>
      <c r="I638">
        <v>881</v>
      </c>
      <c r="J638">
        <v>4</v>
      </c>
      <c r="K638" t="s">
        <v>38</v>
      </c>
      <c r="L638">
        <v>96</v>
      </c>
      <c r="M638">
        <v>3</v>
      </c>
      <c r="N638">
        <v>1</v>
      </c>
      <c r="O638" t="s">
        <v>46</v>
      </c>
      <c r="P638">
        <v>2</v>
      </c>
      <c r="Q638" t="s">
        <v>51</v>
      </c>
      <c r="R638">
        <v>2022</v>
      </c>
      <c r="S638">
        <v>16612</v>
      </c>
      <c r="T638">
        <v>1</v>
      </c>
      <c r="U638" t="s">
        <v>41</v>
      </c>
      <c r="V638" t="s">
        <v>34</v>
      </c>
      <c r="W638">
        <v>19</v>
      </c>
      <c r="X638">
        <v>3</v>
      </c>
      <c r="Y638">
        <v>1</v>
      </c>
      <c r="Z638">
        <v>80</v>
      </c>
      <c r="AA638">
        <v>1</v>
      </c>
      <c r="AB638">
        <v>10</v>
      </c>
      <c r="AC638">
        <v>3</v>
      </c>
      <c r="AD638">
        <v>2</v>
      </c>
      <c r="AE638">
        <v>10</v>
      </c>
      <c r="AF638">
        <v>2</v>
      </c>
      <c r="AG638">
        <v>7</v>
      </c>
      <c r="AH638">
        <v>8</v>
      </c>
    </row>
    <row r="639" spans="1:34" x14ac:dyDescent="0.2">
      <c r="A639">
        <v>32</v>
      </c>
      <c r="B639" t="s">
        <v>42</v>
      </c>
      <c r="C639" t="s">
        <v>54</v>
      </c>
      <c r="D639" t="s">
        <v>44</v>
      </c>
      <c r="E639">
        <v>1</v>
      </c>
      <c r="F639">
        <v>3</v>
      </c>
      <c r="G639" t="s">
        <v>37</v>
      </c>
      <c r="H639">
        <v>1</v>
      </c>
      <c r="I639">
        <v>882</v>
      </c>
      <c r="J639">
        <v>4</v>
      </c>
      <c r="K639" t="s">
        <v>45</v>
      </c>
      <c r="L639">
        <v>61</v>
      </c>
      <c r="M639">
        <v>3</v>
      </c>
      <c r="N639">
        <v>1</v>
      </c>
      <c r="O639" t="s">
        <v>49</v>
      </c>
      <c r="P639">
        <v>4</v>
      </c>
      <c r="Q639" t="s">
        <v>51</v>
      </c>
      <c r="R639">
        <v>2314</v>
      </c>
      <c r="S639">
        <v>9148</v>
      </c>
      <c r="T639">
        <v>0</v>
      </c>
      <c r="U639" t="s">
        <v>41</v>
      </c>
      <c r="V639" t="s">
        <v>42</v>
      </c>
      <c r="W639">
        <v>12</v>
      </c>
      <c r="X639">
        <v>3</v>
      </c>
      <c r="Y639">
        <v>2</v>
      </c>
      <c r="Z639">
        <v>80</v>
      </c>
      <c r="AA639">
        <v>1</v>
      </c>
      <c r="AB639">
        <v>4</v>
      </c>
      <c r="AC639">
        <v>2</v>
      </c>
      <c r="AD639">
        <v>3</v>
      </c>
      <c r="AE639">
        <v>3</v>
      </c>
      <c r="AF639">
        <v>0</v>
      </c>
      <c r="AG639">
        <v>0</v>
      </c>
      <c r="AH639">
        <v>2</v>
      </c>
    </row>
    <row r="640" spans="1:34" x14ac:dyDescent="0.2">
      <c r="A640">
        <v>25</v>
      </c>
      <c r="B640" t="s">
        <v>42</v>
      </c>
      <c r="C640" t="s">
        <v>35</v>
      </c>
      <c r="D640" t="s">
        <v>36</v>
      </c>
      <c r="E640">
        <v>4</v>
      </c>
      <c r="F640">
        <v>1</v>
      </c>
      <c r="G640" t="s">
        <v>58</v>
      </c>
      <c r="H640">
        <v>1</v>
      </c>
      <c r="I640">
        <v>885</v>
      </c>
      <c r="J640">
        <v>3</v>
      </c>
      <c r="K640" t="s">
        <v>45</v>
      </c>
      <c r="L640">
        <v>87</v>
      </c>
      <c r="M640">
        <v>2</v>
      </c>
      <c r="N640">
        <v>2</v>
      </c>
      <c r="O640" t="s">
        <v>39</v>
      </c>
      <c r="P640">
        <v>1</v>
      </c>
      <c r="Q640" t="s">
        <v>47</v>
      </c>
      <c r="R640">
        <v>4256</v>
      </c>
      <c r="S640">
        <v>18154</v>
      </c>
      <c r="T640">
        <v>1</v>
      </c>
      <c r="U640" t="s">
        <v>41</v>
      </c>
      <c r="V640" t="s">
        <v>42</v>
      </c>
      <c r="W640">
        <v>12</v>
      </c>
      <c r="X640">
        <v>3</v>
      </c>
      <c r="Y640">
        <v>1</v>
      </c>
      <c r="Z640">
        <v>80</v>
      </c>
      <c r="AA640">
        <v>0</v>
      </c>
      <c r="AB640">
        <v>5</v>
      </c>
      <c r="AC640">
        <v>1</v>
      </c>
      <c r="AD640">
        <v>4</v>
      </c>
      <c r="AE640">
        <v>5</v>
      </c>
      <c r="AF640">
        <v>2</v>
      </c>
      <c r="AG640">
        <v>0</v>
      </c>
      <c r="AH640">
        <v>3</v>
      </c>
    </row>
    <row r="641" spans="1:34" x14ac:dyDescent="0.2">
      <c r="A641">
        <v>49</v>
      </c>
      <c r="B641" t="s">
        <v>42</v>
      </c>
      <c r="C641" t="s">
        <v>35</v>
      </c>
      <c r="D641" t="s">
        <v>44</v>
      </c>
      <c r="E641">
        <v>1</v>
      </c>
      <c r="F641">
        <v>3</v>
      </c>
      <c r="G641" t="s">
        <v>59</v>
      </c>
      <c r="H641">
        <v>1</v>
      </c>
      <c r="I641">
        <v>887</v>
      </c>
      <c r="J641">
        <v>3</v>
      </c>
      <c r="K641" t="s">
        <v>38</v>
      </c>
      <c r="L641">
        <v>36</v>
      </c>
      <c r="M641">
        <v>3</v>
      </c>
      <c r="N641">
        <v>1</v>
      </c>
      <c r="O641" t="s">
        <v>46</v>
      </c>
      <c r="P641">
        <v>1</v>
      </c>
      <c r="Q641" t="s">
        <v>47</v>
      </c>
      <c r="R641">
        <v>3580</v>
      </c>
      <c r="S641">
        <v>10554</v>
      </c>
      <c r="T641">
        <v>2</v>
      </c>
      <c r="U641" t="s">
        <v>41</v>
      </c>
      <c r="V641" t="s">
        <v>42</v>
      </c>
      <c r="W641">
        <v>16</v>
      </c>
      <c r="X641">
        <v>3</v>
      </c>
      <c r="Y641">
        <v>2</v>
      </c>
      <c r="Z641">
        <v>80</v>
      </c>
      <c r="AA641">
        <v>1</v>
      </c>
      <c r="AB641">
        <v>7</v>
      </c>
      <c r="AC641">
        <v>2</v>
      </c>
      <c r="AD641">
        <v>3</v>
      </c>
      <c r="AE641">
        <v>4</v>
      </c>
      <c r="AF641">
        <v>2</v>
      </c>
      <c r="AG641">
        <v>0</v>
      </c>
      <c r="AH641">
        <v>2</v>
      </c>
    </row>
    <row r="642" spans="1:34" x14ac:dyDescent="0.2">
      <c r="A642">
        <v>24</v>
      </c>
      <c r="B642" t="s">
        <v>42</v>
      </c>
      <c r="C642" t="s">
        <v>54</v>
      </c>
      <c r="D642" t="s">
        <v>44</v>
      </c>
      <c r="E642">
        <v>4</v>
      </c>
      <c r="F642">
        <v>1</v>
      </c>
      <c r="G642" t="s">
        <v>37</v>
      </c>
      <c r="H642">
        <v>1</v>
      </c>
      <c r="I642">
        <v>888</v>
      </c>
      <c r="J642">
        <v>1</v>
      </c>
      <c r="K642" t="s">
        <v>45</v>
      </c>
      <c r="L642">
        <v>46</v>
      </c>
      <c r="M642">
        <v>2</v>
      </c>
      <c r="N642">
        <v>1</v>
      </c>
      <c r="O642" t="s">
        <v>49</v>
      </c>
      <c r="P642">
        <v>4</v>
      </c>
      <c r="Q642" t="s">
        <v>47</v>
      </c>
      <c r="R642">
        <v>3162</v>
      </c>
      <c r="S642">
        <v>10778</v>
      </c>
      <c r="T642">
        <v>0</v>
      </c>
      <c r="U642" t="s">
        <v>41</v>
      </c>
      <c r="V642" t="s">
        <v>42</v>
      </c>
      <c r="W642">
        <v>17</v>
      </c>
      <c r="X642">
        <v>3</v>
      </c>
      <c r="Y642">
        <v>4</v>
      </c>
      <c r="Z642">
        <v>80</v>
      </c>
      <c r="AA642">
        <v>0</v>
      </c>
      <c r="AB642">
        <v>6</v>
      </c>
      <c r="AC642">
        <v>2</v>
      </c>
      <c r="AD642">
        <v>2</v>
      </c>
      <c r="AE642">
        <v>5</v>
      </c>
      <c r="AF642">
        <v>2</v>
      </c>
      <c r="AG642">
        <v>3</v>
      </c>
      <c r="AH642">
        <v>4</v>
      </c>
    </row>
    <row r="643" spans="1:34" x14ac:dyDescent="0.2">
      <c r="A643">
        <v>32</v>
      </c>
      <c r="B643" t="s">
        <v>42</v>
      </c>
      <c r="C643" t="s">
        <v>43</v>
      </c>
      <c r="D643" t="s">
        <v>36</v>
      </c>
      <c r="E643">
        <v>5</v>
      </c>
      <c r="F643">
        <v>2</v>
      </c>
      <c r="G643" t="s">
        <v>37</v>
      </c>
      <c r="H643">
        <v>1</v>
      </c>
      <c r="I643">
        <v>889</v>
      </c>
      <c r="J643">
        <v>2</v>
      </c>
      <c r="K643" t="s">
        <v>45</v>
      </c>
      <c r="L643">
        <v>48</v>
      </c>
      <c r="M643">
        <v>3</v>
      </c>
      <c r="N643">
        <v>2</v>
      </c>
      <c r="O643" t="s">
        <v>39</v>
      </c>
      <c r="P643">
        <v>2</v>
      </c>
      <c r="Q643" t="s">
        <v>47</v>
      </c>
      <c r="R643">
        <v>6524</v>
      </c>
      <c r="S643">
        <v>8891</v>
      </c>
      <c r="T643">
        <v>1</v>
      </c>
      <c r="U643" t="s">
        <v>41</v>
      </c>
      <c r="V643" t="s">
        <v>42</v>
      </c>
      <c r="W643">
        <v>14</v>
      </c>
      <c r="X643">
        <v>3</v>
      </c>
      <c r="Y643">
        <v>4</v>
      </c>
      <c r="Z643">
        <v>80</v>
      </c>
      <c r="AA643">
        <v>1</v>
      </c>
      <c r="AB643">
        <v>10</v>
      </c>
      <c r="AC643">
        <v>3</v>
      </c>
      <c r="AD643">
        <v>3</v>
      </c>
      <c r="AE643">
        <v>10</v>
      </c>
      <c r="AF643">
        <v>8</v>
      </c>
      <c r="AG643">
        <v>5</v>
      </c>
      <c r="AH643">
        <v>3</v>
      </c>
    </row>
    <row r="644" spans="1:34" x14ac:dyDescent="0.2">
      <c r="A644">
        <v>38</v>
      </c>
      <c r="B644" t="s">
        <v>42</v>
      </c>
      <c r="C644" t="s">
        <v>35</v>
      </c>
      <c r="D644" t="s">
        <v>36</v>
      </c>
      <c r="E644">
        <v>9</v>
      </c>
      <c r="F644">
        <v>3</v>
      </c>
      <c r="G644" t="s">
        <v>58</v>
      </c>
      <c r="H644">
        <v>1</v>
      </c>
      <c r="I644">
        <v>893</v>
      </c>
      <c r="J644">
        <v>2</v>
      </c>
      <c r="K644" t="s">
        <v>45</v>
      </c>
      <c r="L644">
        <v>98</v>
      </c>
      <c r="M644">
        <v>2</v>
      </c>
      <c r="N644">
        <v>1</v>
      </c>
      <c r="O644" t="s">
        <v>56</v>
      </c>
      <c r="P644">
        <v>2</v>
      </c>
      <c r="Q644" t="s">
        <v>47</v>
      </c>
      <c r="R644">
        <v>2899</v>
      </c>
      <c r="S644">
        <v>12102</v>
      </c>
      <c r="T644">
        <v>0</v>
      </c>
      <c r="U644" t="s">
        <v>41</v>
      </c>
      <c r="V644" t="s">
        <v>42</v>
      </c>
      <c r="W644">
        <v>19</v>
      </c>
      <c r="X644">
        <v>3</v>
      </c>
      <c r="Y644">
        <v>4</v>
      </c>
      <c r="Z644">
        <v>80</v>
      </c>
      <c r="AA644">
        <v>1</v>
      </c>
      <c r="AB644">
        <v>3</v>
      </c>
      <c r="AC644">
        <v>3</v>
      </c>
      <c r="AD644">
        <v>3</v>
      </c>
      <c r="AE644">
        <v>2</v>
      </c>
      <c r="AF644">
        <v>2</v>
      </c>
      <c r="AG644">
        <v>1</v>
      </c>
      <c r="AH644">
        <v>2</v>
      </c>
    </row>
    <row r="645" spans="1:34" x14ac:dyDescent="0.2">
      <c r="A645">
        <v>42</v>
      </c>
      <c r="B645" t="s">
        <v>42</v>
      </c>
      <c r="C645" t="s">
        <v>35</v>
      </c>
      <c r="D645" t="s">
        <v>44</v>
      </c>
      <c r="E645">
        <v>3</v>
      </c>
      <c r="F645">
        <v>3</v>
      </c>
      <c r="G645" t="s">
        <v>37</v>
      </c>
      <c r="H645">
        <v>1</v>
      </c>
      <c r="I645">
        <v>894</v>
      </c>
      <c r="J645">
        <v>3</v>
      </c>
      <c r="K645" t="s">
        <v>38</v>
      </c>
      <c r="L645">
        <v>95</v>
      </c>
      <c r="M645">
        <v>4</v>
      </c>
      <c r="N645">
        <v>2</v>
      </c>
      <c r="O645" t="s">
        <v>49</v>
      </c>
      <c r="P645">
        <v>4</v>
      </c>
      <c r="Q645" t="s">
        <v>47</v>
      </c>
      <c r="R645">
        <v>5231</v>
      </c>
      <c r="S645">
        <v>23726</v>
      </c>
      <c r="T645">
        <v>2</v>
      </c>
      <c r="U645" t="s">
        <v>41</v>
      </c>
      <c r="V645" t="s">
        <v>34</v>
      </c>
      <c r="W645">
        <v>13</v>
      </c>
      <c r="X645">
        <v>3</v>
      </c>
      <c r="Y645">
        <v>2</v>
      </c>
      <c r="Z645">
        <v>80</v>
      </c>
      <c r="AA645">
        <v>1</v>
      </c>
      <c r="AB645">
        <v>17</v>
      </c>
      <c r="AC645">
        <v>1</v>
      </c>
      <c r="AD645">
        <v>2</v>
      </c>
      <c r="AE645">
        <v>5</v>
      </c>
      <c r="AF645">
        <v>3</v>
      </c>
      <c r="AG645">
        <v>1</v>
      </c>
      <c r="AH645">
        <v>3</v>
      </c>
    </row>
    <row r="646" spans="1:34" x14ac:dyDescent="0.2">
      <c r="A646">
        <v>31</v>
      </c>
      <c r="B646" t="s">
        <v>42</v>
      </c>
      <c r="C646" t="s">
        <v>35</v>
      </c>
      <c r="D646" t="s">
        <v>44</v>
      </c>
      <c r="E646">
        <v>11</v>
      </c>
      <c r="F646">
        <v>4</v>
      </c>
      <c r="G646" t="s">
        <v>37</v>
      </c>
      <c r="H646">
        <v>1</v>
      </c>
      <c r="I646">
        <v>895</v>
      </c>
      <c r="J646">
        <v>4</v>
      </c>
      <c r="K646" t="s">
        <v>45</v>
      </c>
      <c r="L646">
        <v>48</v>
      </c>
      <c r="M646">
        <v>3</v>
      </c>
      <c r="N646">
        <v>1</v>
      </c>
      <c r="O646" t="s">
        <v>46</v>
      </c>
      <c r="P646">
        <v>4</v>
      </c>
      <c r="Q646" t="s">
        <v>47</v>
      </c>
      <c r="R646">
        <v>2356</v>
      </c>
      <c r="S646">
        <v>14871</v>
      </c>
      <c r="T646">
        <v>3</v>
      </c>
      <c r="U646" t="s">
        <v>41</v>
      </c>
      <c r="V646" t="s">
        <v>34</v>
      </c>
      <c r="W646">
        <v>19</v>
      </c>
      <c r="X646">
        <v>3</v>
      </c>
      <c r="Y646">
        <v>2</v>
      </c>
      <c r="Z646">
        <v>80</v>
      </c>
      <c r="AA646">
        <v>1</v>
      </c>
      <c r="AB646">
        <v>8</v>
      </c>
      <c r="AC646">
        <v>2</v>
      </c>
      <c r="AD646">
        <v>3</v>
      </c>
      <c r="AE646">
        <v>6</v>
      </c>
      <c r="AF646">
        <v>4</v>
      </c>
      <c r="AG646">
        <v>0</v>
      </c>
      <c r="AH646">
        <v>2</v>
      </c>
    </row>
    <row r="647" spans="1:34" x14ac:dyDescent="0.2">
      <c r="A647">
        <v>29</v>
      </c>
      <c r="B647" t="s">
        <v>34</v>
      </c>
      <c r="C647" t="s">
        <v>35</v>
      </c>
      <c r="D647" t="s">
        <v>36</v>
      </c>
      <c r="E647">
        <v>1</v>
      </c>
      <c r="F647">
        <v>3</v>
      </c>
      <c r="G647" t="s">
        <v>50</v>
      </c>
      <c r="H647">
        <v>1</v>
      </c>
      <c r="I647">
        <v>896</v>
      </c>
      <c r="J647">
        <v>2</v>
      </c>
      <c r="K647" t="s">
        <v>38</v>
      </c>
      <c r="L647">
        <v>48</v>
      </c>
      <c r="M647">
        <v>2</v>
      </c>
      <c r="N647">
        <v>1</v>
      </c>
      <c r="O647" t="s">
        <v>56</v>
      </c>
      <c r="P647">
        <v>3</v>
      </c>
      <c r="Q647" t="s">
        <v>51</v>
      </c>
      <c r="R647">
        <v>2800</v>
      </c>
      <c r="S647">
        <v>23522</v>
      </c>
      <c r="T647">
        <v>6</v>
      </c>
      <c r="U647" t="s">
        <v>41</v>
      </c>
      <c r="V647" t="s">
        <v>34</v>
      </c>
      <c r="W647">
        <v>19</v>
      </c>
      <c r="X647">
        <v>3</v>
      </c>
      <c r="Y647">
        <v>3</v>
      </c>
      <c r="Z647">
        <v>80</v>
      </c>
      <c r="AA647">
        <v>3</v>
      </c>
      <c r="AB647">
        <v>5</v>
      </c>
      <c r="AC647">
        <v>3</v>
      </c>
      <c r="AD647">
        <v>3</v>
      </c>
      <c r="AE647">
        <v>3</v>
      </c>
      <c r="AF647">
        <v>2</v>
      </c>
      <c r="AG647">
        <v>0</v>
      </c>
      <c r="AH647">
        <v>2</v>
      </c>
    </row>
    <row r="648" spans="1:34" x14ac:dyDescent="0.2">
      <c r="A648">
        <v>53</v>
      </c>
      <c r="B648" t="s">
        <v>42</v>
      </c>
      <c r="C648" t="s">
        <v>35</v>
      </c>
      <c r="D648" t="s">
        <v>36</v>
      </c>
      <c r="E648">
        <v>8</v>
      </c>
      <c r="F648">
        <v>3</v>
      </c>
      <c r="G648" t="s">
        <v>58</v>
      </c>
      <c r="H648">
        <v>1</v>
      </c>
      <c r="I648">
        <v>897</v>
      </c>
      <c r="J648">
        <v>1</v>
      </c>
      <c r="K648" t="s">
        <v>45</v>
      </c>
      <c r="L648">
        <v>73</v>
      </c>
      <c r="M648">
        <v>3</v>
      </c>
      <c r="N648">
        <v>4</v>
      </c>
      <c r="O648" t="s">
        <v>39</v>
      </c>
      <c r="P648">
        <v>4</v>
      </c>
      <c r="Q648" t="s">
        <v>47</v>
      </c>
      <c r="R648">
        <v>11836</v>
      </c>
      <c r="S648">
        <v>22789</v>
      </c>
      <c r="T648">
        <v>5</v>
      </c>
      <c r="U648" t="s">
        <v>41</v>
      </c>
      <c r="V648" t="s">
        <v>42</v>
      </c>
      <c r="W648">
        <v>14</v>
      </c>
      <c r="X648">
        <v>3</v>
      </c>
      <c r="Y648">
        <v>3</v>
      </c>
      <c r="Z648">
        <v>80</v>
      </c>
      <c r="AA648">
        <v>1</v>
      </c>
      <c r="AB648">
        <v>28</v>
      </c>
      <c r="AC648">
        <v>3</v>
      </c>
      <c r="AD648">
        <v>3</v>
      </c>
      <c r="AE648">
        <v>2</v>
      </c>
      <c r="AF648">
        <v>0</v>
      </c>
      <c r="AG648">
        <v>2</v>
      </c>
      <c r="AH648">
        <v>2</v>
      </c>
    </row>
    <row r="649" spans="1:34" x14ac:dyDescent="0.2">
      <c r="A649">
        <v>35</v>
      </c>
      <c r="B649" t="s">
        <v>42</v>
      </c>
      <c r="C649" t="s">
        <v>35</v>
      </c>
      <c r="D649" t="s">
        <v>44</v>
      </c>
      <c r="E649">
        <v>25</v>
      </c>
      <c r="F649">
        <v>3</v>
      </c>
      <c r="G649" t="s">
        <v>59</v>
      </c>
      <c r="H649">
        <v>1</v>
      </c>
      <c r="I649">
        <v>899</v>
      </c>
      <c r="J649">
        <v>4</v>
      </c>
      <c r="K649" t="s">
        <v>45</v>
      </c>
      <c r="L649">
        <v>78</v>
      </c>
      <c r="M649">
        <v>2</v>
      </c>
      <c r="N649">
        <v>3</v>
      </c>
      <c r="O649" t="s">
        <v>52</v>
      </c>
      <c r="P649">
        <v>2</v>
      </c>
      <c r="Q649" t="s">
        <v>47</v>
      </c>
      <c r="R649">
        <v>10903</v>
      </c>
      <c r="S649">
        <v>9129</v>
      </c>
      <c r="T649">
        <v>3</v>
      </c>
      <c r="U649" t="s">
        <v>41</v>
      </c>
      <c r="V649" t="s">
        <v>42</v>
      </c>
      <c r="W649">
        <v>16</v>
      </c>
      <c r="X649">
        <v>3</v>
      </c>
      <c r="Y649">
        <v>1</v>
      </c>
      <c r="Z649">
        <v>80</v>
      </c>
      <c r="AA649">
        <v>0</v>
      </c>
      <c r="AB649">
        <v>16</v>
      </c>
      <c r="AC649">
        <v>2</v>
      </c>
      <c r="AD649">
        <v>3</v>
      </c>
      <c r="AE649">
        <v>13</v>
      </c>
      <c r="AF649">
        <v>10</v>
      </c>
      <c r="AG649">
        <v>4</v>
      </c>
      <c r="AH649">
        <v>8</v>
      </c>
    </row>
    <row r="650" spans="1:34" x14ac:dyDescent="0.2">
      <c r="A650">
        <v>37</v>
      </c>
      <c r="B650" t="s">
        <v>42</v>
      </c>
      <c r="C650" t="s">
        <v>43</v>
      </c>
      <c r="D650" t="s">
        <v>36</v>
      </c>
      <c r="E650">
        <v>21</v>
      </c>
      <c r="F650">
        <v>2</v>
      </c>
      <c r="G650" t="s">
        <v>50</v>
      </c>
      <c r="H650">
        <v>1</v>
      </c>
      <c r="I650">
        <v>900</v>
      </c>
      <c r="J650">
        <v>3</v>
      </c>
      <c r="K650" t="s">
        <v>38</v>
      </c>
      <c r="L650">
        <v>54</v>
      </c>
      <c r="M650">
        <v>3</v>
      </c>
      <c r="N650">
        <v>1</v>
      </c>
      <c r="O650" t="s">
        <v>56</v>
      </c>
      <c r="P650">
        <v>4</v>
      </c>
      <c r="Q650" t="s">
        <v>47</v>
      </c>
      <c r="R650">
        <v>2973</v>
      </c>
      <c r="S650">
        <v>21222</v>
      </c>
      <c r="T650">
        <v>5</v>
      </c>
      <c r="U650" t="s">
        <v>41</v>
      </c>
      <c r="V650" t="s">
        <v>42</v>
      </c>
      <c r="W650">
        <v>15</v>
      </c>
      <c r="X650">
        <v>3</v>
      </c>
      <c r="Y650">
        <v>2</v>
      </c>
      <c r="Z650">
        <v>80</v>
      </c>
      <c r="AA650">
        <v>1</v>
      </c>
      <c r="AB650">
        <v>10</v>
      </c>
      <c r="AC650">
        <v>3</v>
      </c>
      <c r="AD650">
        <v>3</v>
      </c>
      <c r="AE650">
        <v>5</v>
      </c>
      <c r="AF650">
        <v>4</v>
      </c>
      <c r="AG650">
        <v>0</v>
      </c>
      <c r="AH650">
        <v>0</v>
      </c>
    </row>
    <row r="651" spans="1:34" x14ac:dyDescent="0.2">
      <c r="A651">
        <v>53</v>
      </c>
      <c r="B651" t="s">
        <v>42</v>
      </c>
      <c r="C651" t="s">
        <v>35</v>
      </c>
      <c r="D651" t="s">
        <v>44</v>
      </c>
      <c r="E651">
        <v>23</v>
      </c>
      <c r="F651">
        <v>4</v>
      </c>
      <c r="G651" t="s">
        <v>37</v>
      </c>
      <c r="H651">
        <v>1</v>
      </c>
      <c r="I651">
        <v>901</v>
      </c>
      <c r="J651">
        <v>4</v>
      </c>
      <c r="K651" t="s">
        <v>38</v>
      </c>
      <c r="L651">
        <v>72</v>
      </c>
      <c r="M651">
        <v>3</v>
      </c>
      <c r="N651">
        <v>4</v>
      </c>
      <c r="O651" t="s">
        <v>57</v>
      </c>
      <c r="P651">
        <v>4</v>
      </c>
      <c r="Q651" t="s">
        <v>40</v>
      </c>
      <c r="R651">
        <v>14275</v>
      </c>
      <c r="S651">
        <v>20206</v>
      </c>
      <c r="T651">
        <v>6</v>
      </c>
      <c r="U651" t="s">
        <v>41</v>
      </c>
      <c r="V651" t="s">
        <v>42</v>
      </c>
      <c r="W651">
        <v>18</v>
      </c>
      <c r="X651">
        <v>3</v>
      </c>
      <c r="Y651">
        <v>3</v>
      </c>
      <c r="Z651">
        <v>80</v>
      </c>
      <c r="AA651">
        <v>0</v>
      </c>
      <c r="AB651">
        <v>33</v>
      </c>
      <c r="AC651">
        <v>0</v>
      </c>
      <c r="AD651">
        <v>3</v>
      </c>
      <c r="AE651">
        <v>12</v>
      </c>
      <c r="AF651">
        <v>9</v>
      </c>
      <c r="AG651">
        <v>3</v>
      </c>
      <c r="AH651">
        <v>8</v>
      </c>
    </row>
    <row r="652" spans="1:34" x14ac:dyDescent="0.2">
      <c r="A652">
        <v>43</v>
      </c>
      <c r="B652" t="s">
        <v>42</v>
      </c>
      <c r="C652" t="s">
        <v>43</v>
      </c>
      <c r="D652" t="s">
        <v>44</v>
      </c>
      <c r="E652">
        <v>1</v>
      </c>
      <c r="F652">
        <v>3</v>
      </c>
      <c r="G652" t="s">
        <v>37</v>
      </c>
      <c r="H652">
        <v>1</v>
      </c>
      <c r="I652">
        <v>902</v>
      </c>
      <c r="J652">
        <v>4</v>
      </c>
      <c r="K652" t="s">
        <v>38</v>
      </c>
      <c r="L652">
        <v>33</v>
      </c>
      <c r="M652">
        <v>3</v>
      </c>
      <c r="N652">
        <v>2</v>
      </c>
      <c r="O652" t="s">
        <v>53</v>
      </c>
      <c r="P652">
        <v>4</v>
      </c>
      <c r="Q652" t="s">
        <v>47</v>
      </c>
      <c r="R652">
        <v>5562</v>
      </c>
      <c r="S652">
        <v>21782</v>
      </c>
      <c r="T652">
        <v>4</v>
      </c>
      <c r="U652" t="s">
        <v>41</v>
      </c>
      <c r="V652" t="s">
        <v>42</v>
      </c>
      <c r="W652">
        <v>13</v>
      </c>
      <c r="X652">
        <v>3</v>
      </c>
      <c r="Y652">
        <v>2</v>
      </c>
      <c r="Z652">
        <v>80</v>
      </c>
      <c r="AA652">
        <v>1</v>
      </c>
      <c r="AB652">
        <v>12</v>
      </c>
      <c r="AC652">
        <v>2</v>
      </c>
      <c r="AD652">
        <v>2</v>
      </c>
      <c r="AE652">
        <v>5</v>
      </c>
      <c r="AF652">
        <v>2</v>
      </c>
      <c r="AG652">
        <v>2</v>
      </c>
      <c r="AH652">
        <v>2</v>
      </c>
    </row>
    <row r="653" spans="1:34" x14ac:dyDescent="0.2">
      <c r="A653">
        <v>47</v>
      </c>
      <c r="B653" t="s">
        <v>42</v>
      </c>
      <c r="C653" t="s">
        <v>35</v>
      </c>
      <c r="D653" t="s">
        <v>36</v>
      </c>
      <c r="E653">
        <v>2</v>
      </c>
      <c r="F653">
        <v>2</v>
      </c>
      <c r="G653" t="s">
        <v>58</v>
      </c>
      <c r="H653">
        <v>1</v>
      </c>
      <c r="I653">
        <v>903</v>
      </c>
      <c r="J653">
        <v>3</v>
      </c>
      <c r="K653" t="s">
        <v>38</v>
      </c>
      <c r="L653">
        <v>35</v>
      </c>
      <c r="M653">
        <v>3</v>
      </c>
      <c r="N653">
        <v>2</v>
      </c>
      <c r="O653" t="s">
        <v>39</v>
      </c>
      <c r="P653">
        <v>4</v>
      </c>
      <c r="Q653" t="s">
        <v>47</v>
      </c>
      <c r="R653">
        <v>4537</v>
      </c>
      <c r="S653">
        <v>17783</v>
      </c>
      <c r="T653">
        <v>0</v>
      </c>
      <c r="U653" t="s">
        <v>41</v>
      </c>
      <c r="V653" t="s">
        <v>34</v>
      </c>
      <c r="W653">
        <v>22</v>
      </c>
      <c r="X653">
        <v>4</v>
      </c>
      <c r="Y653">
        <v>1</v>
      </c>
      <c r="Z653">
        <v>80</v>
      </c>
      <c r="AA653">
        <v>1</v>
      </c>
      <c r="AB653">
        <v>8</v>
      </c>
      <c r="AC653">
        <v>2</v>
      </c>
      <c r="AD653">
        <v>3</v>
      </c>
      <c r="AE653">
        <v>7</v>
      </c>
      <c r="AF653">
        <v>6</v>
      </c>
      <c r="AG653">
        <v>7</v>
      </c>
      <c r="AH653">
        <v>7</v>
      </c>
    </row>
    <row r="654" spans="1:34" x14ac:dyDescent="0.2">
      <c r="A654">
        <v>37</v>
      </c>
      <c r="B654" t="s">
        <v>42</v>
      </c>
      <c r="C654" t="s">
        <v>54</v>
      </c>
      <c r="D654" t="s">
        <v>36</v>
      </c>
      <c r="E654">
        <v>19</v>
      </c>
      <c r="F654">
        <v>2</v>
      </c>
      <c r="G654" t="s">
        <v>50</v>
      </c>
      <c r="H654">
        <v>1</v>
      </c>
      <c r="I654">
        <v>904</v>
      </c>
      <c r="J654">
        <v>1</v>
      </c>
      <c r="K654" t="s">
        <v>45</v>
      </c>
      <c r="L654">
        <v>32</v>
      </c>
      <c r="M654">
        <v>3</v>
      </c>
      <c r="N654">
        <v>3</v>
      </c>
      <c r="O654" t="s">
        <v>39</v>
      </c>
      <c r="P654">
        <v>2</v>
      </c>
      <c r="Q654" t="s">
        <v>40</v>
      </c>
      <c r="R654">
        <v>7642</v>
      </c>
      <c r="S654">
        <v>4814</v>
      </c>
      <c r="T654">
        <v>1</v>
      </c>
      <c r="U654" t="s">
        <v>41</v>
      </c>
      <c r="V654" t="s">
        <v>34</v>
      </c>
      <c r="W654">
        <v>13</v>
      </c>
      <c r="X654">
        <v>3</v>
      </c>
      <c r="Y654">
        <v>4</v>
      </c>
      <c r="Z654">
        <v>80</v>
      </c>
      <c r="AA654">
        <v>0</v>
      </c>
      <c r="AB654">
        <v>10</v>
      </c>
      <c r="AC654">
        <v>2</v>
      </c>
      <c r="AD654">
        <v>3</v>
      </c>
      <c r="AE654">
        <v>10</v>
      </c>
      <c r="AF654">
        <v>0</v>
      </c>
      <c r="AG654">
        <v>0</v>
      </c>
      <c r="AH654">
        <v>9</v>
      </c>
    </row>
    <row r="655" spans="1:34" x14ac:dyDescent="0.2">
      <c r="A655">
        <v>50</v>
      </c>
      <c r="B655" t="s">
        <v>42</v>
      </c>
      <c r="C655" t="s">
        <v>54</v>
      </c>
      <c r="D655" t="s">
        <v>44</v>
      </c>
      <c r="E655">
        <v>2</v>
      </c>
      <c r="F655">
        <v>4</v>
      </c>
      <c r="G655" t="s">
        <v>37</v>
      </c>
      <c r="H655">
        <v>1</v>
      </c>
      <c r="I655">
        <v>905</v>
      </c>
      <c r="J655">
        <v>1</v>
      </c>
      <c r="K655" t="s">
        <v>45</v>
      </c>
      <c r="L655">
        <v>98</v>
      </c>
      <c r="M655">
        <v>3</v>
      </c>
      <c r="N655">
        <v>4</v>
      </c>
      <c r="O655" t="s">
        <v>55</v>
      </c>
      <c r="P655">
        <v>1</v>
      </c>
      <c r="Q655" t="s">
        <v>51</v>
      </c>
      <c r="R655">
        <v>17924</v>
      </c>
      <c r="S655">
        <v>4544</v>
      </c>
      <c r="T655">
        <v>1</v>
      </c>
      <c r="U655" t="s">
        <v>41</v>
      </c>
      <c r="V655" t="s">
        <v>42</v>
      </c>
      <c r="W655">
        <v>11</v>
      </c>
      <c r="X655">
        <v>3</v>
      </c>
      <c r="Y655">
        <v>4</v>
      </c>
      <c r="Z655">
        <v>80</v>
      </c>
      <c r="AA655">
        <v>1</v>
      </c>
      <c r="AB655">
        <v>31</v>
      </c>
      <c r="AC655">
        <v>3</v>
      </c>
      <c r="AD655">
        <v>3</v>
      </c>
      <c r="AE655">
        <v>31</v>
      </c>
      <c r="AF655">
        <v>6</v>
      </c>
      <c r="AG655">
        <v>14</v>
      </c>
      <c r="AH655">
        <v>7</v>
      </c>
    </row>
    <row r="656" spans="1:34" x14ac:dyDescent="0.2">
      <c r="A656">
        <v>39</v>
      </c>
      <c r="B656" t="s">
        <v>42</v>
      </c>
      <c r="C656" t="s">
        <v>35</v>
      </c>
      <c r="D656" t="s">
        <v>60</v>
      </c>
      <c r="E656">
        <v>2</v>
      </c>
      <c r="F656">
        <v>3</v>
      </c>
      <c r="G656" t="s">
        <v>37</v>
      </c>
      <c r="H656">
        <v>1</v>
      </c>
      <c r="I656">
        <v>909</v>
      </c>
      <c r="J656">
        <v>4</v>
      </c>
      <c r="K656" t="s">
        <v>38</v>
      </c>
      <c r="L656">
        <v>42</v>
      </c>
      <c r="M656">
        <v>2</v>
      </c>
      <c r="N656">
        <v>2</v>
      </c>
      <c r="O656" t="s">
        <v>60</v>
      </c>
      <c r="P656">
        <v>4</v>
      </c>
      <c r="Q656" t="s">
        <v>47</v>
      </c>
      <c r="R656">
        <v>5204</v>
      </c>
      <c r="S656">
        <v>7790</v>
      </c>
      <c r="T656">
        <v>8</v>
      </c>
      <c r="U656" t="s">
        <v>41</v>
      </c>
      <c r="V656" t="s">
        <v>42</v>
      </c>
      <c r="W656">
        <v>11</v>
      </c>
      <c r="X656">
        <v>3</v>
      </c>
      <c r="Y656">
        <v>3</v>
      </c>
      <c r="Z656">
        <v>80</v>
      </c>
      <c r="AA656">
        <v>2</v>
      </c>
      <c r="AB656">
        <v>13</v>
      </c>
      <c r="AC656">
        <v>2</v>
      </c>
      <c r="AD656">
        <v>3</v>
      </c>
      <c r="AE656">
        <v>5</v>
      </c>
      <c r="AF656">
        <v>4</v>
      </c>
      <c r="AG656">
        <v>0</v>
      </c>
      <c r="AH656">
        <v>4</v>
      </c>
    </row>
    <row r="657" spans="1:34" x14ac:dyDescent="0.2">
      <c r="A657">
        <v>33</v>
      </c>
      <c r="B657" t="s">
        <v>42</v>
      </c>
      <c r="C657" t="s">
        <v>35</v>
      </c>
      <c r="D657" t="s">
        <v>60</v>
      </c>
      <c r="E657">
        <v>3</v>
      </c>
      <c r="F657">
        <v>2</v>
      </c>
      <c r="G657" t="s">
        <v>60</v>
      </c>
      <c r="H657">
        <v>1</v>
      </c>
      <c r="I657">
        <v>910</v>
      </c>
      <c r="J657">
        <v>4</v>
      </c>
      <c r="K657" t="s">
        <v>45</v>
      </c>
      <c r="L657">
        <v>57</v>
      </c>
      <c r="M657">
        <v>3</v>
      </c>
      <c r="N657">
        <v>1</v>
      </c>
      <c r="O657" t="s">
        <v>60</v>
      </c>
      <c r="P657">
        <v>2</v>
      </c>
      <c r="Q657" t="s">
        <v>51</v>
      </c>
      <c r="R657">
        <v>2277</v>
      </c>
      <c r="S657">
        <v>22650</v>
      </c>
      <c r="T657">
        <v>3</v>
      </c>
      <c r="U657" t="s">
        <v>41</v>
      </c>
      <c r="V657" t="s">
        <v>34</v>
      </c>
      <c r="W657">
        <v>11</v>
      </c>
      <c r="X657">
        <v>3</v>
      </c>
      <c r="Y657">
        <v>3</v>
      </c>
      <c r="Z657">
        <v>80</v>
      </c>
      <c r="AA657">
        <v>1</v>
      </c>
      <c r="AB657">
        <v>7</v>
      </c>
      <c r="AC657">
        <v>4</v>
      </c>
      <c r="AD657">
        <v>4</v>
      </c>
      <c r="AE657">
        <v>4</v>
      </c>
      <c r="AF657">
        <v>3</v>
      </c>
      <c r="AG657">
        <v>0</v>
      </c>
      <c r="AH657">
        <v>3</v>
      </c>
    </row>
    <row r="658" spans="1:34" x14ac:dyDescent="0.2">
      <c r="A658">
        <v>32</v>
      </c>
      <c r="B658" t="s">
        <v>34</v>
      </c>
      <c r="C658" t="s">
        <v>35</v>
      </c>
      <c r="D658" t="s">
        <v>44</v>
      </c>
      <c r="E658">
        <v>25</v>
      </c>
      <c r="F658">
        <v>4</v>
      </c>
      <c r="G658" t="s">
        <v>37</v>
      </c>
      <c r="H658">
        <v>1</v>
      </c>
      <c r="I658">
        <v>911</v>
      </c>
      <c r="J658">
        <v>1</v>
      </c>
      <c r="K658" t="s">
        <v>45</v>
      </c>
      <c r="L658">
        <v>87</v>
      </c>
      <c r="M658">
        <v>3</v>
      </c>
      <c r="N658">
        <v>1</v>
      </c>
      <c r="O658" t="s">
        <v>49</v>
      </c>
      <c r="P658">
        <v>4</v>
      </c>
      <c r="Q658" t="s">
        <v>40</v>
      </c>
      <c r="R658">
        <v>2795</v>
      </c>
      <c r="S658">
        <v>18016</v>
      </c>
      <c r="T658">
        <v>1</v>
      </c>
      <c r="U658" t="s">
        <v>41</v>
      </c>
      <c r="V658" t="s">
        <v>34</v>
      </c>
      <c r="W658">
        <v>24</v>
      </c>
      <c r="X658">
        <v>4</v>
      </c>
      <c r="Y658">
        <v>3</v>
      </c>
      <c r="Z658">
        <v>80</v>
      </c>
      <c r="AA658">
        <v>0</v>
      </c>
      <c r="AB658">
        <v>1</v>
      </c>
      <c r="AC658">
        <v>2</v>
      </c>
      <c r="AD658">
        <v>1</v>
      </c>
      <c r="AE658">
        <v>1</v>
      </c>
      <c r="AF658">
        <v>0</v>
      </c>
      <c r="AG658">
        <v>0</v>
      </c>
      <c r="AH658">
        <v>1</v>
      </c>
    </row>
    <row r="659" spans="1:34" x14ac:dyDescent="0.2">
      <c r="A659">
        <v>29</v>
      </c>
      <c r="B659" t="s">
        <v>42</v>
      </c>
      <c r="C659" t="s">
        <v>35</v>
      </c>
      <c r="D659" t="s">
        <v>44</v>
      </c>
      <c r="E659">
        <v>7</v>
      </c>
      <c r="F659">
        <v>1</v>
      </c>
      <c r="G659" t="s">
        <v>50</v>
      </c>
      <c r="H659">
        <v>1</v>
      </c>
      <c r="I659">
        <v>912</v>
      </c>
      <c r="J659">
        <v>1</v>
      </c>
      <c r="K659" t="s">
        <v>38</v>
      </c>
      <c r="L659">
        <v>62</v>
      </c>
      <c r="M659">
        <v>2</v>
      </c>
      <c r="N659">
        <v>1</v>
      </c>
      <c r="O659" t="s">
        <v>49</v>
      </c>
      <c r="P659">
        <v>4</v>
      </c>
      <c r="Q659" t="s">
        <v>51</v>
      </c>
      <c r="R659">
        <v>2532</v>
      </c>
      <c r="S659">
        <v>6054</v>
      </c>
      <c r="T659">
        <v>6</v>
      </c>
      <c r="U659" t="s">
        <v>41</v>
      </c>
      <c r="V659" t="s">
        <v>42</v>
      </c>
      <c r="W659">
        <v>14</v>
      </c>
      <c r="X659">
        <v>3</v>
      </c>
      <c r="Y659">
        <v>3</v>
      </c>
      <c r="Z659">
        <v>80</v>
      </c>
      <c r="AA659">
        <v>3</v>
      </c>
      <c r="AB659">
        <v>8</v>
      </c>
      <c r="AC659">
        <v>5</v>
      </c>
      <c r="AD659">
        <v>3</v>
      </c>
      <c r="AE659">
        <v>4</v>
      </c>
      <c r="AF659">
        <v>3</v>
      </c>
      <c r="AG659">
        <v>0</v>
      </c>
      <c r="AH659">
        <v>3</v>
      </c>
    </row>
    <row r="660" spans="1:34" x14ac:dyDescent="0.2">
      <c r="A660">
        <v>44</v>
      </c>
      <c r="B660" t="s">
        <v>42</v>
      </c>
      <c r="C660" t="s">
        <v>35</v>
      </c>
      <c r="D660" t="s">
        <v>44</v>
      </c>
      <c r="E660">
        <v>9</v>
      </c>
      <c r="F660">
        <v>2</v>
      </c>
      <c r="G660" t="s">
        <v>37</v>
      </c>
      <c r="H660">
        <v>1</v>
      </c>
      <c r="I660">
        <v>913</v>
      </c>
      <c r="J660">
        <v>2</v>
      </c>
      <c r="K660" t="s">
        <v>45</v>
      </c>
      <c r="L660">
        <v>61</v>
      </c>
      <c r="M660">
        <v>3</v>
      </c>
      <c r="N660">
        <v>1</v>
      </c>
      <c r="O660" t="s">
        <v>46</v>
      </c>
      <c r="P660">
        <v>1</v>
      </c>
      <c r="Q660" t="s">
        <v>47</v>
      </c>
      <c r="R660">
        <v>2559</v>
      </c>
      <c r="S660">
        <v>7508</v>
      </c>
      <c r="T660">
        <v>1</v>
      </c>
      <c r="U660" t="s">
        <v>41</v>
      </c>
      <c r="V660" t="s">
        <v>34</v>
      </c>
      <c r="W660">
        <v>13</v>
      </c>
      <c r="X660">
        <v>3</v>
      </c>
      <c r="Y660">
        <v>4</v>
      </c>
      <c r="Z660">
        <v>80</v>
      </c>
      <c r="AA660">
        <v>0</v>
      </c>
      <c r="AB660">
        <v>8</v>
      </c>
      <c r="AC660">
        <v>0</v>
      </c>
      <c r="AD660">
        <v>3</v>
      </c>
      <c r="AE660">
        <v>8</v>
      </c>
      <c r="AF660">
        <v>7</v>
      </c>
      <c r="AG660">
        <v>7</v>
      </c>
      <c r="AH660">
        <v>1</v>
      </c>
    </row>
    <row r="661" spans="1:34" x14ac:dyDescent="0.2">
      <c r="A661">
        <v>28</v>
      </c>
      <c r="B661" t="s">
        <v>42</v>
      </c>
      <c r="C661" t="s">
        <v>35</v>
      </c>
      <c r="D661" t="s">
        <v>36</v>
      </c>
      <c r="E661">
        <v>5</v>
      </c>
      <c r="F661">
        <v>4</v>
      </c>
      <c r="G661" t="s">
        <v>50</v>
      </c>
      <c r="H661">
        <v>1</v>
      </c>
      <c r="I661">
        <v>916</v>
      </c>
      <c r="J661">
        <v>1</v>
      </c>
      <c r="K661" t="s">
        <v>45</v>
      </c>
      <c r="L661">
        <v>98</v>
      </c>
      <c r="M661">
        <v>3</v>
      </c>
      <c r="N661">
        <v>2</v>
      </c>
      <c r="O661" t="s">
        <v>39</v>
      </c>
      <c r="P661">
        <v>4</v>
      </c>
      <c r="Q661" t="s">
        <v>40</v>
      </c>
      <c r="R661">
        <v>4908</v>
      </c>
      <c r="S661">
        <v>24252</v>
      </c>
      <c r="T661">
        <v>1</v>
      </c>
      <c r="U661" t="s">
        <v>41</v>
      </c>
      <c r="V661" t="s">
        <v>42</v>
      </c>
      <c r="W661">
        <v>14</v>
      </c>
      <c r="X661">
        <v>3</v>
      </c>
      <c r="Y661">
        <v>2</v>
      </c>
      <c r="Z661">
        <v>80</v>
      </c>
      <c r="AA661">
        <v>0</v>
      </c>
      <c r="AB661">
        <v>4</v>
      </c>
      <c r="AC661">
        <v>3</v>
      </c>
      <c r="AD661">
        <v>3</v>
      </c>
      <c r="AE661">
        <v>4</v>
      </c>
      <c r="AF661">
        <v>2</v>
      </c>
      <c r="AG661">
        <v>0</v>
      </c>
      <c r="AH661">
        <v>2</v>
      </c>
    </row>
    <row r="662" spans="1:34" x14ac:dyDescent="0.2">
      <c r="A662">
        <v>58</v>
      </c>
      <c r="B662" t="s">
        <v>34</v>
      </c>
      <c r="C662" t="s">
        <v>43</v>
      </c>
      <c r="D662" t="s">
        <v>44</v>
      </c>
      <c r="E662">
        <v>2</v>
      </c>
      <c r="F662">
        <v>1</v>
      </c>
      <c r="G662" t="s">
        <v>37</v>
      </c>
      <c r="H662">
        <v>1</v>
      </c>
      <c r="I662">
        <v>918</v>
      </c>
      <c r="J662">
        <v>4</v>
      </c>
      <c r="K662" t="s">
        <v>45</v>
      </c>
      <c r="L662">
        <v>57</v>
      </c>
      <c r="M662">
        <v>2</v>
      </c>
      <c r="N662">
        <v>1</v>
      </c>
      <c r="O662" t="s">
        <v>49</v>
      </c>
      <c r="P662">
        <v>4</v>
      </c>
      <c r="Q662" t="s">
        <v>51</v>
      </c>
      <c r="R662">
        <v>2380</v>
      </c>
      <c r="S662">
        <v>13384</v>
      </c>
      <c r="T662">
        <v>9</v>
      </c>
      <c r="U662" t="s">
        <v>41</v>
      </c>
      <c r="V662" t="s">
        <v>34</v>
      </c>
      <c r="W662">
        <v>14</v>
      </c>
      <c r="X662">
        <v>3</v>
      </c>
      <c r="Y662">
        <v>4</v>
      </c>
      <c r="Z662">
        <v>80</v>
      </c>
      <c r="AA662">
        <v>1</v>
      </c>
      <c r="AB662">
        <v>3</v>
      </c>
      <c r="AC662">
        <v>3</v>
      </c>
      <c r="AD662">
        <v>2</v>
      </c>
      <c r="AE662">
        <v>1</v>
      </c>
      <c r="AF662">
        <v>0</v>
      </c>
      <c r="AG662">
        <v>0</v>
      </c>
      <c r="AH662">
        <v>0</v>
      </c>
    </row>
    <row r="663" spans="1:34" x14ac:dyDescent="0.2">
      <c r="A663">
        <v>43</v>
      </c>
      <c r="B663" t="s">
        <v>42</v>
      </c>
      <c r="C663" t="s">
        <v>35</v>
      </c>
      <c r="D663" t="s">
        <v>44</v>
      </c>
      <c r="E663">
        <v>8</v>
      </c>
      <c r="F663">
        <v>3</v>
      </c>
      <c r="G663" t="s">
        <v>37</v>
      </c>
      <c r="H663">
        <v>1</v>
      </c>
      <c r="I663">
        <v>920</v>
      </c>
      <c r="J663">
        <v>1</v>
      </c>
      <c r="K663" t="s">
        <v>38</v>
      </c>
      <c r="L663">
        <v>55</v>
      </c>
      <c r="M663">
        <v>3</v>
      </c>
      <c r="N663">
        <v>2</v>
      </c>
      <c r="O663" t="s">
        <v>52</v>
      </c>
      <c r="P663">
        <v>2</v>
      </c>
      <c r="Q663" t="s">
        <v>51</v>
      </c>
      <c r="R663">
        <v>4765</v>
      </c>
      <c r="S663">
        <v>23814</v>
      </c>
      <c r="T663">
        <v>4</v>
      </c>
      <c r="U663" t="s">
        <v>41</v>
      </c>
      <c r="V663" t="s">
        <v>42</v>
      </c>
      <c r="W663">
        <v>21</v>
      </c>
      <c r="X663">
        <v>4</v>
      </c>
      <c r="Y663">
        <v>3</v>
      </c>
      <c r="Z663">
        <v>80</v>
      </c>
      <c r="AA663">
        <v>1</v>
      </c>
      <c r="AB663">
        <v>4</v>
      </c>
      <c r="AC663">
        <v>2</v>
      </c>
      <c r="AD663">
        <v>4</v>
      </c>
      <c r="AE663">
        <v>1</v>
      </c>
      <c r="AF663">
        <v>0</v>
      </c>
      <c r="AG663">
        <v>0</v>
      </c>
      <c r="AH663">
        <v>0</v>
      </c>
    </row>
    <row r="664" spans="1:34" x14ac:dyDescent="0.2">
      <c r="A664">
        <v>20</v>
      </c>
      <c r="B664" t="s">
        <v>34</v>
      </c>
      <c r="C664" t="s">
        <v>35</v>
      </c>
      <c r="D664" t="s">
        <v>36</v>
      </c>
      <c r="E664">
        <v>2</v>
      </c>
      <c r="F664">
        <v>3</v>
      </c>
      <c r="G664" t="s">
        <v>50</v>
      </c>
      <c r="H664">
        <v>1</v>
      </c>
      <c r="I664">
        <v>922</v>
      </c>
      <c r="J664">
        <v>3</v>
      </c>
      <c r="K664" t="s">
        <v>38</v>
      </c>
      <c r="L664">
        <v>49</v>
      </c>
      <c r="M664">
        <v>2</v>
      </c>
      <c r="N664">
        <v>1</v>
      </c>
      <c r="O664" t="s">
        <v>56</v>
      </c>
      <c r="P664">
        <v>3</v>
      </c>
      <c r="Q664" t="s">
        <v>40</v>
      </c>
      <c r="R664">
        <v>2044</v>
      </c>
      <c r="S664">
        <v>22052</v>
      </c>
      <c r="T664">
        <v>1</v>
      </c>
      <c r="U664" t="s">
        <v>41</v>
      </c>
      <c r="V664" t="s">
        <v>42</v>
      </c>
      <c r="W664">
        <v>13</v>
      </c>
      <c r="X664">
        <v>3</v>
      </c>
      <c r="Y664">
        <v>4</v>
      </c>
      <c r="Z664">
        <v>80</v>
      </c>
      <c r="AA664">
        <v>0</v>
      </c>
      <c r="AB664">
        <v>2</v>
      </c>
      <c r="AC664">
        <v>3</v>
      </c>
      <c r="AD664">
        <v>2</v>
      </c>
      <c r="AE664">
        <v>2</v>
      </c>
      <c r="AF664">
        <v>2</v>
      </c>
      <c r="AG664">
        <v>0</v>
      </c>
      <c r="AH664">
        <v>2</v>
      </c>
    </row>
    <row r="665" spans="1:34" x14ac:dyDescent="0.2">
      <c r="A665">
        <v>21</v>
      </c>
      <c r="B665" t="s">
        <v>34</v>
      </c>
      <c r="C665" t="s">
        <v>35</v>
      </c>
      <c r="D665" t="s">
        <v>44</v>
      </c>
      <c r="E665">
        <v>18</v>
      </c>
      <c r="F665">
        <v>1</v>
      </c>
      <c r="G665" t="s">
        <v>48</v>
      </c>
      <c r="H665">
        <v>1</v>
      </c>
      <c r="I665">
        <v>923</v>
      </c>
      <c r="J665">
        <v>4</v>
      </c>
      <c r="K665" t="s">
        <v>38</v>
      </c>
      <c r="L665">
        <v>65</v>
      </c>
      <c r="M665">
        <v>3</v>
      </c>
      <c r="N665">
        <v>1</v>
      </c>
      <c r="O665" t="s">
        <v>46</v>
      </c>
      <c r="P665">
        <v>4</v>
      </c>
      <c r="Q665" t="s">
        <v>40</v>
      </c>
      <c r="R665">
        <v>2693</v>
      </c>
      <c r="S665">
        <v>8870</v>
      </c>
      <c r="T665">
        <v>1</v>
      </c>
      <c r="U665" t="s">
        <v>41</v>
      </c>
      <c r="V665" t="s">
        <v>42</v>
      </c>
      <c r="W665">
        <v>19</v>
      </c>
      <c r="X665">
        <v>3</v>
      </c>
      <c r="Y665">
        <v>1</v>
      </c>
      <c r="Z665">
        <v>80</v>
      </c>
      <c r="AA665">
        <v>0</v>
      </c>
      <c r="AB665">
        <v>1</v>
      </c>
      <c r="AC665">
        <v>3</v>
      </c>
      <c r="AD665">
        <v>2</v>
      </c>
      <c r="AE665">
        <v>1</v>
      </c>
      <c r="AF665">
        <v>0</v>
      </c>
      <c r="AG665">
        <v>0</v>
      </c>
      <c r="AH665">
        <v>0</v>
      </c>
    </row>
    <row r="666" spans="1:34" x14ac:dyDescent="0.2">
      <c r="A666">
        <v>36</v>
      </c>
      <c r="B666" t="s">
        <v>42</v>
      </c>
      <c r="C666" t="s">
        <v>35</v>
      </c>
      <c r="D666" t="s">
        <v>44</v>
      </c>
      <c r="E666">
        <v>14</v>
      </c>
      <c r="F666">
        <v>1</v>
      </c>
      <c r="G666" t="s">
        <v>37</v>
      </c>
      <c r="H666">
        <v>1</v>
      </c>
      <c r="I666">
        <v>924</v>
      </c>
      <c r="J666">
        <v>3</v>
      </c>
      <c r="K666" t="s">
        <v>45</v>
      </c>
      <c r="L666">
        <v>68</v>
      </c>
      <c r="M666">
        <v>3</v>
      </c>
      <c r="N666">
        <v>2</v>
      </c>
      <c r="O666" t="s">
        <v>53</v>
      </c>
      <c r="P666">
        <v>4</v>
      </c>
      <c r="Q666" t="s">
        <v>47</v>
      </c>
      <c r="R666">
        <v>6586</v>
      </c>
      <c r="S666">
        <v>4821</v>
      </c>
      <c r="T666">
        <v>0</v>
      </c>
      <c r="U666" t="s">
        <v>41</v>
      </c>
      <c r="V666" t="s">
        <v>34</v>
      </c>
      <c r="W666">
        <v>17</v>
      </c>
      <c r="X666">
        <v>3</v>
      </c>
      <c r="Y666">
        <v>1</v>
      </c>
      <c r="Z666">
        <v>80</v>
      </c>
      <c r="AA666">
        <v>1</v>
      </c>
      <c r="AB666">
        <v>17</v>
      </c>
      <c r="AC666">
        <v>2</v>
      </c>
      <c r="AD666">
        <v>2</v>
      </c>
      <c r="AE666">
        <v>16</v>
      </c>
      <c r="AF666">
        <v>8</v>
      </c>
      <c r="AG666">
        <v>4</v>
      </c>
      <c r="AH666">
        <v>11</v>
      </c>
    </row>
    <row r="667" spans="1:34" x14ac:dyDescent="0.2">
      <c r="A667">
        <v>47</v>
      </c>
      <c r="B667" t="s">
        <v>42</v>
      </c>
      <c r="C667" t="s">
        <v>35</v>
      </c>
      <c r="D667" t="s">
        <v>36</v>
      </c>
      <c r="E667">
        <v>2</v>
      </c>
      <c r="F667">
        <v>4</v>
      </c>
      <c r="G667" t="s">
        <v>37</v>
      </c>
      <c r="H667">
        <v>1</v>
      </c>
      <c r="I667">
        <v>925</v>
      </c>
      <c r="J667">
        <v>4</v>
      </c>
      <c r="K667" t="s">
        <v>38</v>
      </c>
      <c r="L667">
        <v>65</v>
      </c>
      <c r="M667">
        <v>2</v>
      </c>
      <c r="N667">
        <v>1</v>
      </c>
      <c r="O667" t="s">
        <v>56</v>
      </c>
      <c r="P667">
        <v>4</v>
      </c>
      <c r="Q667" t="s">
        <v>40</v>
      </c>
      <c r="R667">
        <v>3294</v>
      </c>
      <c r="S667">
        <v>13137</v>
      </c>
      <c r="T667">
        <v>1</v>
      </c>
      <c r="U667" t="s">
        <v>41</v>
      </c>
      <c r="V667" t="s">
        <v>34</v>
      </c>
      <c r="W667">
        <v>18</v>
      </c>
      <c r="X667">
        <v>3</v>
      </c>
      <c r="Y667">
        <v>1</v>
      </c>
      <c r="Z667">
        <v>80</v>
      </c>
      <c r="AA667">
        <v>0</v>
      </c>
      <c r="AB667">
        <v>3</v>
      </c>
      <c r="AC667">
        <v>3</v>
      </c>
      <c r="AD667">
        <v>2</v>
      </c>
      <c r="AE667">
        <v>3</v>
      </c>
      <c r="AF667">
        <v>2</v>
      </c>
      <c r="AG667">
        <v>1</v>
      </c>
      <c r="AH667">
        <v>2</v>
      </c>
    </row>
    <row r="668" spans="1:34" x14ac:dyDescent="0.2">
      <c r="A668">
        <v>22</v>
      </c>
      <c r="B668" t="s">
        <v>34</v>
      </c>
      <c r="C668" t="s">
        <v>35</v>
      </c>
      <c r="D668" t="s">
        <v>44</v>
      </c>
      <c r="E668">
        <v>3</v>
      </c>
      <c r="F668">
        <v>1</v>
      </c>
      <c r="G668" t="s">
        <v>37</v>
      </c>
      <c r="H668">
        <v>1</v>
      </c>
      <c r="I668">
        <v>926</v>
      </c>
      <c r="J668">
        <v>2</v>
      </c>
      <c r="K668" t="s">
        <v>38</v>
      </c>
      <c r="L668">
        <v>34</v>
      </c>
      <c r="M668">
        <v>3</v>
      </c>
      <c r="N668">
        <v>2</v>
      </c>
      <c r="O668" t="s">
        <v>52</v>
      </c>
      <c r="P668">
        <v>3</v>
      </c>
      <c r="Q668" t="s">
        <v>47</v>
      </c>
      <c r="R668">
        <v>4171</v>
      </c>
      <c r="S668">
        <v>10022</v>
      </c>
      <c r="T668">
        <v>0</v>
      </c>
      <c r="U668" t="s">
        <v>41</v>
      </c>
      <c r="V668" t="s">
        <v>34</v>
      </c>
      <c r="W668">
        <v>19</v>
      </c>
      <c r="X668">
        <v>3</v>
      </c>
      <c r="Y668">
        <v>1</v>
      </c>
      <c r="Z668">
        <v>80</v>
      </c>
      <c r="AA668">
        <v>1</v>
      </c>
      <c r="AB668">
        <v>4</v>
      </c>
      <c r="AC668">
        <v>3</v>
      </c>
      <c r="AD668">
        <v>4</v>
      </c>
      <c r="AE668">
        <v>3</v>
      </c>
      <c r="AF668">
        <v>2</v>
      </c>
      <c r="AG668">
        <v>0</v>
      </c>
      <c r="AH668">
        <v>2</v>
      </c>
    </row>
    <row r="669" spans="1:34" x14ac:dyDescent="0.2">
      <c r="A669">
        <v>41</v>
      </c>
      <c r="B669" t="s">
        <v>34</v>
      </c>
      <c r="C669" t="s">
        <v>35</v>
      </c>
      <c r="D669" t="s">
        <v>44</v>
      </c>
      <c r="E669">
        <v>2</v>
      </c>
      <c r="F669">
        <v>4</v>
      </c>
      <c r="G669" t="s">
        <v>37</v>
      </c>
      <c r="H669">
        <v>1</v>
      </c>
      <c r="I669">
        <v>927</v>
      </c>
      <c r="J669">
        <v>2</v>
      </c>
      <c r="K669" t="s">
        <v>38</v>
      </c>
      <c r="L669">
        <v>57</v>
      </c>
      <c r="M669">
        <v>1</v>
      </c>
      <c r="N669">
        <v>1</v>
      </c>
      <c r="O669" t="s">
        <v>49</v>
      </c>
      <c r="P669">
        <v>4</v>
      </c>
      <c r="Q669" t="s">
        <v>51</v>
      </c>
      <c r="R669">
        <v>2778</v>
      </c>
      <c r="S669">
        <v>17725</v>
      </c>
      <c r="T669">
        <v>4</v>
      </c>
      <c r="U669" t="s">
        <v>41</v>
      </c>
      <c r="V669" t="s">
        <v>34</v>
      </c>
      <c r="W669">
        <v>13</v>
      </c>
      <c r="X669">
        <v>3</v>
      </c>
      <c r="Y669">
        <v>3</v>
      </c>
      <c r="Z669">
        <v>80</v>
      </c>
      <c r="AA669">
        <v>1</v>
      </c>
      <c r="AB669">
        <v>10</v>
      </c>
      <c r="AC669">
        <v>1</v>
      </c>
      <c r="AD669">
        <v>2</v>
      </c>
      <c r="AE669">
        <v>7</v>
      </c>
      <c r="AF669">
        <v>7</v>
      </c>
      <c r="AG669">
        <v>1</v>
      </c>
      <c r="AH669">
        <v>0</v>
      </c>
    </row>
    <row r="670" spans="1:34" x14ac:dyDescent="0.2">
      <c r="A670">
        <v>28</v>
      </c>
      <c r="B670" t="s">
        <v>42</v>
      </c>
      <c r="C670" t="s">
        <v>35</v>
      </c>
      <c r="D670" t="s">
        <v>44</v>
      </c>
      <c r="E670">
        <v>9</v>
      </c>
      <c r="F670">
        <v>3</v>
      </c>
      <c r="G670" t="s">
        <v>50</v>
      </c>
      <c r="H670">
        <v>1</v>
      </c>
      <c r="I670">
        <v>930</v>
      </c>
      <c r="J670">
        <v>3</v>
      </c>
      <c r="K670" t="s">
        <v>38</v>
      </c>
      <c r="L670">
        <v>77</v>
      </c>
      <c r="M670">
        <v>3</v>
      </c>
      <c r="N670">
        <v>1</v>
      </c>
      <c r="O670" t="s">
        <v>46</v>
      </c>
      <c r="P670">
        <v>3</v>
      </c>
      <c r="Q670" t="s">
        <v>51</v>
      </c>
      <c r="R670">
        <v>2377</v>
      </c>
      <c r="S670">
        <v>9834</v>
      </c>
      <c r="T670">
        <v>5</v>
      </c>
      <c r="U670" t="s">
        <v>41</v>
      </c>
      <c r="V670" t="s">
        <v>42</v>
      </c>
      <c r="W670">
        <v>18</v>
      </c>
      <c r="X670">
        <v>3</v>
      </c>
      <c r="Y670">
        <v>2</v>
      </c>
      <c r="Z670">
        <v>80</v>
      </c>
      <c r="AA670">
        <v>1</v>
      </c>
      <c r="AB670">
        <v>6</v>
      </c>
      <c r="AC670">
        <v>2</v>
      </c>
      <c r="AD670">
        <v>3</v>
      </c>
      <c r="AE670">
        <v>2</v>
      </c>
      <c r="AF670">
        <v>2</v>
      </c>
      <c r="AG670">
        <v>2</v>
      </c>
      <c r="AH670">
        <v>2</v>
      </c>
    </row>
    <row r="671" spans="1:34" x14ac:dyDescent="0.2">
      <c r="A671">
        <v>39</v>
      </c>
      <c r="B671" t="s">
        <v>34</v>
      </c>
      <c r="C671" t="s">
        <v>35</v>
      </c>
      <c r="D671" t="s">
        <v>44</v>
      </c>
      <c r="E671">
        <v>6</v>
      </c>
      <c r="F671">
        <v>3</v>
      </c>
      <c r="G671" t="s">
        <v>50</v>
      </c>
      <c r="H671">
        <v>1</v>
      </c>
      <c r="I671">
        <v>932</v>
      </c>
      <c r="J671">
        <v>4</v>
      </c>
      <c r="K671" t="s">
        <v>45</v>
      </c>
      <c r="L671">
        <v>70</v>
      </c>
      <c r="M671">
        <v>3</v>
      </c>
      <c r="N671">
        <v>1</v>
      </c>
      <c r="O671" t="s">
        <v>49</v>
      </c>
      <c r="P671">
        <v>1</v>
      </c>
      <c r="Q671" t="s">
        <v>47</v>
      </c>
      <c r="R671">
        <v>2404</v>
      </c>
      <c r="S671">
        <v>4303</v>
      </c>
      <c r="T671">
        <v>7</v>
      </c>
      <c r="U671" t="s">
        <v>41</v>
      </c>
      <c r="V671" t="s">
        <v>34</v>
      </c>
      <c r="W671">
        <v>21</v>
      </c>
      <c r="X671">
        <v>4</v>
      </c>
      <c r="Y671">
        <v>4</v>
      </c>
      <c r="Z671">
        <v>80</v>
      </c>
      <c r="AA671">
        <v>0</v>
      </c>
      <c r="AB671">
        <v>8</v>
      </c>
      <c r="AC671">
        <v>2</v>
      </c>
      <c r="AD671">
        <v>1</v>
      </c>
      <c r="AE671">
        <v>2</v>
      </c>
      <c r="AF671">
        <v>2</v>
      </c>
      <c r="AG671">
        <v>2</v>
      </c>
      <c r="AH671">
        <v>2</v>
      </c>
    </row>
    <row r="672" spans="1:34" x14ac:dyDescent="0.2">
      <c r="A672">
        <v>27</v>
      </c>
      <c r="B672" t="s">
        <v>42</v>
      </c>
      <c r="C672" t="s">
        <v>35</v>
      </c>
      <c r="D672" t="s">
        <v>44</v>
      </c>
      <c r="E672">
        <v>4</v>
      </c>
      <c r="F672">
        <v>3</v>
      </c>
      <c r="G672" t="s">
        <v>37</v>
      </c>
      <c r="H672">
        <v>1</v>
      </c>
      <c r="I672">
        <v>933</v>
      </c>
      <c r="J672">
        <v>2</v>
      </c>
      <c r="K672" t="s">
        <v>38</v>
      </c>
      <c r="L672">
        <v>76</v>
      </c>
      <c r="M672">
        <v>3</v>
      </c>
      <c r="N672">
        <v>1</v>
      </c>
      <c r="O672" t="s">
        <v>46</v>
      </c>
      <c r="P672">
        <v>3</v>
      </c>
      <c r="Q672" t="s">
        <v>40</v>
      </c>
      <c r="R672">
        <v>2318</v>
      </c>
      <c r="S672">
        <v>17808</v>
      </c>
      <c r="T672">
        <v>1</v>
      </c>
      <c r="U672" t="s">
        <v>41</v>
      </c>
      <c r="V672" t="s">
        <v>42</v>
      </c>
      <c r="W672">
        <v>19</v>
      </c>
      <c r="X672">
        <v>3</v>
      </c>
      <c r="Y672">
        <v>3</v>
      </c>
      <c r="Z672">
        <v>80</v>
      </c>
      <c r="AA672">
        <v>0</v>
      </c>
      <c r="AB672">
        <v>1</v>
      </c>
      <c r="AC672">
        <v>2</v>
      </c>
      <c r="AD672">
        <v>3</v>
      </c>
      <c r="AE672">
        <v>1</v>
      </c>
      <c r="AF672">
        <v>1</v>
      </c>
      <c r="AG672">
        <v>0</v>
      </c>
      <c r="AH672">
        <v>0</v>
      </c>
    </row>
    <row r="673" spans="1:34" x14ac:dyDescent="0.2">
      <c r="A673">
        <v>34</v>
      </c>
      <c r="B673" t="s">
        <v>42</v>
      </c>
      <c r="C673" t="s">
        <v>35</v>
      </c>
      <c r="D673" t="s">
        <v>44</v>
      </c>
      <c r="E673">
        <v>10</v>
      </c>
      <c r="F673">
        <v>3</v>
      </c>
      <c r="G673" t="s">
        <v>37</v>
      </c>
      <c r="H673">
        <v>1</v>
      </c>
      <c r="I673">
        <v>934</v>
      </c>
      <c r="J673">
        <v>2</v>
      </c>
      <c r="K673" t="s">
        <v>45</v>
      </c>
      <c r="L673">
        <v>83</v>
      </c>
      <c r="M673">
        <v>3</v>
      </c>
      <c r="N673">
        <v>1</v>
      </c>
      <c r="O673" t="s">
        <v>49</v>
      </c>
      <c r="P673">
        <v>2</v>
      </c>
      <c r="Q673" t="s">
        <v>51</v>
      </c>
      <c r="R673">
        <v>2008</v>
      </c>
      <c r="S673">
        <v>6896</v>
      </c>
      <c r="T673">
        <v>1</v>
      </c>
      <c r="U673" t="s">
        <v>41</v>
      </c>
      <c r="V673" t="s">
        <v>42</v>
      </c>
      <c r="W673">
        <v>14</v>
      </c>
      <c r="X673">
        <v>3</v>
      </c>
      <c r="Y673">
        <v>2</v>
      </c>
      <c r="Z673">
        <v>80</v>
      </c>
      <c r="AA673">
        <v>2</v>
      </c>
      <c r="AB673">
        <v>1</v>
      </c>
      <c r="AC673">
        <v>3</v>
      </c>
      <c r="AD673">
        <v>3</v>
      </c>
      <c r="AE673">
        <v>1</v>
      </c>
      <c r="AF673">
        <v>0</v>
      </c>
      <c r="AG673">
        <v>1</v>
      </c>
      <c r="AH673">
        <v>0</v>
      </c>
    </row>
    <row r="674" spans="1:34" x14ac:dyDescent="0.2">
      <c r="A674">
        <v>42</v>
      </c>
      <c r="B674" t="s">
        <v>42</v>
      </c>
      <c r="C674" t="s">
        <v>35</v>
      </c>
      <c r="D674" t="s">
        <v>36</v>
      </c>
      <c r="E674">
        <v>14</v>
      </c>
      <c r="F674">
        <v>2</v>
      </c>
      <c r="G674" t="s">
        <v>50</v>
      </c>
      <c r="H674">
        <v>1</v>
      </c>
      <c r="I674">
        <v>936</v>
      </c>
      <c r="J674">
        <v>3</v>
      </c>
      <c r="K674" t="s">
        <v>38</v>
      </c>
      <c r="L674">
        <v>68</v>
      </c>
      <c r="M674">
        <v>2</v>
      </c>
      <c r="N674">
        <v>2</v>
      </c>
      <c r="O674" t="s">
        <v>39</v>
      </c>
      <c r="P674">
        <v>3</v>
      </c>
      <c r="Q674" t="s">
        <v>40</v>
      </c>
      <c r="R674">
        <v>6244</v>
      </c>
      <c r="S674">
        <v>7824</v>
      </c>
      <c r="T674">
        <v>7</v>
      </c>
      <c r="U674" t="s">
        <v>41</v>
      </c>
      <c r="V674" t="s">
        <v>42</v>
      </c>
      <c r="W674">
        <v>17</v>
      </c>
      <c r="X674">
        <v>3</v>
      </c>
      <c r="Y674">
        <v>1</v>
      </c>
      <c r="Z674">
        <v>80</v>
      </c>
      <c r="AA674">
        <v>0</v>
      </c>
      <c r="AB674">
        <v>10</v>
      </c>
      <c r="AC674">
        <v>6</v>
      </c>
      <c r="AD674">
        <v>3</v>
      </c>
      <c r="AE674">
        <v>5</v>
      </c>
      <c r="AF674">
        <v>4</v>
      </c>
      <c r="AG674">
        <v>0</v>
      </c>
      <c r="AH674">
        <v>3</v>
      </c>
    </row>
    <row r="675" spans="1:34" x14ac:dyDescent="0.2">
      <c r="A675">
        <v>33</v>
      </c>
      <c r="B675" t="s">
        <v>42</v>
      </c>
      <c r="C675" t="s">
        <v>35</v>
      </c>
      <c r="D675" t="s">
        <v>44</v>
      </c>
      <c r="E675">
        <v>1</v>
      </c>
      <c r="F675">
        <v>4</v>
      </c>
      <c r="G675" t="s">
        <v>48</v>
      </c>
      <c r="H675">
        <v>1</v>
      </c>
      <c r="I675">
        <v>939</v>
      </c>
      <c r="J675">
        <v>3</v>
      </c>
      <c r="K675" t="s">
        <v>45</v>
      </c>
      <c r="L675">
        <v>100</v>
      </c>
      <c r="M675">
        <v>2</v>
      </c>
      <c r="N675">
        <v>1</v>
      </c>
      <c r="O675" t="s">
        <v>46</v>
      </c>
      <c r="P675">
        <v>1</v>
      </c>
      <c r="Q675" t="s">
        <v>40</v>
      </c>
      <c r="R675">
        <v>2799</v>
      </c>
      <c r="S675">
        <v>3339</v>
      </c>
      <c r="T675">
        <v>3</v>
      </c>
      <c r="U675" t="s">
        <v>41</v>
      </c>
      <c r="V675" t="s">
        <v>34</v>
      </c>
      <c r="W675">
        <v>11</v>
      </c>
      <c r="X675">
        <v>3</v>
      </c>
      <c r="Y675">
        <v>2</v>
      </c>
      <c r="Z675">
        <v>80</v>
      </c>
      <c r="AA675">
        <v>0</v>
      </c>
      <c r="AB675">
        <v>6</v>
      </c>
      <c r="AC675">
        <v>1</v>
      </c>
      <c r="AD675">
        <v>3</v>
      </c>
      <c r="AE675">
        <v>3</v>
      </c>
      <c r="AF675">
        <v>2</v>
      </c>
      <c r="AG675">
        <v>0</v>
      </c>
      <c r="AH675">
        <v>2</v>
      </c>
    </row>
    <row r="676" spans="1:34" x14ac:dyDescent="0.2">
      <c r="A676">
        <v>58</v>
      </c>
      <c r="B676" t="s">
        <v>42</v>
      </c>
      <c r="C676" t="s">
        <v>35</v>
      </c>
      <c r="D676" t="s">
        <v>44</v>
      </c>
      <c r="E676">
        <v>5</v>
      </c>
      <c r="F676">
        <v>3</v>
      </c>
      <c r="G676" t="s">
        <v>59</v>
      </c>
      <c r="H676">
        <v>1</v>
      </c>
      <c r="I676">
        <v>940</v>
      </c>
      <c r="J676">
        <v>3</v>
      </c>
      <c r="K676" t="s">
        <v>38</v>
      </c>
      <c r="L676">
        <v>37</v>
      </c>
      <c r="M676">
        <v>2</v>
      </c>
      <c r="N676">
        <v>3</v>
      </c>
      <c r="O676" t="s">
        <v>53</v>
      </c>
      <c r="P676">
        <v>2</v>
      </c>
      <c r="Q676" t="s">
        <v>51</v>
      </c>
      <c r="R676">
        <v>10552</v>
      </c>
      <c r="S676">
        <v>9255</v>
      </c>
      <c r="T676">
        <v>2</v>
      </c>
      <c r="U676" t="s">
        <v>41</v>
      </c>
      <c r="V676" t="s">
        <v>34</v>
      </c>
      <c r="W676">
        <v>13</v>
      </c>
      <c r="X676">
        <v>3</v>
      </c>
      <c r="Y676">
        <v>4</v>
      </c>
      <c r="Z676">
        <v>80</v>
      </c>
      <c r="AA676">
        <v>1</v>
      </c>
      <c r="AB676">
        <v>24</v>
      </c>
      <c r="AC676">
        <v>3</v>
      </c>
      <c r="AD676">
        <v>3</v>
      </c>
      <c r="AE676">
        <v>6</v>
      </c>
      <c r="AF676">
        <v>0</v>
      </c>
      <c r="AG676">
        <v>0</v>
      </c>
      <c r="AH676">
        <v>4</v>
      </c>
    </row>
    <row r="677" spans="1:34" x14ac:dyDescent="0.2">
      <c r="A677">
        <v>31</v>
      </c>
      <c r="B677" t="s">
        <v>42</v>
      </c>
      <c r="C677" t="s">
        <v>35</v>
      </c>
      <c r="D677" t="s">
        <v>36</v>
      </c>
      <c r="E677">
        <v>7</v>
      </c>
      <c r="F677">
        <v>4</v>
      </c>
      <c r="G677" t="s">
        <v>37</v>
      </c>
      <c r="H677">
        <v>1</v>
      </c>
      <c r="I677">
        <v>941</v>
      </c>
      <c r="J677">
        <v>2</v>
      </c>
      <c r="K677" t="s">
        <v>45</v>
      </c>
      <c r="L677">
        <v>41</v>
      </c>
      <c r="M677">
        <v>2</v>
      </c>
      <c r="N677">
        <v>1</v>
      </c>
      <c r="O677" t="s">
        <v>56</v>
      </c>
      <c r="P677">
        <v>3</v>
      </c>
      <c r="Q677" t="s">
        <v>47</v>
      </c>
      <c r="R677">
        <v>2329</v>
      </c>
      <c r="S677">
        <v>11737</v>
      </c>
      <c r="T677">
        <v>3</v>
      </c>
      <c r="U677" t="s">
        <v>41</v>
      </c>
      <c r="V677" t="s">
        <v>42</v>
      </c>
      <c r="W677">
        <v>15</v>
      </c>
      <c r="X677">
        <v>3</v>
      </c>
      <c r="Y677">
        <v>2</v>
      </c>
      <c r="Z677">
        <v>80</v>
      </c>
      <c r="AA677">
        <v>0</v>
      </c>
      <c r="AB677">
        <v>13</v>
      </c>
      <c r="AC677">
        <v>2</v>
      </c>
      <c r="AD677">
        <v>4</v>
      </c>
      <c r="AE677">
        <v>7</v>
      </c>
      <c r="AF677">
        <v>7</v>
      </c>
      <c r="AG677">
        <v>5</v>
      </c>
      <c r="AH677">
        <v>2</v>
      </c>
    </row>
    <row r="678" spans="1:34" x14ac:dyDescent="0.2">
      <c r="A678">
        <v>35</v>
      </c>
      <c r="B678" t="s">
        <v>42</v>
      </c>
      <c r="C678" t="s">
        <v>35</v>
      </c>
      <c r="D678" t="s">
        <v>44</v>
      </c>
      <c r="E678">
        <v>21</v>
      </c>
      <c r="F678">
        <v>1</v>
      </c>
      <c r="G678" t="s">
        <v>37</v>
      </c>
      <c r="H678">
        <v>1</v>
      </c>
      <c r="I678">
        <v>942</v>
      </c>
      <c r="J678">
        <v>4</v>
      </c>
      <c r="K678" t="s">
        <v>38</v>
      </c>
      <c r="L678">
        <v>51</v>
      </c>
      <c r="M678">
        <v>3</v>
      </c>
      <c r="N678">
        <v>2</v>
      </c>
      <c r="O678" t="s">
        <v>53</v>
      </c>
      <c r="P678">
        <v>4</v>
      </c>
      <c r="Q678" t="s">
        <v>47</v>
      </c>
      <c r="R678">
        <v>4014</v>
      </c>
      <c r="S678">
        <v>19170</v>
      </c>
      <c r="T678">
        <v>1</v>
      </c>
      <c r="U678" t="s">
        <v>41</v>
      </c>
      <c r="V678" t="s">
        <v>34</v>
      </c>
      <c r="W678">
        <v>25</v>
      </c>
      <c r="X678">
        <v>4</v>
      </c>
      <c r="Y678">
        <v>4</v>
      </c>
      <c r="Z678">
        <v>80</v>
      </c>
      <c r="AA678">
        <v>1</v>
      </c>
      <c r="AB678">
        <v>10</v>
      </c>
      <c r="AC678">
        <v>2</v>
      </c>
      <c r="AD678">
        <v>1</v>
      </c>
      <c r="AE678">
        <v>10</v>
      </c>
      <c r="AF678">
        <v>6</v>
      </c>
      <c r="AG678">
        <v>0</v>
      </c>
      <c r="AH678">
        <v>7</v>
      </c>
    </row>
    <row r="679" spans="1:34" x14ac:dyDescent="0.2">
      <c r="A679">
        <v>49</v>
      </c>
      <c r="B679" t="s">
        <v>42</v>
      </c>
      <c r="C679" t="s">
        <v>35</v>
      </c>
      <c r="D679" t="s">
        <v>44</v>
      </c>
      <c r="E679">
        <v>8</v>
      </c>
      <c r="F679">
        <v>2</v>
      </c>
      <c r="G679" t="s">
        <v>48</v>
      </c>
      <c r="H679">
        <v>1</v>
      </c>
      <c r="I679">
        <v>944</v>
      </c>
      <c r="J679">
        <v>1</v>
      </c>
      <c r="K679" t="s">
        <v>38</v>
      </c>
      <c r="L679">
        <v>51</v>
      </c>
      <c r="M679">
        <v>3</v>
      </c>
      <c r="N679">
        <v>3</v>
      </c>
      <c r="O679" t="s">
        <v>49</v>
      </c>
      <c r="P679">
        <v>2</v>
      </c>
      <c r="Q679" t="s">
        <v>47</v>
      </c>
      <c r="R679">
        <v>7403</v>
      </c>
      <c r="S679">
        <v>22477</v>
      </c>
      <c r="T679">
        <v>4</v>
      </c>
      <c r="U679" t="s">
        <v>41</v>
      </c>
      <c r="V679" t="s">
        <v>42</v>
      </c>
      <c r="W679">
        <v>11</v>
      </c>
      <c r="X679">
        <v>3</v>
      </c>
      <c r="Y679">
        <v>3</v>
      </c>
      <c r="Z679">
        <v>80</v>
      </c>
      <c r="AA679">
        <v>1</v>
      </c>
      <c r="AB679">
        <v>29</v>
      </c>
      <c r="AC679">
        <v>3</v>
      </c>
      <c r="AD679">
        <v>2</v>
      </c>
      <c r="AE679">
        <v>26</v>
      </c>
      <c r="AF679">
        <v>9</v>
      </c>
      <c r="AG679">
        <v>1</v>
      </c>
      <c r="AH679">
        <v>7</v>
      </c>
    </row>
    <row r="680" spans="1:34" x14ac:dyDescent="0.2">
      <c r="A680">
        <v>48</v>
      </c>
      <c r="B680" t="s">
        <v>42</v>
      </c>
      <c r="C680" t="s">
        <v>35</v>
      </c>
      <c r="D680" t="s">
        <v>44</v>
      </c>
      <c r="E680">
        <v>20</v>
      </c>
      <c r="F680">
        <v>4</v>
      </c>
      <c r="G680" t="s">
        <v>50</v>
      </c>
      <c r="H680">
        <v>1</v>
      </c>
      <c r="I680">
        <v>945</v>
      </c>
      <c r="J680">
        <v>4</v>
      </c>
      <c r="K680" t="s">
        <v>45</v>
      </c>
      <c r="L680">
        <v>51</v>
      </c>
      <c r="M680">
        <v>3</v>
      </c>
      <c r="N680">
        <v>1</v>
      </c>
      <c r="O680" t="s">
        <v>46</v>
      </c>
      <c r="P680">
        <v>3</v>
      </c>
      <c r="Q680" t="s">
        <v>47</v>
      </c>
      <c r="R680">
        <v>2259</v>
      </c>
      <c r="S680">
        <v>5543</v>
      </c>
      <c r="T680">
        <v>4</v>
      </c>
      <c r="U680" t="s">
        <v>41</v>
      </c>
      <c r="V680" t="s">
        <v>42</v>
      </c>
      <c r="W680">
        <v>17</v>
      </c>
      <c r="X680">
        <v>3</v>
      </c>
      <c r="Y680">
        <v>1</v>
      </c>
      <c r="Z680">
        <v>80</v>
      </c>
      <c r="AA680">
        <v>2</v>
      </c>
      <c r="AB680">
        <v>13</v>
      </c>
      <c r="AC680">
        <v>2</v>
      </c>
      <c r="AD680">
        <v>2</v>
      </c>
      <c r="AE680">
        <v>0</v>
      </c>
      <c r="AF680">
        <v>0</v>
      </c>
      <c r="AG680">
        <v>0</v>
      </c>
      <c r="AH680">
        <v>0</v>
      </c>
    </row>
    <row r="681" spans="1:34" x14ac:dyDescent="0.2">
      <c r="A681">
        <v>31</v>
      </c>
      <c r="B681" t="s">
        <v>42</v>
      </c>
      <c r="C681" t="s">
        <v>54</v>
      </c>
      <c r="D681" t="s">
        <v>36</v>
      </c>
      <c r="E681">
        <v>20</v>
      </c>
      <c r="F681">
        <v>2</v>
      </c>
      <c r="G681" t="s">
        <v>58</v>
      </c>
      <c r="H681">
        <v>1</v>
      </c>
      <c r="I681">
        <v>947</v>
      </c>
      <c r="J681">
        <v>4</v>
      </c>
      <c r="K681" t="s">
        <v>38</v>
      </c>
      <c r="L681">
        <v>45</v>
      </c>
      <c r="M681">
        <v>3</v>
      </c>
      <c r="N681">
        <v>2</v>
      </c>
      <c r="O681" t="s">
        <v>39</v>
      </c>
      <c r="P681">
        <v>3</v>
      </c>
      <c r="Q681" t="s">
        <v>47</v>
      </c>
      <c r="R681">
        <v>6932</v>
      </c>
      <c r="S681">
        <v>24406</v>
      </c>
      <c r="T681">
        <v>1</v>
      </c>
      <c r="U681" t="s">
        <v>41</v>
      </c>
      <c r="V681" t="s">
        <v>42</v>
      </c>
      <c r="W681">
        <v>13</v>
      </c>
      <c r="X681">
        <v>3</v>
      </c>
      <c r="Y681">
        <v>4</v>
      </c>
      <c r="Z681">
        <v>80</v>
      </c>
      <c r="AA681">
        <v>1</v>
      </c>
      <c r="AB681">
        <v>9</v>
      </c>
      <c r="AC681">
        <v>2</v>
      </c>
      <c r="AD681">
        <v>2</v>
      </c>
      <c r="AE681">
        <v>9</v>
      </c>
      <c r="AF681">
        <v>8</v>
      </c>
      <c r="AG681">
        <v>0</v>
      </c>
      <c r="AH681">
        <v>0</v>
      </c>
    </row>
    <row r="682" spans="1:34" x14ac:dyDescent="0.2">
      <c r="A682">
        <v>36</v>
      </c>
      <c r="B682" t="s">
        <v>42</v>
      </c>
      <c r="C682" t="s">
        <v>35</v>
      </c>
      <c r="D682" t="s">
        <v>44</v>
      </c>
      <c r="E682">
        <v>7</v>
      </c>
      <c r="F682">
        <v>4</v>
      </c>
      <c r="G682" t="s">
        <v>48</v>
      </c>
      <c r="H682">
        <v>1</v>
      </c>
      <c r="I682">
        <v>949</v>
      </c>
      <c r="J682">
        <v>2</v>
      </c>
      <c r="K682" t="s">
        <v>45</v>
      </c>
      <c r="L682">
        <v>65</v>
      </c>
      <c r="M682">
        <v>3</v>
      </c>
      <c r="N682">
        <v>1</v>
      </c>
      <c r="O682" t="s">
        <v>46</v>
      </c>
      <c r="P682">
        <v>4</v>
      </c>
      <c r="Q682" t="s">
        <v>40</v>
      </c>
      <c r="R682">
        <v>4678</v>
      </c>
      <c r="S682">
        <v>23293</v>
      </c>
      <c r="T682">
        <v>2</v>
      </c>
      <c r="U682" t="s">
        <v>41</v>
      </c>
      <c r="V682" t="s">
        <v>42</v>
      </c>
      <c r="W682">
        <v>18</v>
      </c>
      <c r="X682">
        <v>3</v>
      </c>
      <c r="Y682">
        <v>3</v>
      </c>
      <c r="Z682">
        <v>80</v>
      </c>
      <c r="AA682">
        <v>0</v>
      </c>
      <c r="AB682">
        <v>8</v>
      </c>
      <c r="AC682">
        <v>6</v>
      </c>
      <c r="AD682">
        <v>3</v>
      </c>
      <c r="AE682">
        <v>6</v>
      </c>
      <c r="AF682">
        <v>2</v>
      </c>
      <c r="AG682">
        <v>0</v>
      </c>
      <c r="AH682">
        <v>1</v>
      </c>
    </row>
    <row r="683" spans="1:34" x14ac:dyDescent="0.2">
      <c r="A683">
        <v>38</v>
      </c>
      <c r="B683" t="s">
        <v>42</v>
      </c>
      <c r="C683" t="s">
        <v>35</v>
      </c>
      <c r="D683" t="s">
        <v>44</v>
      </c>
      <c r="E683">
        <v>1</v>
      </c>
      <c r="F683">
        <v>3</v>
      </c>
      <c r="G683" t="s">
        <v>59</v>
      </c>
      <c r="H683">
        <v>1</v>
      </c>
      <c r="I683">
        <v>950</v>
      </c>
      <c r="J683">
        <v>4</v>
      </c>
      <c r="K683" t="s">
        <v>38</v>
      </c>
      <c r="L683">
        <v>80</v>
      </c>
      <c r="M683">
        <v>3</v>
      </c>
      <c r="N683">
        <v>3</v>
      </c>
      <c r="O683" t="s">
        <v>57</v>
      </c>
      <c r="P683">
        <v>1</v>
      </c>
      <c r="Q683" t="s">
        <v>47</v>
      </c>
      <c r="R683">
        <v>13582</v>
      </c>
      <c r="S683">
        <v>16292</v>
      </c>
      <c r="T683">
        <v>1</v>
      </c>
      <c r="U683" t="s">
        <v>41</v>
      </c>
      <c r="V683" t="s">
        <v>42</v>
      </c>
      <c r="W683">
        <v>13</v>
      </c>
      <c r="X683">
        <v>3</v>
      </c>
      <c r="Y683">
        <v>2</v>
      </c>
      <c r="Z683">
        <v>80</v>
      </c>
      <c r="AA683">
        <v>1</v>
      </c>
      <c r="AB683">
        <v>15</v>
      </c>
      <c r="AC683">
        <v>3</v>
      </c>
      <c r="AD683">
        <v>3</v>
      </c>
      <c r="AE683">
        <v>15</v>
      </c>
      <c r="AF683">
        <v>12</v>
      </c>
      <c r="AG683">
        <v>5</v>
      </c>
      <c r="AH683">
        <v>11</v>
      </c>
    </row>
    <row r="684" spans="1:34" x14ac:dyDescent="0.2">
      <c r="A684">
        <v>32</v>
      </c>
      <c r="B684" t="s">
        <v>42</v>
      </c>
      <c r="C684" t="s">
        <v>54</v>
      </c>
      <c r="D684" t="s">
        <v>44</v>
      </c>
      <c r="E684">
        <v>1</v>
      </c>
      <c r="F684">
        <v>3</v>
      </c>
      <c r="G684" t="s">
        <v>37</v>
      </c>
      <c r="H684">
        <v>1</v>
      </c>
      <c r="I684">
        <v>951</v>
      </c>
      <c r="J684">
        <v>3</v>
      </c>
      <c r="K684" t="s">
        <v>38</v>
      </c>
      <c r="L684">
        <v>70</v>
      </c>
      <c r="M684">
        <v>2</v>
      </c>
      <c r="N684">
        <v>1</v>
      </c>
      <c r="O684" t="s">
        <v>49</v>
      </c>
      <c r="P684">
        <v>2</v>
      </c>
      <c r="Q684" t="s">
        <v>47</v>
      </c>
      <c r="R684">
        <v>2332</v>
      </c>
      <c r="S684">
        <v>3974</v>
      </c>
      <c r="T684">
        <v>6</v>
      </c>
      <c r="U684" t="s">
        <v>41</v>
      </c>
      <c r="V684" t="s">
        <v>42</v>
      </c>
      <c r="W684">
        <v>20</v>
      </c>
      <c r="X684">
        <v>4</v>
      </c>
      <c r="Y684">
        <v>3</v>
      </c>
      <c r="Z684">
        <v>80</v>
      </c>
      <c r="AA684">
        <v>0</v>
      </c>
      <c r="AB684">
        <v>5</v>
      </c>
      <c r="AC684">
        <v>3</v>
      </c>
      <c r="AD684">
        <v>3</v>
      </c>
      <c r="AE684">
        <v>3</v>
      </c>
      <c r="AF684">
        <v>0</v>
      </c>
      <c r="AG684">
        <v>0</v>
      </c>
      <c r="AH684">
        <v>2</v>
      </c>
    </row>
    <row r="685" spans="1:34" x14ac:dyDescent="0.2">
      <c r="A685">
        <v>25</v>
      </c>
      <c r="B685" t="s">
        <v>34</v>
      </c>
      <c r="C685" t="s">
        <v>35</v>
      </c>
      <c r="D685" t="s">
        <v>36</v>
      </c>
      <c r="E685">
        <v>19</v>
      </c>
      <c r="F685">
        <v>2</v>
      </c>
      <c r="G685" t="s">
        <v>58</v>
      </c>
      <c r="H685">
        <v>1</v>
      </c>
      <c r="I685">
        <v>952</v>
      </c>
      <c r="J685">
        <v>3</v>
      </c>
      <c r="K685" t="s">
        <v>45</v>
      </c>
      <c r="L685">
        <v>36</v>
      </c>
      <c r="M685">
        <v>2</v>
      </c>
      <c r="N685">
        <v>1</v>
      </c>
      <c r="O685" t="s">
        <v>56</v>
      </c>
      <c r="P685">
        <v>2</v>
      </c>
      <c r="Q685" t="s">
        <v>47</v>
      </c>
      <c r="R685">
        <v>2413</v>
      </c>
      <c r="S685">
        <v>18798</v>
      </c>
      <c r="T685">
        <v>1</v>
      </c>
      <c r="U685" t="s">
        <v>41</v>
      </c>
      <c r="V685" t="s">
        <v>34</v>
      </c>
      <c r="W685">
        <v>18</v>
      </c>
      <c r="X685">
        <v>3</v>
      </c>
      <c r="Y685">
        <v>3</v>
      </c>
      <c r="Z685">
        <v>80</v>
      </c>
      <c r="AA685">
        <v>3</v>
      </c>
      <c r="AB685">
        <v>1</v>
      </c>
      <c r="AC685">
        <v>2</v>
      </c>
      <c r="AD685">
        <v>3</v>
      </c>
      <c r="AE685">
        <v>1</v>
      </c>
      <c r="AF685">
        <v>0</v>
      </c>
      <c r="AG685">
        <v>0</v>
      </c>
      <c r="AH685">
        <v>0</v>
      </c>
    </row>
    <row r="686" spans="1:34" x14ac:dyDescent="0.2">
      <c r="A686">
        <v>40</v>
      </c>
      <c r="B686" t="s">
        <v>42</v>
      </c>
      <c r="C686" t="s">
        <v>35</v>
      </c>
      <c r="D686" t="s">
        <v>36</v>
      </c>
      <c r="E686">
        <v>10</v>
      </c>
      <c r="F686">
        <v>4</v>
      </c>
      <c r="G686" t="s">
        <v>58</v>
      </c>
      <c r="H686">
        <v>1</v>
      </c>
      <c r="I686">
        <v>954</v>
      </c>
      <c r="J686">
        <v>1</v>
      </c>
      <c r="K686" t="s">
        <v>45</v>
      </c>
      <c r="L686">
        <v>67</v>
      </c>
      <c r="M686">
        <v>2</v>
      </c>
      <c r="N686">
        <v>3</v>
      </c>
      <c r="O686" t="s">
        <v>39</v>
      </c>
      <c r="P686">
        <v>2</v>
      </c>
      <c r="Q686" t="s">
        <v>51</v>
      </c>
      <c r="R686">
        <v>9705</v>
      </c>
      <c r="S686">
        <v>20652</v>
      </c>
      <c r="T686">
        <v>2</v>
      </c>
      <c r="U686" t="s">
        <v>41</v>
      </c>
      <c r="V686" t="s">
        <v>42</v>
      </c>
      <c r="W686">
        <v>12</v>
      </c>
      <c r="X686">
        <v>3</v>
      </c>
      <c r="Y686">
        <v>2</v>
      </c>
      <c r="Z686">
        <v>80</v>
      </c>
      <c r="AA686">
        <v>1</v>
      </c>
      <c r="AB686">
        <v>11</v>
      </c>
      <c r="AC686">
        <v>2</v>
      </c>
      <c r="AD686">
        <v>2</v>
      </c>
      <c r="AE686">
        <v>1</v>
      </c>
      <c r="AF686">
        <v>0</v>
      </c>
      <c r="AG686">
        <v>0</v>
      </c>
      <c r="AH686">
        <v>0</v>
      </c>
    </row>
    <row r="687" spans="1:34" x14ac:dyDescent="0.2">
      <c r="A687">
        <v>26</v>
      </c>
      <c r="B687" t="s">
        <v>42</v>
      </c>
      <c r="C687" t="s">
        <v>43</v>
      </c>
      <c r="D687" t="s">
        <v>36</v>
      </c>
      <c r="E687">
        <v>1</v>
      </c>
      <c r="F687">
        <v>3</v>
      </c>
      <c r="G687" t="s">
        <v>50</v>
      </c>
      <c r="H687">
        <v>1</v>
      </c>
      <c r="I687">
        <v>956</v>
      </c>
      <c r="J687">
        <v>3</v>
      </c>
      <c r="K687" t="s">
        <v>45</v>
      </c>
      <c r="L687">
        <v>52</v>
      </c>
      <c r="M687">
        <v>2</v>
      </c>
      <c r="N687">
        <v>2</v>
      </c>
      <c r="O687" t="s">
        <v>39</v>
      </c>
      <c r="P687">
        <v>1</v>
      </c>
      <c r="Q687" t="s">
        <v>40</v>
      </c>
      <c r="R687">
        <v>4294</v>
      </c>
      <c r="S687">
        <v>11148</v>
      </c>
      <c r="T687">
        <v>1</v>
      </c>
      <c r="U687" t="s">
        <v>41</v>
      </c>
      <c r="V687" t="s">
        <v>42</v>
      </c>
      <c r="W687">
        <v>12</v>
      </c>
      <c r="X687">
        <v>3</v>
      </c>
      <c r="Y687">
        <v>2</v>
      </c>
      <c r="Z687">
        <v>80</v>
      </c>
      <c r="AA687">
        <v>0</v>
      </c>
      <c r="AB687">
        <v>7</v>
      </c>
      <c r="AC687">
        <v>2</v>
      </c>
      <c r="AD687">
        <v>3</v>
      </c>
      <c r="AE687">
        <v>7</v>
      </c>
      <c r="AF687">
        <v>7</v>
      </c>
      <c r="AG687">
        <v>0</v>
      </c>
      <c r="AH687">
        <v>7</v>
      </c>
    </row>
    <row r="688" spans="1:34" x14ac:dyDescent="0.2">
      <c r="A688">
        <v>41</v>
      </c>
      <c r="B688" t="s">
        <v>42</v>
      </c>
      <c r="C688" t="s">
        <v>35</v>
      </c>
      <c r="D688" t="s">
        <v>44</v>
      </c>
      <c r="E688">
        <v>6</v>
      </c>
      <c r="F688">
        <v>3</v>
      </c>
      <c r="G688" t="s">
        <v>50</v>
      </c>
      <c r="H688">
        <v>1</v>
      </c>
      <c r="I688">
        <v>957</v>
      </c>
      <c r="J688">
        <v>4</v>
      </c>
      <c r="K688" t="s">
        <v>45</v>
      </c>
      <c r="L688">
        <v>59</v>
      </c>
      <c r="M688">
        <v>3</v>
      </c>
      <c r="N688">
        <v>1</v>
      </c>
      <c r="O688" t="s">
        <v>49</v>
      </c>
      <c r="P688">
        <v>1</v>
      </c>
      <c r="Q688" t="s">
        <v>40</v>
      </c>
      <c r="R688">
        <v>4721</v>
      </c>
      <c r="S688">
        <v>3119</v>
      </c>
      <c r="T688">
        <v>2</v>
      </c>
      <c r="U688" t="s">
        <v>41</v>
      </c>
      <c r="V688" t="s">
        <v>34</v>
      </c>
      <c r="W688">
        <v>13</v>
      </c>
      <c r="X688">
        <v>3</v>
      </c>
      <c r="Y688">
        <v>3</v>
      </c>
      <c r="Z688">
        <v>80</v>
      </c>
      <c r="AA688">
        <v>0</v>
      </c>
      <c r="AB688">
        <v>20</v>
      </c>
      <c r="AC688">
        <v>3</v>
      </c>
      <c r="AD688">
        <v>3</v>
      </c>
      <c r="AE688">
        <v>18</v>
      </c>
      <c r="AF688">
        <v>13</v>
      </c>
      <c r="AG688">
        <v>2</v>
      </c>
      <c r="AH688">
        <v>17</v>
      </c>
    </row>
    <row r="689" spans="1:34" x14ac:dyDescent="0.2">
      <c r="A689">
        <v>36</v>
      </c>
      <c r="B689" t="s">
        <v>42</v>
      </c>
      <c r="C689" t="s">
        <v>35</v>
      </c>
      <c r="D689" t="s">
        <v>44</v>
      </c>
      <c r="E689">
        <v>2</v>
      </c>
      <c r="F689">
        <v>4</v>
      </c>
      <c r="G689" t="s">
        <v>50</v>
      </c>
      <c r="H689">
        <v>1</v>
      </c>
      <c r="I689">
        <v>958</v>
      </c>
      <c r="J689">
        <v>3</v>
      </c>
      <c r="K689" t="s">
        <v>45</v>
      </c>
      <c r="L689">
        <v>79</v>
      </c>
      <c r="M689">
        <v>3</v>
      </c>
      <c r="N689">
        <v>1</v>
      </c>
      <c r="O689" t="s">
        <v>49</v>
      </c>
      <c r="P689">
        <v>3</v>
      </c>
      <c r="Q689" t="s">
        <v>40</v>
      </c>
      <c r="R689">
        <v>2519</v>
      </c>
      <c r="S689">
        <v>12287</v>
      </c>
      <c r="T689">
        <v>4</v>
      </c>
      <c r="U689" t="s">
        <v>41</v>
      </c>
      <c r="V689" t="s">
        <v>42</v>
      </c>
      <c r="W689">
        <v>21</v>
      </c>
      <c r="X689">
        <v>4</v>
      </c>
      <c r="Y689">
        <v>3</v>
      </c>
      <c r="Z689">
        <v>80</v>
      </c>
      <c r="AA689">
        <v>0</v>
      </c>
      <c r="AB689">
        <v>16</v>
      </c>
      <c r="AC689">
        <v>6</v>
      </c>
      <c r="AD689">
        <v>3</v>
      </c>
      <c r="AE689">
        <v>11</v>
      </c>
      <c r="AF689">
        <v>8</v>
      </c>
      <c r="AG689">
        <v>3</v>
      </c>
      <c r="AH689">
        <v>9</v>
      </c>
    </row>
    <row r="690" spans="1:34" x14ac:dyDescent="0.2">
      <c r="A690">
        <v>19</v>
      </c>
      <c r="B690" t="s">
        <v>34</v>
      </c>
      <c r="C690" t="s">
        <v>35</v>
      </c>
      <c r="D690" t="s">
        <v>36</v>
      </c>
      <c r="E690">
        <v>21</v>
      </c>
      <c r="F690">
        <v>3</v>
      </c>
      <c r="G690" t="s">
        <v>48</v>
      </c>
      <c r="H690">
        <v>1</v>
      </c>
      <c r="I690">
        <v>959</v>
      </c>
      <c r="J690">
        <v>4</v>
      </c>
      <c r="K690" t="s">
        <v>45</v>
      </c>
      <c r="L690">
        <v>37</v>
      </c>
      <c r="M690">
        <v>2</v>
      </c>
      <c r="N690">
        <v>1</v>
      </c>
      <c r="O690" t="s">
        <v>56</v>
      </c>
      <c r="P690">
        <v>2</v>
      </c>
      <c r="Q690" t="s">
        <v>40</v>
      </c>
      <c r="R690">
        <v>2121</v>
      </c>
      <c r="S690">
        <v>9947</v>
      </c>
      <c r="T690">
        <v>1</v>
      </c>
      <c r="U690" t="s">
        <v>41</v>
      </c>
      <c r="V690" t="s">
        <v>34</v>
      </c>
      <c r="W690">
        <v>13</v>
      </c>
      <c r="X690">
        <v>3</v>
      </c>
      <c r="Y690">
        <v>2</v>
      </c>
      <c r="Z690">
        <v>80</v>
      </c>
      <c r="AA690">
        <v>0</v>
      </c>
      <c r="AB690">
        <v>1</v>
      </c>
      <c r="AC690">
        <v>3</v>
      </c>
      <c r="AD690">
        <v>4</v>
      </c>
      <c r="AE690">
        <v>1</v>
      </c>
      <c r="AF690">
        <v>0</v>
      </c>
      <c r="AG690">
        <v>0</v>
      </c>
      <c r="AH690">
        <v>0</v>
      </c>
    </row>
    <row r="691" spans="1:34" x14ac:dyDescent="0.2">
      <c r="A691">
        <v>20</v>
      </c>
      <c r="B691" t="s">
        <v>34</v>
      </c>
      <c r="C691" t="s">
        <v>35</v>
      </c>
      <c r="D691" t="s">
        <v>44</v>
      </c>
      <c r="E691">
        <v>4</v>
      </c>
      <c r="F691">
        <v>3</v>
      </c>
      <c r="G691" t="s">
        <v>59</v>
      </c>
      <c r="H691">
        <v>1</v>
      </c>
      <c r="I691">
        <v>960</v>
      </c>
      <c r="J691">
        <v>1</v>
      </c>
      <c r="K691" t="s">
        <v>45</v>
      </c>
      <c r="L691">
        <v>84</v>
      </c>
      <c r="M691">
        <v>3</v>
      </c>
      <c r="N691">
        <v>1</v>
      </c>
      <c r="O691" t="s">
        <v>49</v>
      </c>
      <c r="P691">
        <v>1</v>
      </c>
      <c r="Q691" t="s">
        <v>40</v>
      </c>
      <c r="R691">
        <v>2973</v>
      </c>
      <c r="S691">
        <v>13008</v>
      </c>
      <c r="T691">
        <v>1</v>
      </c>
      <c r="U691" t="s">
        <v>41</v>
      </c>
      <c r="V691" t="s">
        <v>42</v>
      </c>
      <c r="W691">
        <v>19</v>
      </c>
      <c r="X691">
        <v>3</v>
      </c>
      <c r="Y691">
        <v>2</v>
      </c>
      <c r="Z691">
        <v>80</v>
      </c>
      <c r="AA691">
        <v>0</v>
      </c>
      <c r="AB691">
        <v>1</v>
      </c>
      <c r="AC691">
        <v>2</v>
      </c>
      <c r="AD691">
        <v>3</v>
      </c>
      <c r="AE691">
        <v>1</v>
      </c>
      <c r="AF691">
        <v>0</v>
      </c>
      <c r="AG691">
        <v>0</v>
      </c>
      <c r="AH691">
        <v>0</v>
      </c>
    </row>
    <row r="692" spans="1:34" x14ac:dyDescent="0.2">
      <c r="A692">
        <v>31</v>
      </c>
      <c r="B692" t="s">
        <v>42</v>
      </c>
      <c r="C692" t="s">
        <v>35</v>
      </c>
      <c r="D692" t="s">
        <v>44</v>
      </c>
      <c r="E692">
        <v>12</v>
      </c>
      <c r="F692">
        <v>3</v>
      </c>
      <c r="G692" t="s">
        <v>50</v>
      </c>
      <c r="H692">
        <v>1</v>
      </c>
      <c r="I692">
        <v>961</v>
      </c>
      <c r="J692">
        <v>4</v>
      </c>
      <c r="K692" t="s">
        <v>38</v>
      </c>
      <c r="L692">
        <v>41</v>
      </c>
      <c r="M692">
        <v>3</v>
      </c>
      <c r="N692">
        <v>2</v>
      </c>
      <c r="O692" t="s">
        <v>53</v>
      </c>
      <c r="P692">
        <v>4</v>
      </c>
      <c r="Q692" t="s">
        <v>47</v>
      </c>
      <c r="R692">
        <v>5855</v>
      </c>
      <c r="S692">
        <v>17369</v>
      </c>
      <c r="T692">
        <v>0</v>
      </c>
      <c r="U692" t="s">
        <v>41</v>
      </c>
      <c r="V692" t="s">
        <v>34</v>
      </c>
      <c r="W692">
        <v>11</v>
      </c>
      <c r="X692">
        <v>3</v>
      </c>
      <c r="Y692">
        <v>3</v>
      </c>
      <c r="Z692">
        <v>80</v>
      </c>
      <c r="AA692">
        <v>2</v>
      </c>
      <c r="AB692">
        <v>10</v>
      </c>
      <c r="AC692">
        <v>2</v>
      </c>
      <c r="AD692">
        <v>1</v>
      </c>
      <c r="AE692">
        <v>9</v>
      </c>
      <c r="AF692">
        <v>7</v>
      </c>
      <c r="AG692">
        <v>8</v>
      </c>
      <c r="AH692">
        <v>5</v>
      </c>
    </row>
    <row r="693" spans="1:34" x14ac:dyDescent="0.2">
      <c r="A693">
        <v>40</v>
      </c>
      <c r="B693" t="s">
        <v>42</v>
      </c>
      <c r="C693" t="s">
        <v>43</v>
      </c>
      <c r="D693" t="s">
        <v>44</v>
      </c>
      <c r="E693">
        <v>9</v>
      </c>
      <c r="F693">
        <v>4</v>
      </c>
      <c r="G693" t="s">
        <v>50</v>
      </c>
      <c r="H693">
        <v>1</v>
      </c>
      <c r="I693">
        <v>964</v>
      </c>
      <c r="J693">
        <v>4</v>
      </c>
      <c r="K693" t="s">
        <v>45</v>
      </c>
      <c r="L693">
        <v>35</v>
      </c>
      <c r="M693">
        <v>3</v>
      </c>
      <c r="N693">
        <v>1</v>
      </c>
      <c r="O693" t="s">
        <v>46</v>
      </c>
      <c r="P693">
        <v>2</v>
      </c>
      <c r="Q693" t="s">
        <v>51</v>
      </c>
      <c r="R693">
        <v>3617</v>
      </c>
      <c r="S693">
        <v>25063</v>
      </c>
      <c r="T693">
        <v>8</v>
      </c>
      <c r="U693" t="s">
        <v>41</v>
      </c>
      <c r="V693" t="s">
        <v>34</v>
      </c>
      <c r="W693">
        <v>14</v>
      </c>
      <c r="X693">
        <v>3</v>
      </c>
      <c r="Y693">
        <v>4</v>
      </c>
      <c r="Z693">
        <v>80</v>
      </c>
      <c r="AA693">
        <v>1</v>
      </c>
      <c r="AB693">
        <v>3</v>
      </c>
      <c r="AC693">
        <v>2</v>
      </c>
      <c r="AD693">
        <v>3</v>
      </c>
      <c r="AE693">
        <v>1</v>
      </c>
      <c r="AF693">
        <v>1</v>
      </c>
      <c r="AG693">
        <v>0</v>
      </c>
      <c r="AH693">
        <v>0</v>
      </c>
    </row>
    <row r="694" spans="1:34" x14ac:dyDescent="0.2">
      <c r="A694">
        <v>32</v>
      </c>
      <c r="B694" t="s">
        <v>42</v>
      </c>
      <c r="C694" t="s">
        <v>35</v>
      </c>
      <c r="D694" t="s">
        <v>44</v>
      </c>
      <c r="E694">
        <v>3</v>
      </c>
      <c r="F694">
        <v>4</v>
      </c>
      <c r="G694" t="s">
        <v>50</v>
      </c>
      <c r="H694">
        <v>1</v>
      </c>
      <c r="I694">
        <v>966</v>
      </c>
      <c r="J694">
        <v>3</v>
      </c>
      <c r="K694" t="s">
        <v>38</v>
      </c>
      <c r="L694">
        <v>93</v>
      </c>
      <c r="M694">
        <v>3</v>
      </c>
      <c r="N694">
        <v>2</v>
      </c>
      <c r="O694" t="s">
        <v>52</v>
      </c>
      <c r="P694">
        <v>1</v>
      </c>
      <c r="Q694" t="s">
        <v>47</v>
      </c>
      <c r="R694">
        <v>6725</v>
      </c>
      <c r="S694">
        <v>13554</v>
      </c>
      <c r="T694">
        <v>1</v>
      </c>
      <c r="U694" t="s">
        <v>41</v>
      </c>
      <c r="V694" t="s">
        <v>42</v>
      </c>
      <c r="W694">
        <v>12</v>
      </c>
      <c r="X694">
        <v>3</v>
      </c>
      <c r="Y694">
        <v>3</v>
      </c>
      <c r="Z694">
        <v>80</v>
      </c>
      <c r="AA694">
        <v>1</v>
      </c>
      <c r="AB694">
        <v>8</v>
      </c>
      <c r="AC694">
        <v>2</v>
      </c>
      <c r="AD694">
        <v>4</v>
      </c>
      <c r="AE694">
        <v>8</v>
      </c>
      <c r="AF694">
        <v>7</v>
      </c>
      <c r="AG694">
        <v>6</v>
      </c>
      <c r="AH694">
        <v>3</v>
      </c>
    </row>
    <row r="695" spans="1:34" x14ac:dyDescent="0.2">
      <c r="A695">
        <v>36</v>
      </c>
      <c r="B695" t="s">
        <v>34</v>
      </c>
      <c r="C695" t="s">
        <v>35</v>
      </c>
      <c r="D695" t="s">
        <v>36</v>
      </c>
      <c r="E695">
        <v>3</v>
      </c>
      <c r="F695">
        <v>1</v>
      </c>
      <c r="G695" t="s">
        <v>37</v>
      </c>
      <c r="H695">
        <v>1</v>
      </c>
      <c r="I695">
        <v>967</v>
      </c>
      <c r="J695">
        <v>3</v>
      </c>
      <c r="K695" t="s">
        <v>45</v>
      </c>
      <c r="L695">
        <v>51</v>
      </c>
      <c r="M695">
        <v>2</v>
      </c>
      <c r="N695">
        <v>3</v>
      </c>
      <c r="O695" t="s">
        <v>39</v>
      </c>
      <c r="P695">
        <v>4</v>
      </c>
      <c r="Q695" t="s">
        <v>47</v>
      </c>
      <c r="R695">
        <v>10325</v>
      </c>
      <c r="S695">
        <v>5518</v>
      </c>
      <c r="T695">
        <v>1</v>
      </c>
      <c r="U695" t="s">
        <v>41</v>
      </c>
      <c r="V695" t="s">
        <v>34</v>
      </c>
      <c r="W695">
        <v>11</v>
      </c>
      <c r="X695">
        <v>3</v>
      </c>
      <c r="Y695">
        <v>1</v>
      </c>
      <c r="Z695">
        <v>80</v>
      </c>
      <c r="AA695">
        <v>1</v>
      </c>
      <c r="AB695">
        <v>16</v>
      </c>
      <c r="AC695">
        <v>6</v>
      </c>
      <c r="AD695">
        <v>3</v>
      </c>
      <c r="AE695">
        <v>16</v>
      </c>
      <c r="AF695">
        <v>7</v>
      </c>
      <c r="AG695">
        <v>3</v>
      </c>
      <c r="AH695">
        <v>7</v>
      </c>
    </row>
    <row r="696" spans="1:34" x14ac:dyDescent="0.2">
      <c r="A696">
        <v>33</v>
      </c>
      <c r="B696" t="s">
        <v>42</v>
      </c>
      <c r="C696" t="s">
        <v>35</v>
      </c>
      <c r="D696" t="s">
        <v>44</v>
      </c>
      <c r="E696">
        <v>1</v>
      </c>
      <c r="F696">
        <v>3</v>
      </c>
      <c r="G696" t="s">
        <v>37</v>
      </c>
      <c r="H696">
        <v>1</v>
      </c>
      <c r="I696">
        <v>969</v>
      </c>
      <c r="J696">
        <v>2</v>
      </c>
      <c r="K696" t="s">
        <v>38</v>
      </c>
      <c r="L696">
        <v>42</v>
      </c>
      <c r="M696">
        <v>2</v>
      </c>
      <c r="N696">
        <v>2</v>
      </c>
      <c r="O696" t="s">
        <v>53</v>
      </c>
      <c r="P696">
        <v>4</v>
      </c>
      <c r="Q696" t="s">
        <v>40</v>
      </c>
      <c r="R696">
        <v>6949</v>
      </c>
      <c r="S696">
        <v>12291</v>
      </c>
      <c r="T696">
        <v>0</v>
      </c>
      <c r="U696" t="s">
        <v>41</v>
      </c>
      <c r="V696" t="s">
        <v>42</v>
      </c>
      <c r="W696">
        <v>14</v>
      </c>
      <c r="X696">
        <v>3</v>
      </c>
      <c r="Y696">
        <v>1</v>
      </c>
      <c r="Z696">
        <v>80</v>
      </c>
      <c r="AA696">
        <v>0</v>
      </c>
      <c r="AB696">
        <v>6</v>
      </c>
      <c r="AC696">
        <v>3</v>
      </c>
      <c r="AD696">
        <v>3</v>
      </c>
      <c r="AE696">
        <v>5</v>
      </c>
      <c r="AF696">
        <v>0</v>
      </c>
      <c r="AG696">
        <v>1</v>
      </c>
      <c r="AH696">
        <v>4</v>
      </c>
    </row>
    <row r="697" spans="1:34" x14ac:dyDescent="0.2">
      <c r="A697">
        <v>37</v>
      </c>
      <c r="B697" t="s">
        <v>34</v>
      </c>
      <c r="C697" t="s">
        <v>35</v>
      </c>
      <c r="D697" t="s">
        <v>36</v>
      </c>
      <c r="E697">
        <v>1</v>
      </c>
      <c r="F697">
        <v>4</v>
      </c>
      <c r="G697" t="s">
        <v>37</v>
      </c>
      <c r="H697">
        <v>1</v>
      </c>
      <c r="I697">
        <v>970</v>
      </c>
      <c r="J697">
        <v>1</v>
      </c>
      <c r="K697" t="s">
        <v>45</v>
      </c>
      <c r="L697">
        <v>46</v>
      </c>
      <c r="M697">
        <v>2</v>
      </c>
      <c r="N697">
        <v>3</v>
      </c>
      <c r="O697" t="s">
        <v>39</v>
      </c>
      <c r="P697">
        <v>3</v>
      </c>
      <c r="Q697" t="s">
        <v>47</v>
      </c>
      <c r="R697">
        <v>10609</v>
      </c>
      <c r="S697">
        <v>14922</v>
      </c>
      <c r="T697">
        <v>5</v>
      </c>
      <c r="U697" t="s">
        <v>41</v>
      </c>
      <c r="V697" t="s">
        <v>42</v>
      </c>
      <c r="W697">
        <v>11</v>
      </c>
      <c r="X697">
        <v>3</v>
      </c>
      <c r="Y697">
        <v>3</v>
      </c>
      <c r="Z697">
        <v>80</v>
      </c>
      <c r="AA697">
        <v>0</v>
      </c>
      <c r="AB697">
        <v>17</v>
      </c>
      <c r="AC697">
        <v>2</v>
      </c>
      <c r="AD697">
        <v>1</v>
      </c>
      <c r="AE697">
        <v>14</v>
      </c>
      <c r="AF697">
        <v>1</v>
      </c>
      <c r="AG697">
        <v>11</v>
      </c>
      <c r="AH697">
        <v>7</v>
      </c>
    </row>
    <row r="698" spans="1:34" x14ac:dyDescent="0.2">
      <c r="A698">
        <v>45</v>
      </c>
      <c r="B698" t="s">
        <v>42</v>
      </c>
      <c r="C698" t="s">
        <v>54</v>
      </c>
      <c r="D698" t="s">
        <v>44</v>
      </c>
      <c r="E698">
        <v>4</v>
      </c>
      <c r="F698">
        <v>2</v>
      </c>
      <c r="G698" t="s">
        <v>37</v>
      </c>
      <c r="H698">
        <v>1</v>
      </c>
      <c r="I698">
        <v>972</v>
      </c>
      <c r="J698">
        <v>3</v>
      </c>
      <c r="K698" t="s">
        <v>45</v>
      </c>
      <c r="L698">
        <v>57</v>
      </c>
      <c r="M698">
        <v>3</v>
      </c>
      <c r="N698">
        <v>2</v>
      </c>
      <c r="O698" t="s">
        <v>49</v>
      </c>
      <c r="P698">
        <v>2</v>
      </c>
      <c r="Q698" t="s">
        <v>47</v>
      </c>
      <c r="R698">
        <v>4447</v>
      </c>
      <c r="S698">
        <v>23163</v>
      </c>
      <c r="T698">
        <v>1</v>
      </c>
      <c r="U698" t="s">
        <v>41</v>
      </c>
      <c r="V698" t="s">
        <v>42</v>
      </c>
      <c r="W698">
        <v>12</v>
      </c>
      <c r="X698">
        <v>3</v>
      </c>
      <c r="Y698">
        <v>2</v>
      </c>
      <c r="Z698">
        <v>80</v>
      </c>
      <c r="AA698">
        <v>0</v>
      </c>
      <c r="AB698">
        <v>9</v>
      </c>
      <c r="AC698">
        <v>5</v>
      </c>
      <c r="AD698">
        <v>2</v>
      </c>
      <c r="AE698">
        <v>9</v>
      </c>
      <c r="AF698">
        <v>7</v>
      </c>
      <c r="AG698">
        <v>0</v>
      </c>
      <c r="AH698">
        <v>8</v>
      </c>
    </row>
    <row r="699" spans="1:34" x14ac:dyDescent="0.2">
      <c r="A699">
        <v>29</v>
      </c>
      <c r="B699" t="s">
        <v>42</v>
      </c>
      <c r="C699" t="s">
        <v>43</v>
      </c>
      <c r="D699" t="s">
        <v>36</v>
      </c>
      <c r="E699">
        <v>20</v>
      </c>
      <c r="F699">
        <v>3</v>
      </c>
      <c r="G699" t="s">
        <v>59</v>
      </c>
      <c r="H699">
        <v>1</v>
      </c>
      <c r="I699">
        <v>974</v>
      </c>
      <c r="J699">
        <v>3</v>
      </c>
      <c r="K699" t="s">
        <v>38</v>
      </c>
      <c r="L699">
        <v>84</v>
      </c>
      <c r="M699">
        <v>3</v>
      </c>
      <c r="N699">
        <v>1</v>
      </c>
      <c r="O699" t="s">
        <v>56</v>
      </c>
      <c r="P699">
        <v>4</v>
      </c>
      <c r="Q699" t="s">
        <v>47</v>
      </c>
      <c r="R699">
        <v>2157</v>
      </c>
      <c r="S699">
        <v>18203</v>
      </c>
      <c r="T699">
        <v>1</v>
      </c>
      <c r="U699" t="s">
        <v>41</v>
      </c>
      <c r="V699" t="s">
        <v>42</v>
      </c>
      <c r="W699">
        <v>15</v>
      </c>
      <c r="X699">
        <v>3</v>
      </c>
      <c r="Y699">
        <v>2</v>
      </c>
      <c r="Z699">
        <v>80</v>
      </c>
      <c r="AA699">
        <v>1</v>
      </c>
      <c r="AB699">
        <v>3</v>
      </c>
      <c r="AC699">
        <v>5</v>
      </c>
      <c r="AD699">
        <v>3</v>
      </c>
      <c r="AE699">
        <v>3</v>
      </c>
      <c r="AF699">
        <v>1</v>
      </c>
      <c r="AG699">
        <v>0</v>
      </c>
      <c r="AH699">
        <v>2</v>
      </c>
    </row>
    <row r="700" spans="1:34" x14ac:dyDescent="0.2">
      <c r="A700">
        <v>35</v>
      </c>
      <c r="B700" t="s">
        <v>42</v>
      </c>
      <c r="C700" t="s">
        <v>35</v>
      </c>
      <c r="D700" t="s">
        <v>36</v>
      </c>
      <c r="E700">
        <v>18</v>
      </c>
      <c r="F700">
        <v>3</v>
      </c>
      <c r="G700" t="s">
        <v>50</v>
      </c>
      <c r="H700">
        <v>1</v>
      </c>
      <c r="I700">
        <v>975</v>
      </c>
      <c r="J700">
        <v>3</v>
      </c>
      <c r="K700" t="s">
        <v>38</v>
      </c>
      <c r="L700">
        <v>86</v>
      </c>
      <c r="M700">
        <v>3</v>
      </c>
      <c r="N700">
        <v>2</v>
      </c>
      <c r="O700" t="s">
        <v>39</v>
      </c>
      <c r="P700">
        <v>3</v>
      </c>
      <c r="Q700" t="s">
        <v>47</v>
      </c>
      <c r="R700">
        <v>4601</v>
      </c>
      <c r="S700">
        <v>6179</v>
      </c>
      <c r="T700">
        <v>1</v>
      </c>
      <c r="U700" t="s">
        <v>41</v>
      </c>
      <c r="V700" t="s">
        <v>42</v>
      </c>
      <c r="W700">
        <v>16</v>
      </c>
      <c r="X700">
        <v>3</v>
      </c>
      <c r="Y700">
        <v>2</v>
      </c>
      <c r="Z700">
        <v>80</v>
      </c>
      <c r="AA700">
        <v>0</v>
      </c>
      <c r="AB700">
        <v>5</v>
      </c>
      <c r="AC700">
        <v>3</v>
      </c>
      <c r="AD700">
        <v>3</v>
      </c>
      <c r="AE700">
        <v>5</v>
      </c>
      <c r="AF700">
        <v>2</v>
      </c>
      <c r="AG700">
        <v>1</v>
      </c>
      <c r="AH700">
        <v>0</v>
      </c>
    </row>
    <row r="701" spans="1:34" x14ac:dyDescent="0.2">
      <c r="A701">
        <v>52</v>
      </c>
      <c r="B701" t="s">
        <v>42</v>
      </c>
      <c r="C701" t="s">
        <v>35</v>
      </c>
      <c r="D701" t="s">
        <v>44</v>
      </c>
      <c r="E701">
        <v>1</v>
      </c>
      <c r="F701">
        <v>2</v>
      </c>
      <c r="G701" t="s">
        <v>37</v>
      </c>
      <c r="H701">
        <v>1</v>
      </c>
      <c r="I701">
        <v>976</v>
      </c>
      <c r="J701">
        <v>4</v>
      </c>
      <c r="K701" t="s">
        <v>45</v>
      </c>
      <c r="L701">
        <v>70</v>
      </c>
      <c r="M701">
        <v>3</v>
      </c>
      <c r="N701">
        <v>4</v>
      </c>
      <c r="O701" t="s">
        <v>55</v>
      </c>
      <c r="P701">
        <v>4</v>
      </c>
      <c r="Q701" t="s">
        <v>47</v>
      </c>
      <c r="R701">
        <v>17099</v>
      </c>
      <c r="S701">
        <v>13829</v>
      </c>
      <c r="T701">
        <v>2</v>
      </c>
      <c r="U701" t="s">
        <v>41</v>
      </c>
      <c r="V701" t="s">
        <v>42</v>
      </c>
      <c r="W701">
        <v>15</v>
      </c>
      <c r="X701">
        <v>3</v>
      </c>
      <c r="Y701">
        <v>2</v>
      </c>
      <c r="Z701">
        <v>80</v>
      </c>
      <c r="AA701">
        <v>1</v>
      </c>
      <c r="AB701">
        <v>26</v>
      </c>
      <c r="AC701">
        <v>2</v>
      </c>
      <c r="AD701">
        <v>2</v>
      </c>
      <c r="AE701">
        <v>9</v>
      </c>
      <c r="AF701">
        <v>8</v>
      </c>
      <c r="AG701">
        <v>7</v>
      </c>
      <c r="AH701">
        <v>8</v>
      </c>
    </row>
    <row r="702" spans="1:34" x14ac:dyDescent="0.2">
      <c r="A702">
        <v>58</v>
      </c>
      <c r="B702" t="s">
        <v>34</v>
      </c>
      <c r="C702" t="s">
        <v>35</v>
      </c>
      <c r="D702" t="s">
        <v>44</v>
      </c>
      <c r="E702">
        <v>2</v>
      </c>
      <c r="F702">
        <v>3</v>
      </c>
      <c r="G702" t="s">
        <v>59</v>
      </c>
      <c r="H702">
        <v>1</v>
      </c>
      <c r="I702">
        <v>977</v>
      </c>
      <c r="J702">
        <v>4</v>
      </c>
      <c r="K702" t="s">
        <v>45</v>
      </c>
      <c r="L702">
        <v>51</v>
      </c>
      <c r="M702">
        <v>3</v>
      </c>
      <c r="N702">
        <v>1</v>
      </c>
      <c r="O702" t="s">
        <v>46</v>
      </c>
      <c r="P702">
        <v>3</v>
      </c>
      <c r="Q702" t="s">
        <v>40</v>
      </c>
      <c r="R702">
        <v>2479</v>
      </c>
      <c r="S702">
        <v>26227</v>
      </c>
      <c r="T702">
        <v>4</v>
      </c>
      <c r="U702" t="s">
        <v>41</v>
      </c>
      <c r="V702" t="s">
        <v>42</v>
      </c>
      <c r="W702">
        <v>24</v>
      </c>
      <c r="X702">
        <v>4</v>
      </c>
      <c r="Y702">
        <v>1</v>
      </c>
      <c r="Z702">
        <v>80</v>
      </c>
      <c r="AA702">
        <v>0</v>
      </c>
      <c r="AB702">
        <v>7</v>
      </c>
      <c r="AC702">
        <v>4</v>
      </c>
      <c r="AD702">
        <v>3</v>
      </c>
      <c r="AE702">
        <v>1</v>
      </c>
      <c r="AF702">
        <v>0</v>
      </c>
      <c r="AG702">
        <v>0</v>
      </c>
      <c r="AH702">
        <v>0</v>
      </c>
    </row>
    <row r="703" spans="1:34" x14ac:dyDescent="0.2">
      <c r="A703">
        <v>53</v>
      </c>
      <c r="B703" t="s">
        <v>42</v>
      </c>
      <c r="C703" t="s">
        <v>35</v>
      </c>
      <c r="D703" t="s">
        <v>36</v>
      </c>
      <c r="E703">
        <v>2</v>
      </c>
      <c r="F703">
        <v>2</v>
      </c>
      <c r="G703" t="s">
        <v>50</v>
      </c>
      <c r="H703">
        <v>1</v>
      </c>
      <c r="I703">
        <v>981</v>
      </c>
      <c r="J703">
        <v>3</v>
      </c>
      <c r="K703" t="s">
        <v>45</v>
      </c>
      <c r="L703">
        <v>45</v>
      </c>
      <c r="M703">
        <v>3</v>
      </c>
      <c r="N703">
        <v>4</v>
      </c>
      <c r="O703" t="s">
        <v>55</v>
      </c>
      <c r="P703">
        <v>3</v>
      </c>
      <c r="Q703" t="s">
        <v>51</v>
      </c>
      <c r="R703">
        <v>14852</v>
      </c>
      <c r="S703">
        <v>13938</v>
      </c>
      <c r="T703">
        <v>6</v>
      </c>
      <c r="U703" t="s">
        <v>41</v>
      </c>
      <c r="V703" t="s">
        <v>42</v>
      </c>
      <c r="W703">
        <v>13</v>
      </c>
      <c r="X703">
        <v>3</v>
      </c>
      <c r="Y703">
        <v>3</v>
      </c>
      <c r="Z703">
        <v>80</v>
      </c>
      <c r="AA703">
        <v>1</v>
      </c>
      <c r="AB703">
        <v>22</v>
      </c>
      <c r="AC703">
        <v>3</v>
      </c>
      <c r="AD703">
        <v>4</v>
      </c>
      <c r="AE703">
        <v>17</v>
      </c>
      <c r="AF703">
        <v>13</v>
      </c>
      <c r="AG703">
        <v>15</v>
      </c>
      <c r="AH703">
        <v>2</v>
      </c>
    </row>
    <row r="704" spans="1:34" x14ac:dyDescent="0.2">
      <c r="A704">
        <v>30</v>
      </c>
      <c r="B704" t="s">
        <v>42</v>
      </c>
      <c r="C704" t="s">
        <v>35</v>
      </c>
      <c r="D704" t="s">
        <v>36</v>
      </c>
      <c r="E704">
        <v>8</v>
      </c>
      <c r="F704">
        <v>2</v>
      </c>
      <c r="G704" t="s">
        <v>48</v>
      </c>
      <c r="H704">
        <v>1</v>
      </c>
      <c r="I704">
        <v>982</v>
      </c>
      <c r="J704">
        <v>3</v>
      </c>
      <c r="K704" t="s">
        <v>45</v>
      </c>
      <c r="L704">
        <v>62</v>
      </c>
      <c r="M704">
        <v>3</v>
      </c>
      <c r="N704">
        <v>3</v>
      </c>
      <c r="O704" t="s">
        <v>39</v>
      </c>
      <c r="P704">
        <v>3</v>
      </c>
      <c r="Q704" t="s">
        <v>51</v>
      </c>
      <c r="R704">
        <v>7264</v>
      </c>
      <c r="S704">
        <v>9977</v>
      </c>
      <c r="T704">
        <v>5</v>
      </c>
      <c r="U704" t="s">
        <v>41</v>
      </c>
      <c r="V704" t="s">
        <v>42</v>
      </c>
      <c r="W704">
        <v>11</v>
      </c>
      <c r="X704">
        <v>3</v>
      </c>
      <c r="Y704">
        <v>1</v>
      </c>
      <c r="Z704">
        <v>80</v>
      </c>
      <c r="AA704">
        <v>1</v>
      </c>
      <c r="AB704">
        <v>10</v>
      </c>
      <c r="AC704">
        <v>2</v>
      </c>
      <c r="AD704">
        <v>4</v>
      </c>
      <c r="AE704">
        <v>8</v>
      </c>
      <c r="AF704">
        <v>4</v>
      </c>
      <c r="AG704">
        <v>7</v>
      </c>
      <c r="AH704">
        <v>7</v>
      </c>
    </row>
    <row r="705" spans="1:34" x14ac:dyDescent="0.2">
      <c r="A705">
        <v>38</v>
      </c>
      <c r="B705" t="s">
        <v>42</v>
      </c>
      <c r="C705" t="s">
        <v>54</v>
      </c>
      <c r="D705" t="s">
        <v>36</v>
      </c>
      <c r="E705">
        <v>10</v>
      </c>
      <c r="F705">
        <v>3</v>
      </c>
      <c r="G705" t="s">
        <v>59</v>
      </c>
      <c r="H705">
        <v>1</v>
      </c>
      <c r="I705">
        <v>983</v>
      </c>
      <c r="J705">
        <v>3</v>
      </c>
      <c r="K705" t="s">
        <v>38</v>
      </c>
      <c r="L705">
        <v>85</v>
      </c>
      <c r="M705">
        <v>3</v>
      </c>
      <c r="N705">
        <v>2</v>
      </c>
      <c r="O705" t="s">
        <v>39</v>
      </c>
      <c r="P705">
        <v>4</v>
      </c>
      <c r="Q705" t="s">
        <v>40</v>
      </c>
      <c r="R705">
        <v>5666</v>
      </c>
      <c r="S705">
        <v>19899</v>
      </c>
      <c r="T705">
        <v>1</v>
      </c>
      <c r="U705" t="s">
        <v>41</v>
      </c>
      <c r="V705" t="s">
        <v>34</v>
      </c>
      <c r="W705">
        <v>13</v>
      </c>
      <c r="X705">
        <v>3</v>
      </c>
      <c r="Y705">
        <v>2</v>
      </c>
      <c r="Z705">
        <v>80</v>
      </c>
      <c r="AA705">
        <v>0</v>
      </c>
      <c r="AB705">
        <v>6</v>
      </c>
      <c r="AC705">
        <v>1</v>
      </c>
      <c r="AD705">
        <v>3</v>
      </c>
      <c r="AE705">
        <v>5</v>
      </c>
      <c r="AF705">
        <v>3</v>
      </c>
      <c r="AG705">
        <v>1</v>
      </c>
      <c r="AH705">
        <v>3</v>
      </c>
    </row>
    <row r="706" spans="1:34" x14ac:dyDescent="0.2">
      <c r="A706">
        <v>35</v>
      </c>
      <c r="B706" t="s">
        <v>42</v>
      </c>
      <c r="C706" t="s">
        <v>35</v>
      </c>
      <c r="D706" t="s">
        <v>36</v>
      </c>
      <c r="E706">
        <v>3</v>
      </c>
      <c r="F706">
        <v>4</v>
      </c>
      <c r="G706" t="s">
        <v>37</v>
      </c>
      <c r="H706">
        <v>1</v>
      </c>
      <c r="I706">
        <v>984</v>
      </c>
      <c r="J706">
        <v>4</v>
      </c>
      <c r="K706" t="s">
        <v>45</v>
      </c>
      <c r="L706">
        <v>92</v>
      </c>
      <c r="M706">
        <v>3</v>
      </c>
      <c r="N706">
        <v>3</v>
      </c>
      <c r="O706" t="s">
        <v>39</v>
      </c>
      <c r="P706">
        <v>4</v>
      </c>
      <c r="Q706" t="s">
        <v>51</v>
      </c>
      <c r="R706">
        <v>7823</v>
      </c>
      <c r="S706">
        <v>6812</v>
      </c>
      <c r="T706">
        <v>6</v>
      </c>
      <c r="U706" t="s">
        <v>41</v>
      </c>
      <c r="V706" t="s">
        <v>42</v>
      </c>
      <c r="W706">
        <v>13</v>
      </c>
      <c r="X706">
        <v>3</v>
      </c>
      <c r="Y706">
        <v>2</v>
      </c>
      <c r="Z706">
        <v>80</v>
      </c>
      <c r="AA706">
        <v>1</v>
      </c>
      <c r="AB706">
        <v>12</v>
      </c>
      <c r="AC706">
        <v>2</v>
      </c>
      <c r="AD706">
        <v>3</v>
      </c>
      <c r="AE706">
        <v>10</v>
      </c>
      <c r="AF706">
        <v>9</v>
      </c>
      <c r="AG706">
        <v>0</v>
      </c>
      <c r="AH706">
        <v>8</v>
      </c>
    </row>
    <row r="707" spans="1:34" x14ac:dyDescent="0.2">
      <c r="A707">
        <v>39</v>
      </c>
      <c r="B707" t="s">
        <v>42</v>
      </c>
      <c r="C707" t="s">
        <v>35</v>
      </c>
      <c r="D707" t="s">
        <v>36</v>
      </c>
      <c r="E707">
        <v>2</v>
      </c>
      <c r="F707">
        <v>5</v>
      </c>
      <c r="G707" t="s">
        <v>37</v>
      </c>
      <c r="H707">
        <v>1</v>
      </c>
      <c r="I707">
        <v>985</v>
      </c>
      <c r="J707">
        <v>1</v>
      </c>
      <c r="K707" t="s">
        <v>45</v>
      </c>
      <c r="L707">
        <v>41</v>
      </c>
      <c r="M707">
        <v>4</v>
      </c>
      <c r="N707">
        <v>3</v>
      </c>
      <c r="O707" t="s">
        <v>39</v>
      </c>
      <c r="P707">
        <v>3</v>
      </c>
      <c r="Q707" t="s">
        <v>40</v>
      </c>
      <c r="R707">
        <v>7880</v>
      </c>
      <c r="S707">
        <v>2560</v>
      </c>
      <c r="T707">
        <v>0</v>
      </c>
      <c r="U707" t="s">
        <v>41</v>
      </c>
      <c r="V707" t="s">
        <v>42</v>
      </c>
      <c r="W707">
        <v>18</v>
      </c>
      <c r="X707">
        <v>3</v>
      </c>
      <c r="Y707">
        <v>4</v>
      </c>
      <c r="Z707">
        <v>80</v>
      </c>
      <c r="AA707">
        <v>0</v>
      </c>
      <c r="AB707">
        <v>9</v>
      </c>
      <c r="AC707">
        <v>3</v>
      </c>
      <c r="AD707">
        <v>3</v>
      </c>
      <c r="AE707">
        <v>8</v>
      </c>
      <c r="AF707">
        <v>7</v>
      </c>
      <c r="AG707">
        <v>0</v>
      </c>
      <c r="AH707">
        <v>7</v>
      </c>
    </row>
    <row r="708" spans="1:34" x14ac:dyDescent="0.2">
      <c r="A708">
        <v>40</v>
      </c>
      <c r="B708" t="s">
        <v>34</v>
      </c>
      <c r="C708" t="s">
        <v>54</v>
      </c>
      <c r="D708" t="s">
        <v>36</v>
      </c>
      <c r="E708">
        <v>24</v>
      </c>
      <c r="F708">
        <v>3</v>
      </c>
      <c r="G708" t="s">
        <v>37</v>
      </c>
      <c r="H708">
        <v>1</v>
      </c>
      <c r="I708">
        <v>986</v>
      </c>
      <c r="J708">
        <v>2</v>
      </c>
      <c r="K708" t="s">
        <v>38</v>
      </c>
      <c r="L708">
        <v>100</v>
      </c>
      <c r="M708">
        <v>4</v>
      </c>
      <c r="N708">
        <v>4</v>
      </c>
      <c r="O708" t="s">
        <v>39</v>
      </c>
      <c r="P708">
        <v>2</v>
      </c>
      <c r="Q708" t="s">
        <v>40</v>
      </c>
      <c r="R708">
        <v>13194</v>
      </c>
      <c r="S708">
        <v>17071</v>
      </c>
      <c r="T708">
        <v>4</v>
      </c>
      <c r="U708" t="s">
        <v>41</v>
      </c>
      <c r="V708" t="s">
        <v>34</v>
      </c>
      <c r="W708">
        <v>16</v>
      </c>
      <c r="X708">
        <v>3</v>
      </c>
      <c r="Y708">
        <v>4</v>
      </c>
      <c r="Z708">
        <v>80</v>
      </c>
      <c r="AA708">
        <v>0</v>
      </c>
      <c r="AB708">
        <v>22</v>
      </c>
      <c r="AC708">
        <v>2</v>
      </c>
      <c r="AD708">
        <v>2</v>
      </c>
      <c r="AE708">
        <v>1</v>
      </c>
      <c r="AF708">
        <v>0</v>
      </c>
      <c r="AG708">
        <v>0</v>
      </c>
      <c r="AH708">
        <v>0</v>
      </c>
    </row>
    <row r="709" spans="1:34" x14ac:dyDescent="0.2">
      <c r="A709">
        <v>47</v>
      </c>
      <c r="B709" t="s">
        <v>42</v>
      </c>
      <c r="C709" t="s">
        <v>43</v>
      </c>
      <c r="D709" t="s">
        <v>44</v>
      </c>
      <c r="E709">
        <v>16</v>
      </c>
      <c r="F709">
        <v>4</v>
      </c>
      <c r="G709" t="s">
        <v>50</v>
      </c>
      <c r="H709">
        <v>1</v>
      </c>
      <c r="I709">
        <v>987</v>
      </c>
      <c r="J709">
        <v>3</v>
      </c>
      <c r="K709" t="s">
        <v>45</v>
      </c>
      <c r="L709">
        <v>64</v>
      </c>
      <c r="M709">
        <v>4</v>
      </c>
      <c r="N709">
        <v>2</v>
      </c>
      <c r="O709" t="s">
        <v>52</v>
      </c>
      <c r="P709">
        <v>3</v>
      </c>
      <c r="Q709" t="s">
        <v>51</v>
      </c>
      <c r="R709">
        <v>5067</v>
      </c>
      <c r="S709">
        <v>6759</v>
      </c>
      <c r="T709">
        <v>1</v>
      </c>
      <c r="U709" t="s">
        <v>41</v>
      </c>
      <c r="V709" t="s">
        <v>34</v>
      </c>
      <c r="W709">
        <v>19</v>
      </c>
      <c r="X709">
        <v>3</v>
      </c>
      <c r="Y709">
        <v>3</v>
      </c>
      <c r="Z709">
        <v>80</v>
      </c>
      <c r="AA709">
        <v>0</v>
      </c>
      <c r="AB709">
        <v>20</v>
      </c>
      <c r="AC709">
        <v>3</v>
      </c>
      <c r="AD709">
        <v>4</v>
      </c>
      <c r="AE709">
        <v>19</v>
      </c>
      <c r="AF709">
        <v>10</v>
      </c>
      <c r="AG709">
        <v>2</v>
      </c>
      <c r="AH709">
        <v>7</v>
      </c>
    </row>
    <row r="710" spans="1:34" x14ac:dyDescent="0.2">
      <c r="A710">
        <v>36</v>
      </c>
      <c r="B710" t="s">
        <v>42</v>
      </c>
      <c r="C710" t="s">
        <v>54</v>
      </c>
      <c r="D710" t="s">
        <v>36</v>
      </c>
      <c r="E710">
        <v>8</v>
      </c>
      <c r="F710">
        <v>4</v>
      </c>
      <c r="G710" t="s">
        <v>59</v>
      </c>
      <c r="H710">
        <v>1</v>
      </c>
      <c r="I710">
        <v>990</v>
      </c>
      <c r="J710">
        <v>1</v>
      </c>
      <c r="K710" t="s">
        <v>45</v>
      </c>
      <c r="L710">
        <v>84</v>
      </c>
      <c r="M710">
        <v>3</v>
      </c>
      <c r="N710">
        <v>2</v>
      </c>
      <c r="O710" t="s">
        <v>39</v>
      </c>
      <c r="P710">
        <v>4</v>
      </c>
      <c r="Q710" t="s">
        <v>51</v>
      </c>
      <c r="R710">
        <v>5079</v>
      </c>
      <c r="S710">
        <v>25952</v>
      </c>
      <c r="T710">
        <v>4</v>
      </c>
      <c r="U710" t="s">
        <v>41</v>
      </c>
      <c r="V710" t="s">
        <v>42</v>
      </c>
      <c r="W710">
        <v>13</v>
      </c>
      <c r="X710">
        <v>3</v>
      </c>
      <c r="Y710">
        <v>4</v>
      </c>
      <c r="Z710">
        <v>80</v>
      </c>
      <c r="AA710">
        <v>2</v>
      </c>
      <c r="AB710">
        <v>12</v>
      </c>
      <c r="AC710">
        <v>3</v>
      </c>
      <c r="AD710">
        <v>3</v>
      </c>
      <c r="AE710">
        <v>7</v>
      </c>
      <c r="AF710">
        <v>7</v>
      </c>
      <c r="AG710">
        <v>0</v>
      </c>
      <c r="AH710">
        <v>7</v>
      </c>
    </row>
    <row r="711" spans="1:34" x14ac:dyDescent="0.2">
      <c r="A711">
        <v>31</v>
      </c>
      <c r="B711" t="s">
        <v>34</v>
      </c>
      <c r="C711" t="s">
        <v>54</v>
      </c>
      <c r="D711" t="s">
        <v>44</v>
      </c>
      <c r="E711">
        <v>9</v>
      </c>
      <c r="F711">
        <v>2</v>
      </c>
      <c r="G711" t="s">
        <v>50</v>
      </c>
      <c r="H711">
        <v>1</v>
      </c>
      <c r="I711">
        <v>991</v>
      </c>
      <c r="J711">
        <v>3</v>
      </c>
      <c r="K711" t="s">
        <v>45</v>
      </c>
      <c r="L711">
        <v>46</v>
      </c>
      <c r="M711">
        <v>2</v>
      </c>
      <c r="N711">
        <v>1</v>
      </c>
      <c r="O711" t="s">
        <v>46</v>
      </c>
      <c r="P711">
        <v>1</v>
      </c>
      <c r="Q711" t="s">
        <v>40</v>
      </c>
      <c r="R711">
        <v>2321</v>
      </c>
      <c r="S711">
        <v>10322</v>
      </c>
      <c r="T711">
        <v>0</v>
      </c>
      <c r="U711" t="s">
        <v>41</v>
      </c>
      <c r="V711" t="s">
        <v>34</v>
      </c>
      <c r="W711">
        <v>22</v>
      </c>
      <c r="X711">
        <v>4</v>
      </c>
      <c r="Y711">
        <v>1</v>
      </c>
      <c r="Z711">
        <v>80</v>
      </c>
      <c r="AA711">
        <v>0</v>
      </c>
      <c r="AB711">
        <v>4</v>
      </c>
      <c r="AC711">
        <v>0</v>
      </c>
      <c r="AD711">
        <v>3</v>
      </c>
      <c r="AE711">
        <v>3</v>
      </c>
      <c r="AF711">
        <v>2</v>
      </c>
      <c r="AG711">
        <v>1</v>
      </c>
      <c r="AH711">
        <v>2</v>
      </c>
    </row>
    <row r="712" spans="1:34" x14ac:dyDescent="0.2">
      <c r="A712">
        <v>33</v>
      </c>
      <c r="B712" t="s">
        <v>42</v>
      </c>
      <c r="C712" t="s">
        <v>54</v>
      </c>
      <c r="D712" t="s">
        <v>36</v>
      </c>
      <c r="E712">
        <v>17</v>
      </c>
      <c r="F712">
        <v>3</v>
      </c>
      <c r="G712" t="s">
        <v>37</v>
      </c>
      <c r="H712">
        <v>1</v>
      </c>
      <c r="I712">
        <v>992</v>
      </c>
      <c r="J712">
        <v>4</v>
      </c>
      <c r="K712" t="s">
        <v>45</v>
      </c>
      <c r="L712">
        <v>38</v>
      </c>
      <c r="M712">
        <v>3</v>
      </c>
      <c r="N712">
        <v>4</v>
      </c>
      <c r="O712" t="s">
        <v>55</v>
      </c>
      <c r="P712">
        <v>3</v>
      </c>
      <c r="Q712" t="s">
        <v>40</v>
      </c>
      <c r="R712">
        <v>17444</v>
      </c>
      <c r="S712">
        <v>20489</v>
      </c>
      <c r="T712">
        <v>1</v>
      </c>
      <c r="U712" t="s">
        <v>41</v>
      </c>
      <c r="V712" t="s">
        <v>42</v>
      </c>
      <c r="W712">
        <v>11</v>
      </c>
      <c r="X712">
        <v>3</v>
      </c>
      <c r="Y712">
        <v>4</v>
      </c>
      <c r="Z712">
        <v>80</v>
      </c>
      <c r="AA712">
        <v>0</v>
      </c>
      <c r="AB712">
        <v>10</v>
      </c>
      <c r="AC712">
        <v>2</v>
      </c>
      <c r="AD712">
        <v>3</v>
      </c>
      <c r="AE712">
        <v>10</v>
      </c>
      <c r="AF712">
        <v>8</v>
      </c>
      <c r="AG712">
        <v>6</v>
      </c>
      <c r="AH712">
        <v>0</v>
      </c>
    </row>
    <row r="713" spans="1:34" x14ac:dyDescent="0.2">
      <c r="A713">
        <v>29</v>
      </c>
      <c r="B713" t="s">
        <v>34</v>
      </c>
      <c r="C713" t="s">
        <v>35</v>
      </c>
      <c r="D713" t="s">
        <v>44</v>
      </c>
      <c r="E713">
        <v>10</v>
      </c>
      <c r="F713">
        <v>3</v>
      </c>
      <c r="G713" t="s">
        <v>37</v>
      </c>
      <c r="H713">
        <v>1</v>
      </c>
      <c r="I713">
        <v>994</v>
      </c>
      <c r="J713">
        <v>4</v>
      </c>
      <c r="K713" t="s">
        <v>38</v>
      </c>
      <c r="L713">
        <v>92</v>
      </c>
      <c r="M713">
        <v>2</v>
      </c>
      <c r="N713">
        <v>1</v>
      </c>
      <c r="O713" t="s">
        <v>46</v>
      </c>
      <c r="P713">
        <v>1</v>
      </c>
      <c r="Q713" t="s">
        <v>40</v>
      </c>
      <c r="R713">
        <v>2404</v>
      </c>
      <c r="S713">
        <v>11479</v>
      </c>
      <c r="T713">
        <v>6</v>
      </c>
      <c r="U713" t="s">
        <v>41</v>
      </c>
      <c r="V713" t="s">
        <v>34</v>
      </c>
      <c r="W713">
        <v>20</v>
      </c>
      <c r="X713">
        <v>4</v>
      </c>
      <c r="Y713">
        <v>3</v>
      </c>
      <c r="Z713">
        <v>80</v>
      </c>
      <c r="AA713">
        <v>0</v>
      </c>
      <c r="AB713">
        <v>3</v>
      </c>
      <c r="AC713">
        <v>5</v>
      </c>
      <c r="AD713">
        <v>3</v>
      </c>
      <c r="AE713">
        <v>0</v>
      </c>
      <c r="AF713">
        <v>0</v>
      </c>
      <c r="AG713">
        <v>0</v>
      </c>
      <c r="AH713">
        <v>0</v>
      </c>
    </row>
    <row r="714" spans="1:34" x14ac:dyDescent="0.2">
      <c r="A714">
        <v>33</v>
      </c>
      <c r="B714" t="s">
        <v>42</v>
      </c>
      <c r="C714" t="s">
        <v>35</v>
      </c>
      <c r="D714" t="s">
        <v>44</v>
      </c>
      <c r="E714">
        <v>13</v>
      </c>
      <c r="F714">
        <v>1</v>
      </c>
      <c r="G714" t="s">
        <v>37</v>
      </c>
      <c r="H714">
        <v>1</v>
      </c>
      <c r="I714">
        <v>995</v>
      </c>
      <c r="J714">
        <v>2</v>
      </c>
      <c r="K714" t="s">
        <v>38</v>
      </c>
      <c r="L714">
        <v>53</v>
      </c>
      <c r="M714">
        <v>3</v>
      </c>
      <c r="N714">
        <v>1</v>
      </c>
      <c r="O714" t="s">
        <v>46</v>
      </c>
      <c r="P714">
        <v>4</v>
      </c>
      <c r="Q714" t="s">
        <v>40</v>
      </c>
      <c r="R714">
        <v>3452</v>
      </c>
      <c r="S714">
        <v>17241</v>
      </c>
      <c r="T714">
        <v>3</v>
      </c>
      <c r="U714" t="s">
        <v>41</v>
      </c>
      <c r="V714" t="s">
        <v>42</v>
      </c>
      <c r="W714">
        <v>18</v>
      </c>
      <c r="X714">
        <v>3</v>
      </c>
      <c r="Y714">
        <v>1</v>
      </c>
      <c r="Z714">
        <v>80</v>
      </c>
      <c r="AA714">
        <v>0</v>
      </c>
      <c r="AB714">
        <v>5</v>
      </c>
      <c r="AC714">
        <v>4</v>
      </c>
      <c r="AD714">
        <v>3</v>
      </c>
      <c r="AE714">
        <v>3</v>
      </c>
      <c r="AF714">
        <v>2</v>
      </c>
      <c r="AG714">
        <v>0</v>
      </c>
      <c r="AH714">
        <v>2</v>
      </c>
    </row>
    <row r="715" spans="1:34" x14ac:dyDescent="0.2">
      <c r="A715">
        <v>45</v>
      </c>
      <c r="B715" t="s">
        <v>42</v>
      </c>
      <c r="C715" t="s">
        <v>35</v>
      </c>
      <c r="D715" t="s">
        <v>44</v>
      </c>
      <c r="E715">
        <v>1</v>
      </c>
      <c r="F715">
        <v>4</v>
      </c>
      <c r="G715" t="s">
        <v>50</v>
      </c>
      <c r="H715">
        <v>1</v>
      </c>
      <c r="I715">
        <v>996</v>
      </c>
      <c r="J715">
        <v>4</v>
      </c>
      <c r="K715" t="s">
        <v>38</v>
      </c>
      <c r="L715">
        <v>91</v>
      </c>
      <c r="M715">
        <v>3</v>
      </c>
      <c r="N715">
        <v>1</v>
      </c>
      <c r="O715" t="s">
        <v>49</v>
      </c>
      <c r="P715">
        <v>4</v>
      </c>
      <c r="Q715" t="s">
        <v>51</v>
      </c>
      <c r="R715">
        <v>2270</v>
      </c>
      <c r="S715">
        <v>11005</v>
      </c>
      <c r="T715">
        <v>3</v>
      </c>
      <c r="U715" t="s">
        <v>41</v>
      </c>
      <c r="V715" t="s">
        <v>42</v>
      </c>
      <c r="W715">
        <v>14</v>
      </c>
      <c r="X715">
        <v>3</v>
      </c>
      <c r="Y715">
        <v>4</v>
      </c>
      <c r="Z715">
        <v>80</v>
      </c>
      <c r="AA715">
        <v>2</v>
      </c>
      <c r="AB715">
        <v>8</v>
      </c>
      <c r="AC715">
        <v>2</v>
      </c>
      <c r="AD715">
        <v>3</v>
      </c>
      <c r="AE715">
        <v>5</v>
      </c>
      <c r="AF715">
        <v>3</v>
      </c>
      <c r="AG715">
        <v>0</v>
      </c>
      <c r="AH715">
        <v>2</v>
      </c>
    </row>
    <row r="716" spans="1:34" x14ac:dyDescent="0.2">
      <c r="A716">
        <v>50</v>
      </c>
      <c r="B716" t="s">
        <v>42</v>
      </c>
      <c r="C716" t="s">
        <v>35</v>
      </c>
      <c r="D716" t="s">
        <v>44</v>
      </c>
      <c r="E716">
        <v>1</v>
      </c>
      <c r="F716">
        <v>2</v>
      </c>
      <c r="G716" t="s">
        <v>50</v>
      </c>
      <c r="H716">
        <v>1</v>
      </c>
      <c r="I716">
        <v>997</v>
      </c>
      <c r="J716">
        <v>4</v>
      </c>
      <c r="K716" t="s">
        <v>45</v>
      </c>
      <c r="L716">
        <v>66</v>
      </c>
      <c r="M716">
        <v>3</v>
      </c>
      <c r="N716">
        <v>4</v>
      </c>
      <c r="O716" t="s">
        <v>57</v>
      </c>
      <c r="P716">
        <v>4</v>
      </c>
      <c r="Q716" t="s">
        <v>51</v>
      </c>
      <c r="R716">
        <v>17399</v>
      </c>
      <c r="S716">
        <v>6615</v>
      </c>
      <c r="T716">
        <v>9</v>
      </c>
      <c r="U716" t="s">
        <v>41</v>
      </c>
      <c r="V716" t="s">
        <v>42</v>
      </c>
      <c r="W716">
        <v>22</v>
      </c>
      <c r="X716">
        <v>4</v>
      </c>
      <c r="Y716">
        <v>3</v>
      </c>
      <c r="Z716">
        <v>80</v>
      </c>
      <c r="AA716">
        <v>1</v>
      </c>
      <c r="AB716">
        <v>32</v>
      </c>
      <c r="AC716">
        <v>1</v>
      </c>
      <c r="AD716">
        <v>2</v>
      </c>
      <c r="AE716">
        <v>5</v>
      </c>
      <c r="AF716">
        <v>4</v>
      </c>
      <c r="AG716">
        <v>1</v>
      </c>
      <c r="AH716">
        <v>3</v>
      </c>
    </row>
    <row r="717" spans="1:34" x14ac:dyDescent="0.2">
      <c r="A717">
        <v>33</v>
      </c>
      <c r="B717" t="s">
        <v>42</v>
      </c>
      <c r="C717" t="s">
        <v>43</v>
      </c>
      <c r="D717" t="s">
        <v>44</v>
      </c>
      <c r="E717">
        <v>1</v>
      </c>
      <c r="F717">
        <v>4</v>
      </c>
      <c r="G717" t="s">
        <v>48</v>
      </c>
      <c r="H717">
        <v>1</v>
      </c>
      <c r="I717">
        <v>998</v>
      </c>
      <c r="J717">
        <v>3</v>
      </c>
      <c r="K717" t="s">
        <v>38</v>
      </c>
      <c r="L717">
        <v>84</v>
      </c>
      <c r="M717">
        <v>4</v>
      </c>
      <c r="N717">
        <v>2</v>
      </c>
      <c r="O717" t="s">
        <v>53</v>
      </c>
      <c r="P717">
        <v>2</v>
      </c>
      <c r="Q717" t="s">
        <v>47</v>
      </c>
      <c r="R717">
        <v>5488</v>
      </c>
      <c r="S717">
        <v>20161</v>
      </c>
      <c r="T717">
        <v>1</v>
      </c>
      <c r="U717" t="s">
        <v>41</v>
      </c>
      <c r="V717" t="s">
        <v>34</v>
      </c>
      <c r="W717">
        <v>13</v>
      </c>
      <c r="X717">
        <v>3</v>
      </c>
      <c r="Y717">
        <v>1</v>
      </c>
      <c r="Z717">
        <v>80</v>
      </c>
      <c r="AA717">
        <v>1</v>
      </c>
      <c r="AB717">
        <v>6</v>
      </c>
      <c r="AC717">
        <v>2</v>
      </c>
      <c r="AD717">
        <v>3</v>
      </c>
      <c r="AE717">
        <v>6</v>
      </c>
      <c r="AF717">
        <v>5</v>
      </c>
      <c r="AG717">
        <v>1</v>
      </c>
      <c r="AH717">
        <v>2</v>
      </c>
    </row>
    <row r="718" spans="1:34" x14ac:dyDescent="0.2">
      <c r="A718">
        <v>41</v>
      </c>
      <c r="B718" t="s">
        <v>42</v>
      </c>
      <c r="C718" t="s">
        <v>43</v>
      </c>
      <c r="D718" t="s">
        <v>44</v>
      </c>
      <c r="E718">
        <v>9</v>
      </c>
      <c r="F718">
        <v>3</v>
      </c>
      <c r="G718" t="s">
        <v>50</v>
      </c>
      <c r="H718">
        <v>1</v>
      </c>
      <c r="I718">
        <v>999</v>
      </c>
      <c r="J718">
        <v>1</v>
      </c>
      <c r="K718" t="s">
        <v>45</v>
      </c>
      <c r="L718">
        <v>64</v>
      </c>
      <c r="M718">
        <v>3</v>
      </c>
      <c r="N718">
        <v>5</v>
      </c>
      <c r="O718" t="s">
        <v>57</v>
      </c>
      <c r="P718">
        <v>3</v>
      </c>
      <c r="Q718" t="s">
        <v>51</v>
      </c>
      <c r="R718">
        <v>19419</v>
      </c>
      <c r="S718">
        <v>3735</v>
      </c>
      <c r="T718">
        <v>2</v>
      </c>
      <c r="U718" t="s">
        <v>41</v>
      </c>
      <c r="V718" t="s">
        <v>42</v>
      </c>
      <c r="W718">
        <v>17</v>
      </c>
      <c r="X718">
        <v>3</v>
      </c>
      <c r="Y718">
        <v>2</v>
      </c>
      <c r="Z718">
        <v>80</v>
      </c>
      <c r="AA718">
        <v>1</v>
      </c>
      <c r="AB718">
        <v>21</v>
      </c>
      <c r="AC718">
        <v>2</v>
      </c>
      <c r="AD718">
        <v>4</v>
      </c>
      <c r="AE718">
        <v>18</v>
      </c>
      <c r="AF718">
        <v>16</v>
      </c>
      <c r="AG718">
        <v>0</v>
      </c>
      <c r="AH718">
        <v>11</v>
      </c>
    </row>
    <row r="719" spans="1:34" x14ac:dyDescent="0.2">
      <c r="A719">
        <v>27</v>
      </c>
      <c r="B719" t="s">
        <v>42</v>
      </c>
      <c r="C719" t="s">
        <v>35</v>
      </c>
      <c r="D719" t="s">
        <v>44</v>
      </c>
      <c r="E719">
        <v>16</v>
      </c>
      <c r="F719">
        <v>4</v>
      </c>
      <c r="G719" t="s">
        <v>59</v>
      </c>
      <c r="H719">
        <v>1</v>
      </c>
      <c r="I719">
        <v>1001</v>
      </c>
      <c r="J719">
        <v>3</v>
      </c>
      <c r="K719" t="s">
        <v>38</v>
      </c>
      <c r="L719">
        <v>37</v>
      </c>
      <c r="M719">
        <v>3</v>
      </c>
      <c r="N719">
        <v>1</v>
      </c>
      <c r="O719" t="s">
        <v>49</v>
      </c>
      <c r="P719">
        <v>2</v>
      </c>
      <c r="Q719" t="s">
        <v>47</v>
      </c>
      <c r="R719">
        <v>2811</v>
      </c>
      <c r="S719">
        <v>12086</v>
      </c>
      <c r="T719">
        <v>9</v>
      </c>
      <c r="U719" t="s">
        <v>41</v>
      </c>
      <c r="V719" t="s">
        <v>42</v>
      </c>
      <c r="W719">
        <v>14</v>
      </c>
      <c r="X719">
        <v>3</v>
      </c>
      <c r="Y719">
        <v>2</v>
      </c>
      <c r="Z719">
        <v>80</v>
      </c>
      <c r="AA719">
        <v>1</v>
      </c>
      <c r="AB719">
        <v>4</v>
      </c>
      <c r="AC719">
        <v>2</v>
      </c>
      <c r="AD719">
        <v>3</v>
      </c>
      <c r="AE719">
        <v>2</v>
      </c>
      <c r="AF719">
        <v>2</v>
      </c>
      <c r="AG719">
        <v>2</v>
      </c>
      <c r="AH719">
        <v>2</v>
      </c>
    </row>
    <row r="720" spans="1:34" x14ac:dyDescent="0.2">
      <c r="A720">
        <v>45</v>
      </c>
      <c r="B720" t="s">
        <v>42</v>
      </c>
      <c r="C720" t="s">
        <v>54</v>
      </c>
      <c r="D720" t="s">
        <v>44</v>
      </c>
      <c r="E720">
        <v>23</v>
      </c>
      <c r="F720">
        <v>2</v>
      </c>
      <c r="G720" t="s">
        <v>37</v>
      </c>
      <c r="H720">
        <v>1</v>
      </c>
      <c r="I720">
        <v>1002</v>
      </c>
      <c r="J720">
        <v>4</v>
      </c>
      <c r="K720" t="s">
        <v>45</v>
      </c>
      <c r="L720">
        <v>42</v>
      </c>
      <c r="M720">
        <v>3</v>
      </c>
      <c r="N720">
        <v>2</v>
      </c>
      <c r="O720" t="s">
        <v>49</v>
      </c>
      <c r="P720">
        <v>1</v>
      </c>
      <c r="Q720" t="s">
        <v>47</v>
      </c>
      <c r="R720">
        <v>3633</v>
      </c>
      <c r="S720">
        <v>14039</v>
      </c>
      <c r="T720">
        <v>1</v>
      </c>
      <c r="U720" t="s">
        <v>41</v>
      </c>
      <c r="V720" t="s">
        <v>34</v>
      </c>
      <c r="W720">
        <v>15</v>
      </c>
      <c r="X720">
        <v>3</v>
      </c>
      <c r="Y720">
        <v>3</v>
      </c>
      <c r="Z720">
        <v>80</v>
      </c>
      <c r="AA720">
        <v>1</v>
      </c>
      <c r="AB720">
        <v>9</v>
      </c>
      <c r="AC720">
        <v>2</v>
      </c>
      <c r="AD720">
        <v>3</v>
      </c>
      <c r="AE720">
        <v>9</v>
      </c>
      <c r="AF720">
        <v>8</v>
      </c>
      <c r="AG720">
        <v>0</v>
      </c>
      <c r="AH720">
        <v>8</v>
      </c>
    </row>
    <row r="721" spans="1:34" x14ac:dyDescent="0.2">
      <c r="A721">
        <v>47</v>
      </c>
      <c r="B721" t="s">
        <v>42</v>
      </c>
      <c r="C721" t="s">
        <v>35</v>
      </c>
      <c r="D721" t="s">
        <v>36</v>
      </c>
      <c r="E721">
        <v>4</v>
      </c>
      <c r="F721">
        <v>2</v>
      </c>
      <c r="G721" t="s">
        <v>37</v>
      </c>
      <c r="H721">
        <v>1</v>
      </c>
      <c r="I721">
        <v>1003</v>
      </c>
      <c r="J721">
        <v>4</v>
      </c>
      <c r="K721" t="s">
        <v>38</v>
      </c>
      <c r="L721">
        <v>83</v>
      </c>
      <c r="M721">
        <v>3</v>
      </c>
      <c r="N721">
        <v>2</v>
      </c>
      <c r="O721" t="s">
        <v>39</v>
      </c>
      <c r="P721">
        <v>4</v>
      </c>
      <c r="Q721" t="s">
        <v>40</v>
      </c>
      <c r="R721">
        <v>4163</v>
      </c>
      <c r="S721">
        <v>8571</v>
      </c>
      <c r="T721">
        <v>1</v>
      </c>
      <c r="U721" t="s">
        <v>41</v>
      </c>
      <c r="V721" t="s">
        <v>34</v>
      </c>
      <c r="W721">
        <v>17</v>
      </c>
      <c r="X721">
        <v>3</v>
      </c>
      <c r="Y721">
        <v>3</v>
      </c>
      <c r="Z721">
        <v>80</v>
      </c>
      <c r="AA721">
        <v>0</v>
      </c>
      <c r="AB721">
        <v>9</v>
      </c>
      <c r="AC721">
        <v>0</v>
      </c>
      <c r="AD721">
        <v>3</v>
      </c>
      <c r="AE721">
        <v>9</v>
      </c>
      <c r="AF721">
        <v>0</v>
      </c>
      <c r="AG721">
        <v>0</v>
      </c>
      <c r="AH721">
        <v>7</v>
      </c>
    </row>
    <row r="722" spans="1:34" x14ac:dyDescent="0.2">
      <c r="A722">
        <v>30</v>
      </c>
      <c r="B722" t="s">
        <v>34</v>
      </c>
      <c r="C722" t="s">
        <v>35</v>
      </c>
      <c r="D722" t="s">
        <v>44</v>
      </c>
      <c r="E722">
        <v>22</v>
      </c>
      <c r="F722">
        <v>3</v>
      </c>
      <c r="G722" t="s">
        <v>37</v>
      </c>
      <c r="H722">
        <v>1</v>
      </c>
      <c r="I722">
        <v>1004</v>
      </c>
      <c r="J722">
        <v>1</v>
      </c>
      <c r="K722" t="s">
        <v>38</v>
      </c>
      <c r="L722">
        <v>48</v>
      </c>
      <c r="M722">
        <v>3</v>
      </c>
      <c r="N722">
        <v>1</v>
      </c>
      <c r="O722" t="s">
        <v>46</v>
      </c>
      <c r="P722">
        <v>3</v>
      </c>
      <c r="Q722" t="s">
        <v>47</v>
      </c>
      <c r="R722">
        <v>2132</v>
      </c>
      <c r="S722">
        <v>11539</v>
      </c>
      <c r="T722">
        <v>4</v>
      </c>
      <c r="U722" t="s">
        <v>41</v>
      </c>
      <c r="V722" t="s">
        <v>34</v>
      </c>
      <c r="W722">
        <v>11</v>
      </c>
      <c r="X722">
        <v>3</v>
      </c>
      <c r="Y722">
        <v>2</v>
      </c>
      <c r="Z722">
        <v>80</v>
      </c>
      <c r="AA722">
        <v>0</v>
      </c>
      <c r="AB722">
        <v>7</v>
      </c>
      <c r="AC722">
        <v>2</v>
      </c>
      <c r="AD722">
        <v>3</v>
      </c>
      <c r="AE722">
        <v>5</v>
      </c>
      <c r="AF722">
        <v>2</v>
      </c>
      <c r="AG722">
        <v>0</v>
      </c>
      <c r="AH722">
        <v>1</v>
      </c>
    </row>
    <row r="723" spans="1:34" x14ac:dyDescent="0.2">
      <c r="A723">
        <v>50</v>
      </c>
      <c r="B723" t="s">
        <v>42</v>
      </c>
      <c r="C723" t="s">
        <v>35</v>
      </c>
      <c r="D723" t="s">
        <v>44</v>
      </c>
      <c r="E723">
        <v>24</v>
      </c>
      <c r="F723">
        <v>3</v>
      </c>
      <c r="G723" t="s">
        <v>37</v>
      </c>
      <c r="H723">
        <v>1</v>
      </c>
      <c r="I723">
        <v>1005</v>
      </c>
      <c r="J723">
        <v>4</v>
      </c>
      <c r="K723" t="s">
        <v>45</v>
      </c>
      <c r="L723">
        <v>95</v>
      </c>
      <c r="M723">
        <v>3</v>
      </c>
      <c r="N723">
        <v>4</v>
      </c>
      <c r="O723" t="s">
        <v>52</v>
      </c>
      <c r="P723">
        <v>3</v>
      </c>
      <c r="Q723" t="s">
        <v>47</v>
      </c>
      <c r="R723">
        <v>13973</v>
      </c>
      <c r="S723">
        <v>4161</v>
      </c>
      <c r="T723">
        <v>3</v>
      </c>
      <c r="U723" t="s">
        <v>41</v>
      </c>
      <c r="V723" t="s">
        <v>34</v>
      </c>
      <c r="W723">
        <v>18</v>
      </c>
      <c r="X723">
        <v>3</v>
      </c>
      <c r="Y723">
        <v>4</v>
      </c>
      <c r="Z723">
        <v>80</v>
      </c>
      <c r="AA723">
        <v>1</v>
      </c>
      <c r="AB723">
        <v>22</v>
      </c>
      <c r="AC723">
        <v>2</v>
      </c>
      <c r="AD723">
        <v>3</v>
      </c>
      <c r="AE723">
        <v>12</v>
      </c>
      <c r="AF723">
        <v>11</v>
      </c>
      <c r="AG723">
        <v>1</v>
      </c>
      <c r="AH723">
        <v>5</v>
      </c>
    </row>
    <row r="724" spans="1:34" x14ac:dyDescent="0.2">
      <c r="A724">
        <v>38</v>
      </c>
      <c r="B724" t="s">
        <v>42</v>
      </c>
      <c r="C724" t="s">
        <v>43</v>
      </c>
      <c r="D724" t="s">
        <v>44</v>
      </c>
      <c r="E724">
        <v>10</v>
      </c>
      <c r="F724">
        <v>1</v>
      </c>
      <c r="G724" t="s">
        <v>50</v>
      </c>
      <c r="H724">
        <v>1</v>
      </c>
      <c r="I724">
        <v>1006</v>
      </c>
      <c r="J724">
        <v>3</v>
      </c>
      <c r="K724" t="s">
        <v>45</v>
      </c>
      <c r="L724">
        <v>66</v>
      </c>
      <c r="M724">
        <v>3</v>
      </c>
      <c r="N724">
        <v>1</v>
      </c>
      <c r="O724" t="s">
        <v>46</v>
      </c>
      <c r="P724">
        <v>3</v>
      </c>
      <c r="Q724" t="s">
        <v>47</v>
      </c>
      <c r="R724">
        <v>2684</v>
      </c>
      <c r="S724">
        <v>12127</v>
      </c>
      <c r="T724">
        <v>0</v>
      </c>
      <c r="U724" t="s">
        <v>41</v>
      </c>
      <c r="V724" t="s">
        <v>42</v>
      </c>
      <c r="W724">
        <v>17</v>
      </c>
      <c r="X724">
        <v>3</v>
      </c>
      <c r="Y724">
        <v>2</v>
      </c>
      <c r="Z724">
        <v>80</v>
      </c>
      <c r="AA724">
        <v>1</v>
      </c>
      <c r="AB724">
        <v>3</v>
      </c>
      <c r="AC724">
        <v>0</v>
      </c>
      <c r="AD724">
        <v>2</v>
      </c>
      <c r="AE724">
        <v>2</v>
      </c>
      <c r="AF724">
        <v>1</v>
      </c>
      <c r="AG724">
        <v>0</v>
      </c>
      <c r="AH724">
        <v>2</v>
      </c>
    </row>
    <row r="725" spans="1:34" x14ac:dyDescent="0.2">
      <c r="A725">
        <v>46</v>
      </c>
      <c r="B725" t="s">
        <v>42</v>
      </c>
      <c r="C725" t="s">
        <v>35</v>
      </c>
      <c r="D725" t="s">
        <v>44</v>
      </c>
      <c r="E725">
        <v>7</v>
      </c>
      <c r="F725">
        <v>2</v>
      </c>
      <c r="G725" t="s">
        <v>50</v>
      </c>
      <c r="H725">
        <v>1</v>
      </c>
      <c r="I725">
        <v>1007</v>
      </c>
      <c r="J725">
        <v>4</v>
      </c>
      <c r="K725" t="s">
        <v>45</v>
      </c>
      <c r="L725">
        <v>75</v>
      </c>
      <c r="M725">
        <v>3</v>
      </c>
      <c r="N725">
        <v>3</v>
      </c>
      <c r="O725" t="s">
        <v>52</v>
      </c>
      <c r="P725">
        <v>3</v>
      </c>
      <c r="Q725" t="s">
        <v>51</v>
      </c>
      <c r="R725">
        <v>10845</v>
      </c>
      <c r="S725">
        <v>24208</v>
      </c>
      <c r="T725">
        <v>6</v>
      </c>
      <c r="U725" t="s">
        <v>41</v>
      </c>
      <c r="V725" t="s">
        <v>42</v>
      </c>
      <c r="W725">
        <v>13</v>
      </c>
      <c r="X725">
        <v>3</v>
      </c>
      <c r="Y725">
        <v>2</v>
      </c>
      <c r="Z725">
        <v>80</v>
      </c>
      <c r="AA725">
        <v>1</v>
      </c>
      <c r="AB725">
        <v>13</v>
      </c>
      <c r="AC725">
        <v>3</v>
      </c>
      <c r="AD725">
        <v>3</v>
      </c>
      <c r="AE725">
        <v>8</v>
      </c>
      <c r="AF725">
        <v>7</v>
      </c>
      <c r="AG725">
        <v>0</v>
      </c>
      <c r="AH725">
        <v>7</v>
      </c>
    </row>
    <row r="726" spans="1:34" x14ac:dyDescent="0.2">
      <c r="A726">
        <v>24</v>
      </c>
      <c r="B726" t="s">
        <v>42</v>
      </c>
      <c r="C726" t="s">
        <v>35</v>
      </c>
      <c r="D726" t="s">
        <v>44</v>
      </c>
      <c r="E726">
        <v>17</v>
      </c>
      <c r="F726">
        <v>1</v>
      </c>
      <c r="G726" t="s">
        <v>50</v>
      </c>
      <c r="H726">
        <v>1</v>
      </c>
      <c r="I726">
        <v>1009</v>
      </c>
      <c r="J726">
        <v>4</v>
      </c>
      <c r="K726" t="s">
        <v>38</v>
      </c>
      <c r="L726">
        <v>41</v>
      </c>
      <c r="M726">
        <v>2</v>
      </c>
      <c r="N726">
        <v>2</v>
      </c>
      <c r="O726" t="s">
        <v>52</v>
      </c>
      <c r="P726">
        <v>3</v>
      </c>
      <c r="Q726" t="s">
        <v>51</v>
      </c>
      <c r="R726">
        <v>4377</v>
      </c>
      <c r="S726">
        <v>24117</v>
      </c>
      <c r="T726">
        <v>1</v>
      </c>
      <c r="U726" t="s">
        <v>41</v>
      </c>
      <c r="V726" t="s">
        <v>42</v>
      </c>
      <c r="W726">
        <v>15</v>
      </c>
      <c r="X726">
        <v>3</v>
      </c>
      <c r="Y726">
        <v>2</v>
      </c>
      <c r="Z726">
        <v>80</v>
      </c>
      <c r="AA726">
        <v>2</v>
      </c>
      <c r="AB726">
        <v>5</v>
      </c>
      <c r="AC726">
        <v>6</v>
      </c>
      <c r="AD726">
        <v>3</v>
      </c>
      <c r="AE726">
        <v>4</v>
      </c>
      <c r="AF726">
        <v>2</v>
      </c>
      <c r="AG726">
        <v>3</v>
      </c>
      <c r="AH726">
        <v>2</v>
      </c>
    </row>
    <row r="727" spans="1:34" x14ac:dyDescent="0.2">
      <c r="A727">
        <v>35</v>
      </c>
      <c r="B727" t="s">
        <v>34</v>
      </c>
      <c r="C727" t="s">
        <v>35</v>
      </c>
      <c r="D727" t="s">
        <v>44</v>
      </c>
      <c r="E727">
        <v>14</v>
      </c>
      <c r="F727">
        <v>4</v>
      </c>
      <c r="G727" t="s">
        <v>48</v>
      </c>
      <c r="H727">
        <v>1</v>
      </c>
      <c r="I727">
        <v>1010</v>
      </c>
      <c r="J727">
        <v>3</v>
      </c>
      <c r="K727" t="s">
        <v>45</v>
      </c>
      <c r="L727">
        <v>39</v>
      </c>
      <c r="M727">
        <v>2</v>
      </c>
      <c r="N727">
        <v>1</v>
      </c>
      <c r="O727" t="s">
        <v>49</v>
      </c>
      <c r="P727">
        <v>2</v>
      </c>
      <c r="Q727" t="s">
        <v>51</v>
      </c>
      <c r="R727">
        <v>3743</v>
      </c>
      <c r="S727">
        <v>10074</v>
      </c>
      <c r="T727">
        <v>1</v>
      </c>
      <c r="U727" t="s">
        <v>41</v>
      </c>
      <c r="V727" t="s">
        <v>34</v>
      </c>
      <c r="W727">
        <v>24</v>
      </c>
      <c r="X727">
        <v>4</v>
      </c>
      <c r="Y727">
        <v>4</v>
      </c>
      <c r="Z727">
        <v>80</v>
      </c>
      <c r="AA727">
        <v>1</v>
      </c>
      <c r="AB727">
        <v>5</v>
      </c>
      <c r="AC727">
        <v>2</v>
      </c>
      <c r="AD727">
        <v>1</v>
      </c>
      <c r="AE727">
        <v>4</v>
      </c>
      <c r="AF727">
        <v>2</v>
      </c>
      <c r="AG727">
        <v>0</v>
      </c>
      <c r="AH727">
        <v>2</v>
      </c>
    </row>
    <row r="728" spans="1:34" x14ac:dyDescent="0.2">
      <c r="A728">
        <v>31</v>
      </c>
      <c r="B728" t="s">
        <v>42</v>
      </c>
      <c r="C728" t="s">
        <v>43</v>
      </c>
      <c r="D728" t="s">
        <v>44</v>
      </c>
      <c r="E728">
        <v>1</v>
      </c>
      <c r="F728">
        <v>1</v>
      </c>
      <c r="G728" t="s">
        <v>37</v>
      </c>
      <c r="H728">
        <v>1</v>
      </c>
      <c r="I728">
        <v>1011</v>
      </c>
      <c r="J728">
        <v>3</v>
      </c>
      <c r="K728" t="s">
        <v>38</v>
      </c>
      <c r="L728">
        <v>96</v>
      </c>
      <c r="M728">
        <v>3</v>
      </c>
      <c r="N728">
        <v>2</v>
      </c>
      <c r="O728" t="s">
        <v>52</v>
      </c>
      <c r="P728">
        <v>1</v>
      </c>
      <c r="Q728" t="s">
        <v>47</v>
      </c>
      <c r="R728">
        <v>4148</v>
      </c>
      <c r="S728">
        <v>11275</v>
      </c>
      <c r="T728">
        <v>1</v>
      </c>
      <c r="U728" t="s">
        <v>41</v>
      </c>
      <c r="V728" t="s">
        <v>42</v>
      </c>
      <c r="W728">
        <v>12</v>
      </c>
      <c r="X728">
        <v>3</v>
      </c>
      <c r="Y728">
        <v>3</v>
      </c>
      <c r="Z728">
        <v>80</v>
      </c>
      <c r="AA728">
        <v>1</v>
      </c>
      <c r="AB728">
        <v>4</v>
      </c>
      <c r="AC728">
        <v>1</v>
      </c>
      <c r="AD728">
        <v>3</v>
      </c>
      <c r="AE728">
        <v>4</v>
      </c>
      <c r="AF728">
        <v>3</v>
      </c>
      <c r="AG728">
        <v>0</v>
      </c>
      <c r="AH728">
        <v>3</v>
      </c>
    </row>
    <row r="729" spans="1:34" x14ac:dyDescent="0.2">
      <c r="A729">
        <v>18</v>
      </c>
      <c r="B729" t="s">
        <v>42</v>
      </c>
      <c r="C729" t="s">
        <v>54</v>
      </c>
      <c r="D729" t="s">
        <v>44</v>
      </c>
      <c r="E729">
        <v>5</v>
      </c>
      <c r="F729">
        <v>2</v>
      </c>
      <c r="G729" t="s">
        <v>37</v>
      </c>
      <c r="H729">
        <v>1</v>
      </c>
      <c r="I729">
        <v>1012</v>
      </c>
      <c r="J729">
        <v>2</v>
      </c>
      <c r="K729" t="s">
        <v>45</v>
      </c>
      <c r="L729">
        <v>73</v>
      </c>
      <c r="M729">
        <v>3</v>
      </c>
      <c r="N729">
        <v>1</v>
      </c>
      <c r="O729" t="s">
        <v>46</v>
      </c>
      <c r="P729">
        <v>4</v>
      </c>
      <c r="Q729" t="s">
        <v>40</v>
      </c>
      <c r="R729">
        <v>1051</v>
      </c>
      <c r="S729">
        <v>13493</v>
      </c>
      <c r="T729">
        <v>1</v>
      </c>
      <c r="U729" t="s">
        <v>41</v>
      </c>
      <c r="V729" t="s">
        <v>42</v>
      </c>
      <c r="W729">
        <v>15</v>
      </c>
      <c r="X729">
        <v>3</v>
      </c>
      <c r="Y729">
        <v>4</v>
      </c>
      <c r="Z729">
        <v>80</v>
      </c>
      <c r="AA729">
        <v>0</v>
      </c>
      <c r="AB729">
        <v>0</v>
      </c>
      <c r="AC729">
        <v>2</v>
      </c>
      <c r="AD729">
        <v>3</v>
      </c>
      <c r="AE729">
        <v>0</v>
      </c>
      <c r="AF729">
        <v>0</v>
      </c>
      <c r="AG729">
        <v>0</v>
      </c>
      <c r="AH729">
        <v>0</v>
      </c>
    </row>
    <row r="730" spans="1:34" x14ac:dyDescent="0.2">
      <c r="A730">
        <v>54</v>
      </c>
      <c r="B730" t="s">
        <v>42</v>
      </c>
      <c r="C730" t="s">
        <v>35</v>
      </c>
      <c r="D730" t="s">
        <v>44</v>
      </c>
      <c r="E730">
        <v>17</v>
      </c>
      <c r="F730">
        <v>3</v>
      </c>
      <c r="G730" t="s">
        <v>59</v>
      </c>
      <c r="H730">
        <v>1</v>
      </c>
      <c r="I730">
        <v>1013</v>
      </c>
      <c r="J730">
        <v>3</v>
      </c>
      <c r="K730" t="s">
        <v>38</v>
      </c>
      <c r="L730">
        <v>56</v>
      </c>
      <c r="M730">
        <v>3</v>
      </c>
      <c r="N730">
        <v>3</v>
      </c>
      <c r="O730" t="s">
        <v>52</v>
      </c>
      <c r="P730">
        <v>3</v>
      </c>
      <c r="Q730" t="s">
        <v>47</v>
      </c>
      <c r="R730">
        <v>10739</v>
      </c>
      <c r="S730">
        <v>13943</v>
      </c>
      <c r="T730">
        <v>8</v>
      </c>
      <c r="U730" t="s">
        <v>41</v>
      </c>
      <c r="V730" t="s">
        <v>42</v>
      </c>
      <c r="W730">
        <v>11</v>
      </c>
      <c r="X730">
        <v>3</v>
      </c>
      <c r="Y730">
        <v>3</v>
      </c>
      <c r="Z730">
        <v>80</v>
      </c>
      <c r="AA730">
        <v>1</v>
      </c>
      <c r="AB730">
        <v>22</v>
      </c>
      <c r="AC730">
        <v>2</v>
      </c>
      <c r="AD730">
        <v>3</v>
      </c>
      <c r="AE730">
        <v>10</v>
      </c>
      <c r="AF730">
        <v>7</v>
      </c>
      <c r="AG730">
        <v>0</v>
      </c>
      <c r="AH730">
        <v>8</v>
      </c>
    </row>
    <row r="731" spans="1:34" x14ac:dyDescent="0.2">
      <c r="A731">
        <v>35</v>
      </c>
      <c r="B731" t="s">
        <v>42</v>
      </c>
      <c r="C731" t="s">
        <v>35</v>
      </c>
      <c r="D731" t="s">
        <v>44</v>
      </c>
      <c r="E731">
        <v>25</v>
      </c>
      <c r="F731">
        <v>4</v>
      </c>
      <c r="G731" t="s">
        <v>50</v>
      </c>
      <c r="H731">
        <v>1</v>
      </c>
      <c r="I731">
        <v>1014</v>
      </c>
      <c r="J731">
        <v>3</v>
      </c>
      <c r="K731" t="s">
        <v>38</v>
      </c>
      <c r="L731">
        <v>57</v>
      </c>
      <c r="M731">
        <v>3</v>
      </c>
      <c r="N731">
        <v>3</v>
      </c>
      <c r="O731" t="s">
        <v>53</v>
      </c>
      <c r="P731">
        <v>3</v>
      </c>
      <c r="Q731" t="s">
        <v>51</v>
      </c>
      <c r="R731">
        <v>10388</v>
      </c>
      <c r="S731">
        <v>6975</v>
      </c>
      <c r="T731">
        <v>1</v>
      </c>
      <c r="U731" t="s">
        <v>41</v>
      </c>
      <c r="V731" t="s">
        <v>34</v>
      </c>
      <c r="W731">
        <v>11</v>
      </c>
      <c r="X731">
        <v>3</v>
      </c>
      <c r="Y731">
        <v>3</v>
      </c>
      <c r="Z731">
        <v>80</v>
      </c>
      <c r="AA731">
        <v>1</v>
      </c>
      <c r="AB731">
        <v>16</v>
      </c>
      <c r="AC731">
        <v>3</v>
      </c>
      <c r="AD731">
        <v>2</v>
      </c>
      <c r="AE731">
        <v>16</v>
      </c>
      <c r="AF731">
        <v>10</v>
      </c>
      <c r="AG731">
        <v>10</v>
      </c>
      <c r="AH731">
        <v>1</v>
      </c>
    </row>
    <row r="732" spans="1:34" x14ac:dyDescent="0.2">
      <c r="A732">
        <v>30</v>
      </c>
      <c r="B732" t="s">
        <v>42</v>
      </c>
      <c r="C732" t="s">
        <v>35</v>
      </c>
      <c r="D732" t="s">
        <v>44</v>
      </c>
      <c r="E732">
        <v>8</v>
      </c>
      <c r="F732">
        <v>2</v>
      </c>
      <c r="G732" t="s">
        <v>37</v>
      </c>
      <c r="H732">
        <v>1</v>
      </c>
      <c r="I732">
        <v>1015</v>
      </c>
      <c r="J732">
        <v>2</v>
      </c>
      <c r="K732" t="s">
        <v>38</v>
      </c>
      <c r="L732">
        <v>73</v>
      </c>
      <c r="M732">
        <v>4</v>
      </c>
      <c r="N732">
        <v>3</v>
      </c>
      <c r="O732" t="s">
        <v>57</v>
      </c>
      <c r="P732">
        <v>1</v>
      </c>
      <c r="Q732" t="s">
        <v>47</v>
      </c>
      <c r="R732">
        <v>11416</v>
      </c>
      <c r="S732">
        <v>17802</v>
      </c>
      <c r="T732">
        <v>0</v>
      </c>
      <c r="U732" t="s">
        <v>41</v>
      </c>
      <c r="V732" t="s">
        <v>34</v>
      </c>
      <c r="W732">
        <v>12</v>
      </c>
      <c r="X732">
        <v>3</v>
      </c>
      <c r="Y732">
        <v>3</v>
      </c>
      <c r="Z732">
        <v>80</v>
      </c>
      <c r="AA732">
        <v>3</v>
      </c>
      <c r="AB732">
        <v>9</v>
      </c>
      <c r="AC732">
        <v>4</v>
      </c>
      <c r="AD732">
        <v>2</v>
      </c>
      <c r="AE732">
        <v>8</v>
      </c>
      <c r="AF732">
        <v>7</v>
      </c>
      <c r="AG732">
        <v>1</v>
      </c>
      <c r="AH732">
        <v>7</v>
      </c>
    </row>
    <row r="733" spans="1:34" x14ac:dyDescent="0.2">
      <c r="A733">
        <v>20</v>
      </c>
      <c r="B733" t="s">
        <v>34</v>
      </c>
      <c r="C733" t="s">
        <v>35</v>
      </c>
      <c r="D733" t="s">
        <v>44</v>
      </c>
      <c r="E733">
        <v>11</v>
      </c>
      <c r="F733">
        <v>3</v>
      </c>
      <c r="G733" t="s">
        <v>50</v>
      </c>
      <c r="H733">
        <v>1</v>
      </c>
      <c r="I733">
        <v>1016</v>
      </c>
      <c r="J733">
        <v>4</v>
      </c>
      <c r="K733" t="s">
        <v>38</v>
      </c>
      <c r="L733">
        <v>98</v>
      </c>
      <c r="M733">
        <v>2</v>
      </c>
      <c r="N733">
        <v>1</v>
      </c>
      <c r="O733" t="s">
        <v>46</v>
      </c>
      <c r="P733">
        <v>1</v>
      </c>
      <c r="Q733" t="s">
        <v>40</v>
      </c>
      <c r="R733">
        <v>2600</v>
      </c>
      <c r="S733">
        <v>18275</v>
      </c>
      <c r="T733">
        <v>1</v>
      </c>
      <c r="U733" t="s">
        <v>41</v>
      </c>
      <c r="V733" t="s">
        <v>34</v>
      </c>
      <c r="W733">
        <v>15</v>
      </c>
      <c r="X733">
        <v>3</v>
      </c>
      <c r="Y733">
        <v>1</v>
      </c>
      <c r="Z733">
        <v>80</v>
      </c>
      <c r="AA733">
        <v>0</v>
      </c>
      <c r="AB733">
        <v>1</v>
      </c>
      <c r="AC733">
        <v>2</v>
      </c>
      <c r="AD733">
        <v>3</v>
      </c>
      <c r="AE733">
        <v>1</v>
      </c>
      <c r="AF733">
        <v>0</v>
      </c>
      <c r="AG733">
        <v>0</v>
      </c>
      <c r="AH733">
        <v>0</v>
      </c>
    </row>
    <row r="734" spans="1:34" x14ac:dyDescent="0.2">
      <c r="A734">
        <v>30</v>
      </c>
      <c r="B734" t="s">
        <v>34</v>
      </c>
      <c r="C734" t="s">
        <v>43</v>
      </c>
      <c r="D734" t="s">
        <v>44</v>
      </c>
      <c r="E734">
        <v>5</v>
      </c>
      <c r="F734">
        <v>3</v>
      </c>
      <c r="G734" t="s">
        <v>50</v>
      </c>
      <c r="H734">
        <v>1</v>
      </c>
      <c r="I734">
        <v>1017</v>
      </c>
      <c r="J734">
        <v>2</v>
      </c>
      <c r="K734" t="s">
        <v>38</v>
      </c>
      <c r="L734">
        <v>60</v>
      </c>
      <c r="M734">
        <v>3</v>
      </c>
      <c r="N734">
        <v>1</v>
      </c>
      <c r="O734" t="s">
        <v>49</v>
      </c>
      <c r="P734">
        <v>2</v>
      </c>
      <c r="Q734" t="s">
        <v>40</v>
      </c>
      <c r="R734">
        <v>2422</v>
      </c>
      <c r="S734">
        <v>25725</v>
      </c>
      <c r="T734">
        <v>0</v>
      </c>
      <c r="U734" t="s">
        <v>41</v>
      </c>
      <c r="V734" t="s">
        <v>42</v>
      </c>
      <c r="W734">
        <v>17</v>
      </c>
      <c r="X734">
        <v>3</v>
      </c>
      <c r="Y734">
        <v>1</v>
      </c>
      <c r="Z734">
        <v>80</v>
      </c>
      <c r="AA734">
        <v>0</v>
      </c>
      <c r="AB734">
        <v>4</v>
      </c>
      <c r="AC734">
        <v>3</v>
      </c>
      <c r="AD734">
        <v>3</v>
      </c>
      <c r="AE734">
        <v>3</v>
      </c>
      <c r="AF734">
        <v>2</v>
      </c>
      <c r="AG734">
        <v>1</v>
      </c>
      <c r="AH734">
        <v>2</v>
      </c>
    </row>
    <row r="735" spans="1:34" x14ac:dyDescent="0.2">
      <c r="A735">
        <v>26</v>
      </c>
      <c r="B735" t="s">
        <v>42</v>
      </c>
      <c r="C735" t="s">
        <v>35</v>
      </c>
      <c r="D735" t="s">
        <v>44</v>
      </c>
      <c r="E735">
        <v>2</v>
      </c>
      <c r="F735">
        <v>2</v>
      </c>
      <c r="G735" t="s">
        <v>50</v>
      </c>
      <c r="H735">
        <v>1</v>
      </c>
      <c r="I735">
        <v>1018</v>
      </c>
      <c r="J735">
        <v>4</v>
      </c>
      <c r="K735" t="s">
        <v>45</v>
      </c>
      <c r="L735">
        <v>32</v>
      </c>
      <c r="M735">
        <v>4</v>
      </c>
      <c r="N735">
        <v>2</v>
      </c>
      <c r="O735" t="s">
        <v>52</v>
      </c>
      <c r="P735">
        <v>4</v>
      </c>
      <c r="Q735" t="s">
        <v>47</v>
      </c>
      <c r="R735">
        <v>5472</v>
      </c>
      <c r="S735">
        <v>3334</v>
      </c>
      <c r="T735">
        <v>1</v>
      </c>
      <c r="U735" t="s">
        <v>41</v>
      </c>
      <c r="V735" t="s">
        <v>42</v>
      </c>
      <c r="W735">
        <v>12</v>
      </c>
      <c r="X735">
        <v>3</v>
      </c>
      <c r="Y735">
        <v>2</v>
      </c>
      <c r="Z735">
        <v>80</v>
      </c>
      <c r="AA735">
        <v>0</v>
      </c>
      <c r="AB735">
        <v>8</v>
      </c>
      <c r="AC735">
        <v>2</v>
      </c>
      <c r="AD735">
        <v>3</v>
      </c>
      <c r="AE735">
        <v>8</v>
      </c>
      <c r="AF735">
        <v>7</v>
      </c>
      <c r="AG735">
        <v>1</v>
      </c>
      <c r="AH735">
        <v>3</v>
      </c>
    </row>
    <row r="736" spans="1:34" x14ac:dyDescent="0.2">
      <c r="A736">
        <v>22</v>
      </c>
      <c r="B736" t="s">
        <v>42</v>
      </c>
      <c r="C736" t="s">
        <v>35</v>
      </c>
      <c r="D736" t="s">
        <v>44</v>
      </c>
      <c r="E736">
        <v>8</v>
      </c>
      <c r="F736">
        <v>1</v>
      </c>
      <c r="G736" t="s">
        <v>37</v>
      </c>
      <c r="H736">
        <v>1</v>
      </c>
      <c r="I736">
        <v>1019</v>
      </c>
      <c r="J736">
        <v>2</v>
      </c>
      <c r="K736" t="s">
        <v>45</v>
      </c>
      <c r="L736">
        <v>94</v>
      </c>
      <c r="M736">
        <v>1</v>
      </c>
      <c r="N736">
        <v>1</v>
      </c>
      <c r="O736" t="s">
        <v>49</v>
      </c>
      <c r="P736">
        <v>1</v>
      </c>
      <c r="Q736" t="s">
        <v>47</v>
      </c>
      <c r="R736">
        <v>2451</v>
      </c>
      <c r="S736">
        <v>6881</v>
      </c>
      <c r="T736">
        <v>1</v>
      </c>
      <c r="U736" t="s">
        <v>41</v>
      </c>
      <c r="V736" t="s">
        <v>42</v>
      </c>
      <c r="W736">
        <v>15</v>
      </c>
      <c r="X736">
        <v>3</v>
      </c>
      <c r="Y736">
        <v>1</v>
      </c>
      <c r="Z736">
        <v>80</v>
      </c>
      <c r="AA736">
        <v>1</v>
      </c>
      <c r="AB736">
        <v>4</v>
      </c>
      <c r="AC736">
        <v>3</v>
      </c>
      <c r="AD736">
        <v>2</v>
      </c>
      <c r="AE736">
        <v>4</v>
      </c>
      <c r="AF736">
        <v>3</v>
      </c>
      <c r="AG736">
        <v>1</v>
      </c>
      <c r="AH736">
        <v>1</v>
      </c>
    </row>
    <row r="737" spans="1:34" x14ac:dyDescent="0.2">
      <c r="A737">
        <v>48</v>
      </c>
      <c r="B737" t="s">
        <v>42</v>
      </c>
      <c r="C737" t="s">
        <v>35</v>
      </c>
      <c r="D737" t="s">
        <v>44</v>
      </c>
      <c r="E737">
        <v>6</v>
      </c>
      <c r="F737">
        <v>3</v>
      </c>
      <c r="G737" t="s">
        <v>37</v>
      </c>
      <c r="H737">
        <v>1</v>
      </c>
      <c r="I737">
        <v>1022</v>
      </c>
      <c r="J737">
        <v>1</v>
      </c>
      <c r="K737" t="s">
        <v>45</v>
      </c>
      <c r="L737">
        <v>97</v>
      </c>
      <c r="M737">
        <v>2</v>
      </c>
      <c r="N737">
        <v>2</v>
      </c>
      <c r="O737" t="s">
        <v>53</v>
      </c>
      <c r="P737">
        <v>3</v>
      </c>
      <c r="Q737" t="s">
        <v>40</v>
      </c>
      <c r="R737">
        <v>4240</v>
      </c>
      <c r="S737">
        <v>13119</v>
      </c>
      <c r="T737">
        <v>2</v>
      </c>
      <c r="U737" t="s">
        <v>41</v>
      </c>
      <c r="V737" t="s">
        <v>42</v>
      </c>
      <c r="W737">
        <v>13</v>
      </c>
      <c r="X737">
        <v>3</v>
      </c>
      <c r="Y737">
        <v>4</v>
      </c>
      <c r="Z737">
        <v>80</v>
      </c>
      <c r="AA737">
        <v>0</v>
      </c>
      <c r="AB737">
        <v>19</v>
      </c>
      <c r="AC737">
        <v>0</v>
      </c>
      <c r="AD737">
        <v>3</v>
      </c>
      <c r="AE737">
        <v>2</v>
      </c>
      <c r="AF737">
        <v>2</v>
      </c>
      <c r="AG737">
        <v>2</v>
      </c>
      <c r="AH737">
        <v>2</v>
      </c>
    </row>
    <row r="738" spans="1:34" x14ac:dyDescent="0.2">
      <c r="A738">
        <v>48</v>
      </c>
      <c r="B738" t="s">
        <v>42</v>
      </c>
      <c r="C738" t="s">
        <v>35</v>
      </c>
      <c r="D738" t="s">
        <v>44</v>
      </c>
      <c r="E738">
        <v>4</v>
      </c>
      <c r="F738">
        <v>4</v>
      </c>
      <c r="G738" t="s">
        <v>37</v>
      </c>
      <c r="H738">
        <v>1</v>
      </c>
      <c r="I738">
        <v>1024</v>
      </c>
      <c r="J738">
        <v>3</v>
      </c>
      <c r="K738" t="s">
        <v>45</v>
      </c>
      <c r="L738">
        <v>78</v>
      </c>
      <c r="M738">
        <v>2</v>
      </c>
      <c r="N738">
        <v>3</v>
      </c>
      <c r="O738" t="s">
        <v>53</v>
      </c>
      <c r="P738">
        <v>3</v>
      </c>
      <c r="Q738" t="s">
        <v>40</v>
      </c>
      <c r="R738">
        <v>10999</v>
      </c>
      <c r="S738">
        <v>22245</v>
      </c>
      <c r="T738">
        <v>7</v>
      </c>
      <c r="U738" t="s">
        <v>41</v>
      </c>
      <c r="V738" t="s">
        <v>42</v>
      </c>
      <c r="W738">
        <v>14</v>
      </c>
      <c r="X738">
        <v>3</v>
      </c>
      <c r="Y738">
        <v>2</v>
      </c>
      <c r="Z738">
        <v>80</v>
      </c>
      <c r="AA738">
        <v>0</v>
      </c>
      <c r="AB738">
        <v>27</v>
      </c>
      <c r="AC738">
        <v>3</v>
      </c>
      <c r="AD738">
        <v>3</v>
      </c>
      <c r="AE738">
        <v>15</v>
      </c>
      <c r="AF738">
        <v>11</v>
      </c>
      <c r="AG738">
        <v>4</v>
      </c>
      <c r="AH738">
        <v>8</v>
      </c>
    </row>
    <row r="739" spans="1:34" x14ac:dyDescent="0.2">
      <c r="A739">
        <v>41</v>
      </c>
      <c r="B739" t="s">
        <v>42</v>
      </c>
      <c r="C739" t="s">
        <v>35</v>
      </c>
      <c r="D739" t="s">
        <v>44</v>
      </c>
      <c r="E739">
        <v>7</v>
      </c>
      <c r="F739">
        <v>2</v>
      </c>
      <c r="G739" t="s">
        <v>50</v>
      </c>
      <c r="H739">
        <v>1</v>
      </c>
      <c r="I739">
        <v>1025</v>
      </c>
      <c r="J739">
        <v>4</v>
      </c>
      <c r="K739" t="s">
        <v>38</v>
      </c>
      <c r="L739">
        <v>42</v>
      </c>
      <c r="M739">
        <v>3</v>
      </c>
      <c r="N739">
        <v>2</v>
      </c>
      <c r="O739" t="s">
        <v>52</v>
      </c>
      <c r="P739">
        <v>3</v>
      </c>
      <c r="Q739" t="s">
        <v>40</v>
      </c>
      <c r="R739">
        <v>5003</v>
      </c>
      <c r="S739">
        <v>23371</v>
      </c>
      <c r="T739">
        <v>6</v>
      </c>
      <c r="U739" t="s">
        <v>41</v>
      </c>
      <c r="V739" t="s">
        <v>42</v>
      </c>
      <c r="W739">
        <v>14</v>
      </c>
      <c r="X739">
        <v>3</v>
      </c>
      <c r="Y739">
        <v>2</v>
      </c>
      <c r="Z739">
        <v>80</v>
      </c>
      <c r="AA739">
        <v>0</v>
      </c>
      <c r="AB739">
        <v>8</v>
      </c>
      <c r="AC739">
        <v>6</v>
      </c>
      <c r="AD739">
        <v>3</v>
      </c>
      <c r="AE739">
        <v>2</v>
      </c>
      <c r="AF739">
        <v>2</v>
      </c>
      <c r="AG739">
        <v>2</v>
      </c>
      <c r="AH739">
        <v>1</v>
      </c>
    </row>
    <row r="740" spans="1:34" x14ac:dyDescent="0.2">
      <c r="A740">
        <v>39</v>
      </c>
      <c r="B740" t="s">
        <v>42</v>
      </c>
      <c r="C740" t="s">
        <v>35</v>
      </c>
      <c r="D740" t="s">
        <v>44</v>
      </c>
      <c r="E740">
        <v>1</v>
      </c>
      <c r="F740">
        <v>1</v>
      </c>
      <c r="G740" t="s">
        <v>37</v>
      </c>
      <c r="H740">
        <v>1</v>
      </c>
      <c r="I740">
        <v>1026</v>
      </c>
      <c r="J740">
        <v>4</v>
      </c>
      <c r="K740" t="s">
        <v>38</v>
      </c>
      <c r="L740">
        <v>65</v>
      </c>
      <c r="M740">
        <v>2</v>
      </c>
      <c r="N740">
        <v>4</v>
      </c>
      <c r="O740" t="s">
        <v>52</v>
      </c>
      <c r="P740">
        <v>4</v>
      </c>
      <c r="Q740" t="s">
        <v>47</v>
      </c>
      <c r="R740">
        <v>12742</v>
      </c>
      <c r="S740">
        <v>7060</v>
      </c>
      <c r="T740">
        <v>1</v>
      </c>
      <c r="U740" t="s">
        <v>41</v>
      </c>
      <c r="V740" t="s">
        <v>42</v>
      </c>
      <c r="W740">
        <v>16</v>
      </c>
      <c r="X740">
        <v>3</v>
      </c>
      <c r="Y740">
        <v>3</v>
      </c>
      <c r="Z740">
        <v>80</v>
      </c>
      <c r="AA740">
        <v>1</v>
      </c>
      <c r="AB740">
        <v>21</v>
      </c>
      <c r="AC740">
        <v>3</v>
      </c>
      <c r="AD740">
        <v>3</v>
      </c>
      <c r="AE740">
        <v>21</v>
      </c>
      <c r="AF740">
        <v>6</v>
      </c>
      <c r="AG740">
        <v>11</v>
      </c>
      <c r="AH740">
        <v>8</v>
      </c>
    </row>
    <row r="741" spans="1:34" x14ac:dyDescent="0.2">
      <c r="A741">
        <v>27</v>
      </c>
      <c r="B741" t="s">
        <v>42</v>
      </c>
      <c r="C741" t="s">
        <v>35</v>
      </c>
      <c r="D741" t="s">
        <v>44</v>
      </c>
      <c r="E741">
        <v>2</v>
      </c>
      <c r="F741">
        <v>4</v>
      </c>
      <c r="G741" t="s">
        <v>37</v>
      </c>
      <c r="H741">
        <v>1</v>
      </c>
      <c r="I741">
        <v>1027</v>
      </c>
      <c r="J741">
        <v>1</v>
      </c>
      <c r="K741" t="s">
        <v>38</v>
      </c>
      <c r="L741">
        <v>47</v>
      </c>
      <c r="M741">
        <v>3</v>
      </c>
      <c r="N741">
        <v>2</v>
      </c>
      <c r="O741" t="s">
        <v>52</v>
      </c>
      <c r="P741">
        <v>4</v>
      </c>
      <c r="Q741" t="s">
        <v>47</v>
      </c>
      <c r="R741">
        <v>4227</v>
      </c>
      <c r="S741">
        <v>4658</v>
      </c>
      <c r="T741">
        <v>0</v>
      </c>
      <c r="U741" t="s">
        <v>41</v>
      </c>
      <c r="V741" t="s">
        <v>42</v>
      </c>
      <c r="W741">
        <v>18</v>
      </c>
      <c r="X741">
        <v>3</v>
      </c>
      <c r="Y741">
        <v>2</v>
      </c>
      <c r="Z741">
        <v>80</v>
      </c>
      <c r="AA741">
        <v>1</v>
      </c>
      <c r="AB741">
        <v>4</v>
      </c>
      <c r="AC741">
        <v>2</v>
      </c>
      <c r="AD741">
        <v>3</v>
      </c>
      <c r="AE741">
        <v>3</v>
      </c>
      <c r="AF741">
        <v>2</v>
      </c>
      <c r="AG741">
        <v>2</v>
      </c>
      <c r="AH741">
        <v>2</v>
      </c>
    </row>
    <row r="742" spans="1:34" x14ac:dyDescent="0.2">
      <c r="A742">
        <v>35</v>
      </c>
      <c r="B742" t="s">
        <v>42</v>
      </c>
      <c r="C742" t="s">
        <v>35</v>
      </c>
      <c r="D742" t="s">
        <v>44</v>
      </c>
      <c r="E742">
        <v>10</v>
      </c>
      <c r="F742">
        <v>3</v>
      </c>
      <c r="G742" t="s">
        <v>48</v>
      </c>
      <c r="H742">
        <v>1</v>
      </c>
      <c r="I742">
        <v>1028</v>
      </c>
      <c r="J742">
        <v>2</v>
      </c>
      <c r="K742" t="s">
        <v>45</v>
      </c>
      <c r="L742">
        <v>45</v>
      </c>
      <c r="M742">
        <v>3</v>
      </c>
      <c r="N742">
        <v>1</v>
      </c>
      <c r="O742" t="s">
        <v>49</v>
      </c>
      <c r="P742">
        <v>4</v>
      </c>
      <c r="Q742" t="s">
        <v>51</v>
      </c>
      <c r="R742">
        <v>3917</v>
      </c>
      <c r="S742">
        <v>9541</v>
      </c>
      <c r="T742">
        <v>1</v>
      </c>
      <c r="U742" t="s">
        <v>41</v>
      </c>
      <c r="V742" t="s">
        <v>42</v>
      </c>
      <c r="W742">
        <v>20</v>
      </c>
      <c r="X742">
        <v>4</v>
      </c>
      <c r="Y742">
        <v>1</v>
      </c>
      <c r="Z742">
        <v>80</v>
      </c>
      <c r="AA742">
        <v>1</v>
      </c>
      <c r="AB742">
        <v>3</v>
      </c>
      <c r="AC742">
        <v>4</v>
      </c>
      <c r="AD742">
        <v>2</v>
      </c>
      <c r="AE742">
        <v>3</v>
      </c>
      <c r="AF742">
        <v>2</v>
      </c>
      <c r="AG742">
        <v>1</v>
      </c>
      <c r="AH742">
        <v>2</v>
      </c>
    </row>
    <row r="743" spans="1:34" x14ac:dyDescent="0.2">
      <c r="A743">
        <v>42</v>
      </c>
      <c r="B743" t="s">
        <v>42</v>
      </c>
      <c r="C743" t="s">
        <v>35</v>
      </c>
      <c r="D743" t="s">
        <v>36</v>
      </c>
      <c r="E743">
        <v>5</v>
      </c>
      <c r="F743">
        <v>2</v>
      </c>
      <c r="G743" t="s">
        <v>58</v>
      </c>
      <c r="H743">
        <v>1</v>
      </c>
      <c r="I743">
        <v>1029</v>
      </c>
      <c r="J743">
        <v>4</v>
      </c>
      <c r="K743" t="s">
        <v>45</v>
      </c>
      <c r="L743">
        <v>90</v>
      </c>
      <c r="M743">
        <v>3</v>
      </c>
      <c r="N743">
        <v>5</v>
      </c>
      <c r="O743" t="s">
        <v>55</v>
      </c>
      <c r="P743">
        <v>3</v>
      </c>
      <c r="Q743" t="s">
        <v>47</v>
      </c>
      <c r="R743">
        <v>18303</v>
      </c>
      <c r="S743">
        <v>7770</v>
      </c>
      <c r="T743">
        <v>6</v>
      </c>
      <c r="U743" t="s">
        <v>41</v>
      </c>
      <c r="V743" t="s">
        <v>42</v>
      </c>
      <c r="W743">
        <v>13</v>
      </c>
      <c r="X743">
        <v>3</v>
      </c>
      <c r="Y743">
        <v>2</v>
      </c>
      <c r="Z743">
        <v>80</v>
      </c>
      <c r="AA743">
        <v>0</v>
      </c>
      <c r="AB743">
        <v>21</v>
      </c>
      <c r="AC743">
        <v>3</v>
      </c>
      <c r="AD743">
        <v>4</v>
      </c>
      <c r="AE743">
        <v>1</v>
      </c>
      <c r="AF743">
        <v>0</v>
      </c>
      <c r="AG743">
        <v>0</v>
      </c>
      <c r="AH743">
        <v>0</v>
      </c>
    </row>
    <row r="744" spans="1:34" x14ac:dyDescent="0.2">
      <c r="A744">
        <v>50</v>
      </c>
      <c r="B744" t="s">
        <v>42</v>
      </c>
      <c r="C744" t="s">
        <v>35</v>
      </c>
      <c r="D744" t="s">
        <v>44</v>
      </c>
      <c r="E744">
        <v>9</v>
      </c>
      <c r="F744">
        <v>3</v>
      </c>
      <c r="G744" t="s">
        <v>37</v>
      </c>
      <c r="H744">
        <v>1</v>
      </c>
      <c r="I744">
        <v>1030</v>
      </c>
      <c r="J744">
        <v>1</v>
      </c>
      <c r="K744" t="s">
        <v>45</v>
      </c>
      <c r="L744">
        <v>64</v>
      </c>
      <c r="M744">
        <v>3</v>
      </c>
      <c r="N744">
        <v>1</v>
      </c>
      <c r="O744" t="s">
        <v>49</v>
      </c>
      <c r="P744">
        <v>4</v>
      </c>
      <c r="Q744" t="s">
        <v>47</v>
      </c>
      <c r="R744">
        <v>2380</v>
      </c>
      <c r="S744">
        <v>20165</v>
      </c>
      <c r="T744">
        <v>4</v>
      </c>
      <c r="U744" t="s">
        <v>41</v>
      </c>
      <c r="V744" t="s">
        <v>42</v>
      </c>
      <c r="W744">
        <v>18</v>
      </c>
      <c r="X744">
        <v>3</v>
      </c>
      <c r="Y744">
        <v>2</v>
      </c>
      <c r="Z744">
        <v>80</v>
      </c>
      <c r="AA744">
        <v>0</v>
      </c>
      <c r="AB744">
        <v>8</v>
      </c>
      <c r="AC744">
        <v>5</v>
      </c>
      <c r="AD744">
        <v>3</v>
      </c>
      <c r="AE744">
        <v>1</v>
      </c>
      <c r="AF744">
        <v>0</v>
      </c>
      <c r="AG744">
        <v>0</v>
      </c>
      <c r="AH744">
        <v>0</v>
      </c>
    </row>
    <row r="745" spans="1:34" x14ac:dyDescent="0.2">
      <c r="A745">
        <v>59</v>
      </c>
      <c r="B745" t="s">
        <v>42</v>
      </c>
      <c r="C745" t="s">
        <v>35</v>
      </c>
      <c r="D745" t="s">
        <v>44</v>
      </c>
      <c r="E745">
        <v>2</v>
      </c>
      <c r="F745">
        <v>3</v>
      </c>
      <c r="G745" t="s">
        <v>37</v>
      </c>
      <c r="H745">
        <v>1</v>
      </c>
      <c r="I745">
        <v>1032</v>
      </c>
      <c r="J745">
        <v>3</v>
      </c>
      <c r="K745" t="s">
        <v>38</v>
      </c>
      <c r="L745">
        <v>69</v>
      </c>
      <c r="M745">
        <v>2</v>
      </c>
      <c r="N745">
        <v>4</v>
      </c>
      <c r="O745" t="s">
        <v>52</v>
      </c>
      <c r="P745">
        <v>4</v>
      </c>
      <c r="Q745" t="s">
        <v>40</v>
      </c>
      <c r="R745">
        <v>13726</v>
      </c>
      <c r="S745">
        <v>21829</v>
      </c>
      <c r="T745">
        <v>3</v>
      </c>
      <c r="U745" t="s">
        <v>41</v>
      </c>
      <c r="V745" t="s">
        <v>34</v>
      </c>
      <c r="W745">
        <v>13</v>
      </c>
      <c r="X745">
        <v>3</v>
      </c>
      <c r="Y745">
        <v>1</v>
      </c>
      <c r="Z745">
        <v>80</v>
      </c>
      <c r="AA745">
        <v>0</v>
      </c>
      <c r="AB745">
        <v>30</v>
      </c>
      <c r="AC745">
        <v>4</v>
      </c>
      <c r="AD745">
        <v>3</v>
      </c>
      <c r="AE745">
        <v>5</v>
      </c>
      <c r="AF745">
        <v>3</v>
      </c>
      <c r="AG745">
        <v>4</v>
      </c>
      <c r="AH745">
        <v>3</v>
      </c>
    </row>
    <row r="746" spans="1:34" x14ac:dyDescent="0.2">
      <c r="A746">
        <v>37</v>
      </c>
      <c r="B746" t="s">
        <v>34</v>
      </c>
      <c r="C746" t="s">
        <v>35</v>
      </c>
      <c r="D746" t="s">
        <v>44</v>
      </c>
      <c r="E746">
        <v>11</v>
      </c>
      <c r="F746">
        <v>2</v>
      </c>
      <c r="G746" t="s">
        <v>50</v>
      </c>
      <c r="H746">
        <v>1</v>
      </c>
      <c r="I746">
        <v>1033</v>
      </c>
      <c r="J746">
        <v>1</v>
      </c>
      <c r="K746" t="s">
        <v>38</v>
      </c>
      <c r="L746">
        <v>61</v>
      </c>
      <c r="M746">
        <v>1</v>
      </c>
      <c r="N746">
        <v>2</v>
      </c>
      <c r="O746" t="s">
        <v>53</v>
      </c>
      <c r="P746">
        <v>2</v>
      </c>
      <c r="Q746" t="s">
        <v>47</v>
      </c>
      <c r="R746">
        <v>4777</v>
      </c>
      <c r="S746">
        <v>14382</v>
      </c>
      <c r="T746">
        <v>5</v>
      </c>
      <c r="U746" t="s">
        <v>41</v>
      </c>
      <c r="V746" t="s">
        <v>42</v>
      </c>
      <c r="W746">
        <v>15</v>
      </c>
      <c r="X746">
        <v>3</v>
      </c>
      <c r="Y746">
        <v>1</v>
      </c>
      <c r="Z746">
        <v>80</v>
      </c>
      <c r="AA746">
        <v>0</v>
      </c>
      <c r="AB746">
        <v>15</v>
      </c>
      <c r="AC746">
        <v>2</v>
      </c>
      <c r="AD746">
        <v>1</v>
      </c>
      <c r="AE746">
        <v>1</v>
      </c>
      <c r="AF746">
        <v>0</v>
      </c>
      <c r="AG746">
        <v>0</v>
      </c>
      <c r="AH746">
        <v>0</v>
      </c>
    </row>
    <row r="747" spans="1:34" x14ac:dyDescent="0.2">
      <c r="A747">
        <v>55</v>
      </c>
      <c r="B747" t="s">
        <v>42</v>
      </c>
      <c r="C747" t="s">
        <v>43</v>
      </c>
      <c r="D747" t="s">
        <v>44</v>
      </c>
      <c r="E747">
        <v>18</v>
      </c>
      <c r="F747">
        <v>4</v>
      </c>
      <c r="G747" t="s">
        <v>50</v>
      </c>
      <c r="H747">
        <v>1</v>
      </c>
      <c r="I747">
        <v>1034</v>
      </c>
      <c r="J747">
        <v>3</v>
      </c>
      <c r="K747" t="s">
        <v>45</v>
      </c>
      <c r="L747">
        <v>62</v>
      </c>
      <c r="M747">
        <v>3</v>
      </c>
      <c r="N747">
        <v>2</v>
      </c>
      <c r="O747" t="s">
        <v>53</v>
      </c>
      <c r="P747">
        <v>2</v>
      </c>
      <c r="Q747" t="s">
        <v>47</v>
      </c>
      <c r="R747">
        <v>6385</v>
      </c>
      <c r="S747">
        <v>12992</v>
      </c>
      <c r="T747">
        <v>3</v>
      </c>
      <c r="U747" t="s">
        <v>41</v>
      </c>
      <c r="V747" t="s">
        <v>34</v>
      </c>
      <c r="W747">
        <v>14</v>
      </c>
      <c r="X747">
        <v>3</v>
      </c>
      <c r="Y747">
        <v>4</v>
      </c>
      <c r="Z747">
        <v>80</v>
      </c>
      <c r="AA747">
        <v>2</v>
      </c>
      <c r="AB747">
        <v>17</v>
      </c>
      <c r="AC747">
        <v>3</v>
      </c>
      <c r="AD747">
        <v>3</v>
      </c>
      <c r="AE747">
        <v>8</v>
      </c>
      <c r="AF747">
        <v>7</v>
      </c>
      <c r="AG747">
        <v>6</v>
      </c>
      <c r="AH747">
        <v>7</v>
      </c>
    </row>
    <row r="748" spans="1:34" x14ac:dyDescent="0.2">
      <c r="A748">
        <v>41</v>
      </c>
      <c r="B748" t="s">
        <v>42</v>
      </c>
      <c r="C748" t="s">
        <v>54</v>
      </c>
      <c r="D748" t="s">
        <v>44</v>
      </c>
      <c r="E748">
        <v>7</v>
      </c>
      <c r="F748">
        <v>1</v>
      </c>
      <c r="G748" t="s">
        <v>37</v>
      </c>
      <c r="H748">
        <v>1</v>
      </c>
      <c r="I748">
        <v>1035</v>
      </c>
      <c r="J748">
        <v>2</v>
      </c>
      <c r="K748" t="s">
        <v>38</v>
      </c>
      <c r="L748">
        <v>55</v>
      </c>
      <c r="M748">
        <v>1</v>
      </c>
      <c r="N748">
        <v>5</v>
      </c>
      <c r="O748" t="s">
        <v>57</v>
      </c>
      <c r="P748">
        <v>3</v>
      </c>
      <c r="Q748" t="s">
        <v>51</v>
      </c>
      <c r="R748">
        <v>19973</v>
      </c>
      <c r="S748">
        <v>20284</v>
      </c>
      <c r="T748">
        <v>1</v>
      </c>
      <c r="U748" t="s">
        <v>41</v>
      </c>
      <c r="V748" t="s">
        <v>42</v>
      </c>
      <c r="W748">
        <v>22</v>
      </c>
      <c r="X748">
        <v>4</v>
      </c>
      <c r="Y748">
        <v>2</v>
      </c>
      <c r="Z748">
        <v>80</v>
      </c>
      <c r="AA748">
        <v>2</v>
      </c>
      <c r="AB748">
        <v>21</v>
      </c>
      <c r="AC748">
        <v>3</v>
      </c>
      <c r="AD748">
        <v>3</v>
      </c>
      <c r="AE748">
        <v>21</v>
      </c>
      <c r="AF748">
        <v>16</v>
      </c>
      <c r="AG748">
        <v>5</v>
      </c>
      <c r="AH748">
        <v>10</v>
      </c>
    </row>
    <row r="749" spans="1:34" x14ac:dyDescent="0.2">
      <c r="A749">
        <v>38</v>
      </c>
      <c r="B749" t="s">
        <v>42</v>
      </c>
      <c r="C749" t="s">
        <v>35</v>
      </c>
      <c r="D749" t="s">
        <v>36</v>
      </c>
      <c r="E749">
        <v>3</v>
      </c>
      <c r="F749">
        <v>4</v>
      </c>
      <c r="G749" t="s">
        <v>37</v>
      </c>
      <c r="H749">
        <v>1</v>
      </c>
      <c r="I749">
        <v>1036</v>
      </c>
      <c r="J749">
        <v>2</v>
      </c>
      <c r="K749" t="s">
        <v>45</v>
      </c>
      <c r="L749">
        <v>42</v>
      </c>
      <c r="M749">
        <v>3</v>
      </c>
      <c r="N749">
        <v>2</v>
      </c>
      <c r="O749" t="s">
        <v>39</v>
      </c>
      <c r="P749">
        <v>4</v>
      </c>
      <c r="Q749" t="s">
        <v>40</v>
      </c>
      <c r="R749">
        <v>6861</v>
      </c>
      <c r="S749">
        <v>4981</v>
      </c>
      <c r="T749">
        <v>8</v>
      </c>
      <c r="U749" t="s">
        <v>41</v>
      </c>
      <c r="V749" t="s">
        <v>34</v>
      </c>
      <c r="W749">
        <v>12</v>
      </c>
      <c r="X749">
        <v>3</v>
      </c>
      <c r="Y749">
        <v>3</v>
      </c>
      <c r="Z749">
        <v>80</v>
      </c>
      <c r="AA749">
        <v>0</v>
      </c>
      <c r="AB749">
        <v>19</v>
      </c>
      <c r="AC749">
        <v>1</v>
      </c>
      <c r="AD749">
        <v>3</v>
      </c>
      <c r="AE749">
        <v>1</v>
      </c>
      <c r="AF749">
        <v>0</v>
      </c>
      <c r="AG749">
        <v>0</v>
      </c>
      <c r="AH749">
        <v>0</v>
      </c>
    </row>
    <row r="750" spans="1:34" x14ac:dyDescent="0.2">
      <c r="A750">
        <v>26</v>
      </c>
      <c r="B750" t="s">
        <v>34</v>
      </c>
      <c r="C750" t="s">
        <v>54</v>
      </c>
      <c r="D750" t="s">
        <v>36</v>
      </c>
      <c r="E750">
        <v>29</v>
      </c>
      <c r="F750">
        <v>2</v>
      </c>
      <c r="G750" t="s">
        <v>50</v>
      </c>
      <c r="H750">
        <v>1</v>
      </c>
      <c r="I750">
        <v>1037</v>
      </c>
      <c r="J750">
        <v>2</v>
      </c>
      <c r="K750" t="s">
        <v>45</v>
      </c>
      <c r="L750">
        <v>79</v>
      </c>
      <c r="M750">
        <v>1</v>
      </c>
      <c r="N750">
        <v>2</v>
      </c>
      <c r="O750" t="s">
        <v>39</v>
      </c>
      <c r="P750">
        <v>1</v>
      </c>
      <c r="Q750" t="s">
        <v>40</v>
      </c>
      <c r="R750">
        <v>4969</v>
      </c>
      <c r="S750">
        <v>21813</v>
      </c>
      <c r="T750">
        <v>8</v>
      </c>
      <c r="U750" t="s">
        <v>41</v>
      </c>
      <c r="V750" t="s">
        <v>42</v>
      </c>
      <c r="W750">
        <v>18</v>
      </c>
      <c r="X750">
        <v>3</v>
      </c>
      <c r="Y750">
        <v>4</v>
      </c>
      <c r="Z750">
        <v>80</v>
      </c>
      <c r="AA750">
        <v>0</v>
      </c>
      <c r="AB750">
        <v>7</v>
      </c>
      <c r="AC750">
        <v>6</v>
      </c>
      <c r="AD750">
        <v>3</v>
      </c>
      <c r="AE750">
        <v>2</v>
      </c>
      <c r="AF750">
        <v>2</v>
      </c>
      <c r="AG750">
        <v>2</v>
      </c>
      <c r="AH750">
        <v>2</v>
      </c>
    </row>
    <row r="751" spans="1:34" x14ac:dyDescent="0.2">
      <c r="A751">
        <v>52</v>
      </c>
      <c r="B751" t="s">
        <v>34</v>
      </c>
      <c r="C751" t="s">
        <v>35</v>
      </c>
      <c r="D751" t="s">
        <v>36</v>
      </c>
      <c r="E751">
        <v>2</v>
      </c>
      <c r="F751">
        <v>1</v>
      </c>
      <c r="G751" t="s">
        <v>58</v>
      </c>
      <c r="H751">
        <v>1</v>
      </c>
      <c r="I751">
        <v>1038</v>
      </c>
      <c r="J751">
        <v>1</v>
      </c>
      <c r="K751" t="s">
        <v>38</v>
      </c>
      <c r="L751">
        <v>57</v>
      </c>
      <c r="M751">
        <v>1</v>
      </c>
      <c r="N751">
        <v>5</v>
      </c>
      <c r="O751" t="s">
        <v>55</v>
      </c>
      <c r="P751">
        <v>4</v>
      </c>
      <c r="Q751" t="s">
        <v>47</v>
      </c>
      <c r="R751">
        <v>19845</v>
      </c>
      <c r="S751">
        <v>25846</v>
      </c>
      <c r="T751">
        <v>1</v>
      </c>
      <c r="U751" t="s">
        <v>41</v>
      </c>
      <c r="V751" t="s">
        <v>42</v>
      </c>
      <c r="W751">
        <v>15</v>
      </c>
      <c r="X751">
        <v>3</v>
      </c>
      <c r="Y751">
        <v>4</v>
      </c>
      <c r="Z751">
        <v>80</v>
      </c>
      <c r="AA751">
        <v>1</v>
      </c>
      <c r="AB751">
        <v>33</v>
      </c>
      <c r="AC751">
        <v>3</v>
      </c>
      <c r="AD751">
        <v>3</v>
      </c>
      <c r="AE751">
        <v>32</v>
      </c>
      <c r="AF751">
        <v>14</v>
      </c>
      <c r="AG751">
        <v>6</v>
      </c>
      <c r="AH751">
        <v>9</v>
      </c>
    </row>
    <row r="752" spans="1:34" x14ac:dyDescent="0.2">
      <c r="A752">
        <v>44</v>
      </c>
      <c r="B752" t="s">
        <v>42</v>
      </c>
      <c r="C752" t="s">
        <v>35</v>
      </c>
      <c r="D752" t="s">
        <v>36</v>
      </c>
      <c r="E752">
        <v>28</v>
      </c>
      <c r="F752">
        <v>3</v>
      </c>
      <c r="G752" t="s">
        <v>50</v>
      </c>
      <c r="H752">
        <v>1</v>
      </c>
      <c r="I752">
        <v>1039</v>
      </c>
      <c r="J752">
        <v>4</v>
      </c>
      <c r="K752" t="s">
        <v>38</v>
      </c>
      <c r="L752">
        <v>53</v>
      </c>
      <c r="M752">
        <v>4</v>
      </c>
      <c r="N752">
        <v>4</v>
      </c>
      <c r="O752" t="s">
        <v>39</v>
      </c>
      <c r="P752">
        <v>4</v>
      </c>
      <c r="Q752" t="s">
        <v>47</v>
      </c>
      <c r="R752">
        <v>13320</v>
      </c>
      <c r="S752">
        <v>11737</v>
      </c>
      <c r="T752">
        <v>3</v>
      </c>
      <c r="U752" t="s">
        <v>41</v>
      </c>
      <c r="V752" t="s">
        <v>34</v>
      </c>
      <c r="W752">
        <v>18</v>
      </c>
      <c r="X752">
        <v>3</v>
      </c>
      <c r="Y752">
        <v>3</v>
      </c>
      <c r="Z752">
        <v>80</v>
      </c>
      <c r="AA752">
        <v>1</v>
      </c>
      <c r="AB752">
        <v>23</v>
      </c>
      <c r="AC752">
        <v>2</v>
      </c>
      <c r="AD752">
        <v>3</v>
      </c>
      <c r="AE752">
        <v>12</v>
      </c>
      <c r="AF752">
        <v>11</v>
      </c>
      <c r="AG752">
        <v>11</v>
      </c>
      <c r="AH752">
        <v>11</v>
      </c>
    </row>
    <row r="753" spans="1:34" x14ac:dyDescent="0.2">
      <c r="A753">
        <v>50</v>
      </c>
      <c r="B753" t="s">
        <v>42</v>
      </c>
      <c r="C753" t="s">
        <v>54</v>
      </c>
      <c r="D753" t="s">
        <v>36</v>
      </c>
      <c r="E753">
        <v>1</v>
      </c>
      <c r="F753">
        <v>3</v>
      </c>
      <c r="G753" t="s">
        <v>37</v>
      </c>
      <c r="H753">
        <v>1</v>
      </c>
      <c r="I753">
        <v>1040</v>
      </c>
      <c r="J753">
        <v>4</v>
      </c>
      <c r="K753" t="s">
        <v>38</v>
      </c>
      <c r="L753">
        <v>95</v>
      </c>
      <c r="M753">
        <v>3</v>
      </c>
      <c r="N753">
        <v>2</v>
      </c>
      <c r="O753" t="s">
        <v>39</v>
      </c>
      <c r="P753">
        <v>3</v>
      </c>
      <c r="Q753" t="s">
        <v>47</v>
      </c>
      <c r="R753">
        <v>6347</v>
      </c>
      <c r="S753">
        <v>24920</v>
      </c>
      <c r="T753">
        <v>0</v>
      </c>
      <c r="U753" t="s">
        <v>41</v>
      </c>
      <c r="V753" t="s">
        <v>42</v>
      </c>
      <c r="W753">
        <v>12</v>
      </c>
      <c r="X753">
        <v>3</v>
      </c>
      <c r="Y753">
        <v>1</v>
      </c>
      <c r="Z753">
        <v>80</v>
      </c>
      <c r="AA753">
        <v>1</v>
      </c>
      <c r="AB753">
        <v>19</v>
      </c>
      <c r="AC753">
        <v>3</v>
      </c>
      <c r="AD753">
        <v>3</v>
      </c>
      <c r="AE753">
        <v>18</v>
      </c>
      <c r="AF753">
        <v>7</v>
      </c>
      <c r="AG753">
        <v>0</v>
      </c>
      <c r="AH753">
        <v>13</v>
      </c>
    </row>
    <row r="754" spans="1:34" x14ac:dyDescent="0.2">
      <c r="A754">
        <v>36</v>
      </c>
      <c r="B754" t="s">
        <v>34</v>
      </c>
      <c r="C754" t="s">
        <v>35</v>
      </c>
      <c r="D754" t="s">
        <v>44</v>
      </c>
      <c r="E754">
        <v>16</v>
      </c>
      <c r="F754">
        <v>4</v>
      </c>
      <c r="G754" t="s">
        <v>37</v>
      </c>
      <c r="H754">
        <v>1</v>
      </c>
      <c r="I754">
        <v>1042</v>
      </c>
      <c r="J754">
        <v>3</v>
      </c>
      <c r="K754" t="s">
        <v>38</v>
      </c>
      <c r="L754">
        <v>43</v>
      </c>
      <c r="M754">
        <v>4</v>
      </c>
      <c r="N754">
        <v>1</v>
      </c>
      <c r="O754" t="s">
        <v>49</v>
      </c>
      <c r="P754">
        <v>1</v>
      </c>
      <c r="Q754" t="s">
        <v>40</v>
      </c>
      <c r="R754">
        <v>2743</v>
      </c>
      <c r="S754">
        <v>8269</v>
      </c>
      <c r="T754">
        <v>1</v>
      </c>
      <c r="U754" t="s">
        <v>41</v>
      </c>
      <c r="V754" t="s">
        <v>42</v>
      </c>
      <c r="W754">
        <v>16</v>
      </c>
      <c r="X754">
        <v>3</v>
      </c>
      <c r="Y754">
        <v>3</v>
      </c>
      <c r="Z754">
        <v>80</v>
      </c>
      <c r="AA754">
        <v>0</v>
      </c>
      <c r="AB754">
        <v>18</v>
      </c>
      <c r="AC754">
        <v>1</v>
      </c>
      <c r="AD754">
        <v>3</v>
      </c>
      <c r="AE754">
        <v>17</v>
      </c>
      <c r="AF754">
        <v>13</v>
      </c>
      <c r="AG754">
        <v>15</v>
      </c>
      <c r="AH754">
        <v>14</v>
      </c>
    </row>
    <row r="755" spans="1:34" x14ac:dyDescent="0.2">
      <c r="A755">
        <v>39</v>
      </c>
      <c r="B755" t="s">
        <v>42</v>
      </c>
      <c r="C755" t="s">
        <v>43</v>
      </c>
      <c r="D755" t="s">
        <v>44</v>
      </c>
      <c r="E755">
        <v>22</v>
      </c>
      <c r="F755">
        <v>3</v>
      </c>
      <c r="G755" t="s">
        <v>50</v>
      </c>
      <c r="H755">
        <v>1</v>
      </c>
      <c r="I755">
        <v>1043</v>
      </c>
      <c r="J755">
        <v>4</v>
      </c>
      <c r="K755" t="s">
        <v>38</v>
      </c>
      <c r="L755">
        <v>82</v>
      </c>
      <c r="M755">
        <v>3</v>
      </c>
      <c r="N755">
        <v>3</v>
      </c>
      <c r="O755" t="s">
        <v>52</v>
      </c>
      <c r="P755">
        <v>1</v>
      </c>
      <c r="Q755" t="s">
        <v>40</v>
      </c>
      <c r="R755">
        <v>10880</v>
      </c>
      <c r="S755">
        <v>5083</v>
      </c>
      <c r="T755">
        <v>1</v>
      </c>
      <c r="U755" t="s">
        <v>41</v>
      </c>
      <c r="V755" t="s">
        <v>34</v>
      </c>
      <c r="W755">
        <v>13</v>
      </c>
      <c r="X755">
        <v>3</v>
      </c>
      <c r="Y755">
        <v>3</v>
      </c>
      <c r="Z755">
        <v>80</v>
      </c>
      <c r="AA755">
        <v>0</v>
      </c>
      <c r="AB755">
        <v>21</v>
      </c>
      <c r="AC755">
        <v>2</v>
      </c>
      <c r="AD755">
        <v>3</v>
      </c>
      <c r="AE755">
        <v>21</v>
      </c>
      <c r="AF755">
        <v>6</v>
      </c>
      <c r="AG755">
        <v>2</v>
      </c>
      <c r="AH755">
        <v>8</v>
      </c>
    </row>
    <row r="756" spans="1:34" x14ac:dyDescent="0.2">
      <c r="A756">
        <v>33</v>
      </c>
      <c r="B756" t="s">
        <v>42</v>
      </c>
      <c r="C756" t="s">
        <v>54</v>
      </c>
      <c r="D756" t="s">
        <v>36</v>
      </c>
      <c r="E756">
        <v>8</v>
      </c>
      <c r="F756">
        <v>1</v>
      </c>
      <c r="G756" t="s">
        <v>37</v>
      </c>
      <c r="H756">
        <v>1</v>
      </c>
      <c r="I756">
        <v>1044</v>
      </c>
      <c r="J756">
        <v>2</v>
      </c>
      <c r="K756" t="s">
        <v>38</v>
      </c>
      <c r="L756">
        <v>88</v>
      </c>
      <c r="M756">
        <v>2</v>
      </c>
      <c r="N756">
        <v>1</v>
      </c>
      <c r="O756" t="s">
        <v>56</v>
      </c>
      <c r="P756">
        <v>4</v>
      </c>
      <c r="Q756" t="s">
        <v>40</v>
      </c>
      <c r="R756">
        <v>2342</v>
      </c>
      <c r="S756">
        <v>21437</v>
      </c>
      <c r="T756">
        <v>0</v>
      </c>
      <c r="U756" t="s">
        <v>41</v>
      </c>
      <c r="V756" t="s">
        <v>42</v>
      </c>
      <c r="W756">
        <v>19</v>
      </c>
      <c r="X756">
        <v>3</v>
      </c>
      <c r="Y756">
        <v>4</v>
      </c>
      <c r="Z756">
        <v>80</v>
      </c>
      <c r="AA756">
        <v>0</v>
      </c>
      <c r="AB756">
        <v>3</v>
      </c>
      <c r="AC756">
        <v>2</v>
      </c>
      <c r="AD756">
        <v>2</v>
      </c>
      <c r="AE756">
        <v>2</v>
      </c>
      <c r="AF756">
        <v>2</v>
      </c>
      <c r="AG756">
        <v>2</v>
      </c>
      <c r="AH756">
        <v>2</v>
      </c>
    </row>
    <row r="757" spans="1:34" x14ac:dyDescent="0.2">
      <c r="A757">
        <v>45</v>
      </c>
      <c r="B757" t="s">
        <v>42</v>
      </c>
      <c r="C757" t="s">
        <v>35</v>
      </c>
      <c r="D757" t="s">
        <v>36</v>
      </c>
      <c r="E757">
        <v>11</v>
      </c>
      <c r="F757">
        <v>2</v>
      </c>
      <c r="G757" t="s">
        <v>37</v>
      </c>
      <c r="H757">
        <v>1</v>
      </c>
      <c r="I757">
        <v>1045</v>
      </c>
      <c r="J757">
        <v>4</v>
      </c>
      <c r="K757" t="s">
        <v>38</v>
      </c>
      <c r="L757">
        <v>90</v>
      </c>
      <c r="M757">
        <v>3</v>
      </c>
      <c r="N757">
        <v>4</v>
      </c>
      <c r="O757" t="s">
        <v>55</v>
      </c>
      <c r="P757">
        <v>4</v>
      </c>
      <c r="Q757" t="s">
        <v>47</v>
      </c>
      <c r="R757">
        <v>17650</v>
      </c>
      <c r="S757">
        <v>5404</v>
      </c>
      <c r="T757">
        <v>3</v>
      </c>
      <c r="U757" t="s">
        <v>41</v>
      </c>
      <c r="V757" t="s">
        <v>42</v>
      </c>
      <c r="W757">
        <v>13</v>
      </c>
      <c r="X757">
        <v>3</v>
      </c>
      <c r="Y757">
        <v>2</v>
      </c>
      <c r="Z757">
        <v>80</v>
      </c>
      <c r="AA757">
        <v>1</v>
      </c>
      <c r="AB757">
        <v>26</v>
      </c>
      <c r="AC757">
        <v>4</v>
      </c>
      <c r="AD757">
        <v>4</v>
      </c>
      <c r="AE757">
        <v>9</v>
      </c>
      <c r="AF757">
        <v>3</v>
      </c>
      <c r="AG757">
        <v>1</v>
      </c>
      <c r="AH757">
        <v>1</v>
      </c>
    </row>
    <row r="758" spans="1:34" x14ac:dyDescent="0.2">
      <c r="A758">
        <v>32</v>
      </c>
      <c r="B758" t="s">
        <v>42</v>
      </c>
      <c r="C758" t="s">
        <v>54</v>
      </c>
      <c r="D758" t="s">
        <v>44</v>
      </c>
      <c r="E758">
        <v>29</v>
      </c>
      <c r="F758">
        <v>4</v>
      </c>
      <c r="G758" t="s">
        <v>50</v>
      </c>
      <c r="H758">
        <v>1</v>
      </c>
      <c r="I758">
        <v>1046</v>
      </c>
      <c r="J758">
        <v>4</v>
      </c>
      <c r="K758" t="s">
        <v>38</v>
      </c>
      <c r="L758">
        <v>69</v>
      </c>
      <c r="M758">
        <v>3</v>
      </c>
      <c r="N758">
        <v>1</v>
      </c>
      <c r="O758" t="s">
        <v>49</v>
      </c>
      <c r="P758">
        <v>3</v>
      </c>
      <c r="Q758" t="s">
        <v>40</v>
      </c>
      <c r="R758">
        <v>4025</v>
      </c>
      <c r="S758">
        <v>11135</v>
      </c>
      <c r="T758">
        <v>9</v>
      </c>
      <c r="U758" t="s">
        <v>41</v>
      </c>
      <c r="V758" t="s">
        <v>42</v>
      </c>
      <c r="W758">
        <v>12</v>
      </c>
      <c r="X758">
        <v>3</v>
      </c>
      <c r="Y758">
        <v>2</v>
      </c>
      <c r="Z758">
        <v>80</v>
      </c>
      <c r="AA758">
        <v>0</v>
      </c>
      <c r="AB758">
        <v>10</v>
      </c>
      <c r="AC758">
        <v>2</v>
      </c>
      <c r="AD758">
        <v>3</v>
      </c>
      <c r="AE758">
        <v>8</v>
      </c>
      <c r="AF758">
        <v>7</v>
      </c>
      <c r="AG758">
        <v>7</v>
      </c>
      <c r="AH758">
        <v>7</v>
      </c>
    </row>
    <row r="759" spans="1:34" x14ac:dyDescent="0.2">
      <c r="A759">
        <v>34</v>
      </c>
      <c r="B759" t="s">
        <v>42</v>
      </c>
      <c r="C759" t="s">
        <v>35</v>
      </c>
      <c r="D759" t="s">
        <v>36</v>
      </c>
      <c r="E759">
        <v>1</v>
      </c>
      <c r="F759">
        <v>4</v>
      </c>
      <c r="G759" t="s">
        <v>58</v>
      </c>
      <c r="H759">
        <v>1</v>
      </c>
      <c r="I759">
        <v>1047</v>
      </c>
      <c r="J759">
        <v>2</v>
      </c>
      <c r="K759" t="s">
        <v>45</v>
      </c>
      <c r="L759">
        <v>75</v>
      </c>
      <c r="M759">
        <v>4</v>
      </c>
      <c r="N759">
        <v>2</v>
      </c>
      <c r="O759" t="s">
        <v>39</v>
      </c>
      <c r="P759">
        <v>4</v>
      </c>
      <c r="Q759" t="s">
        <v>51</v>
      </c>
      <c r="R759">
        <v>9725</v>
      </c>
      <c r="S759">
        <v>12278</v>
      </c>
      <c r="T759">
        <v>0</v>
      </c>
      <c r="U759" t="s">
        <v>41</v>
      </c>
      <c r="V759" t="s">
        <v>42</v>
      </c>
      <c r="W759">
        <v>11</v>
      </c>
      <c r="X759">
        <v>3</v>
      </c>
      <c r="Y759">
        <v>4</v>
      </c>
      <c r="Z759">
        <v>80</v>
      </c>
      <c r="AA759">
        <v>1</v>
      </c>
      <c r="AB759">
        <v>16</v>
      </c>
      <c r="AC759">
        <v>2</v>
      </c>
      <c r="AD759">
        <v>2</v>
      </c>
      <c r="AE759">
        <v>15</v>
      </c>
      <c r="AF759">
        <v>1</v>
      </c>
      <c r="AG759">
        <v>0</v>
      </c>
      <c r="AH759">
        <v>9</v>
      </c>
    </row>
    <row r="760" spans="1:34" x14ac:dyDescent="0.2">
      <c r="A760">
        <v>59</v>
      </c>
      <c r="B760" t="s">
        <v>42</v>
      </c>
      <c r="C760" t="s">
        <v>35</v>
      </c>
      <c r="D760" t="s">
        <v>36</v>
      </c>
      <c r="E760">
        <v>1</v>
      </c>
      <c r="F760">
        <v>2</v>
      </c>
      <c r="G760" t="s">
        <v>59</v>
      </c>
      <c r="H760">
        <v>1</v>
      </c>
      <c r="I760">
        <v>1048</v>
      </c>
      <c r="J760">
        <v>2</v>
      </c>
      <c r="K760" t="s">
        <v>45</v>
      </c>
      <c r="L760">
        <v>66</v>
      </c>
      <c r="M760">
        <v>3</v>
      </c>
      <c r="N760">
        <v>3</v>
      </c>
      <c r="O760" t="s">
        <v>55</v>
      </c>
      <c r="P760">
        <v>4</v>
      </c>
      <c r="Q760" t="s">
        <v>47</v>
      </c>
      <c r="R760">
        <v>11904</v>
      </c>
      <c r="S760">
        <v>11038</v>
      </c>
      <c r="T760">
        <v>3</v>
      </c>
      <c r="U760" t="s">
        <v>41</v>
      </c>
      <c r="V760" t="s">
        <v>34</v>
      </c>
      <c r="W760">
        <v>14</v>
      </c>
      <c r="X760">
        <v>3</v>
      </c>
      <c r="Y760">
        <v>3</v>
      </c>
      <c r="Z760">
        <v>80</v>
      </c>
      <c r="AA760">
        <v>1</v>
      </c>
      <c r="AB760">
        <v>14</v>
      </c>
      <c r="AC760">
        <v>1</v>
      </c>
      <c r="AD760">
        <v>1</v>
      </c>
      <c r="AE760">
        <v>6</v>
      </c>
      <c r="AF760">
        <v>4</v>
      </c>
      <c r="AG760">
        <v>0</v>
      </c>
      <c r="AH760">
        <v>4</v>
      </c>
    </row>
    <row r="761" spans="1:34" x14ac:dyDescent="0.2">
      <c r="A761">
        <v>45</v>
      </c>
      <c r="B761" t="s">
        <v>42</v>
      </c>
      <c r="C761" t="s">
        <v>35</v>
      </c>
      <c r="D761" t="s">
        <v>60</v>
      </c>
      <c r="E761">
        <v>24</v>
      </c>
      <c r="F761">
        <v>4</v>
      </c>
      <c r="G761" t="s">
        <v>50</v>
      </c>
      <c r="H761">
        <v>1</v>
      </c>
      <c r="I761">
        <v>1049</v>
      </c>
      <c r="J761">
        <v>2</v>
      </c>
      <c r="K761" t="s">
        <v>45</v>
      </c>
      <c r="L761">
        <v>36</v>
      </c>
      <c r="M761">
        <v>3</v>
      </c>
      <c r="N761">
        <v>1</v>
      </c>
      <c r="O761" t="s">
        <v>60</v>
      </c>
      <c r="P761">
        <v>2</v>
      </c>
      <c r="Q761" t="s">
        <v>40</v>
      </c>
      <c r="R761">
        <v>2177</v>
      </c>
      <c r="S761">
        <v>8318</v>
      </c>
      <c r="T761">
        <v>1</v>
      </c>
      <c r="U761" t="s">
        <v>41</v>
      </c>
      <c r="V761" t="s">
        <v>42</v>
      </c>
      <c r="W761">
        <v>16</v>
      </c>
      <c r="X761">
        <v>3</v>
      </c>
      <c r="Y761">
        <v>1</v>
      </c>
      <c r="Z761">
        <v>80</v>
      </c>
      <c r="AA761">
        <v>0</v>
      </c>
      <c r="AB761">
        <v>6</v>
      </c>
      <c r="AC761">
        <v>3</v>
      </c>
      <c r="AD761">
        <v>3</v>
      </c>
      <c r="AE761">
        <v>6</v>
      </c>
      <c r="AF761">
        <v>3</v>
      </c>
      <c r="AG761">
        <v>0</v>
      </c>
      <c r="AH761">
        <v>4</v>
      </c>
    </row>
    <row r="762" spans="1:34" x14ac:dyDescent="0.2">
      <c r="A762">
        <v>53</v>
      </c>
      <c r="B762" t="s">
        <v>42</v>
      </c>
      <c r="C762" t="s">
        <v>43</v>
      </c>
      <c r="D762" t="s">
        <v>36</v>
      </c>
      <c r="E762">
        <v>2</v>
      </c>
      <c r="F762">
        <v>3</v>
      </c>
      <c r="G762" t="s">
        <v>58</v>
      </c>
      <c r="H762">
        <v>1</v>
      </c>
      <c r="I762">
        <v>1050</v>
      </c>
      <c r="J762">
        <v>3</v>
      </c>
      <c r="K762" t="s">
        <v>38</v>
      </c>
      <c r="L762">
        <v>38</v>
      </c>
      <c r="M762">
        <v>2</v>
      </c>
      <c r="N762">
        <v>3</v>
      </c>
      <c r="O762" t="s">
        <v>39</v>
      </c>
      <c r="P762">
        <v>2</v>
      </c>
      <c r="Q762" t="s">
        <v>47</v>
      </c>
      <c r="R762">
        <v>7525</v>
      </c>
      <c r="S762">
        <v>23537</v>
      </c>
      <c r="T762">
        <v>2</v>
      </c>
      <c r="U762" t="s">
        <v>41</v>
      </c>
      <c r="V762" t="s">
        <v>42</v>
      </c>
      <c r="W762">
        <v>12</v>
      </c>
      <c r="X762">
        <v>3</v>
      </c>
      <c r="Y762">
        <v>1</v>
      </c>
      <c r="Z762">
        <v>80</v>
      </c>
      <c r="AA762">
        <v>1</v>
      </c>
      <c r="AB762">
        <v>30</v>
      </c>
      <c r="AC762">
        <v>2</v>
      </c>
      <c r="AD762">
        <v>3</v>
      </c>
      <c r="AE762">
        <v>15</v>
      </c>
      <c r="AF762">
        <v>7</v>
      </c>
      <c r="AG762">
        <v>6</v>
      </c>
      <c r="AH762">
        <v>12</v>
      </c>
    </row>
    <row r="763" spans="1:34" x14ac:dyDescent="0.2">
      <c r="A763">
        <v>36</v>
      </c>
      <c r="B763" t="s">
        <v>34</v>
      </c>
      <c r="C763" t="s">
        <v>35</v>
      </c>
      <c r="D763" t="s">
        <v>44</v>
      </c>
      <c r="E763">
        <v>15</v>
      </c>
      <c r="F763">
        <v>3</v>
      </c>
      <c r="G763" t="s">
        <v>48</v>
      </c>
      <c r="H763">
        <v>1</v>
      </c>
      <c r="I763">
        <v>1052</v>
      </c>
      <c r="J763">
        <v>1</v>
      </c>
      <c r="K763" t="s">
        <v>45</v>
      </c>
      <c r="L763">
        <v>81</v>
      </c>
      <c r="M763">
        <v>3</v>
      </c>
      <c r="N763">
        <v>2</v>
      </c>
      <c r="O763" t="s">
        <v>49</v>
      </c>
      <c r="P763">
        <v>3</v>
      </c>
      <c r="Q763" t="s">
        <v>51</v>
      </c>
      <c r="R763">
        <v>4834</v>
      </c>
      <c r="S763">
        <v>7858</v>
      </c>
      <c r="T763">
        <v>7</v>
      </c>
      <c r="U763" t="s">
        <v>41</v>
      </c>
      <c r="V763" t="s">
        <v>42</v>
      </c>
      <c r="W763">
        <v>14</v>
      </c>
      <c r="X763">
        <v>3</v>
      </c>
      <c r="Y763">
        <v>2</v>
      </c>
      <c r="Z763">
        <v>80</v>
      </c>
      <c r="AA763">
        <v>1</v>
      </c>
      <c r="AB763">
        <v>9</v>
      </c>
      <c r="AC763">
        <v>3</v>
      </c>
      <c r="AD763">
        <v>2</v>
      </c>
      <c r="AE763">
        <v>1</v>
      </c>
      <c r="AF763">
        <v>0</v>
      </c>
      <c r="AG763">
        <v>0</v>
      </c>
      <c r="AH763">
        <v>0</v>
      </c>
    </row>
    <row r="764" spans="1:34" x14ac:dyDescent="0.2">
      <c r="A764">
        <v>26</v>
      </c>
      <c r="B764" t="s">
        <v>34</v>
      </c>
      <c r="C764" t="s">
        <v>43</v>
      </c>
      <c r="D764" t="s">
        <v>44</v>
      </c>
      <c r="E764">
        <v>2</v>
      </c>
      <c r="F764">
        <v>3</v>
      </c>
      <c r="G764" t="s">
        <v>37</v>
      </c>
      <c r="H764">
        <v>1</v>
      </c>
      <c r="I764">
        <v>1053</v>
      </c>
      <c r="J764">
        <v>1</v>
      </c>
      <c r="K764" t="s">
        <v>45</v>
      </c>
      <c r="L764">
        <v>57</v>
      </c>
      <c r="M764">
        <v>3</v>
      </c>
      <c r="N764">
        <v>1</v>
      </c>
      <c r="O764" t="s">
        <v>46</v>
      </c>
      <c r="P764">
        <v>1</v>
      </c>
      <c r="Q764" t="s">
        <v>47</v>
      </c>
      <c r="R764">
        <v>2042</v>
      </c>
      <c r="S764">
        <v>15346</v>
      </c>
      <c r="T764">
        <v>6</v>
      </c>
      <c r="U764" t="s">
        <v>41</v>
      </c>
      <c r="V764" t="s">
        <v>34</v>
      </c>
      <c r="W764">
        <v>14</v>
      </c>
      <c r="X764">
        <v>3</v>
      </c>
      <c r="Y764">
        <v>2</v>
      </c>
      <c r="Z764">
        <v>80</v>
      </c>
      <c r="AA764">
        <v>1</v>
      </c>
      <c r="AB764">
        <v>6</v>
      </c>
      <c r="AC764">
        <v>2</v>
      </c>
      <c r="AD764">
        <v>3</v>
      </c>
      <c r="AE764">
        <v>3</v>
      </c>
      <c r="AF764">
        <v>2</v>
      </c>
      <c r="AG764">
        <v>1</v>
      </c>
      <c r="AH764">
        <v>2</v>
      </c>
    </row>
    <row r="765" spans="1:34" x14ac:dyDescent="0.2">
      <c r="A765">
        <v>34</v>
      </c>
      <c r="B765" t="s">
        <v>42</v>
      </c>
      <c r="C765" t="s">
        <v>35</v>
      </c>
      <c r="D765" t="s">
        <v>36</v>
      </c>
      <c r="E765">
        <v>10</v>
      </c>
      <c r="F765">
        <v>4</v>
      </c>
      <c r="G765" t="s">
        <v>37</v>
      </c>
      <c r="H765">
        <v>1</v>
      </c>
      <c r="I765">
        <v>1055</v>
      </c>
      <c r="J765">
        <v>3</v>
      </c>
      <c r="K765" t="s">
        <v>38</v>
      </c>
      <c r="L765">
        <v>87</v>
      </c>
      <c r="M765">
        <v>3</v>
      </c>
      <c r="N765">
        <v>1</v>
      </c>
      <c r="O765" t="s">
        <v>56</v>
      </c>
      <c r="P765">
        <v>3</v>
      </c>
      <c r="Q765" t="s">
        <v>47</v>
      </c>
      <c r="R765">
        <v>2220</v>
      </c>
      <c r="S765">
        <v>18410</v>
      </c>
      <c r="T765">
        <v>1</v>
      </c>
      <c r="U765" t="s">
        <v>41</v>
      </c>
      <c r="V765" t="s">
        <v>34</v>
      </c>
      <c r="W765">
        <v>19</v>
      </c>
      <c r="X765">
        <v>3</v>
      </c>
      <c r="Y765">
        <v>4</v>
      </c>
      <c r="Z765">
        <v>80</v>
      </c>
      <c r="AA765">
        <v>1</v>
      </c>
      <c r="AB765">
        <v>1</v>
      </c>
      <c r="AC765">
        <v>2</v>
      </c>
      <c r="AD765">
        <v>3</v>
      </c>
      <c r="AE765">
        <v>1</v>
      </c>
      <c r="AF765">
        <v>1</v>
      </c>
      <c r="AG765">
        <v>0</v>
      </c>
      <c r="AH765">
        <v>0</v>
      </c>
    </row>
    <row r="766" spans="1:34" x14ac:dyDescent="0.2">
      <c r="A766">
        <v>28</v>
      </c>
      <c r="B766" t="s">
        <v>42</v>
      </c>
      <c r="C766" t="s">
        <v>35</v>
      </c>
      <c r="D766" t="s">
        <v>36</v>
      </c>
      <c r="E766">
        <v>10</v>
      </c>
      <c r="F766">
        <v>1</v>
      </c>
      <c r="G766" t="s">
        <v>50</v>
      </c>
      <c r="H766">
        <v>1</v>
      </c>
      <c r="I766">
        <v>1056</v>
      </c>
      <c r="J766">
        <v>4</v>
      </c>
      <c r="K766" t="s">
        <v>45</v>
      </c>
      <c r="L766">
        <v>74</v>
      </c>
      <c r="M766">
        <v>3</v>
      </c>
      <c r="N766">
        <v>1</v>
      </c>
      <c r="O766" t="s">
        <v>56</v>
      </c>
      <c r="P766">
        <v>2</v>
      </c>
      <c r="Q766" t="s">
        <v>47</v>
      </c>
      <c r="R766">
        <v>1052</v>
      </c>
      <c r="S766">
        <v>23384</v>
      </c>
      <c r="T766">
        <v>1</v>
      </c>
      <c r="U766" t="s">
        <v>41</v>
      </c>
      <c r="V766" t="s">
        <v>42</v>
      </c>
      <c r="W766">
        <v>22</v>
      </c>
      <c r="X766">
        <v>4</v>
      </c>
      <c r="Y766">
        <v>2</v>
      </c>
      <c r="Z766">
        <v>80</v>
      </c>
      <c r="AA766">
        <v>0</v>
      </c>
      <c r="AB766">
        <v>1</v>
      </c>
      <c r="AC766">
        <v>5</v>
      </c>
      <c r="AD766">
        <v>3</v>
      </c>
      <c r="AE766">
        <v>1</v>
      </c>
      <c r="AF766">
        <v>0</v>
      </c>
      <c r="AG766">
        <v>0</v>
      </c>
      <c r="AH766">
        <v>0</v>
      </c>
    </row>
    <row r="767" spans="1:34" x14ac:dyDescent="0.2">
      <c r="A767">
        <v>38</v>
      </c>
      <c r="B767" t="s">
        <v>42</v>
      </c>
      <c r="C767" t="s">
        <v>43</v>
      </c>
      <c r="D767" t="s">
        <v>44</v>
      </c>
      <c r="E767">
        <v>3</v>
      </c>
      <c r="F767">
        <v>4</v>
      </c>
      <c r="G767" t="s">
        <v>48</v>
      </c>
      <c r="H767">
        <v>1</v>
      </c>
      <c r="I767">
        <v>1060</v>
      </c>
      <c r="J767">
        <v>3</v>
      </c>
      <c r="K767" t="s">
        <v>45</v>
      </c>
      <c r="L767">
        <v>44</v>
      </c>
      <c r="M767">
        <v>3</v>
      </c>
      <c r="N767">
        <v>1</v>
      </c>
      <c r="O767" t="s">
        <v>46</v>
      </c>
      <c r="P767">
        <v>3</v>
      </c>
      <c r="Q767" t="s">
        <v>47</v>
      </c>
      <c r="R767">
        <v>2821</v>
      </c>
      <c r="S767">
        <v>2997</v>
      </c>
      <c r="T767">
        <v>3</v>
      </c>
      <c r="U767" t="s">
        <v>41</v>
      </c>
      <c r="V767" t="s">
        <v>42</v>
      </c>
      <c r="W767">
        <v>16</v>
      </c>
      <c r="X767">
        <v>3</v>
      </c>
      <c r="Y767">
        <v>1</v>
      </c>
      <c r="Z767">
        <v>80</v>
      </c>
      <c r="AA767">
        <v>1</v>
      </c>
      <c r="AB767">
        <v>8</v>
      </c>
      <c r="AC767">
        <v>2</v>
      </c>
      <c r="AD767">
        <v>3</v>
      </c>
      <c r="AE767">
        <v>2</v>
      </c>
      <c r="AF767">
        <v>2</v>
      </c>
      <c r="AG767">
        <v>2</v>
      </c>
      <c r="AH767">
        <v>2</v>
      </c>
    </row>
    <row r="768" spans="1:34" x14ac:dyDescent="0.2">
      <c r="A768">
        <v>50</v>
      </c>
      <c r="B768" t="s">
        <v>42</v>
      </c>
      <c r="C768" t="s">
        <v>35</v>
      </c>
      <c r="D768" t="s">
        <v>44</v>
      </c>
      <c r="E768">
        <v>2</v>
      </c>
      <c r="F768">
        <v>4</v>
      </c>
      <c r="G768" t="s">
        <v>50</v>
      </c>
      <c r="H768">
        <v>1</v>
      </c>
      <c r="I768">
        <v>1061</v>
      </c>
      <c r="J768">
        <v>2</v>
      </c>
      <c r="K768" t="s">
        <v>45</v>
      </c>
      <c r="L768">
        <v>62</v>
      </c>
      <c r="M768">
        <v>3</v>
      </c>
      <c r="N768">
        <v>5</v>
      </c>
      <c r="O768" t="s">
        <v>57</v>
      </c>
      <c r="P768">
        <v>3</v>
      </c>
      <c r="Q768" t="s">
        <v>47</v>
      </c>
      <c r="R768">
        <v>19237</v>
      </c>
      <c r="S768">
        <v>12853</v>
      </c>
      <c r="T768">
        <v>2</v>
      </c>
      <c r="U768" t="s">
        <v>41</v>
      </c>
      <c r="V768" t="s">
        <v>34</v>
      </c>
      <c r="W768">
        <v>11</v>
      </c>
      <c r="X768">
        <v>3</v>
      </c>
      <c r="Y768">
        <v>4</v>
      </c>
      <c r="Z768">
        <v>80</v>
      </c>
      <c r="AA768">
        <v>1</v>
      </c>
      <c r="AB768">
        <v>29</v>
      </c>
      <c r="AC768">
        <v>2</v>
      </c>
      <c r="AD768">
        <v>2</v>
      </c>
      <c r="AE768">
        <v>8</v>
      </c>
      <c r="AF768">
        <v>1</v>
      </c>
      <c r="AG768">
        <v>7</v>
      </c>
      <c r="AH768">
        <v>7</v>
      </c>
    </row>
    <row r="769" spans="1:34" x14ac:dyDescent="0.2">
      <c r="A769">
        <v>37</v>
      </c>
      <c r="B769" t="s">
        <v>42</v>
      </c>
      <c r="C769" t="s">
        <v>35</v>
      </c>
      <c r="D769" t="s">
        <v>44</v>
      </c>
      <c r="E769">
        <v>3</v>
      </c>
      <c r="F769">
        <v>3</v>
      </c>
      <c r="G769" t="s">
        <v>48</v>
      </c>
      <c r="H769">
        <v>1</v>
      </c>
      <c r="I769">
        <v>1062</v>
      </c>
      <c r="J769">
        <v>4</v>
      </c>
      <c r="K769" t="s">
        <v>38</v>
      </c>
      <c r="L769">
        <v>35</v>
      </c>
      <c r="M769">
        <v>3</v>
      </c>
      <c r="N769">
        <v>2</v>
      </c>
      <c r="O769" t="s">
        <v>53</v>
      </c>
      <c r="P769">
        <v>2</v>
      </c>
      <c r="Q769" t="s">
        <v>40</v>
      </c>
      <c r="R769">
        <v>4107</v>
      </c>
      <c r="S769">
        <v>13848</v>
      </c>
      <c r="T769">
        <v>3</v>
      </c>
      <c r="U769" t="s">
        <v>41</v>
      </c>
      <c r="V769" t="s">
        <v>42</v>
      </c>
      <c r="W769">
        <v>15</v>
      </c>
      <c r="X769">
        <v>3</v>
      </c>
      <c r="Y769">
        <v>1</v>
      </c>
      <c r="Z769">
        <v>80</v>
      </c>
      <c r="AA769">
        <v>0</v>
      </c>
      <c r="AB769">
        <v>8</v>
      </c>
      <c r="AC769">
        <v>3</v>
      </c>
      <c r="AD769">
        <v>2</v>
      </c>
      <c r="AE769">
        <v>4</v>
      </c>
      <c r="AF769">
        <v>3</v>
      </c>
      <c r="AG769">
        <v>0</v>
      </c>
      <c r="AH769">
        <v>1</v>
      </c>
    </row>
    <row r="770" spans="1:34" x14ac:dyDescent="0.2">
      <c r="A770">
        <v>40</v>
      </c>
      <c r="B770" t="s">
        <v>42</v>
      </c>
      <c r="C770" t="s">
        <v>35</v>
      </c>
      <c r="D770" t="s">
        <v>36</v>
      </c>
      <c r="E770">
        <v>26</v>
      </c>
      <c r="F770">
        <v>3</v>
      </c>
      <c r="G770" t="s">
        <v>58</v>
      </c>
      <c r="H770">
        <v>1</v>
      </c>
      <c r="I770">
        <v>1066</v>
      </c>
      <c r="J770">
        <v>3</v>
      </c>
      <c r="K770" t="s">
        <v>45</v>
      </c>
      <c r="L770">
        <v>74</v>
      </c>
      <c r="M770">
        <v>3</v>
      </c>
      <c r="N770">
        <v>2</v>
      </c>
      <c r="O770" t="s">
        <v>39</v>
      </c>
      <c r="P770">
        <v>1</v>
      </c>
      <c r="Q770" t="s">
        <v>47</v>
      </c>
      <c r="R770">
        <v>8396</v>
      </c>
      <c r="S770">
        <v>22217</v>
      </c>
      <c r="T770">
        <v>1</v>
      </c>
      <c r="U770" t="s">
        <v>41</v>
      </c>
      <c r="V770" t="s">
        <v>42</v>
      </c>
      <c r="W770">
        <v>14</v>
      </c>
      <c r="X770">
        <v>3</v>
      </c>
      <c r="Y770">
        <v>2</v>
      </c>
      <c r="Z770">
        <v>80</v>
      </c>
      <c r="AA770">
        <v>1</v>
      </c>
      <c r="AB770">
        <v>8</v>
      </c>
      <c r="AC770">
        <v>3</v>
      </c>
      <c r="AD770">
        <v>2</v>
      </c>
      <c r="AE770">
        <v>7</v>
      </c>
      <c r="AF770">
        <v>7</v>
      </c>
      <c r="AG770">
        <v>7</v>
      </c>
      <c r="AH770">
        <v>5</v>
      </c>
    </row>
    <row r="771" spans="1:34" x14ac:dyDescent="0.2">
      <c r="A771">
        <v>26</v>
      </c>
      <c r="B771" t="s">
        <v>42</v>
      </c>
      <c r="C771" t="s">
        <v>43</v>
      </c>
      <c r="D771" t="s">
        <v>44</v>
      </c>
      <c r="E771">
        <v>1</v>
      </c>
      <c r="F771">
        <v>1</v>
      </c>
      <c r="G771" t="s">
        <v>50</v>
      </c>
      <c r="H771">
        <v>1</v>
      </c>
      <c r="I771">
        <v>1068</v>
      </c>
      <c r="J771">
        <v>1</v>
      </c>
      <c r="K771" t="s">
        <v>38</v>
      </c>
      <c r="L771">
        <v>66</v>
      </c>
      <c r="M771">
        <v>2</v>
      </c>
      <c r="N771">
        <v>1</v>
      </c>
      <c r="O771" t="s">
        <v>46</v>
      </c>
      <c r="P771">
        <v>3</v>
      </c>
      <c r="Q771" t="s">
        <v>51</v>
      </c>
      <c r="R771">
        <v>2007</v>
      </c>
      <c r="S771">
        <v>25265</v>
      </c>
      <c r="T771">
        <v>1</v>
      </c>
      <c r="U771" t="s">
        <v>41</v>
      </c>
      <c r="V771" t="s">
        <v>42</v>
      </c>
      <c r="W771">
        <v>13</v>
      </c>
      <c r="X771">
        <v>3</v>
      </c>
      <c r="Y771">
        <v>3</v>
      </c>
      <c r="Z771">
        <v>80</v>
      </c>
      <c r="AA771">
        <v>2</v>
      </c>
      <c r="AB771">
        <v>5</v>
      </c>
      <c r="AC771">
        <v>5</v>
      </c>
      <c r="AD771">
        <v>3</v>
      </c>
      <c r="AE771">
        <v>5</v>
      </c>
      <c r="AF771">
        <v>3</v>
      </c>
      <c r="AG771">
        <v>1</v>
      </c>
      <c r="AH771">
        <v>3</v>
      </c>
    </row>
    <row r="772" spans="1:34" x14ac:dyDescent="0.2">
      <c r="A772">
        <v>46</v>
      </c>
      <c r="B772" t="s">
        <v>42</v>
      </c>
      <c r="C772" t="s">
        <v>35</v>
      </c>
      <c r="D772" t="s">
        <v>44</v>
      </c>
      <c r="E772">
        <v>1</v>
      </c>
      <c r="F772">
        <v>4</v>
      </c>
      <c r="G772" t="s">
        <v>50</v>
      </c>
      <c r="H772">
        <v>1</v>
      </c>
      <c r="I772">
        <v>1069</v>
      </c>
      <c r="J772">
        <v>4</v>
      </c>
      <c r="K772" t="s">
        <v>45</v>
      </c>
      <c r="L772">
        <v>40</v>
      </c>
      <c r="M772">
        <v>3</v>
      </c>
      <c r="N772">
        <v>5</v>
      </c>
      <c r="O772" t="s">
        <v>57</v>
      </c>
      <c r="P772">
        <v>4</v>
      </c>
      <c r="Q772" t="s">
        <v>51</v>
      </c>
      <c r="R772">
        <v>19627</v>
      </c>
      <c r="S772">
        <v>21445</v>
      </c>
      <c r="T772">
        <v>9</v>
      </c>
      <c r="U772" t="s">
        <v>41</v>
      </c>
      <c r="V772" t="s">
        <v>42</v>
      </c>
      <c r="W772">
        <v>17</v>
      </c>
      <c r="X772">
        <v>3</v>
      </c>
      <c r="Y772">
        <v>4</v>
      </c>
      <c r="Z772">
        <v>80</v>
      </c>
      <c r="AA772">
        <v>2</v>
      </c>
      <c r="AB772">
        <v>23</v>
      </c>
      <c r="AC772">
        <v>0</v>
      </c>
      <c r="AD772">
        <v>3</v>
      </c>
      <c r="AE772">
        <v>2</v>
      </c>
      <c r="AF772">
        <v>2</v>
      </c>
      <c r="AG772">
        <v>2</v>
      </c>
      <c r="AH772">
        <v>2</v>
      </c>
    </row>
    <row r="773" spans="1:34" x14ac:dyDescent="0.2">
      <c r="A773">
        <v>54</v>
      </c>
      <c r="B773" t="s">
        <v>42</v>
      </c>
      <c r="C773" t="s">
        <v>35</v>
      </c>
      <c r="D773" t="s">
        <v>36</v>
      </c>
      <c r="E773">
        <v>2</v>
      </c>
      <c r="F773">
        <v>4</v>
      </c>
      <c r="G773" t="s">
        <v>37</v>
      </c>
      <c r="H773">
        <v>1</v>
      </c>
      <c r="I773">
        <v>1070</v>
      </c>
      <c r="J773">
        <v>3</v>
      </c>
      <c r="K773" t="s">
        <v>38</v>
      </c>
      <c r="L773">
        <v>41</v>
      </c>
      <c r="M773">
        <v>2</v>
      </c>
      <c r="N773">
        <v>3</v>
      </c>
      <c r="O773" t="s">
        <v>39</v>
      </c>
      <c r="P773">
        <v>3</v>
      </c>
      <c r="Q773" t="s">
        <v>47</v>
      </c>
      <c r="R773">
        <v>10686</v>
      </c>
      <c r="S773">
        <v>8392</v>
      </c>
      <c r="T773">
        <v>6</v>
      </c>
      <c r="U773" t="s">
        <v>41</v>
      </c>
      <c r="V773" t="s">
        <v>42</v>
      </c>
      <c r="W773">
        <v>11</v>
      </c>
      <c r="X773">
        <v>3</v>
      </c>
      <c r="Y773">
        <v>2</v>
      </c>
      <c r="Z773">
        <v>80</v>
      </c>
      <c r="AA773">
        <v>1</v>
      </c>
      <c r="AB773">
        <v>13</v>
      </c>
      <c r="AC773">
        <v>4</v>
      </c>
      <c r="AD773">
        <v>3</v>
      </c>
      <c r="AE773">
        <v>9</v>
      </c>
      <c r="AF773">
        <v>4</v>
      </c>
      <c r="AG773">
        <v>7</v>
      </c>
      <c r="AH773">
        <v>0</v>
      </c>
    </row>
    <row r="774" spans="1:34" x14ac:dyDescent="0.2">
      <c r="A774">
        <v>56</v>
      </c>
      <c r="B774" t="s">
        <v>42</v>
      </c>
      <c r="C774" t="s">
        <v>43</v>
      </c>
      <c r="D774" t="s">
        <v>44</v>
      </c>
      <c r="E774">
        <v>9</v>
      </c>
      <c r="F774">
        <v>3</v>
      </c>
      <c r="G774" t="s">
        <v>50</v>
      </c>
      <c r="H774">
        <v>1</v>
      </c>
      <c r="I774">
        <v>1071</v>
      </c>
      <c r="J774">
        <v>1</v>
      </c>
      <c r="K774" t="s">
        <v>38</v>
      </c>
      <c r="L774">
        <v>63</v>
      </c>
      <c r="M774">
        <v>3</v>
      </c>
      <c r="N774">
        <v>1</v>
      </c>
      <c r="O774" t="s">
        <v>46</v>
      </c>
      <c r="P774">
        <v>3</v>
      </c>
      <c r="Q774" t="s">
        <v>47</v>
      </c>
      <c r="R774">
        <v>2942</v>
      </c>
      <c r="S774">
        <v>12154</v>
      </c>
      <c r="T774">
        <v>2</v>
      </c>
      <c r="U774" t="s">
        <v>41</v>
      </c>
      <c r="V774" t="s">
        <v>42</v>
      </c>
      <c r="W774">
        <v>19</v>
      </c>
      <c r="X774">
        <v>3</v>
      </c>
      <c r="Y774">
        <v>2</v>
      </c>
      <c r="Z774">
        <v>80</v>
      </c>
      <c r="AA774">
        <v>1</v>
      </c>
      <c r="AB774">
        <v>18</v>
      </c>
      <c r="AC774">
        <v>4</v>
      </c>
      <c r="AD774">
        <v>3</v>
      </c>
      <c r="AE774">
        <v>5</v>
      </c>
      <c r="AF774">
        <v>4</v>
      </c>
      <c r="AG774">
        <v>0</v>
      </c>
      <c r="AH774">
        <v>3</v>
      </c>
    </row>
    <row r="775" spans="1:34" x14ac:dyDescent="0.2">
      <c r="A775">
        <v>36</v>
      </c>
      <c r="B775" t="s">
        <v>42</v>
      </c>
      <c r="C775" t="s">
        <v>35</v>
      </c>
      <c r="D775" t="s">
        <v>44</v>
      </c>
      <c r="E775">
        <v>12</v>
      </c>
      <c r="F775">
        <v>5</v>
      </c>
      <c r="G775" t="s">
        <v>50</v>
      </c>
      <c r="H775">
        <v>1</v>
      </c>
      <c r="I775">
        <v>1073</v>
      </c>
      <c r="J775">
        <v>4</v>
      </c>
      <c r="K775" t="s">
        <v>38</v>
      </c>
      <c r="L775">
        <v>51</v>
      </c>
      <c r="M775">
        <v>2</v>
      </c>
      <c r="N775">
        <v>3</v>
      </c>
      <c r="O775" t="s">
        <v>52</v>
      </c>
      <c r="P775">
        <v>4</v>
      </c>
      <c r="Q775" t="s">
        <v>40</v>
      </c>
      <c r="R775">
        <v>8858</v>
      </c>
      <c r="S775">
        <v>15669</v>
      </c>
      <c r="T775">
        <v>0</v>
      </c>
      <c r="U775" t="s">
        <v>41</v>
      </c>
      <c r="V775" t="s">
        <v>42</v>
      </c>
      <c r="W775">
        <v>11</v>
      </c>
      <c r="X775">
        <v>3</v>
      </c>
      <c r="Y775">
        <v>2</v>
      </c>
      <c r="Z775">
        <v>80</v>
      </c>
      <c r="AA775">
        <v>0</v>
      </c>
      <c r="AB775">
        <v>15</v>
      </c>
      <c r="AC775">
        <v>2</v>
      </c>
      <c r="AD775">
        <v>2</v>
      </c>
      <c r="AE775">
        <v>14</v>
      </c>
      <c r="AF775">
        <v>8</v>
      </c>
      <c r="AG775">
        <v>7</v>
      </c>
      <c r="AH775">
        <v>8</v>
      </c>
    </row>
    <row r="776" spans="1:34" x14ac:dyDescent="0.2">
      <c r="A776">
        <v>55</v>
      </c>
      <c r="B776" t="s">
        <v>42</v>
      </c>
      <c r="C776" t="s">
        <v>54</v>
      </c>
      <c r="D776" t="s">
        <v>44</v>
      </c>
      <c r="E776">
        <v>2</v>
      </c>
      <c r="F776">
        <v>1</v>
      </c>
      <c r="G776" t="s">
        <v>50</v>
      </c>
      <c r="H776">
        <v>1</v>
      </c>
      <c r="I776">
        <v>1074</v>
      </c>
      <c r="J776">
        <v>3</v>
      </c>
      <c r="K776" t="s">
        <v>45</v>
      </c>
      <c r="L776">
        <v>40</v>
      </c>
      <c r="M776">
        <v>2</v>
      </c>
      <c r="N776">
        <v>4</v>
      </c>
      <c r="O776" t="s">
        <v>55</v>
      </c>
      <c r="P776">
        <v>1</v>
      </c>
      <c r="Q776" t="s">
        <v>40</v>
      </c>
      <c r="R776">
        <v>16756</v>
      </c>
      <c r="S776">
        <v>17323</v>
      </c>
      <c r="T776">
        <v>7</v>
      </c>
      <c r="U776" t="s">
        <v>41</v>
      </c>
      <c r="V776" t="s">
        <v>42</v>
      </c>
      <c r="W776">
        <v>15</v>
      </c>
      <c r="X776">
        <v>3</v>
      </c>
      <c r="Y776">
        <v>2</v>
      </c>
      <c r="Z776">
        <v>80</v>
      </c>
      <c r="AA776">
        <v>0</v>
      </c>
      <c r="AB776">
        <v>31</v>
      </c>
      <c r="AC776">
        <v>3</v>
      </c>
      <c r="AD776">
        <v>4</v>
      </c>
      <c r="AE776">
        <v>9</v>
      </c>
      <c r="AF776">
        <v>7</v>
      </c>
      <c r="AG776">
        <v>6</v>
      </c>
      <c r="AH776">
        <v>2</v>
      </c>
    </row>
    <row r="777" spans="1:34" x14ac:dyDescent="0.2">
      <c r="A777">
        <v>43</v>
      </c>
      <c r="B777" t="s">
        <v>42</v>
      </c>
      <c r="C777" t="s">
        <v>35</v>
      </c>
      <c r="D777" t="s">
        <v>36</v>
      </c>
      <c r="E777">
        <v>25</v>
      </c>
      <c r="F777">
        <v>3</v>
      </c>
      <c r="G777" t="s">
        <v>50</v>
      </c>
      <c r="H777">
        <v>1</v>
      </c>
      <c r="I777">
        <v>1076</v>
      </c>
      <c r="J777">
        <v>3</v>
      </c>
      <c r="K777" t="s">
        <v>45</v>
      </c>
      <c r="L777">
        <v>79</v>
      </c>
      <c r="M777">
        <v>2</v>
      </c>
      <c r="N777">
        <v>3</v>
      </c>
      <c r="O777" t="s">
        <v>39</v>
      </c>
      <c r="P777">
        <v>4</v>
      </c>
      <c r="Q777" t="s">
        <v>51</v>
      </c>
      <c r="R777">
        <v>10798</v>
      </c>
      <c r="S777">
        <v>5268</v>
      </c>
      <c r="T777">
        <v>5</v>
      </c>
      <c r="U777" t="s">
        <v>41</v>
      </c>
      <c r="V777" t="s">
        <v>42</v>
      </c>
      <c r="W777">
        <v>13</v>
      </c>
      <c r="X777">
        <v>3</v>
      </c>
      <c r="Y777">
        <v>3</v>
      </c>
      <c r="Z777">
        <v>80</v>
      </c>
      <c r="AA777">
        <v>1</v>
      </c>
      <c r="AB777">
        <v>18</v>
      </c>
      <c r="AC777">
        <v>5</v>
      </c>
      <c r="AD777">
        <v>3</v>
      </c>
      <c r="AE777">
        <v>1</v>
      </c>
      <c r="AF777">
        <v>0</v>
      </c>
      <c r="AG777">
        <v>0</v>
      </c>
      <c r="AH777">
        <v>0</v>
      </c>
    </row>
    <row r="778" spans="1:34" x14ac:dyDescent="0.2">
      <c r="A778">
        <v>20</v>
      </c>
      <c r="B778" t="s">
        <v>34</v>
      </c>
      <c r="C778" t="s">
        <v>43</v>
      </c>
      <c r="D778" t="s">
        <v>36</v>
      </c>
      <c r="E778">
        <v>9</v>
      </c>
      <c r="F778">
        <v>3</v>
      </c>
      <c r="G778" t="s">
        <v>58</v>
      </c>
      <c r="H778">
        <v>1</v>
      </c>
      <c r="I778">
        <v>1077</v>
      </c>
      <c r="J778">
        <v>4</v>
      </c>
      <c r="K778" t="s">
        <v>38</v>
      </c>
      <c r="L778">
        <v>54</v>
      </c>
      <c r="M778">
        <v>3</v>
      </c>
      <c r="N778">
        <v>1</v>
      </c>
      <c r="O778" t="s">
        <v>56</v>
      </c>
      <c r="P778">
        <v>4</v>
      </c>
      <c r="Q778" t="s">
        <v>40</v>
      </c>
      <c r="R778">
        <v>2323</v>
      </c>
      <c r="S778">
        <v>17205</v>
      </c>
      <c r="T778">
        <v>1</v>
      </c>
      <c r="U778" t="s">
        <v>41</v>
      </c>
      <c r="V778" t="s">
        <v>34</v>
      </c>
      <c r="W778">
        <v>14</v>
      </c>
      <c r="X778">
        <v>3</v>
      </c>
      <c r="Y778">
        <v>2</v>
      </c>
      <c r="Z778">
        <v>80</v>
      </c>
      <c r="AA778">
        <v>0</v>
      </c>
      <c r="AB778">
        <v>2</v>
      </c>
      <c r="AC778">
        <v>3</v>
      </c>
      <c r="AD778">
        <v>3</v>
      </c>
      <c r="AE778">
        <v>2</v>
      </c>
      <c r="AF778">
        <v>2</v>
      </c>
      <c r="AG778">
        <v>0</v>
      </c>
      <c r="AH778">
        <v>2</v>
      </c>
    </row>
    <row r="779" spans="1:34" x14ac:dyDescent="0.2">
      <c r="A779">
        <v>21</v>
      </c>
      <c r="B779" t="s">
        <v>34</v>
      </c>
      <c r="C779" t="s">
        <v>35</v>
      </c>
      <c r="D779" t="s">
        <v>44</v>
      </c>
      <c r="E779">
        <v>10</v>
      </c>
      <c r="F779">
        <v>3</v>
      </c>
      <c r="G779" t="s">
        <v>37</v>
      </c>
      <c r="H779">
        <v>1</v>
      </c>
      <c r="I779">
        <v>1079</v>
      </c>
      <c r="J779">
        <v>3</v>
      </c>
      <c r="K779" t="s">
        <v>38</v>
      </c>
      <c r="L779">
        <v>36</v>
      </c>
      <c r="M779">
        <v>2</v>
      </c>
      <c r="N779">
        <v>1</v>
      </c>
      <c r="O779" t="s">
        <v>49</v>
      </c>
      <c r="P779">
        <v>1</v>
      </c>
      <c r="Q779" t="s">
        <v>40</v>
      </c>
      <c r="R779">
        <v>1416</v>
      </c>
      <c r="S779">
        <v>17258</v>
      </c>
      <c r="T779">
        <v>1</v>
      </c>
      <c r="U779" t="s">
        <v>41</v>
      </c>
      <c r="V779" t="s">
        <v>42</v>
      </c>
      <c r="W779">
        <v>13</v>
      </c>
      <c r="X779">
        <v>3</v>
      </c>
      <c r="Y779">
        <v>1</v>
      </c>
      <c r="Z779">
        <v>80</v>
      </c>
      <c r="AA779">
        <v>0</v>
      </c>
      <c r="AB779">
        <v>1</v>
      </c>
      <c r="AC779">
        <v>6</v>
      </c>
      <c r="AD779">
        <v>2</v>
      </c>
      <c r="AE779">
        <v>1</v>
      </c>
      <c r="AF779">
        <v>0</v>
      </c>
      <c r="AG779">
        <v>1</v>
      </c>
      <c r="AH779">
        <v>0</v>
      </c>
    </row>
    <row r="780" spans="1:34" x14ac:dyDescent="0.2">
      <c r="A780">
        <v>46</v>
      </c>
      <c r="B780" t="s">
        <v>42</v>
      </c>
      <c r="C780" t="s">
        <v>35</v>
      </c>
      <c r="D780" t="s">
        <v>44</v>
      </c>
      <c r="E780">
        <v>8</v>
      </c>
      <c r="F780">
        <v>4</v>
      </c>
      <c r="G780" t="s">
        <v>37</v>
      </c>
      <c r="H780">
        <v>1</v>
      </c>
      <c r="I780">
        <v>1080</v>
      </c>
      <c r="J780">
        <v>4</v>
      </c>
      <c r="K780" t="s">
        <v>38</v>
      </c>
      <c r="L780">
        <v>74</v>
      </c>
      <c r="M780">
        <v>2</v>
      </c>
      <c r="N780">
        <v>2</v>
      </c>
      <c r="O780" t="s">
        <v>46</v>
      </c>
      <c r="P780">
        <v>1</v>
      </c>
      <c r="Q780" t="s">
        <v>51</v>
      </c>
      <c r="R780">
        <v>4615</v>
      </c>
      <c r="S780">
        <v>21029</v>
      </c>
      <c r="T780">
        <v>8</v>
      </c>
      <c r="U780" t="s">
        <v>41</v>
      </c>
      <c r="V780" t="s">
        <v>34</v>
      </c>
      <c r="W780">
        <v>23</v>
      </c>
      <c r="X780">
        <v>4</v>
      </c>
      <c r="Y780">
        <v>1</v>
      </c>
      <c r="Z780">
        <v>80</v>
      </c>
      <c r="AA780">
        <v>3</v>
      </c>
      <c r="AB780">
        <v>19</v>
      </c>
      <c r="AC780">
        <v>2</v>
      </c>
      <c r="AD780">
        <v>3</v>
      </c>
      <c r="AE780">
        <v>16</v>
      </c>
      <c r="AF780">
        <v>13</v>
      </c>
      <c r="AG780">
        <v>1</v>
      </c>
      <c r="AH780">
        <v>7</v>
      </c>
    </row>
    <row r="781" spans="1:34" x14ac:dyDescent="0.2">
      <c r="A781">
        <v>51</v>
      </c>
      <c r="B781" t="s">
        <v>34</v>
      </c>
      <c r="C781" t="s">
        <v>35</v>
      </c>
      <c r="D781" t="s">
        <v>44</v>
      </c>
      <c r="E781">
        <v>4</v>
      </c>
      <c r="F781">
        <v>4</v>
      </c>
      <c r="G781" t="s">
        <v>37</v>
      </c>
      <c r="H781">
        <v>1</v>
      </c>
      <c r="I781">
        <v>1081</v>
      </c>
      <c r="J781">
        <v>1</v>
      </c>
      <c r="K781" t="s">
        <v>45</v>
      </c>
      <c r="L781">
        <v>34</v>
      </c>
      <c r="M781">
        <v>3</v>
      </c>
      <c r="N781">
        <v>1</v>
      </c>
      <c r="O781" t="s">
        <v>46</v>
      </c>
      <c r="P781">
        <v>3</v>
      </c>
      <c r="Q781" t="s">
        <v>47</v>
      </c>
      <c r="R781">
        <v>2461</v>
      </c>
      <c r="S781">
        <v>10332</v>
      </c>
      <c r="T781">
        <v>9</v>
      </c>
      <c r="U781" t="s">
        <v>41</v>
      </c>
      <c r="V781" t="s">
        <v>34</v>
      </c>
      <c r="W781">
        <v>12</v>
      </c>
      <c r="X781">
        <v>3</v>
      </c>
      <c r="Y781">
        <v>3</v>
      </c>
      <c r="Z781">
        <v>80</v>
      </c>
      <c r="AA781">
        <v>3</v>
      </c>
      <c r="AB781">
        <v>18</v>
      </c>
      <c r="AC781">
        <v>2</v>
      </c>
      <c r="AD781">
        <v>4</v>
      </c>
      <c r="AE781">
        <v>10</v>
      </c>
      <c r="AF781">
        <v>0</v>
      </c>
      <c r="AG781">
        <v>2</v>
      </c>
      <c r="AH781">
        <v>7</v>
      </c>
    </row>
    <row r="782" spans="1:34" x14ac:dyDescent="0.2">
      <c r="A782">
        <v>28</v>
      </c>
      <c r="B782" t="s">
        <v>34</v>
      </c>
      <c r="C782" t="s">
        <v>54</v>
      </c>
      <c r="D782" t="s">
        <v>44</v>
      </c>
      <c r="E782">
        <v>24</v>
      </c>
      <c r="F782">
        <v>2</v>
      </c>
      <c r="G782" t="s">
        <v>59</v>
      </c>
      <c r="H782">
        <v>1</v>
      </c>
      <c r="I782">
        <v>1082</v>
      </c>
      <c r="J782">
        <v>2</v>
      </c>
      <c r="K782" t="s">
        <v>45</v>
      </c>
      <c r="L782">
        <v>72</v>
      </c>
      <c r="M782">
        <v>2</v>
      </c>
      <c r="N782">
        <v>3</v>
      </c>
      <c r="O782" t="s">
        <v>53</v>
      </c>
      <c r="P782">
        <v>1</v>
      </c>
      <c r="Q782" t="s">
        <v>40</v>
      </c>
      <c r="R782">
        <v>8722</v>
      </c>
      <c r="S782">
        <v>12355</v>
      </c>
      <c r="T782">
        <v>1</v>
      </c>
      <c r="U782" t="s">
        <v>41</v>
      </c>
      <c r="V782" t="s">
        <v>42</v>
      </c>
      <c r="W782">
        <v>12</v>
      </c>
      <c r="X782">
        <v>3</v>
      </c>
      <c r="Y782">
        <v>1</v>
      </c>
      <c r="Z782">
        <v>80</v>
      </c>
      <c r="AA782">
        <v>0</v>
      </c>
      <c r="AB782">
        <v>10</v>
      </c>
      <c r="AC782">
        <v>2</v>
      </c>
      <c r="AD782">
        <v>2</v>
      </c>
      <c r="AE782">
        <v>10</v>
      </c>
      <c r="AF782">
        <v>7</v>
      </c>
      <c r="AG782">
        <v>1</v>
      </c>
      <c r="AH782">
        <v>9</v>
      </c>
    </row>
    <row r="783" spans="1:34" x14ac:dyDescent="0.2">
      <c r="A783">
        <v>26</v>
      </c>
      <c r="B783" t="s">
        <v>42</v>
      </c>
      <c r="C783" t="s">
        <v>35</v>
      </c>
      <c r="D783" t="s">
        <v>44</v>
      </c>
      <c r="E783">
        <v>1</v>
      </c>
      <c r="F783">
        <v>2</v>
      </c>
      <c r="G783" t="s">
        <v>50</v>
      </c>
      <c r="H783">
        <v>1</v>
      </c>
      <c r="I783">
        <v>1083</v>
      </c>
      <c r="J783">
        <v>1</v>
      </c>
      <c r="K783" t="s">
        <v>45</v>
      </c>
      <c r="L783">
        <v>59</v>
      </c>
      <c r="M783">
        <v>2</v>
      </c>
      <c r="N783">
        <v>1</v>
      </c>
      <c r="O783" t="s">
        <v>49</v>
      </c>
      <c r="P783">
        <v>1</v>
      </c>
      <c r="Q783" t="s">
        <v>47</v>
      </c>
      <c r="R783">
        <v>3955</v>
      </c>
      <c r="S783">
        <v>11141</v>
      </c>
      <c r="T783">
        <v>1</v>
      </c>
      <c r="U783" t="s">
        <v>41</v>
      </c>
      <c r="V783" t="s">
        <v>42</v>
      </c>
      <c r="W783">
        <v>16</v>
      </c>
      <c r="X783">
        <v>3</v>
      </c>
      <c r="Y783">
        <v>1</v>
      </c>
      <c r="Z783">
        <v>80</v>
      </c>
      <c r="AA783">
        <v>2</v>
      </c>
      <c r="AB783">
        <v>6</v>
      </c>
      <c r="AC783">
        <v>2</v>
      </c>
      <c r="AD783">
        <v>3</v>
      </c>
      <c r="AE783">
        <v>5</v>
      </c>
      <c r="AF783">
        <v>3</v>
      </c>
      <c r="AG783">
        <v>1</v>
      </c>
      <c r="AH783">
        <v>3</v>
      </c>
    </row>
    <row r="784" spans="1:34" x14ac:dyDescent="0.2">
      <c r="A784">
        <v>30</v>
      </c>
      <c r="B784" t="s">
        <v>42</v>
      </c>
      <c r="C784" t="s">
        <v>35</v>
      </c>
      <c r="D784" t="s">
        <v>44</v>
      </c>
      <c r="E784">
        <v>20</v>
      </c>
      <c r="F784">
        <v>3</v>
      </c>
      <c r="G784" t="s">
        <v>48</v>
      </c>
      <c r="H784">
        <v>1</v>
      </c>
      <c r="I784">
        <v>1084</v>
      </c>
      <c r="J784">
        <v>3</v>
      </c>
      <c r="K784" t="s">
        <v>45</v>
      </c>
      <c r="L784">
        <v>85</v>
      </c>
      <c r="M784">
        <v>3</v>
      </c>
      <c r="N784">
        <v>2</v>
      </c>
      <c r="O784" t="s">
        <v>52</v>
      </c>
      <c r="P784">
        <v>1</v>
      </c>
      <c r="Q784" t="s">
        <v>47</v>
      </c>
      <c r="R784">
        <v>9957</v>
      </c>
      <c r="S784">
        <v>9096</v>
      </c>
      <c r="T784">
        <v>0</v>
      </c>
      <c r="U784" t="s">
        <v>41</v>
      </c>
      <c r="V784" t="s">
        <v>42</v>
      </c>
      <c r="W784">
        <v>15</v>
      </c>
      <c r="X784">
        <v>3</v>
      </c>
      <c r="Y784">
        <v>3</v>
      </c>
      <c r="Z784">
        <v>80</v>
      </c>
      <c r="AA784">
        <v>1</v>
      </c>
      <c r="AB784">
        <v>7</v>
      </c>
      <c r="AC784">
        <v>1</v>
      </c>
      <c r="AD784">
        <v>2</v>
      </c>
      <c r="AE784">
        <v>6</v>
      </c>
      <c r="AF784">
        <v>2</v>
      </c>
      <c r="AG784">
        <v>0</v>
      </c>
      <c r="AH784">
        <v>2</v>
      </c>
    </row>
    <row r="785" spans="1:34" x14ac:dyDescent="0.2">
      <c r="A785">
        <v>41</v>
      </c>
      <c r="B785" t="s">
        <v>42</v>
      </c>
      <c r="C785" t="s">
        <v>35</v>
      </c>
      <c r="D785" t="s">
        <v>44</v>
      </c>
      <c r="E785">
        <v>7</v>
      </c>
      <c r="F785">
        <v>2</v>
      </c>
      <c r="G785" t="s">
        <v>59</v>
      </c>
      <c r="H785">
        <v>1</v>
      </c>
      <c r="I785">
        <v>1085</v>
      </c>
      <c r="J785">
        <v>2</v>
      </c>
      <c r="K785" t="s">
        <v>38</v>
      </c>
      <c r="L785">
        <v>43</v>
      </c>
      <c r="M785">
        <v>4</v>
      </c>
      <c r="N785">
        <v>1</v>
      </c>
      <c r="O785" t="s">
        <v>46</v>
      </c>
      <c r="P785">
        <v>3</v>
      </c>
      <c r="Q785" t="s">
        <v>47</v>
      </c>
      <c r="R785">
        <v>3376</v>
      </c>
      <c r="S785">
        <v>18863</v>
      </c>
      <c r="T785">
        <v>1</v>
      </c>
      <c r="U785" t="s">
        <v>41</v>
      </c>
      <c r="V785" t="s">
        <v>42</v>
      </c>
      <c r="W785">
        <v>13</v>
      </c>
      <c r="X785">
        <v>3</v>
      </c>
      <c r="Y785">
        <v>3</v>
      </c>
      <c r="Z785">
        <v>80</v>
      </c>
      <c r="AA785">
        <v>0</v>
      </c>
      <c r="AB785">
        <v>10</v>
      </c>
      <c r="AC785">
        <v>3</v>
      </c>
      <c r="AD785">
        <v>3</v>
      </c>
      <c r="AE785">
        <v>10</v>
      </c>
      <c r="AF785">
        <v>6</v>
      </c>
      <c r="AG785">
        <v>0</v>
      </c>
      <c r="AH785">
        <v>8</v>
      </c>
    </row>
    <row r="786" spans="1:34" x14ac:dyDescent="0.2">
      <c r="A786">
        <v>38</v>
      </c>
      <c r="B786" t="s">
        <v>42</v>
      </c>
      <c r="C786" t="s">
        <v>35</v>
      </c>
      <c r="D786" t="s">
        <v>44</v>
      </c>
      <c r="E786">
        <v>17</v>
      </c>
      <c r="F786">
        <v>1</v>
      </c>
      <c r="G786" t="s">
        <v>37</v>
      </c>
      <c r="H786">
        <v>1</v>
      </c>
      <c r="I786">
        <v>1088</v>
      </c>
      <c r="J786">
        <v>3</v>
      </c>
      <c r="K786" t="s">
        <v>38</v>
      </c>
      <c r="L786">
        <v>65</v>
      </c>
      <c r="M786">
        <v>2</v>
      </c>
      <c r="N786">
        <v>3</v>
      </c>
      <c r="O786" t="s">
        <v>53</v>
      </c>
      <c r="P786">
        <v>3</v>
      </c>
      <c r="Q786" t="s">
        <v>47</v>
      </c>
      <c r="R786">
        <v>8823</v>
      </c>
      <c r="S786">
        <v>24608</v>
      </c>
      <c r="T786">
        <v>0</v>
      </c>
      <c r="U786" t="s">
        <v>41</v>
      </c>
      <c r="V786" t="s">
        <v>42</v>
      </c>
      <c r="W786">
        <v>18</v>
      </c>
      <c r="X786">
        <v>3</v>
      </c>
      <c r="Y786">
        <v>1</v>
      </c>
      <c r="Z786">
        <v>80</v>
      </c>
      <c r="AA786">
        <v>1</v>
      </c>
      <c r="AB786">
        <v>20</v>
      </c>
      <c r="AC786">
        <v>4</v>
      </c>
      <c r="AD786">
        <v>2</v>
      </c>
      <c r="AE786">
        <v>19</v>
      </c>
      <c r="AF786">
        <v>9</v>
      </c>
      <c r="AG786">
        <v>1</v>
      </c>
      <c r="AH786">
        <v>9</v>
      </c>
    </row>
    <row r="787" spans="1:34" x14ac:dyDescent="0.2">
      <c r="A787">
        <v>40</v>
      </c>
      <c r="B787" t="s">
        <v>42</v>
      </c>
      <c r="C787" t="s">
        <v>35</v>
      </c>
      <c r="D787" t="s">
        <v>44</v>
      </c>
      <c r="E787">
        <v>20</v>
      </c>
      <c r="F787">
        <v>4</v>
      </c>
      <c r="G787" t="s">
        <v>59</v>
      </c>
      <c r="H787">
        <v>1</v>
      </c>
      <c r="I787">
        <v>1092</v>
      </c>
      <c r="J787">
        <v>1</v>
      </c>
      <c r="K787" t="s">
        <v>45</v>
      </c>
      <c r="L787">
        <v>61</v>
      </c>
      <c r="M787">
        <v>3</v>
      </c>
      <c r="N787">
        <v>3</v>
      </c>
      <c r="O787" t="s">
        <v>53</v>
      </c>
      <c r="P787">
        <v>4</v>
      </c>
      <c r="Q787" t="s">
        <v>47</v>
      </c>
      <c r="R787">
        <v>10322</v>
      </c>
      <c r="S787">
        <v>26542</v>
      </c>
      <c r="T787">
        <v>4</v>
      </c>
      <c r="U787" t="s">
        <v>41</v>
      </c>
      <c r="V787" t="s">
        <v>42</v>
      </c>
      <c r="W787">
        <v>20</v>
      </c>
      <c r="X787">
        <v>4</v>
      </c>
      <c r="Y787">
        <v>4</v>
      </c>
      <c r="Z787">
        <v>80</v>
      </c>
      <c r="AA787">
        <v>1</v>
      </c>
      <c r="AB787">
        <v>14</v>
      </c>
      <c r="AC787">
        <v>6</v>
      </c>
      <c r="AD787">
        <v>3</v>
      </c>
      <c r="AE787">
        <v>11</v>
      </c>
      <c r="AF787">
        <v>10</v>
      </c>
      <c r="AG787">
        <v>11</v>
      </c>
      <c r="AH787">
        <v>1</v>
      </c>
    </row>
    <row r="788" spans="1:34" x14ac:dyDescent="0.2">
      <c r="A788">
        <v>27</v>
      </c>
      <c r="B788" t="s">
        <v>42</v>
      </c>
      <c r="C788" t="s">
        <v>54</v>
      </c>
      <c r="D788" t="s">
        <v>44</v>
      </c>
      <c r="E788">
        <v>8</v>
      </c>
      <c r="F788">
        <v>5</v>
      </c>
      <c r="G788" t="s">
        <v>37</v>
      </c>
      <c r="H788">
        <v>1</v>
      </c>
      <c r="I788">
        <v>1094</v>
      </c>
      <c r="J788">
        <v>1</v>
      </c>
      <c r="K788" t="s">
        <v>45</v>
      </c>
      <c r="L788">
        <v>87</v>
      </c>
      <c r="M788">
        <v>1</v>
      </c>
      <c r="N788">
        <v>1</v>
      </c>
      <c r="O788" t="s">
        <v>49</v>
      </c>
      <c r="P788">
        <v>3</v>
      </c>
      <c r="Q788" t="s">
        <v>47</v>
      </c>
      <c r="R788">
        <v>4621</v>
      </c>
      <c r="S788">
        <v>5869</v>
      </c>
      <c r="T788">
        <v>1</v>
      </c>
      <c r="U788" t="s">
        <v>41</v>
      </c>
      <c r="V788" t="s">
        <v>42</v>
      </c>
      <c r="W788">
        <v>19</v>
      </c>
      <c r="X788">
        <v>3</v>
      </c>
      <c r="Y788">
        <v>4</v>
      </c>
      <c r="Z788">
        <v>80</v>
      </c>
      <c r="AA788">
        <v>3</v>
      </c>
      <c r="AB788">
        <v>3</v>
      </c>
      <c r="AC788">
        <v>4</v>
      </c>
      <c r="AD788">
        <v>3</v>
      </c>
      <c r="AE788">
        <v>3</v>
      </c>
      <c r="AF788">
        <v>2</v>
      </c>
      <c r="AG788">
        <v>1</v>
      </c>
      <c r="AH788">
        <v>2</v>
      </c>
    </row>
    <row r="789" spans="1:34" x14ac:dyDescent="0.2">
      <c r="A789">
        <v>55</v>
      </c>
      <c r="B789" t="s">
        <v>42</v>
      </c>
      <c r="C789" t="s">
        <v>43</v>
      </c>
      <c r="D789" t="s">
        <v>44</v>
      </c>
      <c r="E789">
        <v>2</v>
      </c>
      <c r="F789">
        <v>1</v>
      </c>
      <c r="G789" t="s">
        <v>37</v>
      </c>
      <c r="H789">
        <v>1</v>
      </c>
      <c r="I789">
        <v>1096</v>
      </c>
      <c r="J789">
        <v>4</v>
      </c>
      <c r="K789" t="s">
        <v>45</v>
      </c>
      <c r="L789">
        <v>65</v>
      </c>
      <c r="M789">
        <v>3</v>
      </c>
      <c r="N789">
        <v>3</v>
      </c>
      <c r="O789" t="s">
        <v>52</v>
      </c>
      <c r="P789">
        <v>2</v>
      </c>
      <c r="Q789" t="s">
        <v>47</v>
      </c>
      <c r="R789">
        <v>10976</v>
      </c>
      <c r="S789">
        <v>15813</v>
      </c>
      <c r="T789">
        <v>3</v>
      </c>
      <c r="U789" t="s">
        <v>41</v>
      </c>
      <c r="V789" t="s">
        <v>42</v>
      </c>
      <c r="W789">
        <v>18</v>
      </c>
      <c r="X789">
        <v>3</v>
      </c>
      <c r="Y789">
        <v>2</v>
      </c>
      <c r="Z789">
        <v>80</v>
      </c>
      <c r="AA789">
        <v>1</v>
      </c>
      <c r="AB789">
        <v>23</v>
      </c>
      <c r="AC789">
        <v>4</v>
      </c>
      <c r="AD789">
        <v>3</v>
      </c>
      <c r="AE789">
        <v>3</v>
      </c>
      <c r="AF789">
        <v>2</v>
      </c>
      <c r="AG789">
        <v>1</v>
      </c>
      <c r="AH789">
        <v>2</v>
      </c>
    </row>
    <row r="790" spans="1:34" x14ac:dyDescent="0.2">
      <c r="A790">
        <v>28</v>
      </c>
      <c r="B790" t="s">
        <v>42</v>
      </c>
      <c r="C790" t="s">
        <v>35</v>
      </c>
      <c r="D790" t="s">
        <v>44</v>
      </c>
      <c r="E790">
        <v>10</v>
      </c>
      <c r="F790">
        <v>3</v>
      </c>
      <c r="G790" t="s">
        <v>48</v>
      </c>
      <c r="H790">
        <v>1</v>
      </c>
      <c r="I790">
        <v>1097</v>
      </c>
      <c r="J790">
        <v>3</v>
      </c>
      <c r="K790" t="s">
        <v>38</v>
      </c>
      <c r="L790">
        <v>59</v>
      </c>
      <c r="M790">
        <v>3</v>
      </c>
      <c r="N790">
        <v>2</v>
      </c>
      <c r="O790" t="s">
        <v>46</v>
      </c>
      <c r="P790">
        <v>3</v>
      </c>
      <c r="Q790" t="s">
        <v>40</v>
      </c>
      <c r="R790">
        <v>3660</v>
      </c>
      <c r="S790">
        <v>7909</v>
      </c>
      <c r="T790">
        <v>3</v>
      </c>
      <c r="U790" t="s">
        <v>41</v>
      </c>
      <c r="V790" t="s">
        <v>42</v>
      </c>
      <c r="W790">
        <v>13</v>
      </c>
      <c r="X790">
        <v>3</v>
      </c>
      <c r="Y790">
        <v>4</v>
      </c>
      <c r="Z790">
        <v>80</v>
      </c>
      <c r="AA790">
        <v>0</v>
      </c>
      <c r="AB790">
        <v>10</v>
      </c>
      <c r="AC790">
        <v>4</v>
      </c>
      <c r="AD790">
        <v>4</v>
      </c>
      <c r="AE790">
        <v>8</v>
      </c>
      <c r="AF790">
        <v>7</v>
      </c>
      <c r="AG790">
        <v>1</v>
      </c>
      <c r="AH790">
        <v>7</v>
      </c>
    </row>
    <row r="791" spans="1:34" x14ac:dyDescent="0.2">
      <c r="A791">
        <v>44</v>
      </c>
      <c r="B791" t="s">
        <v>34</v>
      </c>
      <c r="C791" t="s">
        <v>35</v>
      </c>
      <c r="D791" t="s">
        <v>60</v>
      </c>
      <c r="E791">
        <v>1</v>
      </c>
      <c r="F791">
        <v>2</v>
      </c>
      <c r="G791" t="s">
        <v>50</v>
      </c>
      <c r="H791">
        <v>1</v>
      </c>
      <c r="I791">
        <v>1098</v>
      </c>
      <c r="J791">
        <v>2</v>
      </c>
      <c r="K791" t="s">
        <v>45</v>
      </c>
      <c r="L791">
        <v>91</v>
      </c>
      <c r="M791">
        <v>2</v>
      </c>
      <c r="N791">
        <v>3</v>
      </c>
      <c r="O791" t="s">
        <v>60</v>
      </c>
      <c r="P791">
        <v>1</v>
      </c>
      <c r="Q791" t="s">
        <v>47</v>
      </c>
      <c r="R791">
        <v>10482</v>
      </c>
      <c r="S791">
        <v>2326</v>
      </c>
      <c r="T791">
        <v>9</v>
      </c>
      <c r="U791" t="s">
        <v>41</v>
      </c>
      <c r="V791" t="s">
        <v>42</v>
      </c>
      <c r="W791">
        <v>14</v>
      </c>
      <c r="X791">
        <v>3</v>
      </c>
      <c r="Y791">
        <v>4</v>
      </c>
      <c r="Z791">
        <v>80</v>
      </c>
      <c r="AA791">
        <v>1</v>
      </c>
      <c r="AB791">
        <v>24</v>
      </c>
      <c r="AC791">
        <v>1</v>
      </c>
      <c r="AD791">
        <v>3</v>
      </c>
      <c r="AE791">
        <v>20</v>
      </c>
      <c r="AF791">
        <v>6</v>
      </c>
      <c r="AG791">
        <v>3</v>
      </c>
      <c r="AH791">
        <v>6</v>
      </c>
    </row>
    <row r="792" spans="1:34" x14ac:dyDescent="0.2">
      <c r="A792">
        <v>33</v>
      </c>
      <c r="B792" t="s">
        <v>42</v>
      </c>
      <c r="C792" t="s">
        <v>35</v>
      </c>
      <c r="D792" t="s">
        <v>44</v>
      </c>
      <c r="E792">
        <v>5</v>
      </c>
      <c r="F792">
        <v>3</v>
      </c>
      <c r="G792" t="s">
        <v>37</v>
      </c>
      <c r="H792">
        <v>1</v>
      </c>
      <c r="I792">
        <v>1099</v>
      </c>
      <c r="J792">
        <v>4</v>
      </c>
      <c r="K792" t="s">
        <v>45</v>
      </c>
      <c r="L792">
        <v>34</v>
      </c>
      <c r="M792">
        <v>2</v>
      </c>
      <c r="N792">
        <v>3</v>
      </c>
      <c r="O792" t="s">
        <v>53</v>
      </c>
      <c r="P792">
        <v>4</v>
      </c>
      <c r="Q792" t="s">
        <v>51</v>
      </c>
      <c r="R792">
        <v>7119</v>
      </c>
      <c r="S792">
        <v>21214</v>
      </c>
      <c r="T792">
        <v>4</v>
      </c>
      <c r="U792" t="s">
        <v>41</v>
      </c>
      <c r="V792" t="s">
        <v>42</v>
      </c>
      <c r="W792">
        <v>15</v>
      </c>
      <c r="X792">
        <v>3</v>
      </c>
      <c r="Y792">
        <v>3</v>
      </c>
      <c r="Z792">
        <v>80</v>
      </c>
      <c r="AA792">
        <v>1</v>
      </c>
      <c r="AB792">
        <v>9</v>
      </c>
      <c r="AC792">
        <v>2</v>
      </c>
      <c r="AD792">
        <v>3</v>
      </c>
      <c r="AE792">
        <v>3</v>
      </c>
      <c r="AF792">
        <v>2</v>
      </c>
      <c r="AG792">
        <v>1</v>
      </c>
      <c r="AH792">
        <v>2</v>
      </c>
    </row>
    <row r="793" spans="1:34" x14ac:dyDescent="0.2">
      <c r="A793">
        <v>35</v>
      </c>
      <c r="B793" t="s">
        <v>34</v>
      </c>
      <c r="C793" t="s">
        <v>35</v>
      </c>
      <c r="D793" t="s">
        <v>36</v>
      </c>
      <c r="E793">
        <v>4</v>
      </c>
      <c r="F793">
        <v>3</v>
      </c>
      <c r="G793" t="s">
        <v>59</v>
      </c>
      <c r="H793">
        <v>1</v>
      </c>
      <c r="I793">
        <v>1100</v>
      </c>
      <c r="J793">
        <v>4</v>
      </c>
      <c r="K793" t="s">
        <v>45</v>
      </c>
      <c r="L793">
        <v>86</v>
      </c>
      <c r="M793">
        <v>3</v>
      </c>
      <c r="N793">
        <v>3</v>
      </c>
      <c r="O793" t="s">
        <v>39</v>
      </c>
      <c r="P793">
        <v>1</v>
      </c>
      <c r="Q793" t="s">
        <v>40</v>
      </c>
      <c r="R793">
        <v>9582</v>
      </c>
      <c r="S793">
        <v>10333</v>
      </c>
      <c r="T793">
        <v>0</v>
      </c>
      <c r="U793" t="s">
        <v>41</v>
      </c>
      <c r="V793" t="s">
        <v>34</v>
      </c>
      <c r="W793">
        <v>22</v>
      </c>
      <c r="X793">
        <v>4</v>
      </c>
      <c r="Y793">
        <v>1</v>
      </c>
      <c r="Z793">
        <v>80</v>
      </c>
      <c r="AA793">
        <v>0</v>
      </c>
      <c r="AB793">
        <v>9</v>
      </c>
      <c r="AC793">
        <v>2</v>
      </c>
      <c r="AD793">
        <v>3</v>
      </c>
      <c r="AE793">
        <v>8</v>
      </c>
      <c r="AF793">
        <v>7</v>
      </c>
      <c r="AG793">
        <v>4</v>
      </c>
      <c r="AH793">
        <v>7</v>
      </c>
    </row>
    <row r="794" spans="1:34" x14ac:dyDescent="0.2">
      <c r="A794">
        <v>33</v>
      </c>
      <c r="B794" t="s">
        <v>34</v>
      </c>
      <c r="C794" t="s">
        <v>43</v>
      </c>
      <c r="D794" t="s">
        <v>44</v>
      </c>
      <c r="E794">
        <v>29</v>
      </c>
      <c r="F794">
        <v>4</v>
      </c>
      <c r="G794" t="s">
        <v>50</v>
      </c>
      <c r="H794">
        <v>1</v>
      </c>
      <c r="I794">
        <v>1101</v>
      </c>
      <c r="J794">
        <v>1</v>
      </c>
      <c r="K794" t="s">
        <v>38</v>
      </c>
      <c r="L794">
        <v>54</v>
      </c>
      <c r="M794">
        <v>2</v>
      </c>
      <c r="N794">
        <v>2</v>
      </c>
      <c r="O794" t="s">
        <v>46</v>
      </c>
      <c r="P794">
        <v>3</v>
      </c>
      <c r="Q794" t="s">
        <v>40</v>
      </c>
      <c r="R794">
        <v>4508</v>
      </c>
      <c r="S794">
        <v>3129</v>
      </c>
      <c r="T794">
        <v>1</v>
      </c>
      <c r="U794" t="s">
        <v>41</v>
      </c>
      <c r="V794" t="s">
        <v>42</v>
      </c>
      <c r="W794">
        <v>22</v>
      </c>
      <c r="X794">
        <v>4</v>
      </c>
      <c r="Y794">
        <v>2</v>
      </c>
      <c r="Z794">
        <v>80</v>
      </c>
      <c r="AA794">
        <v>0</v>
      </c>
      <c r="AB794">
        <v>14</v>
      </c>
      <c r="AC794">
        <v>4</v>
      </c>
      <c r="AD794">
        <v>3</v>
      </c>
      <c r="AE794">
        <v>13</v>
      </c>
      <c r="AF794">
        <v>7</v>
      </c>
      <c r="AG794">
        <v>3</v>
      </c>
      <c r="AH794">
        <v>8</v>
      </c>
    </row>
    <row r="795" spans="1:34" x14ac:dyDescent="0.2">
      <c r="A795">
        <v>28</v>
      </c>
      <c r="B795" t="s">
        <v>42</v>
      </c>
      <c r="C795" t="s">
        <v>35</v>
      </c>
      <c r="D795" t="s">
        <v>44</v>
      </c>
      <c r="E795">
        <v>15</v>
      </c>
      <c r="F795">
        <v>2</v>
      </c>
      <c r="G795" t="s">
        <v>37</v>
      </c>
      <c r="H795">
        <v>1</v>
      </c>
      <c r="I795">
        <v>1102</v>
      </c>
      <c r="J795">
        <v>1</v>
      </c>
      <c r="K795" t="s">
        <v>45</v>
      </c>
      <c r="L795">
        <v>50</v>
      </c>
      <c r="M795">
        <v>3</v>
      </c>
      <c r="N795">
        <v>1</v>
      </c>
      <c r="O795" t="s">
        <v>49</v>
      </c>
      <c r="P795">
        <v>3</v>
      </c>
      <c r="Q795" t="s">
        <v>51</v>
      </c>
      <c r="R795">
        <v>2207</v>
      </c>
      <c r="S795">
        <v>22482</v>
      </c>
      <c r="T795">
        <v>1</v>
      </c>
      <c r="U795" t="s">
        <v>41</v>
      </c>
      <c r="V795" t="s">
        <v>42</v>
      </c>
      <c r="W795">
        <v>16</v>
      </c>
      <c r="X795">
        <v>3</v>
      </c>
      <c r="Y795">
        <v>4</v>
      </c>
      <c r="Z795">
        <v>80</v>
      </c>
      <c r="AA795">
        <v>1</v>
      </c>
      <c r="AB795">
        <v>4</v>
      </c>
      <c r="AC795">
        <v>5</v>
      </c>
      <c r="AD795">
        <v>2</v>
      </c>
      <c r="AE795">
        <v>4</v>
      </c>
      <c r="AF795">
        <v>2</v>
      </c>
      <c r="AG795">
        <v>2</v>
      </c>
      <c r="AH795">
        <v>2</v>
      </c>
    </row>
    <row r="796" spans="1:34" x14ac:dyDescent="0.2">
      <c r="A796">
        <v>34</v>
      </c>
      <c r="B796" t="s">
        <v>42</v>
      </c>
      <c r="C796" t="s">
        <v>43</v>
      </c>
      <c r="D796" t="s">
        <v>44</v>
      </c>
      <c r="E796">
        <v>3</v>
      </c>
      <c r="F796">
        <v>1</v>
      </c>
      <c r="G796" t="s">
        <v>37</v>
      </c>
      <c r="H796">
        <v>1</v>
      </c>
      <c r="I796">
        <v>1103</v>
      </c>
      <c r="J796">
        <v>1</v>
      </c>
      <c r="K796" t="s">
        <v>45</v>
      </c>
      <c r="L796">
        <v>45</v>
      </c>
      <c r="M796">
        <v>3</v>
      </c>
      <c r="N796">
        <v>2</v>
      </c>
      <c r="O796" t="s">
        <v>53</v>
      </c>
      <c r="P796">
        <v>4</v>
      </c>
      <c r="Q796" t="s">
        <v>40</v>
      </c>
      <c r="R796">
        <v>7756</v>
      </c>
      <c r="S796">
        <v>22266</v>
      </c>
      <c r="T796">
        <v>0</v>
      </c>
      <c r="U796" t="s">
        <v>41</v>
      </c>
      <c r="V796" t="s">
        <v>42</v>
      </c>
      <c r="W796">
        <v>17</v>
      </c>
      <c r="X796">
        <v>3</v>
      </c>
      <c r="Y796">
        <v>3</v>
      </c>
      <c r="Z796">
        <v>80</v>
      </c>
      <c r="AA796">
        <v>0</v>
      </c>
      <c r="AB796">
        <v>7</v>
      </c>
      <c r="AC796">
        <v>1</v>
      </c>
      <c r="AD796">
        <v>2</v>
      </c>
      <c r="AE796">
        <v>6</v>
      </c>
      <c r="AF796">
        <v>2</v>
      </c>
      <c r="AG796">
        <v>0</v>
      </c>
      <c r="AH796">
        <v>4</v>
      </c>
    </row>
    <row r="797" spans="1:34" x14ac:dyDescent="0.2">
      <c r="A797">
        <v>37</v>
      </c>
      <c r="B797" t="s">
        <v>42</v>
      </c>
      <c r="C797" t="s">
        <v>35</v>
      </c>
      <c r="D797" t="s">
        <v>36</v>
      </c>
      <c r="E797">
        <v>10</v>
      </c>
      <c r="F797">
        <v>4</v>
      </c>
      <c r="G797" t="s">
        <v>37</v>
      </c>
      <c r="H797">
        <v>1</v>
      </c>
      <c r="I797">
        <v>1105</v>
      </c>
      <c r="J797">
        <v>4</v>
      </c>
      <c r="K797" t="s">
        <v>38</v>
      </c>
      <c r="L797">
        <v>88</v>
      </c>
      <c r="M797">
        <v>2</v>
      </c>
      <c r="N797">
        <v>2</v>
      </c>
      <c r="O797" t="s">
        <v>39</v>
      </c>
      <c r="P797">
        <v>4</v>
      </c>
      <c r="Q797" t="s">
        <v>51</v>
      </c>
      <c r="R797">
        <v>6694</v>
      </c>
      <c r="S797">
        <v>24223</v>
      </c>
      <c r="T797">
        <v>2</v>
      </c>
      <c r="U797" t="s">
        <v>41</v>
      </c>
      <c r="V797" t="s">
        <v>34</v>
      </c>
      <c r="W797">
        <v>14</v>
      </c>
      <c r="X797">
        <v>3</v>
      </c>
      <c r="Y797">
        <v>3</v>
      </c>
      <c r="Z797">
        <v>80</v>
      </c>
      <c r="AA797">
        <v>3</v>
      </c>
      <c r="AB797">
        <v>8</v>
      </c>
      <c r="AC797">
        <v>5</v>
      </c>
      <c r="AD797">
        <v>3</v>
      </c>
      <c r="AE797">
        <v>1</v>
      </c>
      <c r="AF797">
        <v>0</v>
      </c>
      <c r="AG797">
        <v>0</v>
      </c>
      <c r="AH797">
        <v>0</v>
      </c>
    </row>
    <row r="798" spans="1:34" x14ac:dyDescent="0.2">
      <c r="A798">
        <v>25</v>
      </c>
      <c r="B798" t="s">
        <v>34</v>
      </c>
      <c r="C798" t="s">
        <v>35</v>
      </c>
      <c r="D798" t="s">
        <v>44</v>
      </c>
      <c r="E798">
        <v>4</v>
      </c>
      <c r="F798">
        <v>1</v>
      </c>
      <c r="G798" t="s">
        <v>59</v>
      </c>
      <c r="H798">
        <v>1</v>
      </c>
      <c r="I798">
        <v>1106</v>
      </c>
      <c r="J798">
        <v>4</v>
      </c>
      <c r="K798" t="s">
        <v>45</v>
      </c>
      <c r="L798">
        <v>32</v>
      </c>
      <c r="M798">
        <v>3</v>
      </c>
      <c r="N798">
        <v>1</v>
      </c>
      <c r="O798" t="s">
        <v>49</v>
      </c>
      <c r="P798">
        <v>4</v>
      </c>
      <c r="Q798" t="s">
        <v>47</v>
      </c>
      <c r="R798">
        <v>3691</v>
      </c>
      <c r="S798">
        <v>4605</v>
      </c>
      <c r="T798">
        <v>1</v>
      </c>
      <c r="U798" t="s">
        <v>41</v>
      </c>
      <c r="V798" t="s">
        <v>34</v>
      </c>
      <c r="W798">
        <v>15</v>
      </c>
      <c r="X798">
        <v>3</v>
      </c>
      <c r="Y798">
        <v>2</v>
      </c>
      <c r="Z798">
        <v>80</v>
      </c>
      <c r="AA798">
        <v>1</v>
      </c>
      <c r="AB798">
        <v>7</v>
      </c>
      <c r="AC798">
        <v>3</v>
      </c>
      <c r="AD798">
        <v>4</v>
      </c>
      <c r="AE798">
        <v>7</v>
      </c>
      <c r="AF798">
        <v>7</v>
      </c>
      <c r="AG798">
        <v>5</v>
      </c>
      <c r="AH798">
        <v>6</v>
      </c>
    </row>
    <row r="799" spans="1:34" x14ac:dyDescent="0.2">
      <c r="A799">
        <v>26</v>
      </c>
      <c r="B799" t="s">
        <v>34</v>
      </c>
      <c r="C799" t="s">
        <v>35</v>
      </c>
      <c r="D799" t="s">
        <v>44</v>
      </c>
      <c r="E799">
        <v>21</v>
      </c>
      <c r="F799">
        <v>3</v>
      </c>
      <c r="G799" t="s">
        <v>50</v>
      </c>
      <c r="H799">
        <v>1</v>
      </c>
      <c r="I799">
        <v>1107</v>
      </c>
      <c r="J799">
        <v>1</v>
      </c>
      <c r="K799" t="s">
        <v>45</v>
      </c>
      <c r="L799">
        <v>37</v>
      </c>
      <c r="M799">
        <v>3</v>
      </c>
      <c r="N799">
        <v>1</v>
      </c>
      <c r="O799" t="s">
        <v>49</v>
      </c>
      <c r="P799">
        <v>3</v>
      </c>
      <c r="Q799" t="s">
        <v>51</v>
      </c>
      <c r="R799">
        <v>2377</v>
      </c>
      <c r="S799">
        <v>19373</v>
      </c>
      <c r="T799">
        <v>1</v>
      </c>
      <c r="U799" t="s">
        <v>41</v>
      </c>
      <c r="V799" t="s">
        <v>42</v>
      </c>
      <c r="W799">
        <v>20</v>
      </c>
      <c r="X799">
        <v>4</v>
      </c>
      <c r="Y799">
        <v>3</v>
      </c>
      <c r="Z799">
        <v>80</v>
      </c>
      <c r="AA799">
        <v>1</v>
      </c>
      <c r="AB799">
        <v>1</v>
      </c>
      <c r="AC799">
        <v>0</v>
      </c>
      <c r="AD799">
        <v>2</v>
      </c>
      <c r="AE799">
        <v>1</v>
      </c>
      <c r="AF799">
        <v>1</v>
      </c>
      <c r="AG799">
        <v>0</v>
      </c>
      <c r="AH799">
        <v>0</v>
      </c>
    </row>
    <row r="800" spans="1:34" x14ac:dyDescent="0.2">
      <c r="A800">
        <v>33</v>
      </c>
      <c r="B800" t="s">
        <v>34</v>
      </c>
      <c r="C800" t="s">
        <v>35</v>
      </c>
      <c r="D800" t="s">
        <v>44</v>
      </c>
      <c r="E800">
        <v>25</v>
      </c>
      <c r="F800">
        <v>3</v>
      </c>
      <c r="G800" t="s">
        <v>50</v>
      </c>
      <c r="H800">
        <v>1</v>
      </c>
      <c r="I800">
        <v>1108</v>
      </c>
      <c r="J800">
        <v>1</v>
      </c>
      <c r="K800" t="s">
        <v>45</v>
      </c>
      <c r="L800">
        <v>55</v>
      </c>
      <c r="M800">
        <v>2</v>
      </c>
      <c r="N800">
        <v>1</v>
      </c>
      <c r="O800" t="s">
        <v>46</v>
      </c>
      <c r="P800">
        <v>2</v>
      </c>
      <c r="Q800" t="s">
        <v>40</v>
      </c>
      <c r="R800">
        <v>2313</v>
      </c>
      <c r="S800">
        <v>2993</v>
      </c>
      <c r="T800">
        <v>4</v>
      </c>
      <c r="U800" t="s">
        <v>41</v>
      </c>
      <c r="V800" t="s">
        <v>34</v>
      </c>
      <c r="W800">
        <v>20</v>
      </c>
      <c r="X800">
        <v>4</v>
      </c>
      <c r="Y800">
        <v>2</v>
      </c>
      <c r="Z800">
        <v>80</v>
      </c>
      <c r="AA800">
        <v>0</v>
      </c>
      <c r="AB800">
        <v>5</v>
      </c>
      <c r="AC800">
        <v>0</v>
      </c>
      <c r="AD800">
        <v>3</v>
      </c>
      <c r="AE800">
        <v>2</v>
      </c>
      <c r="AF800">
        <v>2</v>
      </c>
      <c r="AG800">
        <v>2</v>
      </c>
      <c r="AH800">
        <v>2</v>
      </c>
    </row>
    <row r="801" spans="1:34" x14ac:dyDescent="0.2">
      <c r="A801">
        <v>42</v>
      </c>
      <c r="B801" t="s">
        <v>42</v>
      </c>
      <c r="C801" t="s">
        <v>35</v>
      </c>
      <c r="D801" t="s">
        <v>44</v>
      </c>
      <c r="E801">
        <v>2</v>
      </c>
      <c r="F801">
        <v>2</v>
      </c>
      <c r="G801" t="s">
        <v>50</v>
      </c>
      <c r="H801">
        <v>1</v>
      </c>
      <c r="I801">
        <v>1109</v>
      </c>
      <c r="J801">
        <v>4</v>
      </c>
      <c r="K801" t="s">
        <v>45</v>
      </c>
      <c r="L801">
        <v>35</v>
      </c>
      <c r="M801">
        <v>3</v>
      </c>
      <c r="N801">
        <v>4</v>
      </c>
      <c r="O801" t="s">
        <v>55</v>
      </c>
      <c r="P801">
        <v>1</v>
      </c>
      <c r="Q801" t="s">
        <v>47</v>
      </c>
      <c r="R801">
        <v>17665</v>
      </c>
      <c r="S801">
        <v>14399</v>
      </c>
      <c r="T801">
        <v>0</v>
      </c>
      <c r="U801" t="s">
        <v>41</v>
      </c>
      <c r="V801" t="s">
        <v>42</v>
      </c>
      <c r="W801">
        <v>17</v>
      </c>
      <c r="X801">
        <v>3</v>
      </c>
      <c r="Y801">
        <v>4</v>
      </c>
      <c r="Z801">
        <v>80</v>
      </c>
      <c r="AA801">
        <v>1</v>
      </c>
      <c r="AB801">
        <v>23</v>
      </c>
      <c r="AC801">
        <v>3</v>
      </c>
      <c r="AD801">
        <v>3</v>
      </c>
      <c r="AE801">
        <v>22</v>
      </c>
      <c r="AF801">
        <v>6</v>
      </c>
      <c r="AG801">
        <v>13</v>
      </c>
      <c r="AH801">
        <v>7</v>
      </c>
    </row>
    <row r="802" spans="1:34" x14ac:dyDescent="0.2">
      <c r="A802">
        <v>28</v>
      </c>
      <c r="B802" t="s">
        <v>34</v>
      </c>
      <c r="C802" t="s">
        <v>43</v>
      </c>
      <c r="D802" t="s">
        <v>44</v>
      </c>
      <c r="E802">
        <v>1</v>
      </c>
      <c r="F802">
        <v>3</v>
      </c>
      <c r="G802" t="s">
        <v>50</v>
      </c>
      <c r="H802">
        <v>1</v>
      </c>
      <c r="I802">
        <v>1111</v>
      </c>
      <c r="J802">
        <v>1</v>
      </c>
      <c r="K802" t="s">
        <v>45</v>
      </c>
      <c r="L802">
        <v>45</v>
      </c>
      <c r="M802">
        <v>2</v>
      </c>
      <c r="N802">
        <v>1</v>
      </c>
      <c r="O802" t="s">
        <v>49</v>
      </c>
      <c r="P802">
        <v>2</v>
      </c>
      <c r="Q802" t="s">
        <v>51</v>
      </c>
      <c r="R802">
        <v>2596</v>
      </c>
      <c r="S802">
        <v>7160</v>
      </c>
      <c r="T802">
        <v>1</v>
      </c>
      <c r="U802" t="s">
        <v>41</v>
      </c>
      <c r="V802" t="s">
        <v>42</v>
      </c>
      <c r="W802">
        <v>15</v>
      </c>
      <c r="X802">
        <v>3</v>
      </c>
      <c r="Y802">
        <v>1</v>
      </c>
      <c r="Z802">
        <v>80</v>
      </c>
      <c r="AA802">
        <v>2</v>
      </c>
      <c r="AB802">
        <v>1</v>
      </c>
      <c r="AC802">
        <v>2</v>
      </c>
      <c r="AD802">
        <v>3</v>
      </c>
      <c r="AE802">
        <v>1</v>
      </c>
      <c r="AF802">
        <v>0</v>
      </c>
      <c r="AG802">
        <v>0</v>
      </c>
      <c r="AH802">
        <v>0</v>
      </c>
    </row>
    <row r="803" spans="1:34" x14ac:dyDescent="0.2">
      <c r="A803">
        <v>50</v>
      </c>
      <c r="B803" t="s">
        <v>34</v>
      </c>
      <c r="C803" t="s">
        <v>43</v>
      </c>
      <c r="D803" t="s">
        <v>36</v>
      </c>
      <c r="E803">
        <v>1</v>
      </c>
      <c r="F803">
        <v>4</v>
      </c>
      <c r="G803" t="s">
        <v>48</v>
      </c>
      <c r="H803">
        <v>1</v>
      </c>
      <c r="I803">
        <v>1113</v>
      </c>
      <c r="J803">
        <v>4</v>
      </c>
      <c r="K803" t="s">
        <v>45</v>
      </c>
      <c r="L803">
        <v>81</v>
      </c>
      <c r="M803">
        <v>3</v>
      </c>
      <c r="N803">
        <v>2</v>
      </c>
      <c r="O803" t="s">
        <v>39</v>
      </c>
      <c r="P803">
        <v>3</v>
      </c>
      <c r="Q803" t="s">
        <v>40</v>
      </c>
      <c r="R803">
        <v>4728</v>
      </c>
      <c r="S803">
        <v>17251</v>
      </c>
      <c r="T803">
        <v>3</v>
      </c>
      <c r="U803" t="s">
        <v>41</v>
      </c>
      <c r="V803" t="s">
        <v>34</v>
      </c>
      <c r="W803">
        <v>14</v>
      </c>
      <c r="X803">
        <v>3</v>
      </c>
      <c r="Y803">
        <v>4</v>
      </c>
      <c r="Z803">
        <v>80</v>
      </c>
      <c r="AA803">
        <v>0</v>
      </c>
      <c r="AB803">
        <v>5</v>
      </c>
      <c r="AC803">
        <v>4</v>
      </c>
      <c r="AD803">
        <v>3</v>
      </c>
      <c r="AE803">
        <v>0</v>
      </c>
      <c r="AF803">
        <v>0</v>
      </c>
      <c r="AG803">
        <v>0</v>
      </c>
      <c r="AH803">
        <v>0</v>
      </c>
    </row>
    <row r="804" spans="1:34" x14ac:dyDescent="0.2">
      <c r="A804">
        <v>33</v>
      </c>
      <c r="B804" t="s">
        <v>42</v>
      </c>
      <c r="C804" t="s">
        <v>43</v>
      </c>
      <c r="D804" t="s">
        <v>36</v>
      </c>
      <c r="E804">
        <v>7</v>
      </c>
      <c r="F804">
        <v>3</v>
      </c>
      <c r="G804" t="s">
        <v>37</v>
      </c>
      <c r="H804">
        <v>1</v>
      </c>
      <c r="I804">
        <v>1114</v>
      </c>
      <c r="J804">
        <v>4</v>
      </c>
      <c r="K804" t="s">
        <v>38</v>
      </c>
      <c r="L804">
        <v>30</v>
      </c>
      <c r="M804">
        <v>3</v>
      </c>
      <c r="N804">
        <v>2</v>
      </c>
      <c r="O804" t="s">
        <v>39</v>
      </c>
      <c r="P804">
        <v>2</v>
      </c>
      <c r="Q804" t="s">
        <v>47</v>
      </c>
      <c r="R804">
        <v>4302</v>
      </c>
      <c r="S804">
        <v>13401</v>
      </c>
      <c r="T804">
        <v>0</v>
      </c>
      <c r="U804" t="s">
        <v>41</v>
      </c>
      <c r="V804" t="s">
        <v>42</v>
      </c>
      <c r="W804">
        <v>17</v>
      </c>
      <c r="X804">
        <v>3</v>
      </c>
      <c r="Y804">
        <v>3</v>
      </c>
      <c r="Z804">
        <v>80</v>
      </c>
      <c r="AA804">
        <v>1</v>
      </c>
      <c r="AB804">
        <v>4</v>
      </c>
      <c r="AC804">
        <v>3</v>
      </c>
      <c r="AD804">
        <v>3</v>
      </c>
      <c r="AE804">
        <v>3</v>
      </c>
      <c r="AF804">
        <v>2</v>
      </c>
      <c r="AG804">
        <v>0</v>
      </c>
      <c r="AH804">
        <v>2</v>
      </c>
    </row>
    <row r="805" spans="1:34" x14ac:dyDescent="0.2">
      <c r="A805">
        <v>34</v>
      </c>
      <c r="B805" t="s">
        <v>42</v>
      </c>
      <c r="C805" t="s">
        <v>54</v>
      </c>
      <c r="D805" t="s">
        <v>44</v>
      </c>
      <c r="E805">
        <v>3</v>
      </c>
      <c r="F805">
        <v>4</v>
      </c>
      <c r="G805" t="s">
        <v>37</v>
      </c>
      <c r="H805">
        <v>1</v>
      </c>
      <c r="I805">
        <v>1115</v>
      </c>
      <c r="J805">
        <v>3</v>
      </c>
      <c r="K805" t="s">
        <v>45</v>
      </c>
      <c r="L805">
        <v>40</v>
      </c>
      <c r="M805">
        <v>2</v>
      </c>
      <c r="N805">
        <v>1</v>
      </c>
      <c r="O805" t="s">
        <v>46</v>
      </c>
      <c r="P805">
        <v>4</v>
      </c>
      <c r="Q805" t="s">
        <v>47</v>
      </c>
      <c r="R805">
        <v>2979</v>
      </c>
      <c r="S805">
        <v>22478</v>
      </c>
      <c r="T805">
        <v>3</v>
      </c>
      <c r="U805" t="s">
        <v>41</v>
      </c>
      <c r="V805" t="s">
        <v>42</v>
      </c>
      <c r="W805">
        <v>17</v>
      </c>
      <c r="X805">
        <v>3</v>
      </c>
      <c r="Y805">
        <v>4</v>
      </c>
      <c r="Z805">
        <v>80</v>
      </c>
      <c r="AA805">
        <v>3</v>
      </c>
      <c r="AB805">
        <v>6</v>
      </c>
      <c r="AC805">
        <v>2</v>
      </c>
      <c r="AD805">
        <v>3</v>
      </c>
      <c r="AE805">
        <v>0</v>
      </c>
      <c r="AF805">
        <v>0</v>
      </c>
      <c r="AG805">
        <v>0</v>
      </c>
      <c r="AH805">
        <v>0</v>
      </c>
    </row>
    <row r="806" spans="1:34" x14ac:dyDescent="0.2">
      <c r="A806">
        <v>48</v>
      </c>
      <c r="B806" t="s">
        <v>42</v>
      </c>
      <c r="C806" t="s">
        <v>54</v>
      </c>
      <c r="D806" t="s">
        <v>44</v>
      </c>
      <c r="E806">
        <v>1</v>
      </c>
      <c r="F806">
        <v>4</v>
      </c>
      <c r="G806" t="s">
        <v>50</v>
      </c>
      <c r="H806">
        <v>1</v>
      </c>
      <c r="I806">
        <v>1116</v>
      </c>
      <c r="J806">
        <v>1</v>
      </c>
      <c r="K806" t="s">
        <v>45</v>
      </c>
      <c r="L806">
        <v>35</v>
      </c>
      <c r="M806">
        <v>4</v>
      </c>
      <c r="N806">
        <v>4</v>
      </c>
      <c r="O806" t="s">
        <v>55</v>
      </c>
      <c r="P806">
        <v>4</v>
      </c>
      <c r="Q806" t="s">
        <v>40</v>
      </c>
      <c r="R806">
        <v>16885</v>
      </c>
      <c r="S806">
        <v>16154</v>
      </c>
      <c r="T806">
        <v>2</v>
      </c>
      <c r="U806" t="s">
        <v>41</v>
      </c>
      <c r="V806" t="s">
        <v>42</v>
      </c>
      <c r="W806">
        <v>22</v>
      </c>
      <c r="X806">
        <v>4</v>
      </c>
      <c r="Y806">
        <v>3</v>
      </c>
      <c r="Z806">
        <v>80</v>
      </c>
      <c r="AA806">
        <v>0</v>
      </c>
      <c r="AB806">
        <v>27</v>
      </c>
      <c r="AC806">
        <v>3</v>
      </c>
      <c r="AD806">
        <v>2</v>
      </c>
      <c r="AE806">
        <v>5</v>
      </c>
      <c r="AF806">
        <v>4</v>
      </c>
      <c r="AG806">
        <v>2</v>
      </c>
      <c r="AH806">
        <v>1</v>
      </c>
    </row>
    <row r="807" spans="1:34" x14ac:dyDescent="0.2">
      <c r="A807">
        <v>45</v>
      </c>
      <c r="B807" t="s">
        <v>42</v>
      </c>
      <c r="C807" t="s">
        <v>54</v>
      </c>
      <c r="D807" t="s">
        <v>36</v>
      </c>
      <c r="E807">
        <v>9</v>
      </c>
      <c r="F807">
        <v>4</v>
      </c>
      <c r="G807" t="s">
        <v>37</v>
      </c>
      <c r="H807">
        <v>1</v>
      </c>
      <c r="I807">
        <v>1117</v>
      </c>
      <c r="J807">
        <v>2</v>
      </c>
      <c r="K807" t="s">
        <v>38</v>
      </c>
      <c r="L807">
        <v>65</v>
      </c>
      <c r="M807">
        <v>2</v>
      </c>
      <c r="N807">
        <v>2</v>
      </c>
      <c r="O807" t="s">
        <v>39</v>
      </c>
      <c r="P807">
        <v>3</v>
      </c>
      <c r="Q807" t="s">
        <v>47</v>
      </c>
      <c r="R807">
        <v>5593</v>
      </c>
      <c r="S807">
        <v>17970</v>
      </c>
      <c r="T807">
        <v>1</v>
      </c>
      <c r="U807" t="s">
        <v>41</v>
      </c>
      <c r="V807" t="s">
        <v>42</v>
      </c>
      <c r="W807">
        <v>13</v>
      </c>
      <c r="X807">
        <v>3</v>
      </c>
      <c r="Y807">
        <v>4</v>
      </c>
      <c r="Z807">
        <v>80</v>
      </c>
      <c r="AA807">
        <v>1</v>
      </c>
      <c r="AB807">
        <v>15</v>
      </c>
      <c r="AC807">
        <v>2</v>
      </c>
      <c r="AD807">
        <v>3</v>
      </c>
      <c r="AE807">
        <v>15</v>
      </c>
      <c r="AF807">
        <v>10</v>
      </c>
      <c r="AG807">
        <v>4</v>
      </c>
      <c r="AH807">
        <v>12</v>
      </c>
    </row>
    <row r="808" spans="1:34" x14ac:dyDescent="0.2">
      <c r="A808">
        <v>52</v>
      </c>
      <c r="B808" t="s">
        <v>42</v>
      </c>
      <c r="C808" t="s">
        <v>35</v>
      </c>
      <c r="D808" t="s">
        <v>44</v>
      </c>
      <c r="E808">
        <v>7</v>
      </c>
      <c r="F808">
        <v>4</v>
      </c>
      <c r="G808" t="s">
        <v>37</v>
      </c>
      <c r="H808">
        <v>1</v>
      </c>
      <c r="I808">
        <v>1118</v>
      </c>
      <c r="J808">
        <v>2</v>
      </c>
      <c r="K808" t="s">
        <v>45</v>
      </c>
      <c r="L808">
        <v>87</v>
      </c>
      <c r="M808">
        <v>3</v>
      </c>
      <c r="N808">
        <v>3</v>
      </c>
      <c r="O808" t="s">
        <v>53</v>
      </c>
      <c r="P808">
        <v>2</v>
      </c>
      <c r="Q808" t="s">
        <v>40</v>
      </c>
      <c r="R808">
        <v>10445</v>
      </c>
      <c r="S808">
        <v>15322</v>
      </c>
      <c r="T808">
        <v>7</v>
      </c>
      <c r="U808" t="s">
        <v>41</v>
      </c>
      <c r="V808" t="s">
        <v>42</v>
      </c>
      <c r="W808">
        <v>19</v>
      </c>
      <c r="X808">
        <v>3</v>
      </c>
      <c r="Y808">
        <v>4</v>
      </c>
      <c r="Z808">
        <v>80</v>
      </c>
      <c r="AA808">
        <v>0</v>
      </c>
      <c r="AB808">
        <v>18</v>
      </c>
      <c r="AC808">
        <v>4</v>
      </c>
      <c r="AD808">
        <v>3</v>
      </c>
      <c r="AE808">
        <v>8</v>
      </c>
      <c r="AF808">
        <v>6</v>
      </c>
      <c r="AG808">
        <v>4</v>
      </c>
      <c r="AH808">
        <v>0</v>
      </c>
    </row>
    <row r="809" spans="1:34" x14ac:dyDescent="0.2">
      <c r="A809">
        <v>38</v>
      </c>
      <c r="B809" t="s">
        <v>42</v>
      </c>
      <c r="C809" t="s">
        <v>35</v>
      </c>
      <c r="D809" t="s">
        <v>36</v>
      </c>
      <c r="E809">
        <v>10</v>
      </c>
      <c r="F809">
        <v>4</v>
      </c>
      <c r="G809" t="s">
        <v>58</v>
      </c>
      <c r="H809">
        <v>1</v>
      </c>
      <c r="I809">
        <v>1119</v>
      </c>
      <c r="J809">
        <v>3</v>
      </c>
      <c r="K809" t="s">
        <v>45</v>
      </c>
      <c r="L809">
        <v>73</v>
      </c>
      <c r="M809">
        <v>2</v>
      </c>
      <c r="N809">
        <v>3</v>
      </c>
      <c r="O809" t="s">
        <v>39</v>
      </c>
      <c r="P809">
        <v>3</v>
      </c>
      <c r="Q809" t="s">
        <v>51</v>
      </c>
      <c r="R809">
        <v>8740</v>
      </c>
      <c r="S809">
        <v>5569</v>
      </c>
      <c r="T809">
        <v>0</v>
      </c>
      <c r="U809" t="s">
        <v>41</v>
      </c>
      <c r="V809" t="s">
        <v>34</v>
      </c>
      <c r="W809">
        <v>14</v>
      </c>
      <c r="X809">
        <v>3</v>
      </c>
      <c r="Y809">
        <v>2</v>
      </c>
      <c r="Z809">
        <v>80</v>
      </c>
      <c r="AA809">
        <v>2</v>
      </c>
      <c r="AB809">
        <v>9</v>
      </c>
      <c r="AC809">
        <v>2</v>
      </c>
      <c r="AD809">
        <v>3</v>
      </c>
      <c r="AE809">
        <v>8</v>
      </c>
      <c r="AF809">
        <v>7</v>
      </c>
      <c r="AG809">
        <v>2</v>
      </c>
      <c r="AH809">
        <v>7</v>
      </c>
    </row>
    <row r="810" spans="1:34" x14ac:dyDescent="0.2">
      <c r="A810">
        <v>29</v>
      </c>
      <c r="B810" t="s">
        <v>42</v>
      </c>
      <c r="C810" t="s">
        <v>35</v>
      </c>
      <c r="D810" t="s">
        <v>44</v>
      </c>
      <c r="E810">
        <v>28</v>
      </c>
      <c r="F810">
        <v>4</v>
      </c>
      <c r="G810" t="s">
        <v>37</v>
      </c>
      <c r="H810">
        <v>1</v>
      </c>
      <c r="I810">
        <v>1120</v>
      </c>
      <c r="J810">
        <v>3</v>
      </c>
      <c r="K810" t="s">
        <v>38</v>
      </c>
      <c r="L810">
        <v>93</v>
      </c>
      <c r="M810">
        <v>3</v>
      </c>
      <c r="N810">
        <v>1</v>
      </c>
      <c r="O810" t="s">
        <v>46</v>
      </c>
      <c r="P810">
        <v>4</v>
      </c>
      <c r="Q810" t="s">
        <v>51</v>
      </c>
      <c r="R810">
        <v>2514</v>
      </c>
      <c r="S810">
        <v>26968</v>
      </c>
      <c r="T810">
        <v>4</v>
      </c>
      <c r="U810" t="s">
        <v>41</v>
      </c>
      <c r="V810" t="s">
        <v>42</v>
      </c>
      <c r="W810">
        <v>22</v>
      </c>
      <c r="X810">
        <v>4</v>
      </c>
      <c r="Y810">
        <v>1</v>
      </c>
      <c r="Z810">
        <v>80</v>
      </c>
      <c r="AA810">
        <v>1</v>
      </c>
      <c r="AB810">
        <v>11</v>
      </c>
      <c r="AC810">
        <v>1</v>
      </c>
      <c r="AD810">
        <v>3</v>
      </c>
      <c r="AE810">
        <v>7</v>
      </c>
      <c r="AF810">
        <v>5</v>
      </c>
      <c r="AG810">
        <v>1</v>
      </c>
      <c r="AH810">
        <v>7</v>
      </c>
    </row>
    <row r="811" spans="1:34" x14ac:dyDescent="0.2">
      <c r="A811">
        <v>28</v>
      </c>
      <c r="B811" t="s">
        <v>42</v>
      </c>
      <c r="C811" t="s">
        <v>35</v>
      </c>
      <c r="D811" t="s">
        <v>44</v>
      </c>
      <c r="E811">
        <v>3</v>
      </c>
      <c r="F811">
        <v>3</v>
      </c>
      <c r="G811" t="s">
        <v>50</v>
      </c>
      <c r="H811">
        <v>1</v>
      </c>
      <c r="I811">
        <v>1121</v>
      </c>
      <c r="J811">
        <v>4</v>
      </c>
      <c r="K811" t="s">
        <v>38</v>
      </c>
      <c r="L811">
        <v>93</v>
      </c>
      <c r="M811">
        <v>3</v>
      </c>
      <c r="N811">
        <v>3</v>
      </c>
      <c r="O811" t="s">
        <v>52</v>
      </c>
      <c r="P811">
        <v>2</v>
      </c>
      <c r="Q811" t="s">
        <v>51</v>
      </c>
      <c r="R811">
        <v>7655</v>
      </c>
      <c r="S811">
        <v>8039</v>
      </c>
      <c r="T811">
        <v>0</v>
      </c>
      <c r="U811" t="s">
        <v>41</v>
      </c>
      <c r="V811" t="s">
        <v>42</v>
      </c>
      <c r="W811">
        <v>17</v>
      </c>
      <c r="X811">
        <v>3</v>
      </c>
      <c r="Y811">
        <v>2</v>
      </c>
      <c r="Z811">
        <v>80</v>
      </c>
      <c r="AA811">
        <v>3</v>
      </c>
      <c r="AB811">
        <v>10</v>
      </c>
      <c r="AC811">
        <v>3</v>
      </c>
      <c r="AD811">
        <v>2</v>
      </c>
      <c r="AE811">
        <v>9</v>
      </c>
      <c r="AF811">
        <v>7</v>
      </c>
      <c r="AG811">
        <v>1</v>
      </c>
      <c r="AH811">
        <v>7</v>
      </c>
    </row>
    <row r="812" spans="1:34" x14ac:dyDescent="0.2">
      <c r="A812">
        <v>46</v>
      </c>
      <c r="B812" t="s">
        <v>42</v>
      </c>
      <c r="C812" t="s">
        <v>35</v>
      </c>
      <c r="D812" t="s">
        <v>36</v>
      </c>
      <c r="E812">
        <v>3</v>
      </c>
      <c r="F812">
        <v>1</v>
      </c>
      <c r="G812" t="s">
        <v>58</v>
      </c>
      <c r="H812">
        <v>1</v>
      </c>
      <c r="I812">
        <v>1124</v>
      </c>
      <c r="J812">
        <v>1</v>
      </c>
      <c r="K812" t="s">
        <v>45</v>
      </c>
      <c r="L812">
        <v>52</v>
      </c>
      <c r="M812">
        <v>3</v>
      </c>
      <c r="N812">
        <v>4</v>
      </c>
      <c r="O812" t="s">
        <v>55</v>
      </c>
      <c r="P812">
        <v>3</v>
      </c>
      <c r="Q812" t="s">
        <v>47</v>
      </c>
      <c r="R812">
        <v>17465</v>
      </c>
      <c r="S812">
        <v>15596</v>
      </c>
      <c r="T812">
        <v>3</v>
      </c>
      <c r="U812" t="s">
        <v>41</v>
      </c>
      <c r="V812" t="s">
        <v>42</v>
      </c>
      <c r="W812">
        <v>12</v>
      </c>
      <c r="X812">
        <v>3</v>
      </c>
      <c r="Y812">
        <v>4</v>
      </c>
      <c r="Z812">
        <v>80</v>
      </c>
      <c r="AA812">
        <v>1</v>
      </c>
      <c r="AB812">
        <v>23</v>
      </c>
      <c r="AC812">
        <v>3</v>
      </c>
      <c r="AD812">
        <v>3</v>
      </c>
      <c r="AE812">
        <v>12</v>
      </c>
      <c r="AF812">
        <v>9</v>
      </c>
      <c r="AG812">
        <v>4</v>
      </c>
      <c r="AH812">
        <v>9</v>
      </c>
    </row>
    <row r="813" spans="1:34" x14ac:dyDescent="0.2">
      <c r="A813">
        <v>38</v>
      </c>
      <c r="B813" t="s">
        <v>42</v>
      </c>
      <c r="C813" t="s">
        <v>35</v>
      </c>
      <c r="D813" t="s">
        <v>36</v>
      </c>
      <c r="E813">
        <v>2</v>
      </c>
      <c r="F813">
        <v>2</v>
      </c>
      <c r="G813" t="s">
        <v>58</v>
      </c>
      <c r="H813">
        <v>1</v>
      </c>
      <c r="I813">
        <v>1125</v>
      </c>
      <c r="J813">
        <v>4</v>
      </c>
      <c r="K813" t="s">
        <v>45</v>
      </c>
      <c r="L813">
        <v>32</v>
      </c>
      <c r="M813">
        <v>3</v>
      </c>
      <c r="N813">
        <v>3</v>
      </c>
      <c r="O813" t="s">
        <v>39</v>
      </c>
      <c r="P813">
        <v>2</v>
      </c>
      <c r="Q813" t="s">
        <v>40</v>
      </c>
      <c r="R813">
        <v>7351</v>
      </c>
      <c r="S813">
        <v>20619</v>
      </c>
      <c r="T813">
        <v>7</v>
      </c>
      <c r="U813" t="s">
        <v>41</v>
      </c>
      <c r="V813" t="s">
        <v>42</v>
      </c>
      <c r="W813">
        <v>16</v>
      </c>
      <c r="X813">
        <v>3</v>
      </c>
      <c r="Y813">
        <v>3</v>
      </c>
      <c r="Z813">
        <v>80</v>
      </c>
      <c r="AA813">
        <v>0</v>
      </c>
      <c r="AB813">
        <v>10</v>
      </c>
      <c r="AC813">
        <v>2</v>
      </c>
      <c r="AD813">
        <v>3</v>
      </c>
      <c r="AE813">
        <v>1</v>
      </c>
      <c r="AF813">
        <v>0</v>
      </c>
      <c r="AG813">
        <v>0</v>
      </c>
      <c r="AH813">
        <v>0</v>
      </c>
    </row>
    <row r="814" spans="1:34" x14ac:dyDescent="0.2">
      <c r="A814">
        <v>43</v>
      </c>
      <c r="B814" t="s">
        <v>42</v>
      </c>
      <c r="C814" t="s">
        <v>43</v>
      </c>
      <c r="D814" t="s">
        <v>44</v>
      </c>
      <c r="E814">
        <v>27</v>
      </c>
      <c r="F814">
        <v>3</v>
      </c>
      <c r="G814" t="s">
        <v>37</v>
      </c>
      <c r="H814">
        <v>1</v>
      </c>
      <c r="I814">
        <v>1126</v>
      </c>
      <c r="J814">
        <v>3</v>
      </c>
      <c r="K814" t="s">
        <v>38</v>
      </c>
      <c r="L814">
        <v>83</v>
      </c>
      <c r="M814">
        <v>3</v>
      </c>
      <c r="N814">
        <v>3</v>
      </c>
      <c r="O814" t="s">
        <v>52</v>
      </c>
      <c r="P814">
        <v>1</v>
      </c>
      <c r="Q814" t="s">
        <v>47</v>
      </c>
      <c r="R814">
        <v>10820</v>
      </c>
      <c r="S814">
        <v>11535</v>
      </c>
      <c r="T814">
        <v>8</v>
      </c>
      <c r="U814" t="s">
        <v>41</v>
      </c>
      <c r="V814" t="s">
        <v>42</v>
      </c>
      <c r="W814">
        <v>11</v>
      </c>
      <c r="X814">
        <v>3</v>
      </c>
      <c r="Y814">
        <v>3</v>
      </c>
      <c r="Z814">
        <v>80</v>
      </c>
      <c r="AA814">
        <v>1</v>
      </c>
      <c r="AB814">
        <v>18</v>
      </c>
      <c r="AC814">
        <v>1</v>
      </c>
      <c r="AD814">
        <v>3</v>
      </c>
      <c r="AE814">
        <v>8</v>
      </c>
      <c r="AF814">
        <v>7</v>
      </c>
      <c r="AG814">
        <v>0</v>
      </c>
      <c r="AH814">
        <v>1</v>
      </c>
    </row>
    <row r="815" spans="1:34" x14ac:dyDescent="0.2">
      <c r="A815">
        <v>39</v>
      </c>
      <c r="B815" t="s">
        <v>34</v>
      </c>
      <c r="C815" t="s">
        <v>43</v>
      </c>
      <c r="D815" t="s">
        <v>44</v>
      </c>
      <c r="E815">
        <v>2</v>
      </c>
      <c r="F815">
        <v>3</v>
      </c>
      <c r="G815" t="s">
        <v>37</v>
      </c>
      <c r="H815">
        <v>1</v>
      </c>
      <c r="I815">
        <v>1127</v>
      </c>
      <c r="J815">
        <v>1</v>
      </c>
      <c r="K815" t="s">
        <v>45</v>
      </c>
      <c r="L815">
        <v>84</v>
      </c>
      <c r="M815">
        <v>3</v>
      </c>
      <c r="N815">
        <v>4</v>
      </c>
      <c r="O815" t="s">
        <v>53</v>
      </c>
      <c r="P815">
        <v>4</v>
      </c>
      <c r="Q815" t="s">
        <v>51</v>
      </c>
      <c r="R815">
        <v>12169</v>
      </c>
      <c r="S815">
        <v>13547</v>
      </c>
      <c r="T815">
        <v>7</v>
      </c>
      <c r="U815" t="s">
        <v>41</v>
      </c>
      <c r="V815" t="s">
        <v>42</v>
      </c>
      <c r="W815">
        <v>11</v>
      </c>
      <c r="X815">
        <v>3</v>
      </c>
      <c r="Y815">
        <v>4</v>
      </c>
      <c r="Z815">
        <v>80</v>
      </c>
      <c r="AA815">
        <v>3</v>
      </c>
      <c r="AB815">
        <v>21</v>
      </c>
      <c r="AC815">
        <v>4</v>
      </c>
      <c r="AD815">
        <v>3</v>
      </c>
      <c r="AE815">
        <v>18</v>
      </c>
      <c r="AF815">
        <v>7</v>
      </c>
      <c r="AG815">
        <v>11</v>
      </c>
      <c r="AH815">
        <v>5</v>
      </c>
    </row>
    <row r="816" spans="1:34" x14ac:dyDescent="0.2">
      <c r="A816">
        <v>40</v>
      </c>
      <c r="B816" t="s">
        <v>42</v>
      </c>
      <c r="C816" t="s">
        <v>35</v>
      </c>
      <c r="D816" t="s">
        <v>44</v>
      </c>
      <c r="E816">
        <v>14</v>
      </c>
      <c r="F816">
        <v>3</v>
      </c>
      <c r="G816" t="s">
        <v>50</v>
      </c>
      <c r="H816">
        <v>1</v>
      </c>
      <c r="I816">
        <v>1128</v>
      </c>
      <c r="J816">
        <v>3</v>
      </c>
      <c r="K816" t="s">
        <v>45</v>
      </c>
      <c r="L816">
        <v>44</v>
      </c>
      <c r="M816">
        <v>2</v>
      </c>
      <c r="N816">
        <v>5</v>
      </c>
      <c r="O816" t="s">
        <v>57</v>
      </c>
      <c r="P816">
        <v>3</v>
      </c>
      <c r="Q816" t="s">
        <v>40</v>
      </c>
      <c r="R816">
        <v>19626</v>
      </c>
      <c r="S816">
        <v>17544</v>
      </c>
      <c r="T816">
        <v>1</v>
      </c>
      <c r="U816" t="s">
        <v>41</v>
      </c>
      <c r="V816" t="s">
        <v>42</v>
      </c>
      <c r="W816">
        <v>14</v>
      </c>
      <c r="X816">
        <v>3</v>
      </c>
      <c r="Y816">
        <v>1</v>
      </c>
      <c r="Z816">
        <v>80</v>
      </c>
      <c r="AA816">
        <v>0</v>
      </c>
      <c r="AB816">
        <v>21</v>
      </c>
      <c r="AC816">
        <v>2</v>
      </c>
      <c r="AD816">
        <v>4</v>
      </c>
      <c r="AE816">
        <v>20</v>
      </c>
      <c r="AF816">
        <v>7</v>
      </c>
      <c r="AG816">
        <v>4</v>
      </c>
      <c r="AH816">
        <v>9</v>
      </c>
    </row>
    <row r="817" spans="1:34" x14ac:dyDescent="0.2">
      <c r="A817">
        <v>21</v>
      </c>
      <c r="B817" t="s">
        <v>42</v>
      </c>
      <c r="C817" t="s">
        <v>35</v>
      </c>
      <c r="D817" t="s">
        <v>44</v>
      </c>
      <c r="E817">
        <v>1</v>
      </c>
      <c r="F817">
        <v>1</v>
      </c>
      <c r="G817" t="s">
        <v>59</v>
      </c>
      <c r="H817">
        <v>1</v>
      </c>
      <c r="I817">
        <v>1131</v>
      </c>
      <c r="J817">
        <v>4</v>
      </c>
      <c r="K817" t="s">
        <v>38</v>
      </c>
      <c r="L817">
        <v>70</v>
      </c>
      <c r="M817">
        <v>2</v>
      </c>
      <c r="N817">
        <v>1</v>
      </c>
      <c r="O817" t="s">
        <v>46</v>
      </c>
      <c r="P817">
        <v>2</v>
      </c>
      <c r="Q817" t="s">
        <v>40</v>
      </c>
      <c r="R817">
        <v>2070</v>
      </c>
      <c r="S817">
        <v>25326</v>
      </c>
      <c r="T817">
        <v>1</v>
      </c>
      <c r="U817" t="s">
        <v>41</v>
      </c>
      <c r="V817" t="s">
        <v>34</v>
      </c>
      <c r="W817">
        <v>11</v>
      </c>
      <c r="X817">
        <v>3</v>
      </c>
      <c r="Y817">
        <v>3</v>
      </c>
      <c r="Z817">
        <v>80</v>
      </c>
      <c r="AA817">
        <v>0</v>
      </c>
      <c r="AB817">
        <v>2</v>
      </c>
      <c r="AC817">
        <v>6</v>
      </c>
      <c r="AD817">
        <v>4</v>
      </c>
      <c r="AE817">
        <v>2</v>
      </c>
      <c r="AF817">
        <v>2</v>
      </c>
      <c r="AG817">
        <v>2</v>
      </c>
      <c r="AH817">
        <v>2</v>
      </c>
    </row>
    <row r="818" spans="1:34" x14ac:dyDescent="0.2">
      <c r="A818">
        <v>39</v>
      </c>
      <c r="B818" t="s">
        <v>42</v>
      </c>
      <c r="C818" t="s">
        <v>54</v>
      </c>
      <c r="D818" t="s">
        <v>44</v>
      </c>
      <c r="E818">
        <v>9</v>
      </c>
      <c r="F818">
        <v>3</v>
      </c>
      <c r="G818" t="s">
        <v>37</v>
      </c>
      <c r="H818">
        <v>1</v>
      </c>
      <c r="I818">
        <v>1132</v>
      </c>
      <c r="J818">
        <v>3</v>
      </c>
      <c r="K818" t="s">
        <v>45</v>
      </c>
      <c r="L818">
        <v>70</v>
      </c>
      <c r="M818">
        <v>3</v>
      </c>
      <c r="N818">
        <v>2</v>
      </c>
      <c r="O818" t="s">
        <v>49</v>
      </c>
      <c r="P818">
        <v>2</v>
      </c>
      <c r="Q818" t="s">
        <v>40</v>
      </c>
      <c r="R818">
        <v>6782</v>
      </c>
      <c r="S818">
        <v>8770</v>
      </c>
      <c r="T818">
        <v>9</v>
      </c>
      <c r="U818" t="s">
        <v>41</v>
      </c>
      <c r="V818" t="s">
        <v>42</v>
      </c>
      <c r="W818">
        <v>15</v>
      </c>
      <c r="X818">
        <v>3</v>
      </c>
      <c r="Y818">
        <v>3</v>
      </c>
      <c r="Z818">
        <v>80</v>
      </c>
      <c r="AA818">
        <v>0</v>
      </c>
      <c r="AB818">
        <v>9</v>
      </c>
      <c r="AC818">
        <v>2</v>
      </c>
      <c r="AD818">
        <v>2</v>
      </c>
      <c r="AE818">
        <v>5</v>
      </c>
      <c r="AF818">
        <v>4</v>
      </c>
      <c r="AG818">
        <v>0</v>
      </c>
      <c r="AH818">
        <v>3</v>
      </c>
    </row>
    <row r="819" spans="1:34" x14ac:dyDescent="0.2">
      <c r="A819">
        <v>36</v>
      </c>
      <c r="B819" t="s">
        <v>42</v>
      </c>
      <c r="C819" t="s">
        <v>54</v>
      </c>
      <c r="D819" t="s">
        <v>44</v>
      </c>
      <c r="E819">
        <v>18</v>
      </c>
      <c r="F819">
        <v>4</v>
      </c>
      <c r="G819" t="s">
        <v>37</v>
      </c>
      <c r="H819">
        <v>1</v>
      </c>
      <c r="I819">
        <v>1133</v>
      </c>
      <c r="J819">
        <v>1</v>
      </c>
      <c r="K819" t="s">
        <v>45</v>
      </c>
      <c r="L819">
        <v>78</v>
      </c>
      <c r="M819">
        <v>3</v>
      </c>
      <c r="N819">
        <v>2</v>
      </c>
      <c r="O819" t="s">
        <v>52</v>
      </c>
      <c r="P819">
        <v>4</v>
      </c>
      <c r="Q819" t="s">
        <v>40</v>
      </c>
      <c r="R819">
        <v>7779</v>
      </c>
      <c r="S819">
        <v>23238</v>
      </c>
      <c r="T819">
        <v>2</v>
      </c>
      <c r="U819" t="s">
        <v>41</v>
      </c>
      <c r="V819" t="s">
        <v>42</v>
      </c>
      <c r="W819">
        <v>20</v>
      </c>
      <c r="X819">
        <v>4</v>
      </c>
      <c r="Y819">
        <v>1</v>
      </c>
      <c r="Z819">
        <v>80</v>
      </c>
      <c r="AA819">
        <v>0</v>
      </c>
      <c r="AB819">
        <v>18</v>
      </c>
      <c r="AC819">
        <v>0</v>
      </c>
      <c r="AD819">
        <v>3</v>
      </c>
      <c r="AE819">
        <v>11</v>
      </c>
      <c r="AF819">
        <v>9</v>
      </c>
      <c r="AG819">
        <v>0</v>
      </c>
      <c r="AH819">
        <v>9</v>
      </c>
    </row>
    <row r="820" spans="1:34" x14ac:dyDescent="0.2">
      <c r="A820">
        <v>31</v>
      </c>
      <c r="B820" t="s">
        <v>42</v>
      </c>
      <c r="C820" t="s">
        <v>43</v>
      </c>
      <c r="D820" t="s">
        <v>36</v>
      </c>
      <c r="E820">
        <v>20</v>
      </c>
      <c r="F820">
        <v>3</v>
      </c>
      <c r="G820" t="s">
        <v>37</v>
      </c>
      <c r="H820">
        <v>1</v>
      </c>
      <c r="I820">
        <v>1135</v>
      </c>
      <c r="J820">
        <v>3</v>
      </c>
      <c r="K820" t="s">
        <v>45</v>
      </c>
      <c r="L820">
        <v>67</v>
      </c>
      <c r="M820">
        <v>4</v>
      </c>
      <c r="N820">
        <v>1</v>
      </c>
      <c r="O820" t="s">
        <v>56</v>
      </c>
      <c r="P820">
        <v>4</v>
      </c>
      <c r="Q820" t="s">
        <v>47</v>
      </c>
      <c r="R820">
        <v>2791</v>
      </c>
      <c r="S820">
        <v>21981</v>
      </c>
      <c r="T820">
        <v>0</v>
      </c>
      <c r="U820" t="s">
        <v>41</v>
      </c>
      <c r="V820" t="s">
        <v>42</v>
      </c>
      <c r="W820">
        <v>12</v>
      </c>
      <c r="X820">
        <v>3</v>
      </c>
      <c r="Y820">
        <v>1</v>
      </c>
      <c r="Z820">
        <v>80</v>
      </c>
      <c r="AA820">
        <v>1</v>
      </c>
      <c r="AB820">
        <v>3</v>
      </c>
      <c r="AC820">
        <v>4</v>
      </c>
      <c r="AD820">
        <v>3</v>
      </c>
      <c r="AE820">
        <v>2</v>
      </c>
      <c r="AF820">
        <v>2</v>
      </c>
      <c r="AG820">
        <v>2</v>
      </c>
      <c r="AH820">
        <v>2</v>
      </c>
    </row>
    <row r="821" spans="1:34" x14ac:dyDescent="0.2">
      <c r="A821">
        <v>28</v>
      </c>
      <c r="B821" t="s">
        <v>42</v>
      </c>
      <c r="C821" t="s">
        <v>35</v>
      </c>
      <c r="D821" t="s">
        <v>44</v>
      </c>
      <c r="E821">
        <v>2</v>
      </c>
      <c r="F821">
        <v>1</v>
      </c>
      <c r="G821" t="s">
        <v>37</v>
      </c>
      <c r="H821">
        <v>1</v>
      </c>
      <c r="I821">
        <v>1136</v>
      </c>
      <c r="J821">
        <v>1</v>
      </c>
      <c r="K821" t="s">
        <v>45</v>
      </c>
      <c r="L821">
        <v>67</v>
      </c>
      <c r="M821">
        <v>2</v>
      </c>
      <c r="N821">
        <v>1</v>
      </c>
      <c r="O821" t="s">
        <v>46</v>
      </c>
      <c r="P821">
        <v>2</v>
      </c>
      <c r="Q821" t="s">
        <v>47</v>
      </c>
      <c r="R821">
        <v>3201</v>
      </c>
      <c r="S821">
        <v>19911</v>
      </c>
      <c r="T821">
        <v>0</v>
      </c>
      <c r="U821" t="s">
        <v>41</v>
      </c>
      <c r="V821" t="s">
        <v>42</v>
      </c>
      <c r="W821">
        <v>17</v>
      </c>
      <c r="X821">
        <v>3</v>
      </c>
      <c r="Y821">
        <v>1</v>
      </c>
      <c r="Z821">
        <v>80</v>
      </c>
      <c r="AA821">
        <v>0</v>
      </c>
      <c r="AB821">
        <v>6</v>
      </c>
      <c r="AC821">
        <v>2</v>
      </c>
      <c r="AD821">
        <v>1</v>
      </c>
      <c r="AE821">
        <v>5</v>
      </c>
      <c r="AF821">
        <v>3</v>
      </c>
      <c r="AG821">
        <v>0</v>
      </c>
      <c r="AH821">
        <v>4</v>
      </c>
    </row>
    <row r="822" spans="1:34" x14ac:dyDescent="0.2">
      <c r="A822">
        <v>35</v>
      </c>
      <c r="B822" t="s">
        <v>42</v>
      </c>
      <c r="C822" t="s">
        <v>43</v>
      </c>
      <c r="D822" t="s">
        <v>36</v>
      </c>
      <c r="E822">
        <v>11</v>
      </c>
      <c r="F822">
        <v>2</v>
      </c>
      <c r="G822" t="s">
        <v>58</v>
      </c>
      <c r="H822">
        <v>1</v>
      </c>
      <c r="I822">
        <v>1137</v>
      </c>
      <c r="J822">
        <v>4</v>
      </c>
      <c r="K822" t="s">
        <v>45</v>
      </c>
      <c r="L822">
        <v>54</v>
      </c>
      <c r="M822">
        <v>3</v>
      </c>
      <c r="N822">
        <v>2</v>
      </c>
      <c r="O822" t="s">
        <v>39</v>
      </c>
      <c r="P822">
        <v>4</v>
      </c>
      <c r="Q822" t="s">
        <v>51</v>
      </c>
      <c r="R822">
        <v>4968</v>
      </c>
      <c r="S822">
        <v>18500</v>
      </c>
      <c r="T822">
        <v>1</v>
      </c>
      <c r="U822" t="s">
        <v>41</v>
      </c>
      <c r="V822" t="s">
        <v>42</v>
      </c>
      <c r="W822">
        <v>11</v>
      </c>
      <c r="X822">
        <v>3</v>
      </c>
      <c r="Y822">
        <v>4</v>
      </c>
      <c r="Z822">
        <v>80</v>
      </c>
      <c r="AA822">
        <v>1</v>
      </c>
      <c r="AB822">
        <v>5</v>
      </c>
      <c r="AC822">
        <v>3</v>
      </c>
      <c r="AD822">
        <v>3</v>
      </c>
      <c r="AE822">
        <v>5</v>
      </c>
      <c r="AF822">
        <v>2</v>
      </c>
      <c r="AG822">
        <v>0</v>
      </c>
      <c r="AH822">
        <v>2</v>
      </c>
    </row>
    <row r="823" spans="1:34" x14ac:dyDescent="0.2">
      <c r="A823">
        <v>49</v>
      </c>
      <c r="B823" t="s">
        <v>42</v>
      </c>
      <c r="C823" t="s">
        <v>35</v>
      </c>
      <c r="D823" t="s">
        <v>36</v>
      </c>
      <c r="E823">
        <v>8</v>
      </c>
      <c r="F823">
        <v>4</v>
      </c>
      <c r="G823" t="s">
        <v>59</v>
      </c>
      <c r="H823">
        <v>1</v>
      </c>
      <c r="I823">
        <v>1138</v>
      </c>
      <c r="J823">
        <v>4</v>
      </c>
      <c r="K823" t="s">
        <v>45</v>
      </c>
      <c r="L823">
        <v>56</v>
      </c>
      <c r="M823">
        <v>2</v>
      </c>
      <c r="N823">
        <v>4</v>
      </c>
      <c r="O823" t="s">
        <v>39</v>
      </c>
      <c r="P823">
        <v>2</v>
      </c>
      <c r="Q823" t="s">
        <v>47</v>
      </c>
      <c r="R823">
        <v>13120</v>
      </c>
      <c r="S823">
        <v>11879</v>
      </c>
      <c r="T823">
        <v>6</v>
      </c>
      <c r="U823" t="s">
        <v>41</v>
      </c>
      <c r="V823" t="s">
        <v>42</v>
      </c>
      <c r="W823">
        <v>17</v>
      </c>
      <c r="X823">
        <v>3</v>
      </c>
      <c r="Y823">
        <v>2</v>
      </c>
      <c r="Z823">
        <v>80</v>
      </c>
      <c r="AA823">
        <v>1</v>
      </c>
      <c r="AB823">
        <v>22</v>
      </c>
      <c r="AC823">
        <v>3</v>
      </c>
      <c r="AD823">
        <v>3</v>
      </c>
      <c r="AE823">
        <v>9</v>
      </c>
      <c r="AF823">
        <v>8</v>
      </c>
      <c r="AG823">
        <v>2</v>
      </c>
      <c r="AH823">
        <v>3</v>
      </c>
    </row>
    <row r="824" spans="1:34" x14ac:dyDescent="0.2">
      <c r="A824">
        <v>34</v>
      </c>
      <c r="B824" t="s">
        <v>42</v>
      </c>
      <c r="C824" t="s">
        <v>43</v>
      </c>
      <c r="D824" t="s">
        <v>44</v>
      </c>
      <c r="E824">
        <v>2</v>
      </c>
      <c r="F824">
        <v>2</v>
      </c>
      <c r="G824" t="s">
        <v>37</v>
      </c>
      <c r="H824">
        <v>1</v>
      </c>
      <c r="I824">
        <v>1140</v>
      </c>
      <c r="J824">
        <v>4</v>
      </c>
      <c r="K824" t="s">
        <v>45</v>
      </c>
      <c r="L824">
        <v>95</v>
      </c>
      <c r="M824">
        <v>3</v>
      </c>
      <c r="N824">
        <v>2</v>
      </c>
      <c r="O824" t="s">
        <v>52</v>
      </c>
      <c r="P824">
        <v>3</v>
      </c>
      <c r="Q824" t="s">
        <v>40</v>
      </c>
      <c r="R824">
        <v>4033</v>
      </c>
      <c r="S824">
        <v>15834</v>
      </c>
      <c r="T824">
        <v>2</v>
      </c>
      <c r="U824" t="s">
        <v>41</v>
      </c>
      <c r="V824" t="s">
        <v>42</v>
      </c>
      <c r="W824">
        <v>11</v>
      </c>
      <c r="X824">
        <v>3</v>
      </c>
      <c r="Y824">
        <v>4</v>
      </c>
      <c r="Z824">
        <v>80</v>
      </c>
      <c r="AA824">
        <v>0</v>
      </c>
      <c r="AB824">
        <v>5</v>
      </c>
      <c r="AC824">
        <v>3</v>
      </c>
      <c r="AD824">
        <v>2</v>
      </c>
      <c r="AE824">
        <v>3</v>
      </c>
      <c r="AF824">
        <v>2</v>
      </c>
      <c r="AG824">
        <v>0</v>
      </c>
      <c r="AH824">
        <v>2</v>
      </c>
    </row>
    <row r="825" spans="1:34" x14ac:dyDescent="0.2">
      <c r="A825">
        <v>29</v>
      </c>
      <c r="B825" t="s">
        <v>42</v>
      </c>
      <c r="C825" t="s">
        <v>43</v>
      </c>
      <c r="D825" t="s">
        <v>44</v>
      </c>
      <c r="E825">
        <v>10</v>
      </c>
      <c r="F825">
        <v>3</v>
      </c>
      <c r="G825" t="s">
        <v>37</v>
      </c>
      <c r="H825">
        <v>1</v>
      </c>
      <c r="I825">
        <v>1143</v>
      </c>
      <c r="J825">
        <v>4</v>
      </c>
      <c r="K825" t="s">
        <v>38</v>
      </c>
      <c r="L825">
        <v>61</v>
      </c>
      <c r="M825">
        <v>3</v>
      </c>
      <c r="N825">
        <v>1</v>
      </c>
      <c r="O825" t="s">
        <v>46</v>
      </c>
      <c r="P825">
        <v>2</v>
      </c>
      <c r="Q825" t="s">
        <v>51</v>
      </c>
      <c r="R825">
        <v>3291</v>
      </c>
      <c r="S825">
        <v>17940</v>
      </c>
      <c r="T825">
        <v>0</v>
      </c>
      <c r="U825" t="s">
        <v>41</v>
      </c>
      <c r="V825" t="s">
        <v>42</v>
      </c>
      <c r="W825">
        <v>14</v>
      </c>
      <c r="X825">
        <v>3</v>
      </c>
      <c r="Y825">
        <v>4</v>
      </c>
      <c r="Z825">
        <v>80</v>
      </c>
      <c r="AA825">
        <v>2</v>
      </c>
      <c r="AB825">
        <v>8</v>
      </c>
      <c r="AC825">
        <v>2</v>
      </c>
      <c r="AD825">
        <v>2</v>
      </c>
      <c r="AE825">
        <v>7</v>
      </c>
      <c r="AF825">
        <v>5</v>
      </c>
      <c r="AG825">
        <v>1</v>
      </c>
      <c r="AH825">
        <v>1</v>
      </c>
    </row>
    <row r="826" spans="1:34" x14ac:dyDescent="0.2">
      <c r="A826">
        <v>42</v>
      </c>
      <c r="B826" t="s">
        <v>42</v>
      </c>
      <c r="C826" t="s">
        <v>35</v>
      </c>
      <c r="D826" t="s">
        <v>44</v>
      </c>
      <c r="E826">
        <v>29</v>
      </c>
      <c r="F826">
        <v>3</v>
      </c>
      <c r="G826" t="s">
        <v>50</v>
      </c>
      <c r="H826">
        <v>1</v>
      </c>
      <c r="I826">
        <v>1148</v>
      </c>
      <c r="J826">
        <v>2</v>
      </c>
      <c r="K826" t="s">
        <v>45</v>
      </c>
      <c r="L826">
        <v>56</v>
      </c>
      <c r="M826">
        <v>1</v>
      </c>
      <c r="N826">
        <v>2</v>
      </c>
      <c r="O826" t="s">
        <v>49</v>
      </c>
      <c r="P826">
        <v>4</v>
      </c>
      <c r="Q826" t="s">
        <v>40</v>
      </c>
      <c r="R826">
        <v>4272</v>
      </c>
      <c r="S826">
        <v>9558</v>
      </c>
      <c r="T826">
        <v>4</v>
      </c>
      <c r="U826" t="s">
        <v>41</v>
      </c>
      <c r="V826" t="s">
        <v>42</v>
      </c>
      <c r="W826">
        <v>19</v>
      </c>
      <c r="X826">
        <v>3</v>
      </c>
      <c r="Y826">
        <v>1</v>
      </c>
      <c r="Z826">
        <v>80</v>
      </c>
      <c r="AA826">
        <v>0</v>
      </c>
      <c r="AB826">
        <v>16</v>
      </c>
      <c r="AC826">
        <v>3</v>
      </c>
      <c r="AD826">
        <v>3</v>
      </c>
      <c r="AE826">
        <v>1</v>
      </c>
      <c r="AF826">
        <v>0</v>
      </c>
      <c r="AG826">
        <v>0</v>
      </c>
      <c r="AH826">
        <v>0</v>
      </c>
    </row>
    <row r="827" spans="1:34" x14ac:dyDescent="0.2">
      <c r="A827">
        <v>29</v>
      </c>
      <c r="B827" t="s">
        <v>42</v>
      </c>
      <c r="C827" t="s">
        <v>35</v>
      </c>
      <c r="D827" t="s">
        <v>44</v>
      </c>
      <c r="E827">
        <v>8</v>
      </c>
      <c r="F827">
        <v>1</v>
      </c>
      <c r="G827" t="s">
        <v>50</v>
      </c>
      <c r="H827">
        <v>1</v>
      </c>
      <c r="I827">
        <v>1150</v>
      </c>
      <c r="J827">
        <v>2</v>
      </c>
      <c r="K827" t="s">
        <v>45</v>
      </c>
      <c r="L827">
        <v>79</v>
      </c>
      <c r="M827">
        <v>2</v>
      </c>
      <c r="N827">
        <v>2</v>
      </c>
      <c r="O827" t="s">
        <v>52</v>
      </c>
      <c r="P827">
        <v>4</v>
      </c>
      <c r="Q827" t="s">
        <v>47</v>
      </c>
      <c r="R827">
        <v>5056</v>
      </c>
      <c r="S827">
        <v>17689</v>
      </c>
      <c r="T827">
        <v>1</v>
      </c>
      <c r="U827" t="s">
        <v>41</v>
      </c>
      <c r="V827" t="s">
        <v>34</v>
      </c>
      <c r="W827">
        <v>15</v>
      </c>
      <c r="X827">
        <v>3</v>
      </c>
      <c r="Y827">
        <v>3</v>
      </c>
      <c r="Z827">
        <v>80</v>
      </c>
      <c r="AA827">
        <v>1</v>
      </c>
      <c r="AB827">
        <v>10</v>
      </c>
      <c r="AC827">
        <v>2</v>
      </c>
      <c r="AD827">
        <v>2</v>
      </c>
      <c r="AE827">
        <v>10</v>
      </c>
      <c r="AF827">
        <v>7</v>
      </c>
      <c r="AG827">
        <v>1</v>
      </c>
      <c r="AH827">
        <v>2</v>
      </c>
    </row>
    <row r="828" spans="1:34" x14ac:dyDescent="0.2">
      <c r="A828">
        <v>38</v>
      </c>
      <c r="B828" t="s">
        <v>42</v>
      </c>
      <c r="C828" t="s">
        <v>35</v>
      </c>
      <c r="D828" t="s">
        <v>60</v>
      </c>
      <c r="E828">
        <v>1</v>
      </c>
      <c r="F828">
        <v>3</v>
      </c>
      <c r="G828" t="s">
        <v>60</v>
      </c>
      <c r="H828">
        <v>1</v>
      </c>
      <c r="I828">
        <v>1152</v>
      </c>
      <c r="J828">
        <v>3</v>
      </c>
      <c r="K828" t="s">
        <v>45</v>
      </c>
      <c r="L828">
        <v>37</v>
      </c>
      <c r="M828">
        <v>4</v>
      </c>
      <c r="N828">
        <v>1</v>
      </c>
      <c r="O828" t="s">
        <v>60</v>
      </c>
      <c r="P828">
        <v>3</v>
      </c>
      <c r="Q828" t="s">
        <v>47</v>
      </c>
      <c r="R828">
        <v>2844</v>
      </c>
      <c r="S828">
        <v>6004</v>
      </c>
      <c r="T828">
        <v>1</v>
      </c>
      <c r="U828" t="s">
        <v>41</v>
      </c>
      <c r="V828" t="s">
        <v>42</v>
      </c>
      <c r="W828">
        <v>13</v>
      </c>
      <c r="X828">
        <v>3</v>
      </c>
      <c r="Y828">
        <v>4</v>
      </c>
      <c r="Z828">
        <v>80</v>
      </c>
      <c r="AA828">
        <v>1</v>
      </c>
      <c r="AB828">
        <v>7</v>
      </c>
      <c r="AC828">
        <v>2</v>
      </c>
      <c r="AD828">
        <v>4</v>
      </c>
      <c r="AE828">
        <v>7</v>
      </c>
      <c r="AF828">
        <v>6</v>
      </c>
      <c r="AG828">
        <v>5</v>
      </c>
      <c r="AH828">
        <v>0</v>
      </c>
    </row>
    <row r="829" spans="1:34" x14ac:dyDescent="0.2">
      <c r="A829">
        <v>28</v>
      </c>
      <c r="B829" t="s">
        <v>42</v>
      </c>
      <c r="C829" t="s">
        <v>43</v>
      </c>
      <c r="D829" t="s">
        <v>44</v>
      </c>
      <c r="E829">
        <v>6</v>
      </c>
      <c r="F829">
        <v>3</v>
      </c>
      <c r="G829" t="s">
        <v>37</v>
      </c>
      <c r="H829">
        <v>1</v>
      </c>
      <c r="I829">
        <v>1154</v>
      </c>
      <c r="J829">
        <v>3</v>
      </c>
      <c r="K829" t="s">
        <v>45</v>
      </c>
      <c r="L829">
        <v>39</v>
      </c>
      <c r="M829">
        <v>2</v>
      </c>
      <c r="N829">
        <v>1</v>
      </c>
      <c r="O829" t="s">
        <v>46</v>
      </c>
      <c r="P829">
        <v>3</v>
      </c>
      <c r="Q829" t="s">
        <v>51</v>
      </c>
      <c r="R829">
        <v>2703</v>
      </c>
      <c r="S829">
        <v>22088</v>
      </c>
      <c r="T829">
        <v>1</v>
      </c>
      <c r="U829" t="s">
        <v>41</v>
      </c>
      <c r="V829" t="s">
        <v>34</v>
      </c>
      <c r="W829">
        <v>14</v>
      </c>
      <c r="X829">
        <v>3</v>
      </c>
      <c r="Y829">
        <v>4</v>
      </c>
      <c r="Z829">
        <v>80</v>
      </c>
      <c r="AA829">
        <v>1</v>
      </c>
      <c r="AB829">
        <v>3</v>
      </c>
      <c r="AC829">
        <v>2</v>
      </c>
      <c r="AD829">
        <v>3</v>
      </c>
      <c r="AE829">
        <v>3</v>
      </c>
      <c r="AF829">
        <v>1</v>
      </c>
      <c r="AG829">
        <v>0</v>
      </c>
      <c r="AH829">
        <v>2</v>
      </c>
    </row>
    <row r="830" spans="1:34" x14ac:dyDescent="0.2">
      <c r="A830">
        <v>18</v>
      </c>
      <c r="B830" t="s">
        <v>34</v>
      </c>
      <c r="C830" t="s">
        <v>54</v>
      </c>
      <c r="D830" t="s">
        <v>44</v>
      </c>
      <c r="E830">
        <v>8</v>
      </c>
      <c r="F830">
        <v>1</v>
      </c>
      <c r="G830" t="s">
        <v>50</v>
      </c>
      <c r="H830">
        <v>1</v>
      </c>
      <c r="I830">
        <v>1156</v>
      </c>
      <c r="J830">
        <v>3</v>
      </c>
      <c r="K830" t="s">
        <v>45</v>
      </c>
      <c r="L830">
        <v>80</v>
      </c>
      <c r="M830">
        <v>3</v>
      </c>
      <c r="N830">
        <v>1</v>
      </c>
      <c r="O830" t="s">
        <v>49</v>
      </c>
      <c r="P830">
        <v>3</v>
      </c>
      <c r="Q830" t="s">
        <v>40</v>
      </c>
      <c r="R830">
        <v>1904</v>
      </c>
      <c r="S830">
        <v>13556</v>
      </c>
      <c r="T830">
        <v>1</v>
      </c>
      <c r="U830" t="s">
        <v>41</v>
      </c>
      <c r="V830" t="s">
        <v>42</v>
      </c>
      <c r="W830">
        <v>12</v>
      </c>
      <c r="X830">
        <v>3</v>
      </c>
      <c r="Y830">
        <v>4</v>
      </c>
      <c r="Z830">
        <v>80</v>
      </c>
      <c r="AA830">
        <v>0</v>
      </c>
      <c r="AB830">
        <v>0</v>
      </c>
      <c r="AC830">
        <v>0</v>
      </c>
      <c r="AD830">
        <v>3</v>
      </c>
      <c r="AE830">
        <v>0</v>
      </c>
      <c r="AF830">
        <v>0</v>
      </c>
      <c r="AG830">
        <v>0</v>
      </c>
      <c r="AH830">
        <v>0</v>
      </c>
    </row>
    <row r="831" spans="1:34" x14ac:dyDescent="0.2">
      <c r="A831">
        <v>33</v>
      </c>
      <c r="B831" t="s">
        <v>34</v>
      </c>
      <c r="C831" t="s">
        <v>35</v>
      </c>
      <c r="D831" t="s">
        <v>36</v>
      </c>
      <c r="E831">
        <v>9</v>
      </c>
      <c r="F831">
        <v>4</v>
      </c>
      <c r="G831" t="s">
        <v>58</v>
      </c>
      <c r="H831">
        <v>1</v>
      </c>
      <c r="I831">
        <v>1157</v>
      </c>
      <c r="J831">
        <v>1</v>
      </c>
      <c r="K831" t="s">
        <v>38</v>
      </c>
      <c r="L831">
        <v>77</v>
      </c>
      <c r="M831">
        <v>3</v>
      </c>
      <c r="N831">
        <v>2</v>
      </c>
      <c r="O831" t="s">
        <v>39</v>
      </c>
      <c r="P831">
        <v>1</v>
      </c>
      <c r="Q831" t="s">
        <v>40</v>
      </c>
      <c r="R831">
        <v>8224</v>
      </c>
      <c r="S831">
        <v>18385</v>
      </c>
      <c r="T831">
        <v>0</v>
      </c>
      <c r="U831" t="s">
        <v>41</v>
      </c>
      <c r="V831" t="s">
        <v>34</v>
      </c>
      <c r="W831">
        <v>17</v>
      </c>
      <c r="X831">
        <v>3</v>
      </c>
      <c r="Y831">
        <v>1</v>
      </c>
      <c r="Z831">
        <v>80</v>
      </c>
      <c r="AA831">
        <v>0</v>
      </c>
      <c r="AB831">
        <v>6</v>
      </c>
      <c r="AC831">
        <v>3</v>
      </c>
      <c r="AD831">
        <v>3</v>
      </c>
      <c r="AE831">
        <v>5</v>
      </c>
      <c r="AF831">
        <v>2</v>
      </c>
      <c r="AG831">
        <v>0</v>
      </c>
      <c r="AH831">
        <v>3</v>
      </c>
    </row>
    <row r="832" spans="1:34" x14ac:dyDescent="0.2">
      <c r="A832">
        <v>41</v>
      </c>
      <c r="B832" t="s">
        <v>42</v>
      </c>
      <c r="C832" t="s">
        <v>35</v>
      </c>
      <c r="D832" t="s">
        <v>44</v>
      </c>
      <c r="E832">
        <v>12</v>
      </c>
      <c r="F832">
        <v>4</v>
      </c>
      <c r="G832" t="s">
        <v>37</v>
      </c>
      <c r="H832">
        <v>1</v>
      </c>
      <c r="I832">
        <v>1158</v>
      </c>
      <c r="J832">
        <v>2</v>
      </c>
      <c r="K832" t="s">
        <v>45</v>
      </c>
      <c r="L832">
        <v>46</v>
      </c>
      <c r="M832">
        <v>3</v>
      </c>
      <c r="N832">
        <v>1</v>
      </c>
      <c r="O832" t="s">
        <v>49</v>
      </c>
      <c r="P832">
        <v>4</v>
      </c>
      <c r="Q832" t="s">
        <v>47</v>
      </c>
      <c r="R832">
        <v>4766</v>
      </c>
      <c r="S832">
        <v>9051</v>
      </c>
      <c r="T832">
        <v>3</v>
      </c>
      <c r="U832" t="s">
        <v>41</v>
      </c>
      <c r="V832" t="s">
        <v>34</v>
      </c>
      <c r="W832">
        <v>11</v>
      </c>
      <c r="X832">
        <v>3</v>
      </c>
      <c r="Y832">
        <v>1</v>
      </c>
      <c r="Z832">
        <v>80</v>
      </c>
      <c r="AA832">
        <v>1</v>
      </c>
      <c r="AB832">
        <v>6</v>
      </c>
      <c r="AC832">
        <v>4</v>
      </c>
      <c r="AD832">
        <v>3</v>
      </c>
      <c r="AE832">
        <v>1</v>
      </c>
      <c r="AF832">
        <v>0</v>
      </c>
      <c r="AG832">
        <v>0</v>
      </c>
      <c r="AH832">
        <v>0</v>
      </c>
    </row>
    <row r="833" spans="1:34" x14ac:dyDescent="0.2">
      <c r="A833">
        <v>31</v>
      </c>
      <c r="B833" t="s">
        <v>34</v>
      </c>
      <c r="C833" t="s">
        <v>43</v>
      </c>
      <c r="D833" t="s">
        <v>44</v>
      </c>
      <c r="E833">
        <v>15</v>
      </c>
      <c r="F833">
        <v>3</v>
      </c>
      <c r="G833" t="s">
        <v>50</v>
      </c>
      <c r="H833">
        <v>1</v>
      </c>
      <c r="I833">
        <v>1160</v>
      </c>
      <c r="J833">
        <v>3</v>
      </c>
      <c r="K833" t="s">
        <v>45</v>
      </c>
      <c r="L833">
        <v>72</v>
      </c>
      <c r="M833">
        <v>3</v>
      </c>
      <c r="N833">
        <v>1</v>
      </c>
      <c r="O833" t="s">
        <v>49</v>
      </c>
      <c r="P833">
        <v>3</v>
      </c>
      <c r="Q833" t="s">
        <v>47</v>
      </c>
      <c r="R833">
        <v>2610</v>
      </c>
      <c r="S833">
        <v>6233</v>
      </c>
      <c r="T833">
        <v>1</v>
      </c>
      <c r="U833" t="s">
        <v>41</v>
      </c>
      <c r="V833" t="s">
        <v>42</v>
      </c>
      <c r="W833">
        <v>12</v>
      </c>
      <c r="X833">
        <v>3</v>
      </c>
      <c r="Y833">
        <v>3</v>
      </c>
      <c r="Z833">
        <v>80</v>
      </c>
      <c r="AA833">
        <v>1</v>
      </c>
      <c r="AB833">
        <v>2</v>
      </c>
      <c r="AC833">
        <v>5</v>
      </c>
      <c r="AD833">
        <v>2</v>
      </c>
      <c r="AE833">
        <v>2</v>
      </c>
      <c r="AF833">
        <v>2</v>
      </c>
      <c r="AG833">
        <v>2</v>
      </c>
      <c r="AH833">
        <v>2</v>
      </c>
    </row>
    <row r="834" spans="1:34" x14ac:dyDescent="0.2">
      <c r="A834">
        <v>37</v>
      </c>
      <c r="B834" t="s">
        <v>42</v>
      </c>
      <c r="C834" t="s">
        <v>35</v>
      </c>
      <c r="D834" t="s">
        <v>44</v>
      </c>
      <c r="E834">
        <v>25</v>
      </c>
      <c r="F834">
        <v>2</v>
      </c>
      <c r="G834" t="s">
        <v>50</v>
      </c>
      <c r="H834">
        <v>1</v>
      </c>
      <c r="I834">
        <v>1161</v>
      </c>
      <c r="J834">
        <v>3</v>
      </c>
      <c r="K834" t="s">
        <v>38</v>
      </c>
      <c r="L834">
        <v>52</v>
      </c>
      <c r="M834">
        <v>2</v>
      </c>
      <c r="N834">
        <v>2</v>
      </c>
      <c r="O834" t="s">
        <v>53</v>
      </c>
      <c r="P834">
        <v>4</v>
      </c>
      <c r="Q834" t="s">
        <v>51</v>
      </c>
      <c r="R834">
        <v>5731</v>
      </c>
      <c r="S834">
        <v>17171</v>
      </c>
      <c r="T834">
        <v>7</v>
      </c>
      <c r="U834" t="s">
        <v>41</v>
      </c>
      <c r="V834" t="s">
        <v>42</v>
      </c>
      <c r="W834">
        <v>13</v>
      </c>
      <c r="X834">
        <v>3</v>
      </c>
      <c r="Y834">
        <v>3</v>
      </c>
      <c r="Z834">
        <v>80</v>
      </c>
      <c r="AA834">
        <v>2</v>
      </c>
      <c r="AB834">
        <v>9</v>
      </c>
      <c r="AC834">
        <v>2</v>
      </c>
      <c r="AD834">
        <v>3</v>
      </c>
      <c r="AE834">
        <v>6</v>
      </c>
      <c r="AF834">
        <v>2</v>
      </c>
      <c r="AG834">
        <v>1</v>
      </c>
      <c r="AH834">
        <v>3</v>
      </c>
    </row>
    <row r="835" spans="1:34" x14ac:dyDescent="0.2">
      <c r="A835">
        <v>27</v>
      </c>
      <c r="B835" t="s">
        <v>42</v>
      </c>
      <c r="C835" t="s">
        <v>35</v>
      </c>
      <c r="D835" t="s">
        <v>44</v>
      </c>
      <c r="E835">
        <v>6</v>
      </c>
      <c r="F835">
        <v>3</v>
      </c>
      <c r="G835" t="s">
        <v>37</v>
      </c>
      <c r="H835">
        <v>1</v>
      </c>
      <c r="I835">
        <v>1162</v>
      </c>
      <c r="J835">
        <v>4</v>
      </c>
      <c r="K835" t="s">
        <v>45</v>
      </c>
      <c r="L835">
        <v>55</v>
      </c>
      <c r="M835">
        <v>2</v>
      </c>
      <c r="N835">
        <v>1</v>
      </c>
      <c r="O835" t="s">
        <v>46</v>
      </c>
      <c r="P835">
        <v>3</v>
      </c>
      <c r="Q835" t="s">
        <v>47</v>
      </c>
      <c r="R835">
        <v>2539</v>
      </c>
      <c r="S835">
        <v>7950</v>
      </c>
      <c r="T835">
        <v>1</v>
      </c>
      <c r="U835" t="s">
        <v>41</v>
      </c>
      <c r="V835" t="s">
        <v>42</v>
      </c>
      <c r="W835">
        <v>13</v>
      </c>
      <c r="X835">
        <v>3</v>
      </c>
      <c r="Y835">
        <v>3</v>
      </c>
      <c r="Z835">
        <v>80</v>
      </c>
      <c r="AA835">
        <v>1</v>
      </c>
      <c r="AB835">
        <v>4</v>
      </c>
      <c r="AC835">
        <v>0</v>
      </c>
      <c r="AD835">
        <v>3</v>
      </c>
      <c r="AE835">
        <v>4</v>
      </c>
      <c r="AF835">
        <v>2</v>
      </c>
      <c r="AG835">
        <v>2</v>
      </c>
      <c r="AH835">
        <v>2</v>
      </c>
    </row>
    <row r="836" spans="1:34" x14ac:dyDescent="0.2">
      <c r="A836">
        <v>34</v>
      </c>
      <c r="B836" t="s">
        <v>42</v>
      </c>
      <c r="C836" t="s">
        <v>35</v>
      </c>
      <c r="D836" t="s">
        <v>36</v>
      </c>
      <c r="E836">
        <v>9</v>
      </c>
      <c r="F836">
        <v>1</v>
      </c>
      <c r="G836" t="s">
        <v>37</v>
      </c>
      <c r="H836">
        <v>1</v>
      </c>
      <c r="I836">
        <v>1163</v>
      </c>
      <c r="J836">
        <v>2</v>
      </c>
      <c r="K836" t="s">
        <v>38</v>
      </c>
      <c r="L836">
        <v>70</v>
      </c>
      <c r="M836">
        <v>3</v>
      </c>
      <c r="N836">
        <v>2</v>
      </c>
      <c r="O836" t="s">
        <v>39</v>
      </c>
      <c r="P836">
        <v>3</v>
      </c>
      <c r="Q836" t="s">
        <v>47</v>
      </c>
      <c r="R836">
        <v>5714</v>
      </c>
      <c r="S836">
        <v>5829</v>
      </c>
      <c r="T836">
        <v>1</v>
      </c>
      <c r="U836" t="s">
        <v>41</v>
      </c>
      <c r="V836" t="s">
        <v>42</v>
      </c>
      <c r="W836">
        <v>20</v>
      </c>
      <c r="X836">
        <v>4</v>
      </c>
      <c r="Y836">
        <v>1</v>
      </c>
      <c r="Z836">
        <v>80</v>
      </c>
      <c r="AA836">
        <v>0</v>
      </c>
      <c r="AB836">
        <v>6</v>
      </c>
      <c r="AC836">
        <v>3</v>
      </c>
      <c r="AD836">
        <v>2</v>
      </c>
      <c r="AE836">
        <v>6</v>
      </c>
      <c r="AF836">
        <v>5</v>
      </c>
      <c r="AG836">
        <v>1</v>
      </c>
      <c r="AH836">
        <v>3</v>
      </c>
    </row>
    <row r="837" spans="1:34" x14ac:dyDescent="0.2">
      <c r="A837">
        <v>35</v>
      </c>
      <c r="B837" t="s">
        <v>42</v>
      </c>
      <c r="C837" t="s">
        <v>35</v>
      </c>
      <c r="D837" t="s">
        <v>60</v>
      </c>
      <c r="E837">
        <v>8</v>
      </c>
      <c r="F837">
        <v>4</v>
      </c>
      <c r="G837" t="s">
        <v>59</v>
      </c>
      <c r="H837">
        <v>1</v>
      </c>
      <c r="I837">
        <v>1164</v>
      </c>
      <c r="J837">
        <v>3</v>
      </c>
      <c r="K837" t="s">
        <v>45</v>
      </c>
      <c r="L837">
        <v>100</v>
      </c>
      <c r="M837">
        <v>3</v>
      </c>
      <c r="N837">
        <v>1</v>
      </c>
      <c r="O837" t="s">
        <v>60</v>
      </c>
      <c r="P837">
        <v>3</v>
      </c>
      <c r="Q837" t="s">
        <v>40</v>
      </c>
      <c r="R837">
        <v>4323</v>
      </c>
      <c r="S837">
        <v>7108</v>
      </c>
      <c r="T837">
        <v>1</v>
      </c>
      <c r="U837" t="s">
        <v>41</v>
      </c>
      <c r="V837" t="s">
        <v>42</v>
      </c>
      <c r="W837">
        <v>17</v>
      </c>
      <c r="X837">
        <v>3</v>
      </c>
      <c r="Y837">
        <v>2</v>
      </c>
      <c r="Z837">
        <v>80</v>
      </c>
      <c r="AA837">
        <v>0</v>
      </c>
      <c r="AB837">
        <v>6</v>
      </c>
      <c r="AC837">
        <v>2</v>
      </c>
      <c r="AD837">
        <v>1</v>
      </c>
      <c r="AE837">
        <v>5</v>
      </c>
      <c r="AF837">
        <v>4</v>
      </c>
      <c r="AG837">
        <v>1</v>
      </c>
      <c r="AH837">
        <v>4</v>
      </c>
    </row>
    <row r="838" spans="1:34" x14ac:dyDescent="0.2">
      <c r="A838">
        <v>29</v>
      </c>
      <c r="B838" t="s">
        <v>34</v>
      </c>
      <c r="C838" t="s">
        <v>35</v>
      </c>
      <c r="D838" t="s">
        <v>36</v>
      </c>
      <c r="E838">
        <v>23</v>
      </c>
      <c r="F838">
        <v>1</v>
      </c>
      <c r="G838" t="s">
        <v>37</v>
      </c>
      <c r="H838">
        <v>1</v>
      </c>
      <c r="I838">
        <v>1165</v>
      </c>
      <c r="J838">
        <v>4</v>
      </c>
      <c r="K838" t="s">
        <v>38</v>
      </c>
      <c r="L838">
        <v>45</v>
      </c>
      <c r="M838">
        <v>2</v>
      </c>
      <c r="N838">
        <v>3</v>
      </c>
      <c r="O838" t="s">
        <v>39</v>
      </c>
      <c r="P838">
        <v>1</v>
      </c>
      <c r="Q838" t="s">
        <v>47</v>
      </c>
      <c r="R838">
        <v>7336</v>
      </c>
      <c r="S838">
        <v>11162</v>
      </c>
      <c r="T838">
        <v>1</v>
      </c>
      <c r="U838" t="s">
        <v>41</v>
      </c>
      <c r="V838" t="s">
        <v>42</v>
      </c>
      <c r="W838">
        <v>13</v>
      </c>
      <c r="X838">
        <v>3</v>
      </c>
      <c r="Y838">
        <v>1</v>
      </c>
      <c r="Z838">
        <v>80</v>
      </c>
      <c r="AA838">
        <v>1</v>
      </c>
      <c r="AB838">
        <v>11</v>
      </c>
      <c r="AC838">
        <v>3</v>
      </c>
      <c r="AD838">
        <v>1</v>
      </c>
      <c r="AE838">
        <v>11</v>
      </c>
      <c r="AF838">
        <v>8</v>
      </c>
      <c r="AG838">
        <v>3</v>
      </c>
      <c r="AH838">
        <v>10</v>
      </c>
    </row>
    <row r="839" spans="1:34" x14ac:dyDescent="0.2">
      <c r="A839">
        <v>40</v>
      </c>
      <c r="B839" t="s">
        <v>42</v>
      </c>
      <c r="C839" t="s">
        <v>43</v>
      </c>
      <c r="D839" t="s">
        <v>44</v>
      </c>
      <c r="E839">
        <v>9</v>
      </c>
      <c r="F839">
        <v>4</v>
      </c>
      <c r="G839" t="s">
        <v>50</v>
      </c>
      <c r="H839">
        <v>1</v>
      </c>
      <c r="I839">
        <v>1166</v>
      </c>
      <c r="J839">
        <v>2</v>
      </c>
      <c r="K839" t="s">
        <v>38</v>
      </c>
      <c r="L839">
        <v>88</v>
      </c>
      <c r="M839">
        <v>3</v>
      </c>
      <c r="N839">
        <v>3</v>
      </c>
      <c r="O839" t="s">
        <v>57</v>
      </c>
      <c r="P839">
        <v>3</v>
      </c>
      <c r="Q839" t="s">
        <v>40</v>
      </c>
      <c r="R839">
        <v>13499</v>
      </c>
      <c r="S839">
        <v>13782</v>
      </c>
      <c r="T839">
        <v>9</v>
      </c>
      <c r="U839" t="s">
        <v>41</v>
      </c>
      <c r="V839" t="s">
        <v>42</v>
      </c>
      <c r="W839">
        <v>17</v>
      </c>
      <c r="X839">
        <v>3</v>
      </c>
      <c r="Y839">
        <v>3</v>
      </c>
      <c r="Z839">
        <v>80</v>
      </c>
      <c r="AA839">
        <v>0</v>
      </c>
      <c r="AB839">
        <v>20</v>
      </c>
      <c r="AC839">
        <v>3</v>
      </c>
      <c r="AD839">
        <v>2</v>
      </c>
      <c r="AE839">
        <v>18</v>
      </c>
      <c r="AF839">
        <v>7</v>
      </c>
      <c r="AG839">
        <v>2</v>
      </c>
      <c r="AH839">
        <v>13</v>
      </c>
    </row>
    <row r="840" spans="1:34" x14ac:dyDescent="0.2">
      <c r="A840">
        <v>42</v>
      </c>
      <c r="B840" t="s">
        <v>34</v>
      </c>
      <c r="C840" t="s">
        <v>43</v>
      </c>
      <c r="D840" t="s">
        <v>36</v>
      </c>
      <c r="E840">
        <v>12</v>
      </c>
      <c r="F840">
        <v>3</v>
      </c>
      <c r="G840" t="s">
        <v>37</v>
      </c>
      <c r="H840">
        <v>1</v>
      </c>
      <c r="I840">
        <v>1167</v>
      </c>
      <c r="J840">
        <v>3</v>
      </c>
      <c r="K840" t="s">
        <v>45</v>
      </c>
      <c r="L840">
        <v>44</v>
      </c>
      <c r="M840">
        <v>3</v>
      </c>
      <c r="N840">
        <v>4</v>
      </c>
      <c r="O840" t="s">
        <v>39</v>
      </c>
      <c r="P840">
        <v>1</v>
      </c>
      <c r="Q840" t="s">
        <v>40</v>
      </c>
      <c r="R840">
        <v>13758</v>
      </c>
      <c r="S840">
        <v>2447</v>
      </c>
      <c r="T840">
        <v>0</v>
      </c>
      <c r="U840" t="s">
        <v>41</v>
      </c>
      <c r="V840" t="s">
        <v>34</v>
      </c>
      <c r="W840">
        <v>12</v>
      </c>
      <c r="X840">
        <v>3</v>
      </c>
      <c r="Y840">
        <v>2</v>
      </c>
      <c r="Z840">
        <v>80</v>
      </c>
      <c r="AA840">
        <v>0</v>
      </c>
      <c r="AB840">
        <v>22</v>
      </c>
      <c r="AC840">
        <v>2</v>
      </c>
      <c r="AD840">
        <v>2</v>
      </c>
      <c r="AE840">
        <v>21</v>
      </c>
      <c r="AF840">
        <v>9</v>
      </c>
      <c r="AG840">
        <v>13</v>
      </c>
      <c r="AH840">
        <v>14</v>
      </c>
    </row>
    <row r="841" spans="1:34" x14ac:dyDescent="0.2">
      <c r="A841">
        <v>42</v>
      </c>
      <c r="B841" t="s">
        <v>42</v>
      </c>
      <c r="C841" t="s">
        <v>35</v>
      </c>
      <c r="D841" t="s">
        <v>36</v>
      </c>
      <c r="E841">
        <v>4</v>
      </c>
      <c r="F841">
        <v>4</v>
      </c>
      <c r="G841" t="s">
        <v>58</v>
      </c>
      <c r="H841">
        <v>1</v>
      </c>
      <c r="I841">
        <v>1171</v>
      </c>
      <c r="J841">
        <v>2</v>
      </c>
      <c r="K841" t="s">
        <v>45</v>
      </c>
      <c r="L841">
        <v>45</v>
      </c>
      <c r="M841">
        <v>3</v>
      </c>
      <c r="N841">
        <v>2</v>
      </c>
      <c r="O841" t="s">
        <v>39</v>
      </c>
      <c r="P841">
        <v>1</v>
      </c>
      <c r="Q841" t="s">
        <v>40</v>
      </c>
      <c r="R841">
        <v>5155</v>
      </c>
      <c r="S841">
        <v>2253</v>
      </c>
      <c r="T841">
        <v>7</v>
      </c>
      <c r="U841" t="s">
        <v>41</v>
      </c>
      <c r="V841" t="s">
        <v>42</v>
      </c>
      <c r="W841">
        <v>13</v>
      </c>
      <c r="X841">
        <v>3</v>
      </c>
      <c r="Y841">
        <v>4</v>
      </c>
      <c r="Z841">
        <v>80</v>
      </c>
      <c r="AA841">
        <v>0</v>
      </c>
      <c r="AB841">
        <v>9</v>
      </c>
      <c r="AC841">
        <v>3</v>
      </c>
      <c r="AD841">
        <v>4</v>
      </c>
      <c r="AE841">
        <v>6</v>
      </c>
      <c r="AF841">
        <v>4</v>
      </c>
      <c r="AG841">
        <v>1</v>
      </c>
      <c r="AH841">
        <v>5</v>
      </c>
    </row>
    <row r="842" spans="1:34" x14ac:dyDescent="0.2">
      <c r="A842">
        <v>35</v>
      </c>
      <c r="B842" t="s">
        <v>42</v>
      </c>
      <c r="C842" t="s">
        <v>35</v>
      </c>
      <c r="D842" t="s">
        <v>44</v>
      </c>
      <c r="E842">
        <v>1</v>
      </c>
      <c r="F842">
        <v>4</v>
      </c>
      <c r="G842" t="s">
        <v>50</v>
      </c>
      <c r="H842">
        <v>1</v>
      </c>
      <c r="I842">
        <v>1172</v>
      </c>
      <c r="J842">
        <v>4</v>
      </c>
      <c r="K842" t="s">
        <v>45</v>
      </c>
      <c r="L842">
        <v>58</v>
      </c>
      <c r="M842">
        <v>2</v>
      </c>
      <c r="N842">
        <v>1</v>
      </c>
      <c r="O842" t="s">
        <v>49</v>
      </c>
      <c r="P842">
        <v>3</v>
      </c>
      <c r="Q842" t="s">
        <v>47</v>
      </c>
      <c r="R842">
        <v>2258</v>
      </c>
      <c r="S842">
        <v>16340</v>
      </c>
      <c r="T842">
        <v>6</v>
      </c>
      <c r="U842" t="s">
        <v>41</v>
      </c>
      <c r="V842" t="s">
        <v>42</v>
      </c>
      <c r="W842">
        <v>12</v>
      </c>
      <c r="X842">
        <v>3</v>
      </c>
      <c r="Y842">
        <v>2</v>
      </c>
      <c r="Z842">
        <v>80</v>
      </c>
      <c r="AA842">
        <v>1</v>
      </c>
      <c r="AB842">
        <v>10</v>
      </c>
      <c r="AC842">
        <v>2</v>
      </c>
      <c r="AD842">
        <v>3</v>
      </c>
      <c r="AE842">
        <v>8</v>
      </c>
      <c r="AF842">
        <v>0</v>
      </c>
      <c r="AG842">
        <v>1</v>
      </c>
      <c r="AH842">
        <v>7</v>
      </c>
    </row>
    <row r="843" spans="1:34" x14ac:dyDescent="0.2">
      <c r="A843">
        <v>24</v>
      </c>
      <c r="B843" t="s">
        <v>42</v>
      </c>
      <c r="C843" t="s">
        <v>35</v>
      </c>
      <c r="D843" t="s">
        <v>44</v>
      </c>
      <c r="E843">
        <v>24</v>
      </c>
      <c r="F843">
        <v>3</v>
      </c>
      <c r="G843" t="s">
        <v>50</v>
      </c>
      <c r="H843">
        <v>1</v>
      </c>
      <c r="I843">
        <v>1173</v>
      </c>
      <c r="J843">
        <v>4</v>
      </c>
      <c r="K843" t="s">
        <v>45</v>
      </c>
      <c r="L843">
        <v>49</v>
      </c>
      <c r="M843">
        <v>3</v>
      </c>
      <c r="N843">
        <v>1</v>
      </c>
      <c r="O843" t="s">
        <v>49</v>
      </c>
      <c r="P843">
        <v>2</v>
      </c>
      <c r="Q843" t="s">
        <v>40</v>
      </c>
      <c r="R843">
        <v>3597</v>
      </c>
      <c r="S843">
        <v>6409</v>
      </c>
      <c r="T843">
        <v>8</v>
      </c>
      <c r="U843" t="s">
        <v>41</v>
      </c>
      <c r="V843" t="s">
        <v>42</v>
      </c>
      <c r="W843">
        <v>22</v>
      </c>
      <c r="X843">
        <v>4</v>
      </c>
      <c r="Y843">
        <v>4</v>
      </c>
      <c r="Z843">
        <v>80</v>
      </c>
      <c r="AA843">
        <v>0</v>
      </c>
      <c r="AB843">
        <v>6</v>
      </c>
      <c r="AC843">
        <v>2</v>
      </c>
      <c r="AD843">
        <v>3</v>
      </c>
      <c r="AE843">
        <v>4</v>
      </c>
      <c r="AF843">
        <v>3</v>
      </c>
      <c r="AG843">
        <v>1</v>
      </c>
      <c r="AH843">
        <v>2</v>
      </c>
    </row>
    <row r="844" spans="1:34" x14ac:dyDescent="0.2">
      <c r="A844">
        <v>28</v>
      </c>
      <c r="B844" t="s">
        <v>34</v>
      </c>
      <c r="C844" t="s">
        <v>35</v>
      </c>
      <c r="D844" t="s">
        <v>44</v>
      </c>
      <c r="E844">
        <v>12</v>
      </c>
      <c r="F844">
        <v>1</v>
      </c>
      <c r="G844" t="s">
        <v>37</v>
      </c>
      <c r="H844">
        <v>1</v>
      </c>
      <c r="I844">
        <v>1175</v>
      </c>
      <c r="J844">
        <v>3</v>
      </c>
      <c r="K844" t="s">
        <v>38</v>
      </c>
      <c r="L844">
        <v>79</v>
      </c>
      <c r="M844">
        <v>3</v>
      </c>
      <c r="N844">
        <v>1</v>
      </c>
      <c r="O844" t="s">
        <v>49</v>
      </c>
      <c r="P844">
        <v>4</v>
      </c>
      <c r="Q844" t="s">
        <v>47</v>
      </c>
      <c r="R844">
        <v>2515</v>
      </c>
      <c r="S844">
        <v>22955</v>
      </c>
      <c r="T844">
        <v>1</v>
      </c>
      <c r="U844" t="s">
        <v>41</v>
      </c>
      <c r="V844" t="s">
        <v>34</v>
      </c>
      <c r="W844">
        <v>11</v>
      </c>
      <c r="X844">
        <v>3</v>
      </c>
      <c r="Y844">
        <v>4</v>
      </c>
      <c r="Z844">
        <v>80</v>
      </c>
      <c r="AA844">
        <v>0</v>
      </c>
      <c r="AB844">
        <v>1</v>
      </c>
      <c r="AC844">
        <v>4</v>
      </c>
      <c r="AD844">
        <v>2</v>
      </c>
      <c r="AE844">
        <v>1</v>
      </c>
      <c r="AF844">
        <v>1</v>
      </c>
      <c r="AG844">
        <v>0</v>
      </c>
      <c r="AH844">
        <v>0</v>
      </c>
    </row>
    <row r="845" spans="1:34" x14ac:dyDescent="0.2">
      <c r="A845">
        <v>26</v>
      </c>
      <c r="B845" t="s">
        <v>42</v>
      </c>
      <c r="C845" t="s">
        <v>35</v>
      </c>
      <c r="D845" t="s">
        <v>44</v>
      </c>
      <c r="E845">
        <v>3</v>
      </c>
      <c r="F845">
        <v>4</v>
      </c>
      <c r="G845" t="s">
        <v>50</v>
      </c>
      <c r="H845">
        <v>1</v>
      </c>
      <c r="I845">
        <v>1177</v>
      </c>
      <c r="J845">
        <v>1</v>
      </c>
      <c r="K845" t="s">
        <v>45</v>
      </c>
      <c r="L845">
        <v>82</v>
      </c>
      <c r="M845">
        <v>4</v>
      </c>
      <c r="N845">
        <v>1</v>
      </c>
      <c r="O845" t="s">
        <v>49</v>
      </c>
      <c r="P845">
        <v>4</v>
      </c>
      <c r="Q845" t="s">
        <v>47</v>
      </c>
      <c r="R845">
        <v>4420</v>
      </c>
      <c r="S845">
        <v>13421</v>
      </c>
      <c r="T845">
        <v>1</v>
      </c>
      <c r="U845" t="s">
        <v>41</v>
      </c>
      <c r="V845" t="s">
        <v>42</v>
      </c>
      <c r="W845">
        <v>22</v>
      </c>
      <c r="X845">
        <v>4</v>
      </c>
      <c r="Y845">
        <v>2</v>
      </c>
      <c r="Z845">
        <v>80</v>
      </c>
      <c r="AA845">
        <v>1</v>
      </c>
      <c r="AB845">
        <v>8</v>
      </c>
      <c r="AC845">
        <v>2</v>
      </c>
      <c r="AD845">
        <v>3</v>
      </c>
      <c r="AE845">
        <v>8</v>
      </c>
      <c r="AF845">
        <v>7</v>
      </c>
      <c r="AG845">
        <v>0</v>
      </c>
      <c r="AH845">
        <v>7</v>
      </c>
    </row>
    <row r="846" spans="1:34" x14ac:dyDescent="0.2">
      <c r="A846">
        <v>30</v>
      </c>
      <c r="B846" t="s">
        <v>42</v>
      </c>
      <c r="C846" t="s">
        <v>35</v>
      </c>
      <c r="D846" t="s">
        <v>36</v>
      </c>
      <c r="E846">
        <v>10</v>
      </c>
      <c r="F846">
        <v>3</v>
      </c>
      <c r="G846" t="s">
        <v>58</v>
      </c>
      <c r="H846">
        <v>1</v>
      </c>
      <c r="I846">
        <v>1179</v>
      </c>
      <c r="J846">
        <v>3</v>
      </c>
      <c r="K846" t="s">
        <v>45</v>
      </c>
      <c r="L846">
        <v>72</v>
      </c>
      <c r="M846">
        <v>2</v>
      </c>
      <c r="N846">
        <v>2</v>
      </c>
      <c r="O846" t="s">
        <v>39</v>
      </c>
      <c r="P846">
        <v>3</v>
      </c>
      <c r="Q846" t="s">
        <v>47</v>
      </c>
      <c r="R846">
        <v>6578</v>
      </c>
      <c r="S846">
        <v>2706</v>
      </c>
      <c r="T846">
        <v>1</v>
      </c>
      <c r="U846" t="s">
        <v>41</v>
      </c>
      <c r="V846" t="s">
        <v>42</v>
      </c>
      <c r="W846">
        <v>18</v>
      </c>
      <c r="X846">
        <v>3</v>
      </c>
      <c r="Y846">
        <v>1</v>
      </c>
      <c r="Z846">
        <v>80</v>
      </c>
      <c r="AA846">
        <v>1</v>
      </c>
      <c r="AB846">
        <v>10</v>
      </c>
      <c r="AC846">
        <v>3</v>
      </c>
      <c r="AD846">
        <v>3</v>
      </c>
      <c r="AE846">
        <v>10</v>
      </c>
      <c r="AF846">
        <v>3</v>
      </c>
      <c r="AG846">
        <v>1</v>
      </c>
      <c r="AH846">
        <v>4</v>
      </c>
    </row>
    <row r="847" spans="1:34" x14ac:dyDescent="0.2">
      <c r="A847">
        <v>40</v>
      </c>
      <c r="B847" t="s">
        <v>42</v>
      </c>
      <c r="C847" t="s">
        <v>43</v>
      </c>
      <c r="D847" t="s">
        <v>44</v>
      </c>
      <c r="E847">
        <v>26</v>
      </c>
      <c r="F847">
        <v>2</v>
      </c>
      <c r="G847" t="s">
        <v>50</v>
      </c>
      <c r="H847">
        <v>1</v>
      </c>
      <c r="I847">
        <v>1180</v>
      </c>
      <c r="J847">
        <v>3</v>
      </c>
      <c r="K847" t="s">
        <v>38</v>
      </c>
      <c r="L847">
        <v>92</v>
      </c>
      <c r="M847">
        <v>2</v>
      </c>
      <c r="N847">
        <v>2</v>
      </c>
      <c r="O847" t="s">
        <v>46</v>
      </c>
      <c r="P847">
        <v>4</v>
      </c>
      <c r="Q847" t="s">
        <v>47</v>
      </c>
      <c r="R847">
        <v>4422</v>
      </c>
      <c r="S847">
        <v>21203</v>
      </c>
      <c r="T847">
        <v>3</v>
      </c>
      <c r="U847" t="s">
        <v>41</v>
      </c>
      <c r="V847" t="s">
        <v>34</v>
      </c>
      <c r="W847">
        <v>13</v>
      </c>
      <c r="X847">
        <v>3</v>
      </c>
      <c r="Y847">
        <v>4</v>
      </c>
      <c r="Z847">
        <v>80</v>
      </c>
      <c r="AA847">
        <v>1</v>
      </c>
      <c r="AB847">
        <v>16</v>
      </c>
      <c r="AC847">
        <v>3</v>
      </c>
      <c r="AD847">
        <v>1</v>
      </c>
      <c r="AE847">
        <v>1</v>
      </c>
      <c r="AF847">
        <v>1</v>
      </c>
      <c r="AG847">
        <v>0</v>
      </c>
      <c r="AH847">
        <v>0</v>
      </c>
    </row>
    <row r="848" spans="1:34" x14ac:dyDescent="0.2">
      <c r="A848">
        <v>35</v>
      </c>
      <c r="B848" t="s">
        <v>42</v>
      </c>
      <c r="C848" t="s">
        <v>35</v>
      </c>
      <c r="D848" t="s">
        <v>44</v>
      </c>
      <c r="E848">
        <v>2</v>
      </c>
      <c r="F848">
        <v>3</v>
      </c>
      <c r="G848" t="s">
        <v>37</v>
      </c>
      <c r="H848">
        <v>1</v>
      </c>
      <c r="I848">
        <v>1182</v>
      </c>
      <c r="J848">
        <v>3</v>
      </c>
      <c r="K848" t="s">
        <v>45</v>
      </c>
      <c r="L848">
        <v>44</v>
      </c>
      <c r="M848">
        <v>2</v>
      </c>
      <c r="N848">
        <v>3</v>
      </c>
      <c r="O848" t="s">
        <v>52</v>
      </c>
      <c r="P848">
        <v>2</v>
      </c>
      <c r="Q848" t="s">
        <v>51</v>
      </c>
      <c r="R848">
        <v>10274</v>
      </c>
      <c r="S848">
        <v>19588</v>
      </c>
      <c r="T848">
        <v>2</v>
      </c>
      <c r="U848" t="s">
        <v>41</v>
      </c>
      <c r="V848" t="s">
        <v>42</v>
      </c>
      <c r="W848">
        <v>18</v>
      </c>
      <c r="X848">
        <v>3</v>
      </c>
      <c r="Y848">
        <v>2</v>
      </c>
      <c r="Z848">
        <v>80</v>
      </c>
      <c r="AA848">
        <v>1</v>
      </c>
      <c r="AB848">
        <v>15</v>
      </c>
      <c r="AC848">
        <v>2</v>
      </c>
      <c r="AD848">
        <v>4</v>
      </c>
      <c r="AE848">
        <v>7</v>
      </c>
      <c r="AF848">
        <v>7</v>
      </c>
      <c r="AG848">
        <v>6</v>
      </c>
      <c r="AH848">
        <v>4</v>
      </c>
    </row>
    <row r="849" spans="1:34" x14ac:dyDescent="0.2">
      <c r="A849">
        <v>34</v>
      </c>
      <c r="B849" t="s">
        <v>42</v>
      </c>
      <c r="C849" t="s">
        <v>43</v>
      </c>
      <c r="D849" t="s">
        <v>44</v>
      </c>
      <c r="E849">
        <v>1</v>
      </c>
      <c r="F849">
        <v>3</v>
      </c>
      <c r="G849" t="s">
        <v>50</v>
      </c>
      <c r="H849">
        <v>1</v>
      </c>
      <c r="I849">
        <v>1184</v>
      </c>
      <c r="J849">
        <v>4</v>
      </c>
      <c r="K849" t="s">
        <v>45</v>
      </c>
      <c r="L849">
        <v>97</v>
      </c>
      <c r="M849">
        <v>2</v>
      </c>
      <c r="N849">
        <v>2</v>
      </c>
      <c r="O849" t="s">
        <v>53</v>
      </c>
      <c r="P849">
        <v>1</v>
      </c>
      <c r="Q849" t="s">
        <v>40</v>
      </c>
      <c r="R849">
        <v>5343</v>
      </c>
      <c r="S849">
        <v>25755</v>
      </c>
      <c r="T849">
        <v>0</v>
      </c>
      <c r="U849" t="s">
        <v>41</v>
      </c>
      <c r="V849" t="s">
        <v>42</v>
      </c>
      <c r="W849">
        <v>20</v>
      </c>
      <c r="X849">
        <v>4</v>
      </c>
      <c r="Y849">
        <v>3</v>
      </c>
      <c r="Z849">
        <v>80</v>
      </c>
      <c r="AA849">
        <v>0</v>
      </c>
      <c r="AB849">
        <v>14</v>
      </c>
      <c r="AC849">
        <v>3</v>
      </c>
      <c r="AD849">
        <v>3</v>
      </c>
      <c r="AE849">
        <v>13</v>
      </c>
      <c r="AF849">
        <v>9</v>
      </c>
      <c r="AG849">
        <v>4</v>
      </c>
      <c r="AH849">
        <v>9</v>
      </c>
    </row>
    <row r="850" spans="1:34" x14ac:dyDescent="0.2">
      <c r="A850">
        <v>35</v>
      </c>
      <c r="B850" t="s">
        <v>42</v>
      </c>
      <c r="C850" t="s">
        <v>43</v>
      </c>
      <c r="D850" t="s">
        <v>44</v>
      </c>
      <c r="E850">
        <v>4</v>
      </c>
      <c r="F850">
        <v>4</v>
      </c>
      <c r="G850" t="s">
        <v>48</v>
      </c>
      <c r="H850">
        <v>1</v>
      </c>
      <c r="I850">
        <v>1185</v>
      </c>
      <c r="J850">
        <v>4</v>
      </c>
      <c r="K850" t="s">
        <v>45</v>
      </c>
      <c r="L850">
        <v>47</v>
      </c>
      <c r="M850">
        <v>2</v>
      </c>
      <c r="N850">
        <v>1</v>
      </c>
      <c r="O850" t="s">
        <v>49</v>
      </c>
      <c r="P850">
        <v>4</v>
      </c>
      <c r="Q850" t="s">
        <v>47</v>
      </c>
      <c r="R850">
        <v>2376</v>
      </c>
      <c r="S850">
        <v>26537</v>
      </c>
      <c r="T850">
        <v>1</v>
      </c>
      <c r="U850" t="s">
        <v>41</v>
      </c>
      <c r="V850" t="s">
        <v>42</v>
      </c>
      <c r="W850">
        <v>13</v>
      </c>
      <c r="X850">
        <v>3</v>
      </c>
      <c r="Y850">
        <v>2</v>
      </c>
      <c r="Z850">
        <v>80</v>
      </c>
      <c r="AA850">
        <v>1</v>
      </c>
      <c r="AB850">
        <v>2</v>
      </c>
      <c r="AC850">
        <v>2</v>
      </c>
      <c r="AD850">
        <v>4</v>
      </c>
      <c r="AE850">
        <v>2</v>
      </c>
      <c r="AF850">
        <v>2</v>
      </c>
      <c r="AG850">
        <v>2</v>
      </c>
      <c r="AH850">
        <v>2</v>
      </c>
    </row>
    <row r="851" spans="1:34" x14ac:dyDescent="0.2">
      <c r="A851">
        <v>43</v>
      </c>
      <c r="B851" t="s">
        <v>34</v>
      </c>
      <c r="C851" t="s">
        <v>35</v>
      </c>
      <c r="D851" t="s">
        <v>36</v>
      </c>
      <c r="E851">
        <v>9</v>
      </c>
      <c r="F851">
        <v>3</v>
      </c>
      <c r="G851" t="s">
        <v>58</v>
      </c>
      <c r="H851">
        <v>1</v>
      </c>
      <c r="I851">
        <v>1188</v>
      </c>
      <c r="J851">
        <v>1</v>
      </c>
      <c r="K851" t="s">
        <v>38</v>
      </c>
      <c r="L851">
        <v>85</v>
      </c>
      <c r="M851">
        <v>1</v>
      </c>
      <c r="N851">
        <v>2</v>
      </c>
      <c r="O851" t="s">
        <v>39</v>
      </c>
      <c r="P851">
        <v>3</v>
      </c>
      <c r="Q851" t="s">
        <v>40</v>
      </c>
      <c r="R851">
        <v>5346</v>
      </c>
      <c r="S851">
        <v>9489</v>
      </c>
      <c r="T851">
        <v>8</v>
      </c>
      <c r="U851" t="s">
        <v>41</v>
      </c>
      <c r="V851" t="s">
        <v>42</v>
      </c>
      <c r="W851">
        <v>13</v>
      </c>
      <c r="X851">
        <v>3</v>
      </c>
      <c r="Y851">
        <v>2</v>
      </c>
      <c r="Z851">
        <v>80</v>
      </c>
      <c r="AA851">
        <v>0</v>
      </c>
      <c r="AB851">
        <v>7</v>
      </c>
      <c r="AC851">
        <v>2</v>
      </c>
      <c r="AD851">
        <v>2</v>
      </c>
      <c r="AE851">
        <v>4</v>
      </c>
      <c r="AF851">
        <v>3</v>
      </c>
      <c r="AG851">
        <v>1</v>
      </c>
      <c r="AH851">
        <v>3</v>
      </c>
    </row>
    <row r="852" spans="1:34" x14ac:dyDescent="0.2">
      <c r="A852">
        <v>32</v>
      </c>
      <c r="B852" t="s">
        <v>42</v>
      </c>
      <c r="C852" t="s">
        <v>54</v>
      </c>
      <c r="D852" t="s">
        <v>36</v>
      </c>
      <c r="E852">
        <v>2</v>
      </c>
      <c r="F852">
        <v>1</v>
      </c>
      <c r="G852" t="s">
        <v>37</v>
      </c>
      <c r="H852">
        <v>1</v>
      </c>
      <c r="I852">
        <v>1190</v>
      </c>
      <c r="J852">
        <v>3</v>
      </c>
      <c r="K852" t="s">
        <v>38</v>
      </c>
      <c r="L852">
        <v>76</v>
      </c>
      <c r="M852">
        <v>3</v>
      </c>
      <c r="N852">
        <v>1</v>
      </c>
      <c r="O852" t="s">
        <v>56</v>
      </c>
      <c r="P852">
        <v>1</v>
      </c>
      <c r="Q852" t="s">
        <v>51</v>
      </c>
      <c r="R852">
        <v>2827</v>
      </c>
      <c r="S852">
        <v>14947</v>
      </c>
      <c r="T852">
        <v>1</v>
      </c>
      <c r="U852" t="s">
        <v>41</v>
      </c>
      <c r="V852" t="s">
        <v>42</v>
      </c>
      <c r="W852">
        <v>12</v>
      </c>
      <c r="X852">
        <v>3</v>
      </c>
      <c r="Y852">
        <v>3</v>
      </c>
      <c r="Z852">
        <v>80</v>
      </c>
      <c r="AA852">
        <v>3</v>
      </c>
      <c r="AB852">
        <v>1</v>
      </c>
      <c r="AC852">
        <v>3</v>
      </c>
      <c r="AD852">
        <v>3</v>
      </c>
      <c r="AE852">
        <v>1</v>
      </c>
      <c r="AF852">
        <v>0</v>
      </c>
      <c r="AG852">
        <v>0</v>
      </c>
      <c r="AH852">
        <v>0</v>
      </c>
    </row>
    <row r="853" spans="1:34" x14ac:dyDescent="0.2">
      <c r="A853">
        <v>56</v>
      </c>
      <c r="B853" t="s">
        <v>42</v>
      </c>
      <c r="C853" t="s">
        <v>35</v>
      </c>
      <c r="D853" t="s">
        <v>44</v>
      </c>
      <c r="E853">
        <v>4</v>
      </c>
      <c r="F853">
        <v>4</v>
      </c>
      <c r="G853" t="s">
        <v>59</v>
      </c>
      <c r="H853">
        <v>1</v>
      </c>
      <c r="I853">
        <v>1191</v>
      </c>
      <c r="J853">
        <v>4</v>
      </c>
      <c r="K853" t="s">
        <v>38</v>
      </c>
      <c r="L853">
        <v>92</v>
      </c>
      <c r="M853">
        <v>3</v>
      </c>
      <c r="N853">
        <v>5</v>
      </c>
      <c r="O853" t="s">
        <v>55</v>
      </c>
      <c r="P853">
        <v>1</v>
      </c>
      <c r="Q853" t="s">
        <v>51</v>
      </c>
      <c r="R853">
        <v>19943</v>
      </c>
      <c r="S853">
        <v>18575</v>
      </c>
      <c r="T853">
        <v>4</v>
      </c>
      <c r="U853" t="s">
        <v>41</v>
      </c>
      <c r="V853" t="s">
        <v>42</v>
      </c>
      <c r="W853">
        <v>13</v>
      </c>
      <c r="X853">
        <v>3</v>
      </c>
      <c r="Y853">
        <v>4</v>
      </c>
      <c r="Z853">
        <v>80</v>
      </c>
      <c r="AA853">
        <v>1</v>
      </c>
      <c r="AB853">
        <v>28</v>
      </c>
      <c r="AC853">
        <v>2</v>
      </c>
      <c r="AD853">
        <v>3</v>
      </c>
      <c r="AE853">
        <v>5</v>
      </c>
      <c r="AF853">
        <v>2</v>
      </c>
      <c r="AG853">
        <v>4</v>
      </c>
      <c r="AH853">
        <v>2</v>
      </c>
    </row>
    <row r="854" spans="1:34" x14ac:dyDescent="0.2">
      <c r="A854">
        <v>29</v>
      </c>
      <c r="B854" t="s">
        <v>42</v>
      </c>
      <c r="C854" t="s">
        <v>35</v>
      </c>
      <c r="D854" t="s">
        <v>44</v>
      </c>
      <c r="E854">
        <v>6</v>
      </c>
      <c r="F854">
        <v>1</v>
      </c>
      <c r="G854" t="s">
        <v>50</v>
      </c>
      <c r="H854">
        <v>1</v>
      </c>
      <c r="I854">
        <v>1192</v>
      </c>
      <c r="J854">
        <v>2</v>
      </c>
      <c r="K854" t="s">
        <v>38</v>
      </c>
      <c r="L854">
        <v>54</v>
      </c>
      <c r="M854">
        <v>3</v>
      </c>
      <c r="N854">
        <v>1</v>
      </c>
      <c r="O854" t="s">
        <v>49</v>
      </c>
      <c r="P854">
        <v>4</v>
      </c>
      <c r="Q854" t="s">
        <v>47</v>
      </c>
      <c r="R854">
        <v>3131</v>
      </c>
      <c r="S854">
        <v>26342</v>
      </c>
      <c r="T854">
        <v>1</v>
      </c>
      <c r="U854" t="s">
        <v>41</v>
      </c>
      <c r="V854" t="s">
        <v>42</v>
      </c>
      <c r="W854">
        <v>13</v>
      </c>
      <c r="X854">
        <v>3</v>
      </c>
      <c r="Y854">
        <v>1</v>
      </c>
      <c r="Z854">
        <v>80</v>
      </c>
      <c r="AA854">
        <v>1</v>
      </c>
      <c r="AB854">
        <v>10</v>
      </c>
      <c r="AC854">
        <v>5</v>
      </c>
      <c r="AD854">
        <v>3</v>
      </c>
      <c r="AE854">
        <v>10</v>
      </c>
      <c r="AF854">
        <v>8</v>
      </c>
      <c r="AG854">
        <v>0</v>
      </c>
      <c r="AH854">
        <v>8</v>
      </c>
    </row>
    <row r="855" spans="1:34" x14ac:dyDescent="0.2">
      <c r="A855">
        <v>19</v>
      </c>
      <c r="B855" t="s">
        <v>42</v>
      </c>
      <c r="C855" t="s">
        <v>35</v>
      </c>
      <c r="D855" t="s">
        <v>44</v>
      </c>
      <c r="E855">
        <v>9</v>
      </c>
      <c r="F855">
        <v>2</v>
      </c>
      <c r="G855" t="s">
        <v>37</v>
      </c>
      <c r="H855">
        <v>1</v>
      </c>
      <c r="I855">
        <v>1193</v>
      </c>
      <c r="J855">
        <v>3</v>
      </c>
      <c r="K855" t="s">
        <v>45</v>
      </c>
      <c r="L855">
        <v>54</v>
      </c>
      <c r="M855">
        <v>3</v>
      </c>
      <c r="N855">
        <v>1</v>
      </c>
      <c r="O855" t="s">
        <v>46</v>
      </c>
      <c r="P855">
        <v>1</v>
      </c>
      <c r="Q855" t="s">
        <v>40</v>
      </c>
      <c r="R855">
        <v>2552</v>
      </c>
      <c r="S855">
        <v>7172</v>
      </c>
      <c r="T855">
        <v>1</v>
      </c>
      <c r="U855" t="s">
        <v>41</v>
      </c>
      <c r="V855" t="s">
        <v>42</v>
      </c>
      <c r="W855">
        <v>25</v>
      </c>
      <c r="X855">
        <v>4</v>
      </c>
      <c r="Y855">
        <v>3</v>
      </c>
      <c r="Z855">
        <v>80</v>
      </c>
      <c r="AA855">
        <v>0</v>
      </c>
      <c r="AB855">
        <v>1</v>
      </c>
      <c r="AC855">
        <v>4</v>
      </c>
      <c r="AD855">
        <v>3</v>
      </c>
      <c r="AE855">
        <v>1</v>
      </c>
      <c r="AF855">
        <v>1</v>
      </c>
      <c r="AG855">
        <v>0</v>
      </c>
      <c r="AH855">
        <v>0</v>
      </c>
    </row>
    <row r="856" spans="1:34" x14ac:dyDescent="0.2">
      <c r="A856">
        <v>45</v>
      </c>
      <c r="B856" t="s">
        <v>42</v>
      </c>
      <c r="C856" t="s">
        <v>35</v>
      </c>
      <c r="D856" t="s">
        <v>44</v>
      </c>
      <c r="E856">
        <v>7</v>
      </c>
      <c r="F856">
        <v>3</v>
      </c>
      <c r="G856" t="s">
        <v>50</v>
      </c>
      <c r="H856">
        <v>1</v>
      </c>
      <c r="I856">
        <v>1195</v>
      </c>
      <c r="J856">
        <v>1</v>
      </c>
      <c r="K856" t="s">
        <v>38</v>
      </c>
      <c r="L856">
        <v>83</v>
      </c>
      <c r="M856">
        <v>3</v>
      </c>
      <c r="N856">
        <v>1</v>
      </c>
      <c r="O856" t="s">
        <v>46</v>
      </c>
      <c r="P856">
        <v>3</v>
      </c>
      <c r="Q856" t="s">
        <v>47</v>
      </c>
      <c r="R856">
        <v>4477</v>
      </c>
      <c r="S856">
        <v>20100</v>
      </c>
      <c r="T856">
        <v>4</v>
      </c>
      <c r="U856" t="s">
        <v>41</v>
      </c>
      <c r="V856" t="s">
        <v>34</v>
      </c>
      <c r="W856">
        <v>19</v>
      </c>
      <c r="X856">
        <v>3</v>
      </c>
      <c r="Y856">
        <v>3</v>
      </c>
      <c r="Z856">
        <v>80</v>
      </c>
      <c r="AA856">
        <v>1</v>
      </c>
      <c r="AB856">
        <v>7</v>
      </c>
      <c r="AC856">
        <v>2</v>
      </c>
      <c r="AD856">
        <v>2</v>
      </c>
      <c r="AE856">
        <v>3</v>
      </c>
      <c r="AF856">
        <v>2</v>
      </c>
      <c r="AG856">
        <v>0</v>
      </c>
      <c r="AH856">
        <v>2</v>
      </c>
    </row>
    <row r="857" spans="1:34" x14ac:dyDescent="0.2">
      <c r="A857">
        <v>37</v>
      </c>
      <c r="B857" t="s">
        <v>42</v>
      </c>
      <c r="C857" t="s">
        <v>35</v>
      </c>
      <c r="D857" t="s">
        <v>44</v>
      </c>
      <c r="E857">
        <v>1</v>
      </c>
      <c r="F857">
        <v>3</v>
      </c>
      <c r="G857" t="s">
        <v>37</v>
      </c>
      <c r="H857">
        <v>1</v>
      </c>
      <c r="I857">
        <v>1196</v>
      </c>
      <c r="J857">
        <v>4</v>
      </c>
      <c r="K857" t="s">
        <v>38</v>
      </c>
      <c r="L857">
        <v>56</v>
      </c>
      <c r="M857">
        <v>2</v>
      </c>
      <c r="N857">
        <v>2</v>
      </c>
      <c r="O857" t="s">
        <v>52</v>
      </c>
      <c r="P857">
        <v>4</v>
      </c>
      <c r="Q857" t="s">
        <v>47</v>
      </c>
      <c r="R857">
        <v>6474</v>
      </c>
      <c r="S857">
        <v>9961</v>
      </c>
      <c r="T857">
        <v>1</v>
      </c>
      <c r="U857" t="s">
        <v>41</v>
      </c>
      <c r="V857" t="s">
        <v>42</v>
      </c>
      <c r="W857">
        <v>13</v>
      </c>
      <c r="X857">
        <v>3</v>
      </c>
      <c r="Y857">
        <v>2</v>
      </c>
      <c r="Z857">
        <v>80</v>
      </c>
      <c r="AA857">
        <v>1</v>
      </c>
      <c r="AB857">
        <v>14</v>
      </c>
      <c r="AC857">
        <v>2</v>
      </c>
      <c r="AD857">
        <v>2</v>
      </c>
      <c r="AE857">
        <v>14</v>
      </c>
      <c r="AF857">
        <v>8</v>
      </c>
      <c r="AG857">
        <v>3</v>
      </c>
      <c r="AH857">
        <v>11</v>
      </c>
    </row>
    <row r="858" spans="1:34" x14ac:dyDescent="0.2">
      <c r="A858">
        <v>20</v>
      </c>
      <c r="B858" t="s">
        <v>42</v>
      </c>
      <c r="C858" t="s">
        <v>35</v>
      </c>
      <c r="D858" t="s">
        <v>44</v>
      </c>
      <c r="E858">
        <v>3</v>
      </c>
      <c r="F858">
        <v>3</v>
      </c>
      <c r="G858" t="s">
        <v>37</v>
      </c>
      <c r="H858">
        <v>1</v>
      </c>
      <c r="I858">
        <v>1198</v>
      </c>
      <c r="J858">
        <v>1</v>
      </c>
      <c r="K858" t="s">
        <v>45</v>
      </c>
      <c r="L858">
        <v>87</v>
      </c>
      <c r="M858">
        <v>2</v>
      </c>
      <c r="N858">
        <v>1</v>
      </c>
      <c r="O858" t="s">
        <v>49</v>
      </c>
      <c r="P858">
        <v>3</v>
      </c>
      <c r="Q858" t="s">
        <v>40</v>
      </c>
      <c r="R858">
        <v>3033</v>
      </c>
      <c r="S858">
        <v>12828</v>
      </c>
      <c r="T858">
        <v>1</v>
      </c>
      <c r="U858" t="s">
        <v>41</v>
      </c>
      <c r="V858" t="s">
        <v>42</v>
      </c>
      <c r="W858">
        <v>12</v>
      </c>
      <c r="X858">
        <v>3</v>
      </c>
      <c r="Y858">
        <v>1</v>
      </c>
      <c r="Z858">
        <v>80</v>
      </c>
      <c r="AA858">
        <v>0</v>
      </c>
      <c r="AB858">
        <v>2</v>
      </c>
      <c r="AC858">
        <v>2</v>
      </c>
      <c r="AD858">
        <v>2</v>
      </c>
      <c r="AE858">
        <v>2</v>
      </c>
      <c r="AF858">
        <v>2</v>
      </c>
      <c r="AG858">
        <v>1</v>
      </c>
      <c r="AH858">
        <v>2</v>
      </c>
    </row>
    <row r="859" spans="1:34" x14ac:dyDescent="0.2">
      <c r="A859">
        <v>44</v>
      </c>
      <c r="B859" t="s">
        <v>34</v>
      </c>
      <c r="C859" t="s">
        <v>35</v>
      </c>
      <c r="D859" t="s">
        <v>44</v>
      </c>
      <c r="E859">
        <v>10</v>
      </c>
      <c r="F859">
        <v>4</v>
      </c>
      <c r="G859" t="s">
        <v>37</v>
      </c>
      <c r="H859">
        <v>1</v>
      </c>
      <c r="I859">
        <v>1200</v>
      </c>
      <c r="J859">
        <v>3</v>
      </c>
      <c r="K859" t="s">
        <v>45</v>
      </c>
      <c r="L859">
        <v>96</v>
      </c>
      <c r="M859">
        <v>3</v>
      </c>
      <c r="N859">
        <v>1</v>
      </c>
      <c r="O859" t="s">
        <v>46</v>
      </c>
      <c r="P859">
        <v>3</v>
      </c>
      <c r="Q859" t="s">
        <v>40</v>
      </c>
      <c r="R859">
        <v>2936</v>
      </c>
      <c r="S859">
        <v>10826</v>
      </c>
      <c r="T859">
        <v>1</v>
      </c>
      <c r="U859" t="s">
        <v>41</v>
      </c>
      <c r="V859" t="s">
        <v>34</v>
      </c>
      <c r="W859">
        <v>11</v>
      </c>
      <c r="X859">
        <v>3</v>
      </c>
      <c r="Y859">
        <v>3</v>
      </c>
      <c r="Z859">
        <v>80</v>
      </c>
      <c r="AA859">
        <v>0</v>
      </c>
      <c r="AB859">
        <v>6</v>
      </c>
      <c r="AC859">
        <v>4</v>
      </c>
      <c r="AD859">
        <v>3</v>
      </c>
      <c r="AE859">
        <v>6</v>
      </c>
      <c r="AF859">
        <v>4</v>
      </c>
      <c r="AG859">
        <v>0</v>
      </c>
      <c r="AH859">
        <v>2</v>
      </c>
    </row>
    <row r="860" spans="1:34" x14ac:dyDescent="0.2">
      <c r="A860">
        <v>53</v>
      </c>
      <c r="B860" t="s">
        <v>42</v>
      </c>
      <c r="C860" t="s">
        <v>35</v>
      </c>
      <c r="D860" t="s">
        <v>44</v>
      </c>
      <c r="E860">
        <v>7</v>
      </c>
      <c r="F860">
        <v>2</v>
      </c>
      <c r="G860" t="s">
        <v>50</v>
      </c>
      <c r="H860">
        <v>1</v>
      </c>
      <c r="I860">
        <v>1201</v>
      </c>
      <c r="J860">
        <v>4</v>
      </c>
      <c r="K860" t="s">
        <v>38</v>
      </c>
      <c r="L860">
        <v>50</v>
      </c>
      <c r="M860">
        <v>3</v>
      </c>
      <c r="N860">
        <v>5</v>
      </c>
      <c r="O860" t="s">
        <v>55</v>
      </c>
      <c r="P860">
        <v>3</v>
      </c>
      <c r="Q860" t="s">
        <v>51</v>
      </c>
      <c r="R860">
        <v>18606</v>
      </c>
      <c r="S860">
        <v>18640</v>
      </c>
      <c r="T860">
        <v>3</v>
      </c>
      <c r="U860" t="s">
        <v>41</v>
      </c>
      <c r="V860" t="s">
        <v>42</v>
      </c>
      <c r="W860">
        <v>18</v>
      </c>
      <c r="X860">
        <v>3</v>
      </c>
      <c r="Y860">
        <v>2</v>
      </c>
      <c r="Z860">
        <v>80</v>
      </c>
      <c r="AA860">
        <v>1</v>
      </c>
      <c r="AB860">
        <v>26</v>
      </c>
      <c r="AC860">
        <v>6</v>
      </c>
      <c r="AD860">
        <v>3</v>
      </c>
      <c r="AE860">
        <v>7</v>
      </c>
      <c r="AF860">
        <v>7</v>
      </c>
      <c r="AG860">
        <v>4</v>
      </c>
      <c r="AH860">
        <v>7</v>
      </c>
    </row>
    <row r="861" spans="1:34" x14ac:dyDescent="0.2">
      <c r="A861">
        <v>29</v>
      </c>
      <c r="B861" t="s">
        <v>42</v>
      </c>
      <c r="C861" t="s">
        <v>35</v>
      </c>
      <c r="D861" t="s">
        <v>44</v>
      </c>
      <c r="E861">
        <v>15</v>
      </c>
      <c r="F861">
        <v>1</v>
      </c>
      <c r="G861" t="s">
        <v>37</v>
      </c>
      <c r="H861">
        <v>1</v>
      </c>
      <c r="I861">
        <v>1202</v>
      </c>
      <c r="J861">
        <v>2</v>
      </c>
      <c r="K861" t="s">
        <v>38</v>
      </c>
      <c r="L861">
        <v>69</v>
      </c>
      <c r="M861">
        <v>1</v>
      </c>
      <c r="N861">
        <v>1</v>
      </c>
      <c r="O861" t="s">
        <v>46</v>
      </c>
      <c r="P861">
        <v>4</v>
      </c>
      <c r="Q861" t="s">
        <v>47</v>
      </c>
      <c r="R861">
        <v>2168</v>
      </c>
      <c r="S861">
        <v>26933</v>
      </c>
      <c r="T861">
        <v>0</v>
      </c>
      <c r="U861" t="s">
        <v>41</v>
      </c>
      <c r="V861" t="s">
        <v>34</v>
      </c>
      <c r="W861">
        <v>18</v>
      </c>
      <c r="X861">
        <v>3</v>
      </c>
      <c r="Y861">
        <v>1</v>
      </c>
      <c r="Z861">
        <v>80</v>
      </c>
      <c r="AA861">
        <v>1</v>
      </c>
      <c r="AB861">
        <v>6</v>
      </c>
      <c r="AC861">
        <v>2</v>
      </c>
      <c r="AD861">
        <v>2</v>
      </c>
      <c r="AE861">
        <v>5</v>
      </c>
      <c r="AF861">
        <v>4</v>
      </c>
      <c r="AG861">
        <v>1</v>
      </c>
      <c r="AH861">
        <v>3</v>
      </c>
    </row>
    <row r="862" spans="1:34" x14ac:dyDescent="0.2">
      <c r="A862">
        <v>22</v>
      </c>
      <c r="B862" t="s">
        <v>34</v>
      </c>
      <c r="C862" t="s">
        <v>43</v>
      </c>
      <c r="D862" t="s">
        <v>44</v>
      </c>
      <c r="E862">
        <v>3</v>
      </c>
      <c r="F862">
        <v>4</v>
      </c>
      <c r="G862" t="s">
        <v>37</v>
      </c>
      <c r="H862">
        <v>1</v>
      </c>
      <c r="I862">
        <v>1203</v>
      </c>
      <c r="J862">
        <v>3</v>
      </c>
      <c r="K862" t="s">
        <v>45</v>
      </c>
      <c r="L862">
        <v>48</v>
      </c>
      <c r="M862">
        <v>2</v>
      </c>
      <c r="N862">
        <v>1</v>
      </c>
      <c r="O862" t="s">
        <v>46</v>
      </c>
      <c r="P862">
        <v>4</v>
      </c>
      <c r="Q862" t="s">
        <v>47</v>
      </c>
      <c r="R862">
        <v>2853</v>
      </c>
      <c r="S862">
        <v>4223</v>
      </c>
      <c r="T862">
        <v>0</v>
      </c>
      <c r="U862" t="s">
        <v>41</v>
      </c>
      <c r="V862" t="s">
        <v>34</v>
      </c>
      <c r="W862">
        <v>11</v>
      </c>
      <c r="X862">
        <v>3</v>
      </c>
      <c r="Y862">
        <v>2</v>
      </c>
      <c r="Z862">
        <v>80</v>
      </c>
      <c r="AA862">
        <v>1</v>
      </c>
      <c r="AB862">
        <v>1</v>
      </c>
      <c r="AC862">
        <v>5</v>
      </c>
      <c r="AD862">
        <v>3</v>
      </c>
      <c r="AE862">
        <v>0</v>
      </c>
      <c r="AF862">
        <v>0</v>
      </c>
      <c r="AG862">
        <v>0</v>
      </c>
      <c r="AH862">
        <v>0</v>
      </c>
    </row>
    <row r="863" spans="1:34" x14ac:dyDescent="0.2">
      <c r="A863">
        <v>46</v>
      </c>
      <c r="B863" t="s">
        <v>42</v>
      </c>
      <c r="C863" t="s">
        <v>35</v>
      </c>
      <c r="D863" t="s">
        <v>36</v>
      </c>
      <c r="E863">
        <v>2</v>
      </c>
      <c r="F863">
        <v>3</v>
      </c>
      <c r="G863" t="s">
        <v>58</v>
      </c>
      <c r="H863">
        <v>1</v>
      </c>
      <c r="I863">
        <v>1204</v>
      </c>
      <c r="J863">
        <v>3</v>
      </c>
      <c r="K863" t="s">
        <v>38</v>
      </c>
      <c r="L863">
        <v>69</v>
      </c>
      <c r="M863">
        <v>3</v>
      </c>
      <c r="N863">
        <v>4</v>
      </c>
      <c r="O863" t="s">
        <v>55</v>
      </c>
      <c r="P863">
        <v>1</v>
      </c>
      <c r="Q863" t="s">
        <v>47</v>
      </c>
      <c r="R863">
        <v>17048</v>
      </c>
      <c r="S863">
        <v>24097</v>
      </c>
      <c r="T863">
        <v>8</v>
      </c>
      <c r="U863" t="s">
        <v>41</v>
      </c>
      <c r="V863" t="s">
        <v>42</v>
      </c>
      <c r="W863">
        <v>23</v>
      </c>
      <c r="X863">
        <v>4</v>
      </c>
      <c r="Y863">
        <v>1</v>
      </c>
      <c r="Z863">
        <v>80</v>
      </c>
      <c r="AA863">
        <v>0</v>
      </c>
      <c r="AB863">
        <v>28</v>
      </c>
      <c r="AC863">
        <v>2</v>
      </c>
      <c r="AD863">
        <v>3</v>
      </c>
      <c r="AE863">
        <v>26</v>
      </c>
      <c r="AF863">
        <v>15</v>
      </c>
      <c r="AG863">
        <v>15</v>
      </c>
      <c r="AH863">
        <v>9</v>
      </c>
    </row>
    <row r="864" spans="1:34" x14ac:dyDescent="0.2">
      <c r="A864">
        <v>44</v>
      </c>
      <c r="B864" t="s">
        <v>42</v>
      </c>
      <c r="C864" t="s">
        <v>54</v>
      </c>
      <c r="D864" t="s">
        <v>44</v>
      </c>
      <c r="E864">
        <v>17</v>
      </c>
      <c r="F864">
        <v>3</v>
      </c>
      <c r="G864" t="s">
        <v>37</v>
      </c>
      <c r="H864">
        <v>1</v>
      </c>
      <c r="I864">
        <v>1206</v>
      </c>
      <c r="J864">
        <v>4</v>
      </c>
      <c r="K864" t="s">
        <v>45</v>
      </c>
      <c r="L864">
        <v>74</v>
      </c>
      <c r="M864">
        <v>1</v>
      </c>
      <c r="N864">
        <v>1</v>
      </c>
      <c r="O864" t="s">
        <v>46</v>
      </c>
      <c r="P864">
        <v>3</v>
      </c>
      <c r="Q864" t="s">
        <v>40</v>
      </c>
      <c r="R864">
        <v>2290</v>
      </c>
      <c r="S864">
        <v>4279</v>
      </c>
      <c r="T864">
        <v>2</v>
      </c>
      <c r="U864" t="s">
        <v>41</v>
      </c>
      <c r="V864" t="s">
        <v>42</v>
      </c>
      <c r="W864">
        <v>13</v>
      </c>
      <c r="X864">
        <v>3</v>
      </c>
      <c r="Y864">
        <v>4</v>
      </c>
      <c r="Z864">
        <v>80</v>
      </c>
      <c r="AA864">
        <v>0</v>
      </c>
      <c r="AB864">
        <v>6</v>
      </c>
      <c r="AC864">
        <v>3</v>
      </c>
      <c r="AD864">
        <v>3</v>
      </c>
      <c r="AE864">
        <v>0</v>
      </c>
      <c r="AF864">
        <v>0</v>
      </c>
      <c r="AG864">
        <v>0</v>
      </c>
      <c r="AH864">
        <v>0</v>
      </c>
    </row>
    <row r="865" spans="1:34" x14ac:dyDescent="0.2">
      <c r="A865">
        <v>33</v>
      </c>
      <c r="B865" t="s">
        <v>42</v>
      </c>
      <c r="C865" t="s">
        <v>35</v>
      </c>
      <c r="D865" t="s">
        <v>60</v>
      </c>
      <c r="E865">
        <v>2</v>
      </c>
      <c r="F865">
        <v>3</v>
      </c>
      <c r="G865" t="s">
        <v>60</v>
      </c>
      <c r="H865">
        <v>1</v>
      </c>
      <c r="I865">
        <v>1207</v>
      </c>
      <c r="J865">
        <v>2</v>
      </c>
      <c r="K865" t="s">
        <v>45</v>
      </c>
      <c r="L865">
        <v>99</v>
      </c>
      <c r="M865">
        <v>3</v>
      </c>
      <c r="N865">
        <v>1</v>
      </c>
      <c r="O865" t="s">
        <v>60</v>
      </c>
      <c r="P865">
        <v>3</v>
      </c>
      <c r="Q865" t="s">
        <v>47</v>
      </c>
      <c r="R865">
        <v>3600</v>
      </c>
      <c r="S865">
        <v>8429</v>
      </c>
      <c r="T865">
        <v>1</v>
      </c>
      <c r="U865" t="s">
        <v>41</v>
      </c>
      <c r="V865" t="s">
        <v>42</v>
      </c>
      <c r="W865">
        <v>13</v>
      </c>
      <c r="X865">
        <v>3</v>
      </c>
      <c r="Y865">
        <v>4</v>
      </c>
      <c r="Z865">
        <v>80</v>
      </c>
      <c r="AA865">
        <v>1</v>
      </c>
      <c r="AB865">
        <v>5</v>
      </c>
      <c r="AC865">
        <v>2</v>
      </c>
      <c r="AD865">
        <v>3</v>
      </c>
      <c r="AE865">
        <v>5</v>
      </c>
      <c r="AF865">
        <v>4</v>
      </c>
      <c r="AG865">
        <v>1</v>
      </c>
      <c r="AH865">
        <v>4</v>
      </c>
    </row>
    <row r="866" spans="1:34" x14ac:dyDescent="0.2">
      <c r="A866">
        <v>41</v>
      </c>
      <c r="B866" t="s">
        <v>34</v>
      </c>
      <c r="C866" t="s">
        <v>54</v>
      </c>
      <c r="D866" t="s">
        <v>44</v>
      </c>
      <c r="E866">
        <v>5</v>
      </c>
      <c r="F866">
        <v>2</v>
      </c>
      <c r="G866" t="s">
        <v>37</v>
      </c>
      <c r="H866">
        <v>1</v>
      </c>
      <c r="I866">
        <v>1210</v>
      </c>
      <c r="J866">
        <v>1</v>
      </c>
      <c r="K866" t="s">
        <v>45</v>
      </c>
      <c r="L866">
        <v>95</v>
      </c>
      <c r="M866">
        <v>2</v>
      </c>
      <c r="N866">
        <v>1</v>
      </c>
      <c r="O866" t="s">
        <v>46</v>
      </c>
      <c r="P866">
        <v>1</v>
      </c>
      <c r="Q866" t="s">
        <v>51</v>
      </c>
      <c r="R866">
        <v>2107</v>
      </c>
      <c r="S866">
        <v>20293</v>
      </c>
      <c r="T866">
        <v>6</v>
      </c>
      <c r="U866" t="s">
        <v>41</v>
      </c>
      <c r="V866" t="s">
        <v>42</v>
      </c>
      <c r="W866">
        <v>17</v>
      </c>
      <c r="X866">
        <v>3</v>
      </c>
      <c r="Y866">
        <v>1</v>
      </c>
      <c r="Z866">
        <v>80</v>
      </c>
      <c r="AA866">
        <v>1</v>
      </c>
      <c r="AB866">
        <v>5</v>
      </c>
      <c r="AC866">
        <v>2</v>
      </c>
      <c r="AD866">
        <v>1</v>
      </c>
      <c r="AE866">
        <v>1</v>
      </c>
      <c r="AF866">
        <v>0</v>
      </c>
      <c r="AG866">
        <v>0</v>
      </c>
      <c r="AH866">
        <v>0</v>
      </c>
    </row>
    <row r="867" spans="1:34" x14ac:dyDescent="0.2">
      <c r="A867">
        <v>30</v>
      </c>
      <c r="B867" t="s">
        <v>42</v>
      </c>
      <c r="C867" t="s">
        <v>35</v>
      </c>
      <c r="D867" t="s">
        <v>36</v>
      </c>
      <c r="E867">
        <v>29</v>
      </c>
      <c r="F867">
        <v>4</v>
      </c>
      <c r="G867" t="s">
        <v>37</v>
      </c>
      <c r="H867">
        <v>1</v>
      </c>
      <c r="I867">
        <v>1211</v>
      </c>
      <c r="J867">
        <v>3</v>
      </c>
      <c r="K867" t="s">
        <v>45</v>
      </c>
      <c r="L867">
        <v>61</v>
      </c>
      <c r="M867">
        <v>3</v>
      </c>
      <c r="N867">
        <v>2</v>
      </c>
      <c r="O867" t="s">
        <v>39</v>
      </c>
      <c r="P867">
        <v>1</v>
      </c>
      <c r="Q867" t="s">
        <v>51</v>
      </c>
      <c r="R867">
        <v>4115</v>
      </c>
      <c r="S867">
        <v>13192</v>
      </c>
      <c r="T867">
        <v>8</v>
      </c>
      <c r="U867" t="s">
        <v>41</v>
      </c>
      <c r="V867" t="s">
        <v>42</v>
      </c>
      <c r="W867">
        <v>19</v>
      </c>
      <c r="X867">
        <v>3</v>
      </c>
      <c r="Y867">
        <v>3</v>
      </c>
      <c r="Z867">
        <v>80</v>
      </c>
      <c r="AA867">
        <v>3</v>
      </c>
      <c r="AB867">
        <v>8</v>
      </c>
      <c r="AC867">
        <v>3</v>
      </c>
      <c r="AD867">
        <v>3</v>
      </c>
      <c r="AE867">
        <v>4</v>
      </c>
      <c r="AF867">
        <v>3</v>
      </c>
      <c r="AG867">
        <v>0</v>
      </c>
      <c r="AH867">
        <v>3</v>
      </c>
    </row>
    <row r="868" spans="1:34" x14ac:dyDescent="0.2">
      <c r="A868">
        <v>40</v>
      </c>
      <c r="B868" t="s">
        <v>42</v>
      </c>
      <c r="C868" t="s">
        <v>43</v>
      </c>
      <c r="D868" t="s">
        <v>36</v>
      </c>
      <c r="E868">
        <v>2</v>
      </c>
      <c r="F868">
        <v>4</v>
      </c>
      <c r="G868" t="s">
        <v>50</v>
      </c>
      <c r="H868">
        <v>1</v>
      </c>
      <c r="I868">
        <v>1212</v>
      </c>
      <c r="J868">
        <v>2</v>
      </c>
      <c r="K868" t="s">
        <v>45</v>
      </c>
      <c r="L868">
        <v>62</v>
      </c>
      <c r="M868">
        <v>3</v>
      </c>
      <c r="N868">
        <v>2</v>
      </c>
      <c r="O868" t="s">
        <v>39</v>
      </c>
      <c r="P868">
        <v>2</v>
      </c>
      <c r="Q868" t="s">
        <v>47</v>
      </c>
      <c r="R868">
        <v>4327</v>
      </c>
      <c r="S868">
        <v>25440</v>
      </c>
      <c r="T868">
        <v>5</v>
      </c>
      <c r="U868" t="s">
        <v>41</v>
      </c>
      <c r="V868" t="s">
        <v>42</v>
      </c>
      <c r="W868">
        <v>12</v>
      </c>
      <c r="X868">
        <v>3</v>
      </c>
      <c r="Y868">
        <v>4</v>
      </c>
      <c r="Z868">
        <v>80</v>
      </c>
      <c r="AA868">
        <v>3</v>
      </c>
      <c r="AB868">
        <v>5</v>
      </c>
      <c r="AC868">
        <v>2</v>
      </c>
      <c r="AD868">
        <v>3</v>
      </c>
      <c r="AE868">
        <v>0</v>
      </c>
      <c r="AF868">
        <v>0</v>
      </c>
      <c r="AG868">
        <v>0</v>
      </c>
      <c r="AH868">
        <v>0</v>
      </c>
    </row>
    <row r="869" spans="1:34" x14ac:dyDescent="0.2">
      <c r="A869">
        <v>50</v>
      </c>
      <c r="B869" t="s">
        <v>42</v>
      </c>
      <c r="C869" t="s">
        <v>43</v>
      </c>
      <c r="D869" t="s">
        <v>44</v>
      </c>
      <c r="E869">
        <v>2</v>
      </c>
      <c r="F869">
        <v>3</v>
      </c>
      <c r="G869" t="s">
        <v>50</v>
      </c>
      <c r="H869">
        <v>1</v>
      </c>
      <c r="I869">
        <v>1215</v>
      </c>
      <c r="J869">
        <v>4</v>
      </c>
      <c r="K869" t="s">
        <v>38</v>
      </c>
      <c r="L869">
        <v>30</v>
      </c>
      <c r="M869">
        <v>3</v>
      </c>
      <c r="N869">
        <v>4</v>
      </c>
      <c r="O869" t="s">
        <v>55</v>
      </c>
      <c r="P869">
        <v>1</v>
      </c>
      <c r="Q869" t="s">
        <v>47</v>
      </c>
      <c r="R869">
        <v>17856</v>
      </c>
      <c r="S869">
        <v>9490</v>
      </c>
      <c r="T869">
        <v>2</v>
      </c>
      <c r="U869" t="s">
        <v>41</v>
      </c>
      <c r="V869" t="s">
        <v>42</v>
      </c>
      <c r="W869">
        <v>22</v>
      </c>
      <c r="X869">
        <v>4</v>
      </c>
      <c r="Y869">
        <v>3</v>
      </c>
      <c r="Z869">
        <v>80</v>
      </c>
      <c r="AA869">
        <v>1</v>
      </c>
      <c r="AB869">
        <v>32</v>
      </c>
      <c r="AC869">
        <v>3</v>
      </c>
      <c r="AD869">
        <v>3</v>
      </c>
      <c r="AE869">
        <v>2</v>
      </c>
      <c r="AF869">
        <v>2</v>
      </c>
      <c r="AG869">
        <v>2</v>
      </c>
      <c r="AH869">
        <v>2</v>
      </c>
    </row>
    <row r="870" spans="1:34" x14ac:dyDescent="0.2">
      <c r="A870">
        <v>28</v>
      </c>
      <c r="B870" t="s">
        <v>42</v>
      </c>
      <c r="C870" t="s">
        <v>35</v>
      </c>
      <c r="D870" t="s">
        <v>44</v>
      </c>
      <c r="E870">
        <v>19</v>
      </c>
      <c r="F870">
        <v>4</v>
      </c>
      <c r="G870" t="s">
        <v>50</v>
      </c>
      <c r="H870">
        <v>1</v>
      </c>
      <c r="I870">
        <v>1216</v>
      </c>
      <c r="J870">
        <v>4</v>
      </c>
      <c r="K870" t="s">
        <v>45</v>
      </c>
      <c r="L870">
        <v>78</v>
      </c>
      <c r="M870">
        <v>2</v>
      </c>
      <c r="N870">
        <v>1</v>
      </c>
      <c r="O870" t="s">
        <v>49</v>
      </c>
      <c r="P870">
        <v>1</v>
      </c>
      <c r="Q870" t="s">
        <v>47</v>
      </c>
      <c r="R870">
        <v>3196</v>
      </c>
      <c r="S870">
        <v>12449</v>
      </c>
      <c r="T870">
        <v>1</v>
      </c>
      <c r="U870" t="s">
        <v>41</v>
      </c>
      <c r="V870" t="s">
        <v>42</v>
      </c>
      <c r="W870">
        <v>12</v>
      </c>
      <c r="X870">
        <v>3</v>
      </c>
      <c r="Y870">
        <v>3</v>
      </c>
      <c r="Z870">
        <v>80</v>
      </c>
      <c r="AA870">
        <v>3</v>
      </c>
      <c r="AB870">
        <v>6</v>
      </c>
      <c r="AC870">
        <v>2</v>
      </c>
      <c r="AD870">
        <v>3</v>
      </c>
      <c r="AE870">
        <v>6</v>
      </c>
      <c r="AF870">
        <v>5</v>
      </c>
      <c r="AG870">
        <v>3</v>
      </c>
      <c r="AH870">
        <v>3</v>
      </c>
    </row>
    <row r="871" spans="1:34" x14ac:dyDescent="0.2">
      <c r="A871">
        <v>46</v>
      </c>
      <c r="B871" t="s">
        <v>42</v>
      </c>
      <c r="C871" t="s">
        <v>35</v>
      </c>
      <c r="D871" t="s">
        <v>44</v>
      </c>
      <c r="E871">
        <v>15</v>
      </c>
      <c r="F871">
        <v>2</v>
      </c>
      <c r="G871" t="s">
        <v>37</v>
      </c>
      <c r="H871">
        <v>1</v>
      </c>
      <c r="I871">
        <v>1217</v>
      </c>
      <c r="J871">
        <v>4</v>
      </c>
      <c r="K871" t="s">
        <v>45</v>
      </c>
      <c r="L871">
        <v>52</v>
      </c>
      <c r="M871">
        <v>3</v>
      </c>
      <c r="N871">
        <v>5</v>
      </c>
      <c r="O871" t="s">
        <v>57</v>
      </c>
      <c r="P871">
        <v>2</v>
      </c>
      <c r="Q871" t="s">
        <v>47</v>
      </c>
      <c r="R871">
        <v>19081</v>
      </c>
      <c r="S871">
        <v>10849</v>
      </c>
      <c r="T871">
        <v>5</v>
      </c>
      <c r="U871" t="s">
        <v>41</v>
      </c>
      <c r="V871" t="s">
        <v>42</v>
      </c>
      <c r="W871">
        <v>11</v>
      </c>
      <c r="X871">
        <v>3</v>
      </c>
      <c r="Y871">
        <v>1</v>
      </c>
      <c r="Z871">
        <v>80</v>
      </c>
      <c r="AA871">
        <v>1</v>
      </c>
      <c r="AB871">
        <v>25</v>
      </c>
      <c r="AC871">
        <v>2</v>
      </c>
      <c r="AD871">
        <v>3</v>
      </c>
      <c r="AE871">
        <v>4</v>
      </c>
      <c r="AF871">
        <v>2</v>
      </c>
      <c r="AG871">
        <v>0</v>
      </c>
      <c r="AH871">
        <v>3</v>
      </c>
    </row>
    <row r="872" spans="1:34" x14ac:dyDescent="0.2">
      <c r="A872">
        <v>35</v>
      </c>
      <c r="B872" t="s">
        <v>42</v>
      </c>
      <c r="C872" t="s">
        <v>35</v>
      </c>
      <c r="D872" t="s">
        <v>36</v>
      </c>
      <c r="E872">
        <v>17</v>
      </c>
      <c r="F872">
        <v>4</v>
      </c>
      <c r="G872" t="s">
        <v>37</v>
      </c>
      <c r="H872">
        <v>1</v>
      </c>
      <c r="I872">
        <v>1218</v>
      </c>
      <c r="J872">
        <v>3</v>
      </c>
      <c r="K872" t="s">
        <v>45</v>
      </c>
      <c r="L872">
        <v>94</v>
      </c>
      <c r="M872">
        <v>3</v>
      </c>
      <c r="N872">
        <v>2</v>
      </c>
      <c r="O872" t="s">
        <v>39</v>
      </c>
      <c r="P872">
        <v>1</v>
      </c>
      <c r="Q872" t="s">
        <v>47</v>
      </c>
      <c r="R872">
        <v>8966</v>
      </c>
      <c r="S872">
        <v>21026</v>
      </c>
      <c r="T872">
        <v>3</v>
      </c>
      <c r="U872" t="s">
        <v>41</v>
      </c>
      <c r="V872" t="s">
        <v>34</v>
      </c>
      <c r="W872">
        <v>15</v>
      </c>
      <c r="X872">
        <v>3</v>
      </c>
      <c r="Y872">
        <v>4</v>
      </c>
      <c r="Z872">
        <v>80</v>
      </c>
      <c r="AA872">
        <v>3</v>
      </c>
      <c r="AB872">
        <v>15</v>
      </c>
      <c r="AC872">
        <v>2</v>
      </c>
      <c r="AD872">
        <v>3</v>
      </c>
      <c r="AE872">
        <v>7</v>
      </c>
      <c r="AF872">
        <v>7</v>
      </c>
      <c r="AG872">
        <v>1</v>
      </c>
      <c r="AH872">
        <v>7</v>
      </c>
    </row>
    <row r="873" spans="1:34" x14ac:dyDescent="0.2">
      <c r="A873">
        <v>24</v>
      </c>
      <c r="B873" t="s">
        <v>34</v>
      </c>
      <c r="C873" t="s">
        <v>35</v>
      </c>
      <c r="D873" t="s">
        <v>44</v>
      </c>
      <c r="E873">
        <v>17</v>
      </c>
      <c r="F873">
        <v>2</v>
      </c>
      <c r="G873" t="s">
        <v>37</v>
      </c>
      <c r="H873">
        <v>1</v>
      </c>
      <c r="I873">
        <v>1219</v>
      </c>
      <c r="J873">
        <v>4</v>
      </c>
      <c r="K873" t="s">
        <v>38</v>
      </c>
      <c r="L873">
        <v>97</v>
      </c>
      <c r="M873">
        <v>3</v>
      </c>
      <c r="N873">
        <v>1</v>
      </c>
      <c r="O873" t="s">
        <v>49</v>
      </c>
      <c r="P873">
        <v>2</v>
      </c>
      <c r="Q873" t="s">
        <v>47</v>
      </c>
      <c r="R873">
        <v>2210</v>
      </c>
      <c r="S873">
        <v>3372</v>
      </c>
      <c r="T873">
        <v>1</v>
      </c>
      <c r="U873" t="s">
        <v>41</v>
      </c>
      <c r="V873" t="s">
        <v>42</v>
      </c>
      <c r="W873">
        <v>13</v>
      </c>
      <c r="X873">
        <v>3</v>
      </c>
      <c r="Y873">
        <v>1</v>
      </c>
      <c r="Z873">
        <v>80</v>
      </c>
      <c r="AA873">
        <v>1</v>
      </c>
      <c r="AB873">
        <v>1</v>
      </c>
      <c r="AC873">
        <v>3</v>
      </c>
      <c r="AD873">
        <v>1</v>
      </c>
      <c r="AE873">
        <v>1</v>
      </c>
      <c r="AF873">
        <v>0</v>
      </c>
      <c r="AG873">
        <v>0</v>
      </c>
      <c r="AH873">
        <v>0</v>
      </c>
    </row>
    <row r="874" spans="1:34" x14ac:dyDescent="0.2">
      <c r="A874">
        <v>33</v>
      </c>
      <c r="B874" t="s">
        <v>42</v>
      </c>
      <c r="C874" t="s">
        <v>43</v>
      </c>
      <c r="D874" t="s">
        <v>36</v>
      </c>
      <c r="E874">
        <v>25</v>
      </c>
      <c r="F874">
        <v>3</v>
      </c>
      <c r="G874" t="s">
        <v>50</v>
      </c>
      <c r="H874">
        <v>1</v>
      </c>
      <c r="I874">
        <v>1220</v>
      </c>
      <c r="J874">
        <v>2</v>
      </c>
      <c r="K874" t="s">
        <v>38</v>
      </c>
      <c r="L874">
        <v>82</v>
      </c>
      <c r="M874">
        <v>3</v>
      </c>
      <c r="N874">
        <v>2</v>
      </c>
      <c r="O874" t="s">
        <v>39</v>
      </c>
      <c r="P874">
        <v>3</v>
      </c>
      <c r="Q874" t="s">
        <v>47</v>
      </c>
      <c r="R874">
        <v>4539</v>
      </c>
      <c r="S874">
        <v>4905</v>
      </c>
      <c r="T874">
        <v>1</v>
      </c>
      <c r="U874" t="s">
        <v>41</v>
      </c>
      <c r="V874" t="s">
        <v>42</v>
      </c>
      <c r="W874">
        <v>12</v>
      </c>
      <c r="X874">
        <v>3</v>
      </c>
      <c r="Y874">
        <v>1</v>
      </c>
      <c r="Z874">
        <v>80</v>
      </c>
      <c r="AA874">
        <v>1</v>
      </c>
      <c r="AB874">
        <v>10</v>
      </c>
      <c r="AC874">
        <v>3</v>
      </c>
      <c r="AD874">
        <v>2</v>
      </c>
      <c r="AE874">
        <v>10</v>
      </c>
      <c r="AF874">
        <v>7</v>
      </c>
      <c r="AG874">
        <v>0</v>
      </c>
      <c r="AH874">
        <v>1</v>
      </c>
    </row>
    <row r="875" spans="1:34" x14ac:dyDescent="0.2">
      <c r="A875">
        <v>36</v>
      </c>
      <c r="B875" t="s">
        <v>42</v>
      </c>
      <c r="C875" t="s">
        <v>35</v>
      </c>
      <c r="D875" t="s">
        <v>44</v>
      </c>
      <c r="E875">
        <v>6</v>
      </c>
      <c r="F875">
        <v>4</v>
      </c>
      <c r="G875" t="s">
        <v>37</v>
      </c>
      <c r="H875">
        <v>1</v>
      </c>
      <c r="I875">
        <v>1221</v>
      </c>
      <c r="J875">
        <v>3</v>
      </c>
      <c r="K875" t="s">
        <v>45</v>
      </c>
      <c r="L875">
        <v>60</v>
      </c>
      <c r="M875">
        <v>1</v>
      </c>
      <c r="N875">
        <v>1</v>
      </c>
      <c r="O875" t="s">
        <v>49</v>
      </c>
      <c r="P875">
        <v>3</v>
      </c>
      <c r="Q875" t="s">
        <v>51</v>
      </c>
      <c r="R875">
        <v>2741</v>
      </c>
      <c r="S875">
        <v>6865</v>
      </c>
      <c r="T875">
        <v>1</v>
      </c>
      <c r="U875" t="s">
        <v>41</v>
      </c>
      <c r="V875" t="s">
        <v>42</v>
      </c>
      <c r="W875">
        <v>14</v>
      </c>
      <c r="X875">
        <v>3</v>
      </c>
      <c r="Y875">
        <v>3</v>
      </c>
      <c r="Z875">
        <v>80</v>
      </c>
      <c r="AA875">
        <v>1</v>
      </c>
      <c r="AB875">
        <v>7</v>
      </c>
      <c r="AC875">
        <v>4</v>
      </c>
      <c r="AD875">
        <v>3</v>
      </c>
      <c r="AE875">
        <v>7</v>
      </c>
      <c r="AF875">
        <v>7</v>
      </c>
      <c r="AG875">
        <v>1</v>
      </c>
      <c r="AH875">
        <v>7</v>
      </c>
    </row>
    <row r="876" spans="1:34" x14ac:dyDescent="0.2">
      <c r="A876">
        <v>30</v>
      </c>
      <c r="B876" t="s">
        <v>42</v>
      </c>
      <c r="C876" t="s">
        <v>35</v>
      </c>
      <c r="D876" t="s">
        <v>44</v>
      </c>
      <c r="E876">
        <v>7</v>
      </c>
      <c r="F876">
        <v>4</v>
      </c>
      <c r="G876" t="s">
        <v>37</v>
      </c>
      <c r="H876">
        <v>1</v>
      </c>
      <c r="I876">
        <v>1224</v>
      </c>
      <c r="J876">
        <v>3</v>
      </c>
      <c r="K876" t="s">
        <v>45</v>
      </c>
      <c r="L876">
        <v>49</v>
      </c>
      <c r="M876">
        <v>3</v>
      </c>
      <c r="N876">
        <v>2</v>
      </c>
      <c r="O876" t="s">
        <v>49</v>
      </c>
      <c r="P876">
        <v>3</v>
      </c>
      <c r="Q876" t="s">
        <v>51</v>
      </c>
      <c r="R876">
        <v>3491</v>
      </c>
      <c r="S876">
        <v>11309</v>
      </c>
      <c r="T876">
        <v>1</v>
      </c>
      <c r="U876" t="s">
        <v>41</v>
      </c>
      <c r="V876" t="s">
        <v>42</v>
      </c>
      <c r="W876">
        <v>13</v>
      </c>
      <c r="X876">
        <v>3</v>
      </c>
      <c r="Y876">
        <v>1</v>
      </c>
      <c r="Z876">
        <v>80</v>
      </c>
      <c r="AA876">
        <v>3</v>
      </c>
      <c r="AB876">
        <v>10</v>
      </c>
      <c r="AC876">
        <v>4</v>
      </c>
      <c r="AD876">
        <v>2</v>
      </c>
      <c r="AE876">
        <v>10</v>
      </c>
      <c r="AF876">
        <v>7</v>
      </c>
      <c r="AG876">
        <v>8</v>
      </c>
      <c r="AH876">
        <v>9</v>
      </c>
    </row>
    <row r="877" spans="1:34" x14ac:dyDescent="0.2">
      <c r="A877">
        <v>44</v>
      </c>
      <c r="B877" t="s">
        <v>42</v>
      </c>
      <c r="C877" t="s">
        <v>35</v>
      </c>
      <c r="D877" t="s">
        <v>44</v>
      </c>
      <c r="E877">
        <v>29</v>
      </c>
      <c r="F877">
        <v>4</v>
      </c>
      <c r="G877" t="s">
        <v>48</v>
      </c>
      <c r="H877">
        <v>1</v>
      </c>
      <c r="I877">
        <v>1225</v>
      </c>
      <c r="J877">
        <v>4</v>
      </c>
      <c r="K877" t="s">
        <v>45</v>
      </c>
      <c r="L877">
        <v>32</v>
      </c>
      <c r="M877">
        <v>3</v>
      </c>
      <c r="N877">
        <v>2</v>
      </c>
      <c r="O877" t="s">
        <v>46</v>
      </c>
      <c r="P877">
        <v>4</v>
      </c>
      <c r="Q877" t="s">
        <v>40</v>
      </c>
      <c r="R877">
        <v>4541</v>
      </c>
      <c r="S877">
        <v>7744</v>
      </c>
      <c r="T877">
        <v>1</v>
      </c>
      <c r="U877" t="s">
        <v>41</v>
      </c>
      <c r="V877" t="s">
        <v>42</v>
      </c>
      <c r="W877">
        <v>25</v>
      </c>
      <c r="X877">
        <v>4</v>
      </c>
      <c r="Y877">
        <v>2</v>
      </c>
      <c r="Z877">
        <v>80</v>
      </c>
      <c r="AA877">
        <v>0</v>
      </c>
      <c r="AB877">
        <v>20</v>
      </c>
      <c r="AC877">
        <v>3</v>
      </c>
      <c r="AD877">
        <v>3</v>
      </c>
      <c r="AE877">
        <v>20</v>
      </c>
      <c r="AF877">
        <v>11</v>
      </c>
      <c r="AG877">
        <v>13</v>
      </c>
      <c r="AH877">
        <v>17</v>
      </c>
    </row>
    <row r="878" spans="1:34" x14ac:dyDescent="0.2">
      <c r="A878">
        <v>20</v>
      </c>
      <c r="B878" t="s">
        <v>42</v>
      </c>
      <c r="C878" t="s">
        <v>35</v>
      </c>
      <c r="D878" t="s">
        <v>36</v>
      </c>
      <c r="E878">
        <v>21</v>
      </c>
      <c r="F878">
        <v>3</v>
      </c>
      <c r="G878" t="s">
        <v>58</v>
      </c>
      <c r="H878">
        <v>1</v>
      </c>
      <c r="I878">
        <v>1226</v>
      </c>
      <c r="J878">
        <v>3</v>
      </c>
      <c r="K878" t="s">
        <v>45</v>
      </c>
      <c r="L878">
        <v>43</v>
      </c>
      <c r="M878">
        <v>4</v>
      </c>
      <c r="N878">
        <v>1</v>
      </c>
      <c r="O878" t="s">
        <v>56</v>
      </c>
      <c r="P878">
        <v>4</v>
      </c>
      <c r="Q878" t="s">
        <v>40</v>
      </c>
      <c r="R878">
        <v>2678</v>
      </c>
      <c r="S878">
        <v>5050</v>
      </c>
      <c r="T878">
        <v>1</v>
      </c>
      <c r="U878" t="s">
        <v>41</v>
      </c>
      <c r="V878" t="s">
        <v>42</v>
      </c>
      <c r="W878">
        <v>17</v>
      </c>
      <c r="X878">
        <v>3</v>
      </c>
      <c r="Y878">
        <v>4</v>
      </c>
      <c r="Z878">
        <v>80</v>
      </c>
      <c r="AA878">
        <v>0</v>
      </c>
      <c r="AB878">
        <v>2</v>
      </c>
      <c r="AC878">
        <v>2</v>
      </c>
      <c r="AD878">
        <v>3</v>
      </c>
      <c r="AE878">
        <v>2</v>
      </c>
      <c r="AF878">
        <v>1</v>
      </c>
      <c r="AG878">
        <v>2</v>
      </c>
      <c r="AH878">
        <v>2</v>
      </c>
    </row>
    <row r="879" spans="1:34" x14ac:dyDescent="0.2">
      <c r="A879">
        <v>46</v>
      </c>
      <c r="B879" t="s">
        <v>42</v>
      </c>
      <c r="C879" t="s">
        <v>35</v>
      </c>
      <c r="D879" t="s">
        <v>44</v>
      </c>
      <c r="E879">
        <v>2</v>
      </c>
      <c r="F879">
        <v>4</v>
      </c>
      <c r="G879" t="s">
        <v>59</v>
      </c>
      <c r="H879">
        <v>1</v>
      </c>
      <c r="I879">
        <v>1228</v>
      </c>
      <c r="J879">
        <v>4</v>
      </c>
      <c r="K879" t="s">
        <v>45</v>
      </c>
      <c r="L879">
        <v>60</v>
      </c>
      <c r="M879">
        <v>3</v>
      </c>
      <c r="N879">
        <v>2</v>
      </c>
      <c r="O879" t="s">
        <v>52</v>
      </c>
      <c r="P879">
        <v>4</v>
      </c>
      <c r="Q879" t="s">
        <v>51</v>
      </c>
      <c r="R879">
        <v>7379</v>
      </c>
      <c r="S879">
        <v>17433</v>
      </c>
      <c r="T879">
        <v>2</v>
      </c>
      <c r="U879" t="s">
        <v>41</v>
      </c>
      <c r="V879" t="s">
        <v>42</v>
      </c>
      <c r="W879">
        <v>11</v>
      </c>
      <c r="X879">
        <v>3</v>
      </c>
      <c r="Y879">
        <v>3</v>
      </c>
      <c r="Z879">
        <v>80</v>
      </c>
      <c r="AA879">
        <v>1</v>
      </c>
      <c r="AB879">
        <v>12</v>
      </c>
      <c r="AC879">
        <v>3</v>
      </c>
      <c r="AD879">
        <v>2</v>
      </c>
      <c r="AE879">
        <v>6</v>
      </c>
      <c r="AF879">
        <v>3</v>
      </c>
      <c r="AG879">
        <v>1</v>
      </c>
      <c r="AH879">
        <v>4</v>
      </c>
    </row>
    <row r="880" spans="1:34" x14ac:dyDescent="0.2">
      <c r="A880">
        <v>42</v>
      </c>
      <c r="B880" t="s">
        <v>42</v>
      </c>
      <c r="C880" t="s">
        <v>54</v>
      </c>
      <c r="D880" t="s">
        <v>60</v>
      </c>
      <c r="E880">
        <v>2</v>
      </c>
      <c r="F880">
        <v>5</v>
      </c>
      <c r="G880" t="s">
        <v>50</v>
      </c>
      <c r="H880">
        <v>1</v>
      </c>
      <c r="I880">
        <v>1231</v>
      </c>
      <c r="J880">
        <v>4</v>
      </c>
      <c r="K880" t="s">
        <v>45</v>
      </c>
      <c r="L880">
        <v>79</v>
      </c>
      <c r="M880">
        <v>4</v>
      </c>
      <c r="N880">
        <v>2</v>
      </c>
      <c r="O880" t="s">
        <v>60</v>
      </c>
      <c r="P880">
        <v>1</v>
      </c>
      <c r="Q880" t="s">
        <v>47</v>
      </c>
      <c r="R880">
        <v>6272</v>
      </c>
      <c r="S880">
        <v>12858</v>
      </c>
      <c r="T880">
        <v>7</v>
      </c>
      <c r="U880" t="s">
        <v>41</v>
      </c>
      <c r="V880" t="s">
        <v>42</v>
      </c>
      <c r="W880">
        <v>16</v>
      </c>
      <c r="X880">
        <v>3</v>
      </c>
      <c r="Y880">
        <v>1</v>
      </c>
      <c r="Z880">
        <v>80</v>
      </c>
      <c r="AA880">
        <v>1</v>
      </c>
      <c r="AB880">
        <v>10</v>
      </c>
      <c r="AC880">
        <v>3</v>
      </c>
      <c r="AD880">
        <v>4</v>
      </c>
      <c r="AE880">
        <v>4</v>
      </c>
      <c r="AF880">
        <v>3</v>
      </c>
      <c r="AG880">
        <v>0</v>
      </c>
      <c r="AH880">
        <v>3</v>
      </c>
    </row>
    <row r="881" spans="1:34" x14ac:dyDescent="0.2">
      <c r="A881">
        <v>60</v>
      </c>
      <c r="B881" t="s">
        <v>42</v>
      </c>
      <c r="C881" t="s">
        <v>35</v>
      </c>
      <c r="D881" t="s">
        <v>36</v>
      </c>
      <c r="E881">
        <v>7</v>
      </c>
      <c r="F881">
        <v>4</v>
      </c>
      <c r="G881" t="s">
        <v>58</v>
      </c>
      <c r="H881">
        <v>1</v>
      </c>
      <c r="I881">
        <v>1233</v>
      </c>
      <c r="J881">
        <v>2</v>
      </c>
      <c r="K881" t="s">
        <v>45</v>
      </c>
      <c r="L881">
        <v>52</v>
      </c>
      <c r="M881">
        <v>4</v>
      </c>
      <c r="N881">
        <v>2</v>
      </c>
      <c r="O881" t="s">
        <v>39</v>
      </c>
      <c r="P881">
        <v>4</v>
      </c>
      <c r="Q881" t="s">
        <v>51</v>
      </c>
      <c r="R881">
        <v>5220</v>
      </c>
      <c r="S881">
        <v>10893</v>
      </c>
      <c r="T881">
        <v>0</v>
      </c>
      <c r="U881" t="s">
        <v>41</v>
      </c>
      <c r="V881" t="s">
        <v>34</v>
      </c>
      <c r="W881">
        <v>18</v>
      </c>
      <c r="X881">
        <v>3</v>
      </c>
      <c r="Y881">
        <v>2</v>
      </c>
      <c r="Z881">
        <v>80</v>
      </c>
      <c r="AA881">
        <v>1</v>
      </c>
      <c r="AB881">
        <v>12</v>
      </c>
      <c r="AC881">
        <v>3</v>
      </c>
      <c r="AD881">
        <v>3</v>
      </c>
      <c r="AE881">
        <v>11</v>
      </c>
      <c r="AF881">
        <v>7</v>
      </c>
      <c r="AG881">
        <v>1</v>
      </c>
      <c r="AH881">
        <v>9</v>
      </c>
    </row>
    <row r="882" spans="1:34" x14ac:dyDescent="0.2">
      <c r="A882">
        <v>32</v>
      </c>
      <c r="B882" t="s">
        <v>42</v>
      </c>
      <c r="C882" t="s">
        <v>43</v>
      </c>
      <c r="D882" t="s">
        <v>44</v>
      </c>
      <c r="E882">
        <v>13</v>
      </c>
      <c r="F882">
        <v>3</v>
      </c>
      <c r="G882" t="s">
        <v>48</v>
      </c>
      <c r="H882">
        <v>1</v>
      </c>
      <c r="I882">
        <v>1234</v>
      </c>
      <c r="J882">
        <v>3</v>
      </c>
      <c r="K882" t="s">
        <v>38</v>
      </c>
      <c r="L882">
        <v>77</v>
      </c>
      <c r="M882">
        <v>2</v>
      </c>
      <c r="N882">
        <v>1</v>
      </c>
      <c r="O882" t="s">
        <v>49</v>
      </c>
      <c r="P882">
        <v>2</v>
      </c>
      <c r="Q882" t="s">
        <v>47</v>
      </c>
      <c r="R882">
        <v>2743</v>
      </c>
      <c r="S882">
        <v>7331</v>
      </c>
      <c r="T882">
        <v>1</v>
      </c>
      <c r="U882" t="s">
        <v>41</v>
      </c>
      <c r="V882" t="s">
        <v>42</v>
      </c>
      <c r="W882">
        <v>20</v>
      </c>
      <c r="X882">
        <v>4</v>
      </c>
      <c r="Y882">
        <v>3</v>
      </c>
      <c r="Z882">
        <v>80</v>
      </c>
      <c r="AA882">
        <v>1</v>
      </c>
      <c r="AB882">
        <v>2</v>
      </c>
      <c r="AC882">
        <v>2</v>
      </c>
      <c r="AD882">
        <v>3</v>
      </c>
      <c r="AE882">
        <v>2</v>
      </c>
      <c r="AF882">
        <v>2</v>
      </c>
      <c r="AG882">
        <v>2</v>
      </c>
      <c r="AH882">
        <v>2</v>
      </c>
    </row>
    <row r="883" spans="1:34" x14ac:dyDescent="0.2">
      <c r="A883">
        <v>32</v>
      </c>
      <c r="B883" t="s">
        <v>42</v>
      </c>
      <c r="C883" t="s">
        <v>43</v>
      </c>
      <c r="D883" t="s">
        <v>44</v>
      </c>
      <c r="E883">
        <v>2</v>
      </c>
      <c r="F883">
        <v>2</v>
      </c>
      <c r="G883" t="s">
        <v>37</v>
      </c>
      <c r="H883">
        <v>1</v>
      </c>
      <c r="I883">
        <v>1235</v>
      </c>
      <c r="J883">
        <v>4</v>
      </c>
      <c r="K883" t="s">
        <v>38</v>
      </c>
      <c r="L883">
        <v>38</v>
      </c>
      <c r="M883">
        <v>3</v>
      </c>
      <c r="N883">
        <v>2</v>
      </c>
      <c r="O883" t="s">
        <v>46</v>
      </c>
      <c r="P883">
        <v>3</v>
      </c>
      <c r="Q883" t="s">
        <v>40</v>
      </c>
      <c r="R883">
        <v>4998</v>
      </c>
      <c r="S883">
        <v>2338</v>
      </c>
      <c r="T883">
        <v>4</v>
      </c>
      <c r="U883" t="s">
        <v>41</v>
      </c>
      <c r="V883" t="s">
        <v>34</v>
      </c>
      <c r="W883">
        <v>14</v>
      </c>
      <c r="X883">
        <v>3</v>
      </c>
      <c r="Y883">
        <v>4</v>
      </c>
      <c r="Z883">
        <v>80</v>
      </c>
      <c r="AA883">
        <v>0</v>
      </c>
      <c r="AB883">
        <v>10</v>
      </c>
      <c r="AC883">
        <v>2</v>
      </c>
      <c r="AD883">
        <v>3</v>
      </c>
      <c r="AE883">
        <v>8</v>
      </c>
      <c r="AF883">
        <v>7</v>
      </c>
      <c r="AG883">
        <v>0</v>
      </c>
      <c r="AH883">
        <v>7</v>
      </c>
    </row>
    <row r="884" spans="1:34" x14ac:dyDescent="0.2">
      <c r="A884">
        <v>36</v>
      </c>
      <c r="B884" t="s">
        <v>42</v>
      </c>
      <c r="C884" t="s">
        <v>35</v>
      </c>
      <c r="D884" t="s">
        <v>44</v>
      </c>
      <c r="E884">
        <v>1</v>
      </c>
      <c r="F884">
        <v>3</v>
      </c>
      <c r="G884" t="s">
        <v>59</v>
      </c>
      <c r="H884">
        <v>1</v>
      </c>
      <c r="I884">
        <v>1237</v>
      </c>
      <c r="J884">
        <v>3</v>
      </c>
      <c r="K884" t="s">
        <v>38</v>
      </c>
      <c r="L884">
        <v>77</v>
      </c>
      <c r="M884">
        <v>1</v>
      </c>
      <c r="N884">
        <v>3</v>
      </c>
      <c r="O884" t="s">
        <v>52</v>
      </c>
      <c r="P884">
        <v>1</v>
      </c>
      <c r="Q884" t="s">
        <v>51</v>
      </c>
      <c r="R884">
        <v>10252</v>
      </c>
      <c r="S884">
        <v>4235</v>
      </c>
      <c r="T884">
        <v>2</v>
      </c>
      <c r="U884" t="s">
        <v>41</v>
      </c>
      <c r="V884" t="s">
        <v>34</v>
      </c>
      <c r="W884">
        <v>21</v>
      </c>
      <c r="X884">
        <v>4</v>
      </c>
      <c r="Y884">
        <v>3</v>
      </c>
      <c r="Z884">
        <v>80</v>
      </c>
      <c r="AA884">
        <v>1</v>
      </c>
      <c r="AB884">
        <v>17</v>
      </c>
      <c r="AC884">
        <v>2</v>
      </c>
      <c r="AD884">
        <v>3</v>
      </c>
      <c r="AE884">
        <v>7</v>
      </c>
      <c r="AF884">
        <v>7</v>
      </c>
      <c r="AG884">
        <v>7</v>
      </c>
      <c r="AH884">
        <v>7</v>
      </c>
    </row>
    <row r="885" spans="1:34" x14ac:dyDescent="0.2">
      <c r="A885">
        <v>33</v>
      </c>
      <c r="B885" t="s">
        <v>42</v>
      </c>
      <c r="C885" t="s">
        <v>35</v>
      </c>
      <c r="D885" t="s">
        <v>44</v>
      </c>
      <c r="E885">
        <v>9</v>
      </c>
      <c r="F885">
        <v>3</v>
      </c>
      <c r="G885" t="s">
        <v>50</v>
      </c>
      <c r="H885">
        <v>1</v>
      </c>
      <c r="I885">
        <v>1238</v>
      </c>
      <c r="J885">
        <v>1</v>
      </c>
      <c r="K885" t="s">
        <v>45</v>
      </c>
      <c r="L885">
        <v>60</v>
      </c>
      <c r="M885">
        <v>3</v>
      </c>
      <c r="N885">
        <v>1</v>
      </c>
      <c r="O885" t="s">
        <v>46</v>
      </c>
      <c r="P885">
        <v>4</v>
      </c>
      <c r="Q885" t="s">
        <v>47</v>
      </c>
      <c r="R885">
        <v>2781</v>
      </c>
      <c r="S885">
        <v>6311</v>
      </c>
      <c r="T885">
        <v>0</v>
      </c>
      <c r="U885" t="s">
        <v>41</v>
      </c>
      <c r="V885" t="s">
        <v>42</v>
      </c>
      <c r="W885">
        <v>13</v>
      </c>
      <c r="X885">
        <v>3</v>
      </c>
      <c r="Y885">
        <v>2</v>
      </c>
      <c r="Z885">
        <v>80</v>
      </c>
      <c r="AA885">
        <v>1</v>
      </c>
      <c r="AB885">
        <v>15</v>
      </c>
      <c r="AC885">
        <v>5</v>
      </c>
      <c r="AD885">
        <v>3</v>
      </c>
      <c r="AE885">
        <v>14</v>
      </c>
      <c r="AF885">
        <v>10</v>
      </c>
      <c r="AG885">
        <v>4</v>
      </c>
      <c r="AH885">
        <v>10</v>
      </c>
    </row>
    <row r="886" spans="1:34" x14ac:dyDescent="0.2">
      <c r="A886">
        <v>40</v>
      </c>
      <c r="B886" t="s">
        <v>42</v>
      </c>
      <c r="C886" t="s">
        <v>35</v>
      </c>
      <c r="D886" t="s">
        <v>36</v>
      </c>
      <c r="E886">
        <v>10</v>
      </c>
      <c r="F886">
        <v>3</v>
      </c>
      <c r="G886" t="s">
        <v>59</v>
      </c>
      <c r="H886">
        <v>1</v>
      </c>
      <c r="I886">
        <v>1239</v>
      </c>
      <c r="J886">
        <v>2</v>
      </c>
      <c r="K886" t="s">
        <v>38</v>
      </c>
      <c r="L886">
        <v>84</v>
      </c>
      <c r="M886">
        <v>2</v>
      </c>
      <c r="N886">
        <v>2</v>
      </c>
      <c r="O886" t="s">
        <v>39</v>
      </c>
      <c r="P886">
        <v>2</v>
      </c>
      <c r="Q886" t="s">
        <v>51</v>
      </c>
      <c r="R886">
        <v>6852</v>
      </c>
      <c r="S886">
        <v>11591</v>
      </c>
      <c r="T886">
        <v>7</v>
      </c>
      <c r="U886" t="s">
        <v>41</v>
      </c>
      <c r="V886" t="s">
        <v>42</v>
      </c>
      <c r="W886">
        <v>12</v>
      </c>
      <c r="X886">
        <v>3</v>
      </c>
      <c r="Y886">
        <v>2</v>
      </c>
      <c r="Z886">
        <v>80</v>
      </c>
      <c r="AA886">
        <v>1</v>
      </c>
      <c r="AB886">
        <v>7</v>
      </c>
      <c r="AC886">
        <v>2</v>
      </c>
      <c r="AD886">
        <v>4</v>
      </c>
      <c r="AE886">
        <v>5</v>
      </c>
      <c r="AF886">
        <v>1</v>
      </c>
      <c r="AG886">
        <v>1</v>
      </c>
      <c r="AH886">
        <v>3</v>
      </c>
    </row>
    <row r="887" spans="1:34" x14ac:dyDescent="0.2">
      <c r="A887">
        <v>25</v>
      </c>
      <c r="B887" t="s">
        <v>42</v>
      </c>
      <c r="C887" t="s">
        <v>35</v>
      </c>
      <c r="D887" t="s">
        <v>36</v>
      </c>
      <c r="E887">
        <v>10</v>
      </c>
      <c r="F887">
        <v>4</v>
      </c>
      <c r="G887" t="s">
        <v>37</v>
      </c>
      <c r="H887">
        <v>1</v>
      </c>
      <c r="I887">
        <v>1240</v>
      </c>
      <c r="J887">
        <v>3</v>
      </c>
      <c r="K887" t="s">
        <v>45</v>
      </c>
      <c r="L887">
        <v>57</v>
      </c>
      <c r="M887">
        <v>3</v>
      </c>
      <c r="N887">
        <v>2</v>
      </c>
      <c r="O887" t="s">
        <v>39</v>
      </c>
      <c r="P887">
        <v>4</v>
      </c>
      <c r="Q887" t="s">
        <v>40</v>
      </c>
      <c r="R887">
        <v>4950</v>
      </c>
      <c r="S887">
        <v>20623</v>
      </c>
      <c r="T887">
        <v>0</v>
      </c>
      <c r="U887" t="s">
        <v>41</v>
      </c>
      <c r="V887" t="s">
        <v>42</v>
      </c>
      <c r="W887">
        <v>14</v>
      </c>
      <c r="X887">
        <v>3</v>
      </c>
      <c r="Y887">
        <v>2</v>
      </c>
      <c r="Z887">
        <v>80</v>
      </c>
      <c r="AA887">
        <v>0</v>
      </c>
      <c r="AB887">
        <v>5</v>
      </c>
      <c r="AC887">
        <v>4</v>
      </c>
      <c r="AD887">
        <v>3</v>
      </c>
      <c r="AE887">
        <v>4</v>
      </c>
      <c r="AF887">
        <v>3</v>
      </c>
      <c r="AG887">
        <v>1</v>
      </c>
      <c r="AH887">
        <v>1</v>
      </c>
    </row>
    <row r="888" spans="1:34" x14ac:dyDescent="0.2">
      <c r="A888">
        <v>30</v>
      </c>
      <c r="B888" t="s">
        <v>42</v>
      </c>
      <c r="C888" t="s">
        <v>35</v>
      </c>
      <c r="D888" t="s">
        <v>44</v>
      </c>
      <c r="E888">
        <v>1</v>
      </c>
      <c r="F888">
        <v>3</v>
      </c>
      <c r="G888" t="s">
        <v>50</v>
      </c>
      <c r="H888">
        <v>1</v>
      </c>
      <c r="I888">
        <v>1241</v>
      </c>
      <c r="J888">
        <v>4</v>
      </c>
      <c r="K888" t="s">
        <v>45</v>
      </c>
      <c r="L888">
        <v>63</v>
      </c>
      <c r="M888">
        <v>3</v>
      </c>
      <c r="N888">
        <v>1</v>
      </c>
      <c r="O888" t="s">
        <v>46</v>
      </c>
      <c r="P888">
        <v>2</v>
      </c>
      <c r="Q888" t="s">
        <v>47</v>
      </c>
      <c r="R888">
        <v>3579</v>
      </c>
      <c r="S888">
        <v>9369</v>
      </c>
      <c r="T888">
        <v>0</v>
      </c>
      <c r="U888" t="s">
        <v>41</v>
      </c>
      <c r="V888" t="s">
        <v>34</v>
      </c>
      <c r="W888">
        <v>21</v>
      </c>
      <c r="X888">
        <v>4</v>
      </c>
      <c r="Y888">
        <v>1</v>
      </c>
      <c r="Z888">
        <v>80</v>
      </c>
      <c r="AA888">
        <v>1</v>
      </c>
      <c r="AB888">
        <v>12</v>
      </c>
      <c r="AC888">
        <v>2</v>
      </c>
      <c r="AD888">
        <v>3</v>
      </c>
      <c r="AE888">
        <v>11</v>
      </c>
      <c r="AF888">
        <v>9</v>
      </c>
      <c r="AG888">
        <v>5</v>
      </c>
      <c r="AH888">
        <v>7</v>
      </c>
    </row>
    <row r="889" spans="1:34" x14ac:dyDescent="0.2">
      <c r="A889">
        <v>42</v>
      </c>
      <c r="B889" t="s">
        <v>42</v>
      </c>
      <c r="C889" t="s">
        <v>43</v>
      </c>
      <c r="D889" t="s">
        <v>44</v>
      </c>
      <c r="E889">
        <v>26</v>
      </c>
      <c r="F889">
        <v>5</v>
      </c>
      <c r="G889" t="s">
        <v>50</v>
      </c>
      <c r="H889">
        <v>1</v>
      </c>
      <c r="I889">
        <v>1242</v>
      </c>
      <c r="J889">
        <v>1</v>
      </c>
      <c r="K889" t="s">
        <v>38</v>
      </c>
      <c r="L889">
        <v>60</v>
      </c>
      <c r="M889">
        <v>3</v>
      </c>
      <c r="N889">
        <v>3</v>
      </c>
      <c r="O889" t="s">
        <v>57</v>
      </c>
      <c r="P889">
        <v>1</v>
      </c>
      <c r="Q889" t="s">
        <v>47</v>
      </c>
      <c r="R889">
        <v>13191</v>
      </c>
      <c r="S889">
        <v>23281</v>
      </c>
      <c r="T889">
        <v>3</v>
      </c>
      <c r="U889" t="s">
        <v>41</v>
      </c>
      <c r="V889" t="s">
        <v>34</v>
      </c>
      <c r="W889">
        <v>17</v>
      </c>
      <c r="X889">
        <v>3</v>
      </c>
      <c r="Y889">
        <v>3</v>
      </c>
      <c r="Z889">
        <v>80</v>
      </c>
      <c r="AA889">
        <v>0</v>
      </c>
      <c r="AB889">
        <v>20</v>
      </c>
      <c r="AC889">
        <v>6</v>
      </c>
      <c r="AD889">
        <v>3</v>
      </c>
      <c r="AE889">
        <v>1</v>
      </c>
      <c r="AF889">
        <v>0</v>
      </c>
      <c r="AG889">
        <v>0</v>
      </c>
      <c r="AH889">
        <v>0</v>
      </c>
    </row>
    <row r="890" spans="1:34" x14ac:dyDescent="0.2">
      <c r="A890">
        <v>35</v>
      </c>
      <c r="B890" t="s">
        <v>42</v>
      </c>
      <c r="C890" t="s">
        <v>54</v>
      </c>
      <c r="D890" t="s">
        <v>36</v>
      </c>
      <c r="E890">
        <v>8</v>
      </c>
      <c r="F890">
        <v>2</v>
      </c>
      <c r="G890" t="s">
        <v>58</v>
      </c>
      <c r="H890">
        <v>1</v>
      </c>
      <c r="I890">
        <v>1243</v>
      </c>
      <c r="J890">
        <v>3</v>
      </c>
      <c r="K890" t="s">
        <v>38</v>
      </c>
      <c r="L890">
        <v>78</v>
      </c>
      <c r="M890">
        <v>2</v>
      </c>
      <c r="N890">
        <v>3</v>
      </c>
      <c r="O890" t="s">
        <v>39</v>
      </c>
      <c r="P890">
        <v>4</v>
      </c>
      <c r="Q890" t="s">
        <v>47</v>
      </c>
      <c r="R890">
        <v>10377</v>
      </c>
      <c r="S890">
        <v>13755</v>
      </c>
      <c r="T890">
        <v>4</v>
      </c>
      <c r="U890" t="s">
        <v>41</v>
      </c>
      <c r="V890" t="s">
        <v>34</v>
      </c>
      <c r="W890">
        <v>11</v>
      </c>
      <c r="X890">
        <v>3</v>
      </c>
      <c r="Y890">
        <v>2</v>
      </c>
      <c r="Z890">
        <v>80</v>
      </c>
      <c r="AA890">
        <v>1</v>
      </c>
      <c r="AB890">
        <v>16</v>
      </c>
      <c r="AC890">
        <v>6</v>
      </c>
      <c r="AD890">
        <v>2</v>
      </c>
      <c r="AE890">
        <v>13</v>
      </c>
      <c r="AF890">
        <v>2</v>
      </c>
      <c r="AG890">
        <v>4</v>
      </c>
      <c r="AH890">
        <v>12</v>
      </c>
    </row>
    <row r="891" spans="1:34" x14ac:dyDescent="0.2">
      <c r="A891">
        <v>27</v>
      </c>
      <c r="B891" t="s">
        <v>42</v>
      </c>
      <c r="C891" t="s">
        <v>35</v>
      </c>
      <c r="D891" t="s">
        <v>44</v>
      </c>
      <c r="E891">
        <v>14</v>
      </c>
      <c r="F891">
        <v>3</v>
      </c>
      <c r="G891" t="s">
        <v>37</v>
      </c>
      <c r="H891">
        <v>1</v>
      </c>
      <c r="I891">
        <v>1244</v>
      </c>
      <c r="J891">
        <v>1</v>
      </c>
      <c r="K891" t="s">
        <v>45</v>
      </c>
      <c r="L891">
        <v>42</v>
      </c>
      <c r="M891">
        <v>3</v>
      </c>
      <c r="N891">
        <v>1</v>
      </c>
      <c r="O891" t="s">
        <v>46</v>
      </c>
      <c r="P891">
        <v>1</v>
      </c>
      <c r="Q891" t="s">
        <v>47</v>
      </c>
      <c r="R891">
        <v>2235</v>
      </c>
      <c r="S891">
        <v>14377</v>
      </c>
      <c r="T891">
        <v>1</v>
      </c>
      <c r="U891" t="s">
        <v>41</v>
      </c>
      <c r="V891" t="s">
        <v>34</v>
      </c>
      <c r="W891">
        <v>14</v>
      </c>
      <c r="X891">
        <v>3</v>
      </c>
      <c r="Y891">
        <v>4</v>
      </c>
      <c r="Z891">
        <v>80</v>
      </c>
      <c r="AA891">
        <v>2</v>
      </c>
      <c r="AB891">
        <v>9</v>
      </c>
      <c r="AC891">
        <v>3</v>
      </c>
      <c r="AD891">
        <v>2</v>
      </c>
      <c r="AE891">
        <v>9</v>
      </c>
      <c r="AF891">
        <v>7</v>
      </c>
      <c r="AG891">
        <v>6</v>
      </c>
      <c r="AH891">
        <v>8</v>
      </c>
    </row>
    <row r="892" spans="1:34" x14ac:dyDescent="0.2">
      <c r="A892">
        <v>54</v>
      </c>
      <c r="B892" t="s">
        <v>42</v>
      </c>
      <c r="C892" t="s">
        <v>43</v>
      </c>
      <c r="D892" t="s">
        <v>44</v>
      </c>
      <c r="E892">
        <v>1</v>
      </c>
      <c r="F892">
        <v>4</v>
      </c>
      <c r="G892" t="s">
        <v>37</v>
      </c>
      <c r="H892">
        <v>1</v>
      </c>
      <c r="I892">
        <v>1245</v>
      </c>
      <c r="J892">
        <v>4</v>
      </c>
      <c r="K892" t="s">
        <v>38</v>
      </c>
      <c r="L892">
        <v>53</v>
      </c>
      <c r="M892">
        <v>3</v>
      </c>
      <c r="N892">
        <v>3</v>
      </c>
      <c r="O892" t="s">
        <v>52</v>
      </c>
      <c r="P892">
        <v>3</v>
      </c>
      <c r="Q892" t="s">
        <v>51</v>
      </c>
      <c r="R892">
        <v>10502</v>
      </c>
      <c r="S892">
        <v>9659</v>
      </c>
      <c r="T892">
        <v>7</v>
      </c>
      <c r="U892" t="s">
        <v>41</v>
      </c>
      <c r="V892" t="s">
        <v>42</v>
      </c>
      <c r="W892">
        <v>17</v>
      </c>
      <c r="X892">
        <v>3</v>
      </c>
      <c r="Y892">
        <v>1</v>
      </c>
      <c r="Z892">
        <v>80</v>
      </c>
      <c r="AA892">
        <v>1</v>
      </c>
      <c r="AB892">
        <v>33</v>
      </c>
      <c r="AC892">
        <v>2</v>
      </c>
      <c r="AD892">
        <v>1</v>
      </c>
      <c r="AE892">
        <v>5</v>
      </c>
      <c r="AF892">
        <v>4</v>
      </c>
      <c r="AG892">
        <v>1</v>
      </c>
      <c r="AH892">
        <v>4</v>
      </c>
    </row>
    <row r="893" spans="1:34" x14ac:dyDescent="0.2">
      <c r="A893">
        <v>44</v>
      </c>
      <c r="B893" t="s">
        <v>42</v>
      </c>
      <c r="C893" t="s">
        <v>35</v>
      </c>
      <c r="D893" t="s">
        <v>44</v>
      </c>
      <c r="E893">
        <v>2</v>
      </c>
      <c r="F893">
        <v>1</v>
      </c>
      <c r="G893" t="s">
        <v>37</v>
      </c>
      <c r="H893">
        <v>1</v>
      </c>
      <c r="I893">
        <v>1246</v>
      </c>
      <c r="J893">
        <v>1</v>
      </c>
      <c r="K893" t="s">
        <v>38</v>
      </c>
      <c r="L893">
        <v>72</v>
      </c>
      <c r="M893">
        <v>4</v>
      </c>
      <c r="N893">
        <v>1</v>
      </c>
      <c r="O893" t="s">
        <v>46</v>
      </c>
      <c r="P893">
        <v>4</v>
      </c>
      <c r="Q893" t="s">
        <v>47</v>
      </c>
      <c r="R893">
        <v>2011</v>
      </c>
      <c r="S893">
        <v>19982</v>
      </c>
      <c r="T893">
        <v>1</v>
      </c>
      <c r="U893" t="s">
        <v>41</v>
      </c>
      <c r="V893" t="s">
        <v>42</v>
      </c>
      <c r="W893">
        <v>13</v>
      </c>
      <c r="X893">
        <v>3</v>
      </c>
      <c r="Y893">
        <v>4</v>
      </c>
      <c r="Z893">
        <v>80</v>
      </c>
      <c r="AA893">
        <v>1</v>
      </c>
      <c r="AB893">
        <v>10</v>
      </c>
      <c r="AC893">
        <v>5</v>
      </c>
      <c r="AD893">
        <v>3</v>
      </c>
      <c r="AE893">
        <v>10</v>
      </c>
      <c r="AF893">
        <v>5</v>
      </c>
      <c r="AG893">
        <v>7</v>
      </c>
      <c r="AH893">
        <v>7</v>
      </c>
    </row>
    <row r="894" spans="1:34" x14ac:dyDescent="0.2">
      <c r="A894">
        <v>19</v>
      </c>
      <c r="B894" t="s">
        <v>34</v>
      </c>
      <c r="C894" t="s">
        <v>54</v>
      </c>
      <c r="D894" t="s">
        <v>44</v>
      </c>
      <c r="E894">
        <v>10</v>
      </c>
      <c r="F894">
        <v>3</v>
      </c>
      <c r="G894" t="s">
        <v>50</v>
      </c>
      <c r="H894">
        <v>1</v>
      </c>
      <c r="I894">
        <v>1248</v>
      </c>
      <c r="J894">
        <v>1</v>
      </c>
      <c r="K894" t="s">
        <v>38</v>
      </c>
      <c r="L894">
        <v>96</v>
      </c>
      <c r="M894">
        <v>2</v>
      </c>
      <c r="N894">
        <v>1</v>
      </c>
      <c r="O894" t="s">
        <v>46</v>
      </c>
      <c r="P894">
        <v>2</v>
      </c>
      <c r="Q894" t="s">
        <v>40</v>
      </c>
      <c r="R894">
        <v>1859</v>
      </c>
      <c r="S894">
        <v>6148</v>
      </c>
      <c r="T894">
        <v>1</v>
      </c>
      <c r="U894" t="s">
        <v>41</v>
      </c>
      <c r="V894" t="s">
        <v>34</v>
      </c>
      <c r="W894">
        <v>25</v>
      </c>
      <c r="X894">
        <v>4</v>
      </c>
      <c r="Y894">
        <v>2</v>
      </c>
      <c r="Z894">
        <v>80</v>
      </c>
      <c r="AA894">
        <v>0</v>
      </c>
      <c r="AB894">
        <v>1</v>
      </c>
      <c r="AC894">
        <v>2</v>
      </c>
      <c r="AD894">
        <v>4</v>
      </c>
      <c r="AE894">
        <v>1</v>
      </c>
      <c r="AF894">
        <v>1</v>
      </c>
      <c r="AG894">
        <v>0</v>
      </c>
      <c r="AH894">
        <v>0</v>
      </c>
    </row>
    <row r="895" spans="1:34" x14ac:dyDescent="0.2">
      <c r="A895">
        <v>29</v>
      </c>
      <c r="B895" t="s">
        <v>42</v>
      </c>
      <c r="C895" t="s">
        <v>35</v>
      </c>
      <c r="D895" t="s">
        <v>44</v>
      </c>
      <c r="E895">
        <v>1</v>
      </c>
      <c r="F895">
        <v>3</v>
      </c>
      <c r="G895" t="s">
        <v>37</v>
      </c>
      <c r="H895">
        <v>1</v>
      </c>
      <c r="I895">
        <v>1249</v>
      </c>
      <c r="J895">
        <v>1</v>
      </c>
      <c r="K895" t="s">
        <v>38</v>
      </c>
      <c r="L895">
        <v>97</v>
      </c>
      <c r="M895">
        <v>3</v>
      </c>
      <c r="N895">
        <v>1</v>
      </c>
      <c r="O895" t="s">
        <v>46</v>
      </c>
      <c r="P895">
        <v>4</v>
      </c>
      <c r="Q895" t="s">
        <v>51</v>
      </c>
      <c r="R895">
        <v>3760</v>
      </c>
      <c r="S895">
        <v>5598</v>
      </c>
      <c r="T895">
        <v>1</v>
      </c>
      <c r="U895" t="s">
        <v>41</v>
      </c>
      <c r="V895" t="s">
        <v>42</v>
      </c>
      <c r="W895">
        <v>15</v>
      </c>
      <c r="X895">
        <v>3</v>
      </c>
      <c r="Y895">
        <v>1</v>
      </c>
      <c r="Z895">
        <v>80</v>
      </c>
      <c r="AA895">
        <v>3</v>
      </c>
      <c r="AB895">
        <v>3</v>
      </c>
      <c r="AC895">
        <v>5</v>
      </c>
      <c r="AD895">
        <v>3</v>
      </c>
      <c r="AE895">
        <v>3</v>
      </c>
      <c r="AF895">
        <v>2</v>
      </c>
      <c r="AG895">
        <v>1</v>
      </c>
      <c r="AH895">
        <v>2</v>
      </c>
    </row>
    <row r="896" spans="1:34" x14ac:dyDescent="0.2">
      <c r="A896">
        <v>54</v>
      </c>
      <c r="B896" t="s">
        <v>42</v>
      </c>
      <c r="C896" t="s">
        <v>35</v>
      </c>
      <c r="D896" t="s">
        <v>44</v>
      </c>
      <c r="E896">
        <v>3</v>
      </c>
      <c r="F896">
        <v>3</v>
      </c>
      <c r="G896" t="s">
        <v>37</v>
      </c>
      <c r="H896">
        <v>1</v>
      </c>
      <c r="I896">
        <v>1250</v>
      </c>
      <c r="J896">
        <v>4</v>
      </c>
      <c r="K896" t="s">
        <v>45</v>
      </c>
      <c r="L896">
        <v>85</v>
      </c>
      <c r="M896">
        <v>3</v>
      </c>
      <c r="N896">
        <v>4</v>
      </c>
      <c r="O896" t="s">
        <v>57</v>
      </c>
      <c r="P896">
        <v>4</v>
      </c>
      <c r="Q896" t="s">
        <v>47</v>
      </c>
      <c r="R896">
        <v>17779</v>
      </c>
      <c r="S896">
        <v>23474</v>
      </c>
      <c r="T896">
        <v>3</v>
      </c>
      <c r="U896" t="s">
        <v>41</v>
      </c>
      <c r="V896" t="s">
        <v>42</v>
      </c>
      <c r="W896">
        <v>14</v>
      </c>
      <c r="X896">
        <v>3</v>
      </c>
      <c r="Y896">
        <v>1</v>
      </c>
      <c r="Z896">
        <v>80</v>
      </c>
      <c r="AA896">
        <v>0</v>
      </c>
      <c r="AB896">
        <v>36</v>
      </c>
      <c r="AC896">
        <v>2</v>
      </c>
      <c r="AD896">
        <v>3</v>
      </c>
      <c r="AE896">
        <v>10</v>
      </c>
      <c r="AF896">
        <v>9</v>
      </c>
      <c r="AG896">
        <v>0</v>
      </c>
      <c r="AH896">
        <v>9</v>
      </c>
    </row>
    <row r="897" spans="1:34" x14ac:dyDescent="0.2">
      <c r="A897">
        <v>31</v>
      </c>
      <c r="B897" t="s">
        <v>42</v>
      </c>
      <c r="C897" t="s">
        <v>35</v>
      </c>
      <c r="D897" t="s">
        <v>44</v>
      </c>
      <c r="E897">
        <v>11</v>
      </c>
      <c r="F897">
        <v>2</v>
      </c>
      <c r="G897" t="s">
        <v>50</v>
      </c>
      <c r="H897">
        <v>1</v>
      </c>
      <c r="I897">
        <v>1251</v>
      </c>
      <c r="J897">
        <v>3</v>
      </c>
      <c r="K897" t="s">
        <v>45</v>
      </c>
      <c r="L897">
        <v>80</v>
      </c>
      <c r="M897">
        <v>3</v>
      </c>
      <c r="N897">
        <v>2</v>
      </c>
      <c r="O897" t="s">
        <v>53</v>
      </c>
      <c r="P897">
        <v>1</v>
      </c>
      <c r="Q897" t="s">
        <v>47</v>
      </c>
      <c r="R897">
        <v>6833</v>
      </c>
      <c r="S897">
        <v>17089</v>
      </c>
      <c r="T897">
        <v>1</v>
      </c>
      <c r="U897" t="s">
        <v>41</v>
      </c>
      <c r="V897" t="s">
        <v>34</v>
      </c>
      <c r="W897">
        <v>12</v>
      </c>
      <c r="X897">
        <v>3</v>
      </c>
      <c r="Y897">
        <v>4</v>
      </c>
      <c r="Z897">
        <v>80</v>
      </c>
      <c r="AA897">
        <v>0</v>
      </c>
      <c r="AB897">
        <v>6</v>
      </c>
      <c r="AC897">
        <v>2</v>
      </c>
      <c r="AD897">
        <v>2</v>
      </c>
      <c r="AE897">
        <v>6</v>
      </c>
      <c r="AF897">
        <v>5</v>
      </c>
      <c r="AG897">
        <v>0</v>
      </c>
      <c r="AH897">
        <v>1</v>
      </c>
    </row>
    <row r="898" spans="1:34" x14ac:dyDescent="0.2">
      <c r="A898">
        <v>31</v>
      </c>
      <c r="B898" t="s">
        <v>42</v>
      </c>
      <c r="C898" t="s">
        <v>35</v>
      </c>
      <c r="D898" t="s">
        <v>44</v>
      </c>
      <c r="E898">
        <v>24</v>
      </c>
      <c r="F898">
        <v>3</v>
      </c>
      <c r="G898" t="s">
        <v>50</v>
      </c>
      <c r="H898">
        <v>1</v>
      </c>
      <c r="I898">
        <v>1252</v>
      </c>
      <c r="J898">
        <v>3</v>
      </c>
      <c r="K898" t="s">
        <v>38</v>
      </c>
      <c r="L898">
        <v>96</v>
      </c>
      <c r="M898">
        <v>2</v>
      </c>
      <c r="N898">
        <v>2</v>
      </c>
      <c r="O898" t="s">
        <v>53</v>
      </c>
      <c r="P898">
        <v>1</v>
      </c>
      <c r="Q898" t="s">
        <v>40</v>
      </c>
      <c r="R898">
        <v>6812</v>
      </c>
      <c r="S898">
        <v>17198</v>
      </c>
      <c r="T898">
        <v>1</v>
      </c>
      <c r="U898" t="s">
        <v>41</v>
      </c>
      <c r="V898" t="s">
        <v>42</v>
      </c>
      <c r="W898">
        <v>19</v>
      </c>
      <c r="X898">
        <v>3</v>
      </c>
      <c r="Y898">
        <v>2</v>
      </c>
      <c r="Z898">
        <v>80</v>
      </c>
      <c r="AA898">
        <v>0</v>
      </c>
      <c r="AB898">
        <v>10</v>
      </c>
      <c r="AC898">
        <v>2</v>
      </c>
      <c r="AD898">
        <v>3</v>
      </c>
      <c r="AE898">
        <v>10</v>
      </c>
      <c r="AF898">
        <v>9</v>
      </c>
      <c r="AG898">
        <v>1</v>
      </c>
      <c r="AH898">
        <v>8</v>
      </c>
    </row>
    <row r="899" spans="1:34" x14ac:dyDescent="0.2">
      <c r="A899">
        <v>59</v>
      </c>
      <c r="B899" t="s">
        <v>42</v>
      </c>
      <c r="C899" t="s">
        <v>35</v>
      </c>
      <c r="D899" t="s">
        <v>36</v>
      </c>
      <c r="E899">
        <v>3</v>
      </c>
      <c r="F899">
        <v>3</v>
      </c>
      <c r="G899" t="s">
        <v>37</v>
      </c>
      <c r="H899">
        <v>1</v>
      </c>
      <c r="I899">
        <v>1254</v>
      </c>
      <c r="J899">
        <v>3</v>
      </c>
      <c r="K899" t="s">
        <v>38</v>
      </c>
      <c r="L899">
        <v>48</v>
      </c>
      <c r="M899">
        <v>2</v>
      </c>
      <c r="N899">
        <v>2</v>
      </c>
      <c r="O899" t="s">
        <v>39</v>
      </c>
      <c r="P899">
        <v>4</v>
      </c>
      <c r="Q899" t="s">
        <v>40</v>
      </c>
      <c r="R899">
        <v>5171</v>
      </c>
      <c r="S899">
        <v>16490</v>
      </c>
      <c r="T899">
        <v>5</v>
      </c>
      <c r="U899" t="s">
        <v>41</v>
      </c>
      <c r="V899" t="s">
        <v>42</v>
      </c>
      <c r="W899">
        <v>17</v>
      </c>
      <c r="X899">
        <v>3</v>
      </c>
      <c r="Y899">
        <v>4</v>
      </c>
      <c r="Z899">
        <v>80</v>
      </c>
      <c r="AA899">
        <v>0</v>
      </c>
      <c r="AB899">
        <v>13</v>
      </c>
      <c r="AC899">
        <v>2</v>
      </c>
      <c r="AD899">
        <v>3</v>
      </c>
      <c r="AE899">
        <v>6</v>
      </c>
      <c r="AF899">
        <v>1</v>
      </c>
      <c r="AG899">
        <v>0</v>
      </c>
      <c r="AH899">
        <v>5</v>
      </c>
    </row>
    <row r="900" spans="1:34" x14ac:dyDescent="0.2">
      <c r="A900">
        <v>43</v>
      </c>
      <c r="B900" t="s">
        <v>42</v>
      </c>
      <c r="C900" t="s">
        <v>35</v>
      </c>
      <c r="D900" t="s">
        <v>44</v>
      </c>
      <c r="E900">
        <v>3</v>
      </c>
      <c r="F900">
        <v>3</v>
      </c>
      <c r="G900" t="s">
        <v>37</v>
      </c>
      <c r="H900">
        <v>1</v>
      </c>
      <c r="I900">
        <v>1255</v>
      </c>
      <c r="J900">
        <v>3</v>
      </c>
      <c r="K900" t="s">
        <v>45</v>
      </c>
      <c r="L900">
        <v>96</v>
      </c>
      <c r="M900">
        <v>1</v>
      </c>
      <c r="N900">
        <v>5</v>
      </c>
      <c r="O900" t="s">
        <v>57</v>
      </c>
      <c r="P900">
        <v>4</v>
      </c>
      <c r="Q900" t="s">
        <v>47</v>
      </c>
      <c r="R900">
        <v>19740</v>
      </c>
      <c r="S900">
        <v>18625</v>
      </c>
      <c r="T900">
        <v>3</v>
      </c>
      <c r="U900" t="s">
        <v>41</v>
      </c>
      <c r="V900" t="s">
        <v>42</v>
      </c>
      <c r="W900">
        <v>14</v>
      </c>
      <c r="X900">
        <v>3</v>
      </c>
      <c r="Y900">
        <v>2</v>
      </c>
      <c r="Z900">
        <v>80</v>
      </c>
      <c r="AA900">
        <v>1</v>
      </c>
      <c r="AB900">
        <v>25</v>
      </c>
      <c r="AC900">
        <v>2</v>
      </c>
      <c r="AD900">
        <v>3</v>
      </c>
      <c r="AE900">
        <v>8</v>
      </c>
      <c r="AF900">
        <v>7</v>
      </c>
      <c r="AG900">
        <v>0</v>
      </c>
      <c r="AH900">
        <v>7</v>
      </c>
    </row>
    <row r="901" spans="1:34" x14ac:dyDescent="0.2">
      <c r="A901">
        <v>49</v>
      </c>
      <c r="B901" t="s">
        <v>42</v>
      </c>
      <c r="C901" t="s">
        <v>35</v>
      </c>
      <c r="D901" t="s">
        <v>44</v>
      </c>
      <c r="E901">
        <v>4</v>
      </c>
      <c r="F901">
        <v>2</v>
      </c>
      <c r="G901" t="s">
        <v>50</v>
      </c>
      <c r="H901">
        <v>1</v>
      </c>
      <c r="I901">
        <v>1256</v>
      </c>
      <c r="J901">
        <v>1</v>
      </c>
      <c r="K901" t="s">
        <v>45</v>
      </c>
      <c r="L901">
        <v>85</v>
      </c>
      <c r="M901">
        <v>2</v>
      </c>
      <c r="N901">
        <v>5</v>
      </c>
      <c r="O901" t="s">
        <v>55</v>
      </c>
      <c r="P901">
        <v>3</v>
      </c>
      <c r="Q901" t="s">
        <v>47</v>
      </c>
      <c r="R901">
        <v>18711</v>
      </c>
      <c r="S901">
        <v>12124</v>
      </c>
      <c r="T901">
        <v>2</v>
      </c>
      <c r="U901" t="s">
        <v>41</v>
      </c>
      <c r="V901" t="s">
        <v>42</v>
      </c>
      <c r="W901">
        <v>13</v>
      </c>
      <c r="X901">
        <v>3</v>
      </c>
      <c r="Y901">
        <v>3</v>
      </c>
      <c r="Z901">
        <v>80</v>
      </c>
      <c r="AA901">
        <v>1</v>
      </c>
      <c r="AB901">
        <v>23</v>
      </c>
      <c r="AC901">
        <v>2</v>
      </c>
      <c r="AD901">
        <v>4</v>
      </c>
      <c r="AE901">
        <v>1</v>
      </c>
      <c r="AF901">
        <v>0</v>
      </c>
      <c r="AG901">
        <v>0</v>
      </c>
      <c r="AH901">
        <v>0</v>
      </c>
    </row>
    <row r="902" spans="1:34" x14ac:dyDescent="0.2">
      <c r="A902">
        <v>36</v>
      </c>
      <c r="B902" t="s">
        <v>42</v>
      </c>
      <c r="C902" t="s">
        <v>43</v>
      </c>
      <c r="D902" t="s">
        <v>44</v>
      </c>
      <c r="E902">
        <v>3</v>
      </c>
      <c r="F902">
        <v>3</v>
      </c>
      <c r="G902" t="s">
        <v>59</v>
      </c>
      <c r="H902">
        <v>1</v>
      </c>
      <c r="I902">
        <v>1257</v>
      </c>
      <c r="J902">
        <v>3</v>
      </c>
      <c r="K902" t="s">
        <v>45</v>
      </c>
      <c r="L902">
        <v>46</v>
      </c>
      <c r="M902">
        <v>3</v>
      </c>
      <c r="N902">
        <v>1</v>
      </c>
      <c r="O902" t="s">
        <v>46</v>
      </c>
      <c r="P902">
        <v>2</v>
      </c>
      <c r="Q902" t="s">
        <v>47</v>
      </c>
      <c r="R902">
        <v>3692</v>
      </c>
      <c r="S902">
        <v>9256</v>
      </c>
      <c r="T902">
        <v>1</v>
      </c>
      <c r="U902" t="s">
        <v>41</v>
      </c>
      <c r="V902" t="s">
        <v>42</v>
      </c>
      <c r="W902">
        <v>12</v>
      </c>
      <c r="X902">
        <v>3</v>
      </c>
      <c r="Y902">
        <v>3</v>
      </c>
      <c r="Z902">
        <v>80</v>
      </c>
      <c r="AA902">
        <v>0</v>
      </c>
      <c r="AB902">
        <v>12</v>
      </c>
      <c r="AC902">
        <v>2</v>
      </c>
      <c r="AD902">
        <v>2</v>
      </c>
      <c r="AE902">
        <v>11</v>
      </c>
      <c r="AF902">
        <v>10</v>
      </c>
      <c r="AG902">
        <v>0</v>
      </c>
      <c r="AH902">
        <v>7</v>
      </c>
    </row>
    <row r="903" spans="1:34" x14ac:dyDescent="0.2">
      <c r="A903">
        <v>48</v>
      </c>
      <c r="B903" t="s">
        <v>42</v>
      </c>
      <c r="C903" t="s">
        <v>35</v>
      </c>
      <c r="D903" t="s">
        <v>44</v>
      </c>
      <c r="E903">
        <v>2</v>
      </c>
      <c r="F903">
        <v>2</v>
      </c>
      <c r="G903" t="s">
        <v>59</v>
      </c>
      <c r="H903">
        <v>1</v>
      </c>
      <c r="I903">
        <v>1258</v>
      </c>
      <c r="J903">
        <v>4</v>
      </c>
      <c r="K903" t="s">
        <v>45</v>
      </c>
      <c r="L903">
        <v>76</v>
      </c>
      <c r="M903">
        <v>4</v>
      </c>
      <c r="N903">
        <v>1</v>
      </c>
      <c r="O903" t="s">
        <v>49</v>
      </c>
      <c r="P903">
        <v>2</v>
      </c>
      <c r="Q903" t="s">
        <v>40</v>
      </c>
      <c r="R903">
        <v>2559</v>
      </c>
      <c r="S903">
        <v>16620</v>
      </c>
      <c r="T903">
        <v>5</v>
      </c>
      <c r="U903" t="s">
        <v>41</v>
      </c>
      <c r="V903" t="s">
        <v>42</v>
      </c>
      <c r="W903">
        <v>11</v>
      </c>
      <c r="X903">
        <v>3</v>
      </c>
      <c r="Y903">
        <v>3</v>
      </c>
      <c r="Z903">
        <v>80</v>
      </c>
      <c r="AA903">
        <v>0</v>
      </c>
      <c r="AB903">
        <v>7</v>
      </c>
      <c r="AC903">
        <v>4</v>
      </c>
      <c r="AD903">
        <v>2</v>
      </c>
      <c r="AE903">
        <v>1</v>
      </c>
      <c r="AF903">
        <v>0</v>
      </c>
      <c r="AG903">
        <v>0</v>
      </c>
      <c r="AH903">
        <v>0</v>
      </c>
    </row>
    <row r="904" spans="1:34" x14ac:dyDescent="0.2">
      <c r="A904">
        <v>27</v>
      </c>
      <c r="B904" t="s">
        <v>42</v>
      </c>
      <c r="C904" t="s">
        <v>35</v>
      </c>
      <c r="D904" t="s">
        <v>44</v>
      </c>
      <c r="E904">
        <v>4</v>
      </c>
      <c r="F904">
        <v>2</v>
      </c>
      <c r="G904" t="s">
        <v>37</v>
      </c>
      <c r="H904">
        <v>1</v>
      </c>
      <c r="I904">
        <v>1259</v>
      </c>
      <c r="J904">
        <v>1</v>
      </c>
      <c r="K904" t="s">
        <v>45</v>
      </c>
      <c r="L904">
        <v>76</v>
      </c>
      <c r="M904">
        <v>3</v>
      </c>
      <c r="N904">
        <v>1</v>
      </c>
      <c r="O904" t="s">
        <v>46</v>
      </c>
      <c r="P904">
        <v>3</v>
      </c>
      <c r="Q904" t="s">
        <v>51</v>
      </c>
      <c r="R904">
        <v>2517</v>
      </c>
      <c r="S904">
        <v>3208</v>
      </c>
      <c r="T904">
        <v>1</v>
      </c>
      <c r="U904" t="s">
        <v>41</v>
      </c>
      <c r="V904" t="s">
        <v>42</v>
      </c>
      <c r="W904">
        <v>11</v>
      </c>
      <c r="X904">
        <v>3</v>
      </c>
      <c r="Y904">
        <v>2</v>
      </c>
      <c r="Z904">
        <v>80</v>
      </c>
      <c r="AA904">
        <v>3</v>
      </c>
      <c r="AB904">
        <v>5</v>
      </c>
      <c r="AC904">
        <v>2</v>
      </c>
      <c r="AD904">
        <v>3</v>
      </c>
      <c r="AE904">
        <v>5</v>
      </c>
      <c r="AF904">
        <v>3</v>
      </c>
      <c r="AG904">
        <v>0</v>
      </c>
      <c r="AH904">
        <v>3</v>
      </c>
    </row>
    <row r="905" spans="1:34" x14ac:dyDescent="0.2">
      <c r="A905">
        <v>29</v>
      </c>
      <c r="B905" t="s">
        <v>42</v>
      </c>
      <c r="C905" t="s">
        <v>35</v>
      </c>
      <c r="D905" t="s">
        <v>44</v>
      </c>
      <c r="E905">
        <v>7</v>
      </c>
      <c r="F905">
        <v>3</v>
      </c>
      <c r="G905" t="s">
        <v>37</v>
      </c>
      <c r="H905">
        <v>1</v>
      </c>
      <c r="I905">
        <v>1260</v>
      </c>
      <c r="J905">
        <v>3</v>
      </c>
      <c r="K905" t="s">
        <v>45</v>
      </c>
      <c r="L905">
        <v>82</v>
      </c>
      <c r="M905">
        <v>3</v>
      </c>
      <c r="N905">
        <v>2</v>
      </c>
      <c r="O905" t="s">
        <v>53</v>
      </c>
      <c r="P905">
        <v>4</v>
      </c>
      <c r="Q905" t="s">
        <v>51</v>
      </c>
      <c r="R905">
        <v>6623</v>
      </c>
      <c r="S905">
        <v>4204</v>
      </c>
      <c r="T905">
        <v>1</v>
      </c>
      <c r="U905" t="s">
        <v>41</v>
      </c>
      <c r="V905" t="s">
        <v>34</v>
      </c>
      <c r="W905">
        <v>11</v>
      </c>
      <c r="X905">
        <v>3</v>
      </c>
      <c r="Y905">
        <v>2</v>
      </c>
      <c r="Z905">
        <v>80</v>
      </c>
      <c r="AA905">
        <v>2</v>
      </c>
      <c r="AB905">
        <v>6</v>
      </c>
      <c r="AC905">
        <v>2</v>
      </c>
      <c r="AD905">
        <v>3</v>
      </c>
      <c r="AE905">
        <v>6</v>
      </c>
      <c r="AF905">
        <v>0</v>
      </c>
      <c r="AG905">
        <v>1</v>
      </c>
      <c r="AH905">
        <v>0</v>
      </c>
    </row>
    <row r="906" spans="1:34" x14ac:dyDescent="0.2">
      <c r="A906">
        <v>48</v>
      </c>
      <c r="B906" t="s">
        <v>42</v>
      </c>
      <c r="C906" t="s">
        <v>35</v>
      </c>
      <c r="D906" t="s">
        <v>44</v>
      </c>
      <c r="E906">
        <v>1</v>
      </c>
      <c r="F906">
        <v>3</v>
      </c>
      <c r="G906" t="s">
        <v>37</v>
      </c>
      <c r="H906">
        <v>1</v>
      </c>
      <c r="I906">
        <v>1263</v>
      </c>
      <c r="J906">
        <v>4</v>
      </c>
      <c r="K906" t="s">
        <v>45</v>
      </c>
      <c r="L906">
        <v>76</v>
      </c>
      <c r="M906">
        <v>2</v>
      </c>
      <c r="N906">
        <v>5</v>
      </c>
      <c r="O906" t="s">
        <v>57</v>
      </c>
      <c r="P906">
        <v>4</v>
      </c>
      <c r="Q906" t="s">
        <v>40</v>
      </c>
      <c r="R906">
        <v>18265</v>
      </c>
      <c r="S906">
        <v>8733</v>
      </c>
      <c r="T906">
        <v>6</v>
      </c>
      <c r="U906" t="s">
        <v>41</v>
      </c>
      <c r="V906" t="s">
        <v>42</v>
      </c>
      <c r="W906">
        <v>12</v>
      </c>
      <c r="X906">
        <v>3</v>
      </c>
      <c r="Y906">
        <v>3</v>
      </c>
      <c r="Z906">
        <v>80</v>
      </c>
      <c r="AA906">
        <v>0</v>
      </c>
      <c r="AB906">
        <v>25</v>
      </c>
      <c r="AC906">
        <v>3</v>
      </c>
      <c r="AD906">
        <v>4</v>
      </c>
      <c r="AE906">
        <v>1</v>
      </c>
      <c r="AF906">
        <v>0</v>
      </c>
      <c r="AG906">
        <v>0</v>
      </c>
      <c r="AH906">
        <v>0</v>
      </c>
    </row>
    <row r="907" spans="1:34" x14ac:dyDescent="0.2">
      <c r="A907">
        <v>29</v>
      </c>
      <c r="B907" t="s">
        <v>42</v>
      </c>
      <c r="C907" t="s">
        <v>35</v>
      </c>
      <c r="D907" t="s">
        <v>44</v>
      </c>
      <c r="E907">
        <v>1</v>
      </c>
      <c r="F907">
        <v>3</v>
      </c>
      <c r="G907" t="s">
        <v>37</v>
      </c>
      <c r="H907">
        <v>1</v>
      </c>
      <c r="I907">
        <v>1264</v>
      </c>
      <c r="J907">
        <v>4</v>
      </c>
      <c r="K907" t="s">
        <v>38</v>
      </c>
      <c r="L907">
        <v>87</v>
      </c>
      <c r="M907">
        <v>2</v>
      </c>
      <c r="N907">
        <v>4</v>
      </c>
      <c r="O907" t="s">
        <v>57</v>
      </c>
      <c r="P907">
        <v>4</v>
      </c>
      <c r="Q907" t="s">
        <v>51</v>
      </c>
      <c r="R907">
        <v>16124</v>
      </c>
      <c r="S907">
        <v>3423</v>
      </c>
      <c r="T907">
        <v>3</v>
      </c>
      <c r="U907" t="s">
        <v>41</v>
      </c>
      <c r="V907" t="s">
        <v>42</v>
      </c>
      <c r="W907">
        <v>14</v>
      </c>
      <c r="X907">
        <v>3</v>
      </c>
      <c r="Y907">
        <v>2</v>
      </c>
      <c r="Z907">
        <v>80</v>
      </c>
      <c r="AA907">
        <v>2</v>
      </c>
      <c r="AB907">
        <v>9</v>
      </c>
      <c r="AC907">
        <v>2</v>
      </c>
      <c r="AD907">
        <v>2</v>
      </c>
      <c r="AE907">
        <v>7</v>
      </c>
      <c r="AF907">
        <v>7</v>
      </c>
      <c r="AG907">
        <v>1</v>
      </c>
      <c r="AH907">
        <v>7</v>
      </c>
    </row>
    <row r="908" spans="1:34" x14ac:dyDescent="0.2">
      <c r="A908">
        <v>34</v>
      </c>
      <c r="B908" t="s">
        <v>42</v>
      </c>
      <c r="C908" t="s">
        <v>35</v>
      </c>
      <c r="D908" t="s">
        <v>44</v>
      </c>
      <c r="E908">
        <v>20</v>
      </c>
      <c r="F908">
        <v>3</v>
      </c>
      <c r="G908" t="s">
        <v>59</v>
      </c>
      <c r="H908">
        <v>1</v>
      </c>
      <c r="I908">
        <v>1265</v>
      </c>
      <c r="J908">
        <v>3</v>
      </c>
      <c r="K908" t="s">
        <v>38</v>
      </c>
      <c r="L908">
        <v>89</v>
      </c>
      <c r="M908">
        <v>4</v>
      </c>
      <c r="N908">
        <v>1</v>
      </c>
      <c r="O908" t="s">
        <v>46</v>
      </c>
      <c r="P908">
        <v>3</v>
      </c>
      <c r="Q908" t="s">
        <v>47</v>
      </c>
      <c r="R908">
        <v>2585</v>
      </c>
      <c r="S908">
        <v>21643</v>
      </c>
      <c r="T908">
        <v>0</v>
      </c>
      <c r="U908" t="s">
        <v>41</v>
      </c>
      <c r="V908" t="s">
        <v>42</v>
      </c>
      <c r="W908">
        <v>17</v>
      </c>
      <c r="X908">
        <v>3</v>
      </c>
      <c r="Y908">
        <v>4</v>
      </c>
      <c r="Z908">
        <v>80</v>
      </c>
      <c r="AA908">
        <v>0</v>
      </c>
      <c r="AB908">
        <v>2</v>
      </c>
      <c r="AC908">
        <v>5</v>
      </c>
      <c r="AD908">
        <v>2</v>
      </c>
      <c r="AE908">
        <v>1</v>
      </c>
      <c r="AF908">
        <v>0</v>
      </c>
      <c r="AG908">
        <v>0</v>
      </c>
      <c r="AH908">
        <v>0</v>
      </c>
    </row>
    <row r="909" spans="1:34" x14ac:dyDescent="0.2">
      <c r="A909">
        <v>44</v>
      </c>
      <c r="B909" t="s">
        <v>42</v>
      </c>
      <c r="C909" t="s">
        <v>35</v>
      </c>
      <c r="D909" t="s">
        <v>36</v>
      </c>
      <c r="E909">
        <v>5</v>
      </c>
      <c r="F909">
        <v>3</v>
      </c>
      <c r="G909" t="s">
        <v>58</v>
      </c>
      <c r="H909">
        <v>1</v>
      </c>
      <c r="I909">
        <v>1267</v>
      </c>
      <c r="J909">
        <v>2</v>
      </c>
      <c r="K909" t="s">
        <v>45</v>
      </c>
      <c r="L909">
        <v>88</v>
      </c>
      <c r="M909">
        <v>3</v>
      </c>
      <c r="N909">
        <v>5</v>
      </c>
      <c r="O909" t="s">
        <v>55</v>
      </c>
      <c r="P909">
        <v>2</v>
      </c>
      <c r="Q909" t="s">
        <v>47</v>
      </c>
      <c r="R909">
        <v>18213</v>
      </c>
      <c r="S909">
        <v>8751</v>
      </c>
      <c r="T909">
        <v>7</v>
      </c>
      <c r="U909" t="s">
        <v>41</v>
      </c>
      <c r="V909" t="s">
        <v>42</v>
      </c>
      <c r="W909">
        <v>11</v>
      </c>
      <c r="X909">
        <v>3</v>
      </c>
      <c r="Y909">
        <v>3</v>
      </c>
      <c r="Z909">
        <v>80</v>
      </c>
      <c r="AA909">
        <v>1</v>
      </c>
      <c r="AB909">
        <v>26</v>
      </c>
      <c r="AC909">
        <v>5</v>
      </c>
      <c r="AD909">
        <v>3</v>
      </c>
      <c r="AE909">
        <v>22</v>
      </c>
      <c r="AF909">
        <v>9</v>
      </c>
      <c r="AG909">
        <v>3</v>
      </c>
      <c r="AH909">
        <v>10</v>
      </c>
    </row>
    <row r="910" spans="1:34" x14ac:dyDescent="0.2">
      <c r="A910">
        <v>33</v>
      </c>
      <c r="B910" t="s">
        <v>42</v>
      </c>
      <c r="C910" t="s">
        <v>35</v>
      </c>
      <c r="D910" t="s">
        <v>36</v>
      </c>
      <c r="E910">
        <v>10</v>
      </c>
      <c r="F910">
        <v>5</v>
      </c>
      <c r="G910" t="s">
        <v>58</v>
      </c>
      <c r="H910">
        <v>1</v>
      </c>
      <c r="I910">
        <v>1268</v>
      </c>
      <c r="J910">
        <v>4</v>
      </c>
      <c r="K910" t="s">
        <v>45</v>
      </c>
      <c r="L910">
        <v>82</v>
      </c>
      <c r="M910">
        <v>4</v>
      </c>
      <c r="N910">
        <v>3</v>
      </c>
      <c r="O910" t="s">
        <v>39</v>
      </c>
      <c r="P910">
        <v>3</v>
      </c>
      <c r="Q910" t="s">
        <v>51</v>
      </c>
      <c r="R910">
        <v>8380</v>
      </c>
      <c r="S910">
        <v>21708</v>
      </c>
      <c r="T910">
        <v>0</v>
      </c>
      <c r="U910" t="s">
        <v>41</v>
      </c>
      <c r="V910" t="s">
        <v>34</v>
      </c>
      <c r="W910">
        <v>14</v>
      </c>
      <c r="X910">
        <v>3</v>
      </c>
      <c r="Y910">
        <v>4</v>
      </c>
      <c r="Z910">
        <v>80</v>
      </c>
      <c r="AA910">
        <v>2</v>
      </c>
      <c r="AB910">
        <v>10</v>
      </c>
      <c r="AC910">
        <v>3</v>
      </c>
      <c r="AD910">
        <v>3</v>
      </c>
      <c r="AE910">
        <v>9</v>
      </c>
      <c r="AF910">
        <v>8</v>
      </c>
      <c r="AG910">
        <v>0</v>
      </c>
      <c r="AH910">
        <v>8</v>
      </c>
    </row>
    <row r="911" spans="1:34" x14ac:dyDescent="0.2">
      <c r="A911">
        <v>19</v>
      </c>
      <c r="B911" t="s">
        <v>42</v>
      </c>
      <c r="C911" t="s">
        <v>35</v>
      </c>
      <c r="D911" t="s">
        <v>44</v>
      </c>
      <c r="E911">
        <v>25</v>
      </c>
      <c r="F911">
        <v>3</v>
      </c>
      <c r="G911" t="s">
        <v>37</v>
      </c>
      <c r="H911">
        <v>1</v>
      </c>
      <c r="I911">
        <v>1269</v>
      </c>
      <c r="J911">
        <v>2</v>
      </c>
      <c r="K911" t="s">
        <v>38</v>
      </c>
      <c r="L911">
        <v>57</v>
      </c>
      <c r="M911">
        <v>4</v>
      </c>
      <c r="N911">
        <v>1</v>
      </c>
      <c r="O911" t="s">
        <v>46</v>
      </c>
      <c r="P911">
        <v>4</v>
      </c>
      <c r="Q911" t="s">
        <v>40</v>
      </c>
      <c r="R911">
        <v>2994</v>
      </c>
      <c r="S911">
        <v>21221</v>
      </c>
      <c r="T911">
        <v>1</v>
      </c>
      <c r="U911" t="s">
        <v>41</v>
      </c>
      <c r="V911" t="s">
        <v>34</v>
      </c>
      <c r="W911">
        <v>12</v>
      </c>
      <c r="X911">
        <v>3</v>
      </c>
      <c r="Y911">
        <v>4</v>
      </c>
      <c r="Z911">
        <v>80</v>
      </c>
      <c r="AA911">
        <v>0</v>
      </c>
      <c r="AB911">
        <v>1</v>
      </c>
      <c r="AC911">
        <v>2</v>
      </c>
      <c r="AD911">
        <v>3</v>
      </c>
      <c r="AE911">
        <v>1</v>
      </c>
      <c r="AF911">
        <v>0</v>
      </c>
      <c r="AG911">
        <v>0</v>
      </c>
      <c r="AH911">
        <v>1</v>
      </c>
    </row>
    <row r="912" spans="1:34" x14ac:dyDescent="0.2">
      <c r="A912">
        <v>23</v>
      </c>
      <c r="B912" t="s">
        <v>42</v>
      </c>
      <c r="C912" t="s">
        <v>35</v>
      </c>
      <c r="D912" t="s">
        <v>44</v>
      </c>
      <c r="E912">
        <v>1</v>
      </c>
      <c r="F912">
        <v>2</v>
      </c>
      <c r="G912" t="s">
        <v>37</v>
      </c>
      <c r="H912">
        <v>1</v>
      </c>
      <c r="I912">
        <v>1270</v>
      </c>
      <c r="J912">
        <v>4</v>
      </c>
      <c r="K912" t="s">
        <v>45</v>
      </c>
      <c r="L912">
        <v>47</v>
      </c>
      <c r="M912">
        <v>3</v>
      </c>
      <c r="N912">
        <v>1</v>
      </c>
      <c r="O912" t="s">
        <v>46</v>
      </c>
      <c r="P912">
        <v>3</v>
      </c>
      <c r="Q912" t="s">
        <v>47</v>
      </c>
      <c r="R912">
        <v>1223</v>
      </c>
      <c r="S912">
        <v>16901</v>
      </c>
      <c r="T912">
        <v>1</v>
      </c>
      <c r="U912" t="s">
        <v>41</v>
      </c>
      <c r="V912" t="s">
        <v>42</v>
      </c>
      <c r="W912">
        <v>22</v>
      </c>
      <c r="X912">
        <v>4</v>
      </c>
      <c r="Y912">
        <v>4</v>
      </c>
      <c r="Z912">
        <v>80</v>
      </c>
      <c r="AA912">
        <v>1</v>
      </c>
      <c r="AB912">
        <v>1</v>
      </c>
      <c r="AC912">
        <v>2</v>
      </c>
      <c r="AD912">
        <v>3</v>
      </c>
      <c r="AE912">
        <v>1</v>
      </c>
      <c r="AF912">
        <v>0</v>
      </c>
      <c r="AG912">
        <v>0</v>
      </c>
      <c r="AH912">
        <v>1</v>
      </c>
    </row>
    <row r="913" spans="1:34" x14ac:dyDescent="0.2">
      <c r="A913">
        <v>25</v>
      </c>
      <c r="B913" t="s">
        <v>34</v>
      </c>
      <c r="C913" t="s">
        <v>43</v>
      </c>
      <c r="D913" t="s">
        <v>36</v>
      </c>
      <c r="E913">
        <v>24</v>
      </c>
      <c r="F913">
        <v>1</v>
      </c>
      <c r="G913" t="s">
        <v>37</v>
      </c>
      <c r="H913">
        <v>1</v>
      </c>
      <c r="I913">
        <v>1273</v>
      </c>
      <c r="J913">
        <v>3</v>
      </c>
      <c r="K913" t="s">
        <v>45</v>
      </c>
      <c r="L913">
        <v>73</v>
      </c>
      <c r="M913">
        <v>1</v>
      </c>
      <c r="N913">
        <v>1</v>
      </c>
      <c r="O913" t="s">
        <v>56</v>
      </c>
      <c r="P913">
        <v>4</v>
      </c>
      <c r="Q913" t="s">
        <v>40</v>
      </c>
      <c r="R913">
        <v>1118</v>
      </c>
      <c r="S913">
        <v>8040</v>
      </c>
      <c r="T913">
        <v>1</v>
      </c>
      <c r="U913" t="s">
        <v>41</v>
      </c>
      <c r="V913" t="s">
        <v>34</v>
      </c>
      <c r="W913">
        <v>14</v>
      </c>
      <c r="X913">
        <v>3</v>
      </c>
      <c r="Y913">
        <v>4</v>
      </c>
      <c r="Z913">
        <v>80</v>
      </c>
      <c r="AA913">
        <v>0</v>
      </c>
      <c r="AB913">
        <v>1</v>
      </c>
      <c r="AC913">
        <v>4</v>
      </c>
      <c r="AD913">
        <v>3</v>
      </c>
      <c r="AE913">
        <v>1</v>
      </c>
      <c r="AF913">
        <v>0</v>
      </c>
      <c r="AG913">
        <v>1</v>
      </c>
      <c r="AH913">
        <v>0</v>
      </c>
    </row>
    <row r="914" spans="1:34" x14ac:dyDescent="0.2">
      <c r="A914">
        <v>26</v>
      </c>
      <c r="B914" t="s">
        <v>42</v>
      </c>
      <c r="C914" t="s">
        <v>35</v>
      </c>
      <c r="D914" t="s">
        <v>44</v>
      </c>
      <c r="E914">
        <v>4</v>
      </c>
      <c r="F914">
        <v>2</v>
      </c>
      <c r="G914" t="s">
        <v>37</v>
      </c>
      <c r="H914">
        <v>1</v>
      </c>
      <c r="I914">
        <v>1275</v>
      </c>
      <c r="J914">
        <v>3</v>
      </c>
      <c r="K914" t="s">
        <v>45</v>
      </c>
      <c r="L914">
        <v>53</v>
      </c>
      <c r="M914">
        <v>3</v>
      </c>
      <c r="N914">
        <v>1</v>
      </c>
      <c r="O914" t="s">
        <v>46</v>
      </c>
      <c r="P914">
        <v>4</v>
      </c>
      <c r="Q914" t="s">
        <v>40</v>
      </c>
      <c r="R914">
        <v>2875</v>
      </c>
      <c r="S914">
        <v>9973</v>
      </c>
      <c r="T914">
        <v>1</v>
      </c>
      <c r="U914" t="s">
        <v>41</v>
      </c>
      <c r="V914" t="s">
        <v>34</v>
      </c>
      <c r="W914">
        <v>20</v>
      </c>
      <c r="X914">
        <v>4</v>
      </c>
      <c r="Y914">
        <v>2</v>
      </c>
      <c r="Z914">
        <v>80</v>
      </c>
      <c r="AA914">
        <v>0</v>
      </c>
      <c r="AB914">
        <v>8</v>
      </c>
      <c r="AC914">
        <v>2</v>
      </c>
      <c r="AD914">
        <v>2</v>
      </c>
      <c r="AE914">
        <v>8</v>
      </c>
      <c r="AF914">
        <v>5</v>
      </c>
      <c r="AG914">
        <v>2</v>
      </c>
      <c r="AH914">
        <v>2</v>
      </c>
    </row>
    <row r="915" spans="1:34" x14ac:dyDescent="0.2">
      <c r="A915">
        <v>45</v>
      </c>
      <c r="B915" t="s">
        <v>34</v>
      </c>
      <c r="C915" t="s">
        <v>35</v>
      </c>
      <c r="D915" t="s">
        <v>36</v>
      </c>
      <c r="E915">
        <v>2</v>
      </c>
      <c r="F915">
        <v>3</v>
      </c>
      <c r="G915" t="s">
        <v>58</v>
      </c>
      <c r="H915">
        <v>1</v>
      </c>
      <c r="I915">
        <v>1277</v>
      </c>
      <c r="J915">
        <v>1</v>
      </c>
      <c r="K915" t="s">
        <v>38</v>
      </c>
      <c r="L915">
        <v>94</v>
      </c>
      <c r="M915">
        <v>1</v>
      </c>
      <c r="N915">
        <v>5</v>
      </c>
      <c r="O915" t="s">
        <v>55</v>
      </c>
      <c r="P915">
        <v>2</v>
      </c>
      <c r="Q915" t="s">
        <v>40</v>
      </c>
      <c r="R915">
        <v>18824</v>
      </c>
      <c r="S915">
        <v>2493</v>
      </c>
      <c r="T915">
        <v>2</v>
      </c>
      <c r="U915" t="s">
        <v>41</v>
      </c>
      <c r="V915" t="s">
        <v>34</v>
      </c>
      <c r="W915">
        <v>16</v>
      </c>
      <c r="X915">
        <v>3</v>
      </c>
      <c r="Y915">
        <v>1</v>
      </c>
      <c r="Z915">
        <v>80</v>
      </c>
      <c r="AA915">
        <v>0</v>
      </c>
      <c r="AB915">
        <v>26</v>
      </c>
      <c r="AC915">
        <v>2</v>
      </c>
      <c r="AD915">
        <v>3</v>
      </c>
      <c r="AE915">
        <v>24</v>
      </c>
      <c r="AF915">
        <v>10</v>
      </c>
      <c r="AG915">
        <v>1</v>
      </c>
      <c r="AH915">
        <v>11</v>
      </c>
    </row>
    <row r="916" spans="1:34" x14ac:dyDescent="0.2">
      <c r="A916">
        <v>55</v>
      </c>
      <c r="B916" t="s">
        <v>42</v>
      </c>
      <c r="C916" t="s">
        <v>54</v>
      </c>
      <c r="D916" t="s">
        <v>44</v>
      </c>
      <c r="E916">
        <v>8</v>
      </c>
      <c r="F916">
        <v>1</v>
      </c>
      <c r="G916" t="s">
        <v>50</v>
      </c>
      <c r="H916">
        <v>1</v>
      </c>
      <c r="I916">
        <v>1278</v>
      </c>
      <c r="J916">
        <v>4</v>
      </c>
      <c r="K916" t="s">
        <v>45</v>
      </c>
      <c r="L916">
        <v>37</v>
      </c>
      <c r="M916">
        <v>2</v>
      </c>
      <c r="N916">
        <v>4</v>
      </c>
      <c r="O916" t="s">
        <v>53</v>
      </c>
      <c r="P916">
        <v>2</v>
      </c>
      <c r="Q916" t="s">
        <v>51</v>
      </c>
      <c r="R916">
        <v>13577</v>
      </c>
      <c r="S916">
        <v>25592</v>
      </c>
      <c r="T916">
        <v>1</v>
      </c>
      <c r="U916" t="s">
        <v>41</v>
      </c>
      <c r="V916" t="s">
        <v>34</v>
      </c>
      <c r="W916">
        <v>15</v>
      </c>
      <c r="X916">
        <v>3</v>
      </c>
      <c r="Y916">
        <v>4</v>
      </c>
      <c r="Z916">
        <v>80</v>
      </c>
      <c r="AA916">
        <v>1</v>
      </c>
      <c r="AB916">
        <v>34</v>
      </c>
      <c r="AC916">
        <v>3</v>
      </c>
      <c r="AD916">
        <v>3</v>
      </c>
      <c r="AE916">
        <v>33</v>
      </c>
      <c r="AF916">
        <v>9</v>
      </c>
      <c r="AG916">
        <v>15</v>
      </c>
      <c r="AH916">
        <v>0</v>
      </c>
    </row>
    <row r="917" spans="1:34" x14ac:dyDescent="0.2">
      <c r="A917">
        <v>21</v>
      </c>
      <c r="B917" t="s">
        <v>34</v>
      </c>
      <c r="C917" t="s">
        <v>43</v>
      </c>
      <c r="D917" t="s">
        <v>44</v>
      </c>
      <c r="E917">
        <v>10</v>
      </c>
      <c r="F917">
        <v>2</v>
      </c>
      <c r="G917" t="s">
        <v>37</v>
      </c>
      <c r="H917">
        <v>1</v>
      </c>
      <c r="I917">
        <v>1279</v>
      </c>
      <c r="J917">
        <v>1</v>
      </c>
      <c r="K917" t="s">
        <v>38</v>
      </c>
      <c r="L917">
        <v>45</v>
      </c>
      <c r="M917">
        <v>2</v>
      </c>
      <c r="N917">
        <v>1</v>
      </c>
      <c r="O917" t="s">
        <v>49</v>
      </c>
      <c r="P917">
        <v>3</v>
      </c>
      <c r="Q917" t="s">
        <v>40</v>
      </c>
      <c r="R917">
        <v>2625</v>
      </c>
      <c r="S917">
        <v>25308</v>
      </c>
      <c r="T917">
        <v>1</v>
      </c>
      <c r="U917" t="s">
        <v>41</v>
      </c>
      <c r="V917" t="s">
        <v>42</v>
      </c>
      <c r="W917">
        <v>20</v>
      </c>
      <c r="X917">
        <v>4</v>
      </c>
      <c r="Y917">
        <v>3</v>
      </c>
      <c r="Z917">
        <v>80</v>
      </c>
      <c r="AA917">
        <v>0</v>
      </c>
      <c r="AB917">
        <v>2</v>
      </c>
      <c r="AC917">
        <v>2</v>
      </c>
      <c r="AD917">
        <v>1</v>
      </c>
      <c r="AE917">
        <v>2</v>
      </c>
      <c r="AF917">
        <v>2</v>
      </c>
      <c r="AG917">
        <v>2</v>
      </c>
      <c r="AH917">
        <v>2</v>
      </c>
    </row>
    <row r="918" spans="1:34" x14ac:dyDescent="0.2">
      <c r="A918">
        <v>46</v>
      </c>
      <c r="B918" t="s">
        <v>42</v>
      </c>
      <c r="C918" t="s">
        <v>35</v>
      </c>
      <c r="D918" t="s">
        <v>36</v>
      </c>
      <c r="E918">
        <v>4</v>
      </c>
      <c r="F918">
        <v>2</v>
      </c>
      <c r="G918" t="s">
        <v>58</v>
      </c>
      <c r="H918">
        <v>1</v>
      </c>
      <c r="I918">
        <v>1280</v>
      </c>
      <c r="J918">
        <v>4</v>
      </c>
      <c r="K918" t="s">
        <v>38</v>
      </c>
      <c r="L918">
        <v>33</v>
      </c>
      <c r="M918">
        <v>2</v>
      </c>
      <c r="N918">
        <v>5</v>
      </c>
      <c r="O918" t="s">
        <v>55</v>
      </c>
      <c r="P918">
        <v>2</v>
      </c>
      <c r="Q918" t="s">
        <v>47</v>
      </c>
      <c r="R918">
        <v>18789</v>
      </c>
      <c r="S918">
        <v>9946</v>
      </c>
      <c r="T918">
        <v>2</v>
      </c>
      <c r="U918" t="s">
        <v>41</v>
      </c>
      <c r="V918" t="s">
        <v>42</v>
      </c>
      <c r="W918">
        <v>14</v>
      </c>
      <c r="X918">
        <v>3</v>
      </c>
      <c r="Y918">
        <v>3</v>
      </c>
      <c r="Z918">
        <v>80</v>
      </c>
      <c r="AA918">
        <v>1</v>
      </c>
      <c r="AB918">
        <v>26</v>
      </c>
      <c r="AC918">
        <v>2</v>
      </c>
      <c r="AD918">
        <v>3</v>
      </c>
      <c r="AE918">
        <v>11</v>
      </c>
      <c r="AF918">
        <v>4</v>
      </c>
      <c r="AG918">
        <v>0</v>
      </c>
      <c r="AH918">
        <v>8</v>
      </c>
    </row>
    <row r="919" spans="1:34" x14ac:dyDescent="0.2">
      <c r="A919">
        <v>34</v>
      </c>
      <c r="B919" t="s">
        <v>42</v>
      </c>
      <c r="C919" t="s">
        <v>35</v>
      </c>
      <c r="D919" t="s">
        <v>36</v>
      </c>
      <c r="E919">
        <v>2</v>
      </c>
      <c r="F919">
        <v>3</v>
      </c>
      <c r="G919" t="s">
        <v>58</v>
      </c>
      <c r="H919">
        <v>1</v>
      </c>
      <c r="I919">
        <v>1281</v>
      </c>
      <c r="J919">
        <v>3</v>
      </c>
      <c r="K919" t="s">
        <v>38</v>
      </c>
      <c r="L919">
        <v>86</v>
      </c>
      <c r="M919">
        <v>3</v>
      </c>
      <c r="N919">
        <v>2</v>
      </c>
      <c r="O919" t="s">
        <v>39</v>
      </c>
      <c r="P919">
        <v>1</v>
      </c>
      <c r="Q919" t="s">
        <v>40</v>
      </c>
      <c r="R919">
        <v>4538</v>
      </c>
      <c r="S919">
        <v>6039</v>
      </c>
      <c r="T919">
        <v>0</v>
      </c>
      <c r="U919" t="s">
        <v>41</v>
      </c>
      <c r="V919" t="s">
        <v>34</v>
      </c>
      <c r="W919">
        <v>12</v>
      </c>
      <c r="X919">
        <v>3</v>
      </c>
      <c r="Y919">
        <v>4</v>
      </c>
      <c r="Z919">
        <v>80</v>
      </c>
      <c r="AA919">
        <v>0</v>
      </c>
      <c r="AB919">
        <v>4</v>
      </c>
      <c r="AC919">
        <v>3</v>
      </c>
      <c r="AD919">
        <v>3</v>
      </c>
      <c r="AE919">
        <v>3</v>
      </c>
      <c r="AF919">
        <v>2</v>
      </c>
      <c r="AG919">
        <v>0</v>
      </c>
      <c r="AH919">
        <v>2</v>
      </c>
    </row>
    <row r="920" spans="1:34" x14ac:dyDescent="0.2">
      <c r="A920">
        <v>51</v>
      </c>
      <c r="B920" t="s">
        <v>42</v>
      </c>
      <c r="C920" t="s">
        <v>43</v>
      </c>
      <c r="D920" t="s">
        <v>36</v>
      </c>
      <c r="E920">
        <v>9</v>
      </c>
      <c r="F920">
        <v>3</v>
      </c>
      <c r="G920" t="s">
        <v>37</v>
      </c>
      <c r="H920">
        <v>1</v>
      </c>
      <c r="I920">
        <v>1282</v>
      </c>
      <c r="J920">
        <v>4</v>
      </c>
      <c r="K920" t="s">
        <v>45</v>
      </c>
      <c r="L920">
        <v>83</v>
      </c>
      <c r="M920">
        <v>3</v>
      </c>
      <c r="N920">
        <v>5</v>
      </c>
      <c r="O920" t="s">
        <v>55</v>
      </c>
      <c r="P920">
        <v>2</v>
      </c>
      <c r="Q920" t="s">
        <v>51</v>
      </c>
      <c r="R920">
        <v>19847</v>
      </c>
      <c r="S920">
        <v>19196</v>
      </c>
      <c r="T920">
        <v>4</v>
      </c>
      <c r="U920" t="s">
        <v>41</v>
      </c>
      <c r="V920" t="s">
        <v>34</v>
      </c>
      <c r="W920">
        <v>24</v>
      </c>
      <c r="X920">
        <v>4</v>
      </c>
      <c r="Y920">
        <v>1</v>
      </c>
      <c r="Z920">
        <v>80</v>
      </c>
      <c r="AA920">
        <v>1</v>
      </c>
      <c r="AB920">
        <v>31</v>
      </c>
      <c r="AC920">
        <v>5</v>
      </c>
      <c r="AD920">
        <v>2</v>
      </c>
      <c r="AE920">
        <v>29</v>
      </c>
      <c r="AF920">
        <v>10</v>
      </c>
      <c r="AG920">
        <v>11</v>
      </c>
      <c r="AH920">
        <v>10</v>
      </c>
    </row>
    <row r="921" spans="1:34" x14ac:dyDescent="0.2">
      <c r="A921">
        <v>59</v>
      </c>
      <c r="B921" t="s">
        <v>42</v>
      </c>
      <c r="C921" t="s">
        <v>35</v>
      </c>
      <c r="D921" t="s">
        <v>44</v>
      </c>
      <c r="E921">
        <v>18</v>
      </c>
      <c r="F921">
        <v>4</v>
      </c>
      <c r="G921" t="s">
        <v>50</v>
      </c>
      <c r="H921">
        <v>1</v>
      </c>
      <c r="I921">
        <v>1283</v>
      </c>
      <c r="J921">
        <v>4</v>
      </c>
      <c r="K921" t="s">
        <v>45</v>
      </c>
      <c r="L921">
        <v>67</v>
      </c>
      <c r="M921">
        <v>3</v>
      </c>
      <c r="N921">
        <v>3</v>
      </c>
      <c r="O921" t="s">
        <v>52</v>
      </c>
      <c r="P921">
        <v>4</v>
      </c>
      <c r="Q921" t="s">
        <v>40</v>
      </c>
      <c r="R921">
        <v>10512</v>
      </c>
      <c r="S921">
        <v>20002</v>
      </c>
      <c r="T921">
        <v>6</v>
      </c>
      <c r="U921" t="s">
        <v>41</v>
      </c>
      <c r="V921" t="s">
        <v>42</v>
      </c>
      <c r="W921">
        <v>12</v>
      </c>
      <c r="X921">
        <v>3</v>
      </c>
      <c r="Y921">
        <v>4</v>
      </c>
      <c r="Z921">
        <v>80</v>
      </c>
      <c r="AA921">
        <v>0</v>
      </c>
      <c r="AB921">
        <v>25</v>
      </c>
      <c r="AC921">
        <v>6</v>
      </c>
      <c r="AD921">
        <v>2</v>
      </c>
      <c r="AE921">
        <v>9</v>
      </c>
      <c r="AF921">
        <v>7</v>
      </c>
      <c r="AG921">
        <v>5</v>
      </c>
      <c r="AH921">
        <v>4</v>
      </c>
    </row>
    <row r="922" spans="1:34" x14ac:dyDescent="0.2">
      <c r="A922">
        <v>34</v>
      </c>
      <c r="B922" t="s">
        <v>42</v>
      </c>
      <c r="C922" t="s">
        <v>43</v>
      </c>
      <c r="D922" t="s">
        <v>44</v>
      </c>
      <c r="E922">
        <v>19</v>
      </c>
      <c r="F922">
        <v>3</v>
      </c>
      <c r="G922" t="s">
        <v>50</v>
      </c>
      <c r="H922">
        <v>1</v>
      </c>
      <c r="I922">
        <v>1285</v>
      </c>
      <c r="J922">
        <v>3</v>
      </c>
      <c r="K922" t="s">
        <v>38</v>
      </c>
      <c r="L922">
        <v>46</v>
      </c>
      <c r="M922">
        <v>3</v>
      </c>
      <c r="N922">
        <v>2</v>
      </c>
      <c r="O922" t="s">
        <v>49</v>
      </c>
      <c r="P922">
        <v>2</v>
      </c>
      <c r="Q922" t="s">
        <v>51</v>
      </c>
      <c r="R922">
        <v>4444</v>
      </c>
      <c r="S922">
        <v>22534</v>
      </c>
      <c r="T922">
        <v>4</v>
      </c>
      <c r="U922" t="s">
        <v>41</v>
      </c>
      <c r="V922" t="s">
        <v>42</v>
      </c>
      <c r="W922">
        <v>13</v>
      </c>
      <c r="X922">
        <v>3</v>
      </c>
      <c r="Y922">
        <v>3</v>
      </c>
      <c r="Z922">
        <v>80</v>
      </c>
      <c r="AA922">
        <v>2</v>
      </c>
      <c r="AB922">
        <v>15</v>
      </c>
      <c r="AC922">
        <v>2</v>
      </c>
      <c r="AD922">
        <v>4</v>
      </c>
      <c r="AE922">
        <v>11</v>
      </c>
      <c r="AF922">
        <v>8</v>
      </c>
      <c r="AG922">
        <v>5</v>
      </c>
      <c r="AH922">
        <v>10</v>
      </c>
    </row>
    <row r="923" spans="1:34" x14ac:dyDescent="0.2">
      <c r="A923">
        <v>28</v>
      </c>
      <c r="B923" t="s">
        <v>42</v>
      </c>
      <c r="C923" t="s">
        <v>43</v>
      </c>
      <c r="D923" t="s">
        <v>44</v>
      </c>
      <c r="E923">
        <v>1</v>
      </c>
      <c r="F923">
        <v>4</v>
      </c>
      <c r="G923" t="s">
        <v>50</v>
      </c>
      <c r="H923">
        <v>1</v>
      </c>
      <c r="I923">
        <v>1286</v>
      </c>
      <c r="J923">
        <v>4</v>
      </c>
      <c r="K923" t="s">
        <v>45</v>
      </c>
      <c r="L923">
        <v>44</v>
      </c>
      <c r="M923">
        <v>3</v>
      </c>
      <c r="N923">
        <v>1</v>
      </c>
      <c r="O923" t="s">
        <v>49</v>
      </c>
      <c r="P923">
        <v>3</v>
      </c>
      <c r="Q923" t="s">
        <v>40</v>
      </c>
      <c r="R923">
        <v>2154</v>
      </c>
      <c r="S923">
        <v>6842</v>
      </c>
      <c r="T923">
        <v>0</v>
      </c>
      <c r="U923" t="s">
        <v>41</v>
      </c>
      <c r="V923" t="s">
        <v>34</v>
      </c>
      <c r="W923">
        <v>11</v>
      </c>
      <c r="X923">
        <v>3</v>
      </c>
      <c r="Y923">
        <v>3</v>
      </c>
      <c r="Z923">
        <v>80</v>
      </c>
      <c r="AA923">
        <v>0</v>
      </c>
      <c r="AB923">
        <v>5</v>
      </c>
      <c r="AC923">
        <v>2</v>
      </c>
      <c r="AD923">
        <v>2</v>
      </c>
      <c r="AE923">
        <v>4</v>
      </c>
      <c r="AF923">
        <v>2</v>
      </c>
      <c r="AG923">
        <v>0</v>
      </c>
      <c r="AH923">
        <v>2</v>
      </c>
    </row>
    <row r="924" spans="1:34" x14ac:dyDescent="0.2">
      <c r="A924">
        <v>44</v>
      </c>
      <c r="B924" t="s">
        <v>42</v>
      </c>
      <c r="C924" t="s">
        <v>35</v>
      </c>
      <c r="D924" t="s">
        <v>44</v>
      </c>
      <c r="E924">
        <v>4</v>
      </c>
      <c r="F924">
        <v>2</v>
      </c>
      <c r="G924" t="s">
        <v>37</v>
      </c>
      <c r="H924">
        <v>1</v>
      </c>
      <c r="I924">
        <v>1288</v>
      </c>
      <c r="J924">
        <v>3</v>
      </c>
      <c r="K924" t="s">
        <v>45</v>
      </c>
      <c r="L924">
        <v>92</v>
      </c>
      <c r="M924">
        <v>4</v>
      </c>
      <c r="N924">
        <v>5</v>
      </c>
      <c r="O924" t="s">
        <v>55</v>
      </c>
      <c r="P924">
        <v>1</v>
      </c>
      <c r="Q924" t="s">
        <v>51</v>
      </c>
      <c r="R924">
        <v>19190</v>
      </c>
      <c r="S924">
        <v>17477</v>
      </c>
      <c r="T924">
        <v>1</v>
      </c>
      <c r="U924" t="s">
        <v>41</v>
      </c>
      <c r="V924" t="s">
        <v>42</v>
      </c>
      <c r="W924">
        <v>14</v>
      </c>
      <c r="X924">
        <v>3</v>
      </c>
      <c r="Y924">
        <v>4</v>
      </c>
      <c r="Z924">
        <v>80</v>
      </c>
      <c r="AA924">
        <v>2</v>
      </c>
      <c r="AB924">
        <v>26</v>
      </c>
      <c r="AC924">
        <v>4</v>
      </c>
      <c r="AD924">
        <v>2</v>
      </c>
      <c r="AE924">
        <v>25</v>
      </c>
      <c r="AF924">
        <v>9</v>
      </c>
      <c r="AG924">
        <v>14</v>
      </c>
      <c r="AH924">
        <v>13</v>
      </c>
    </row>
    <row r="925" spans="1:34" x14ac:dyDescent="0.2">
      <c r="A925">
        <v>34</v>
      </c>
      <c r="B925" t="s">
        <v>42</v>
      </c>
      <c r="C925" t="s">
        <v>43</v>
      </c>
      <c r="D925" t="s">
        <v>60</v>
      </c>
      <c r="E925">
        <v>11</v>
      </c>
      <c r="F925">
        <v>3</v>
      </c>
      <c r="G925" t="s">
        <v>37</v>
      </c>
      <c r="H925">
        <v>1</v>
      </c>
      <c r="I925">
        <v>1289</v>
      </c>
      <c r="J925">
        <v>3</v>
      </c>
      <c r="K925" t="s">
        <v>45</v>
      </c>
      <c r="L925">
        <v>56</v>
      </c>
      <c r="M925">
        <v>2</v>
      </c>
      <c r="N925">
        <v>2</v>
      </c>
      <c r="O925" t="s">
        <v>60</v>
      </c>
      <c r="P925">
        <v>2</v>
      </c>
      <c r="Q925" t="s">
        <v>47</v>
      </c>
      <c r="R925">
        <v>4490</v>
      </c>
      <c r="S925">
        <v>21833</v>
      </c>
      <c r="T925">
        <v>4</v>
      </c>
      <c r="U925" t="s">
        <v>41</v>
      </c>
      <c r="V925" t="s">
        <v>42</v>
      </c>
      <c r="W925">
        <v>11</v>
      </c>
      <c r="X925">
        <v>3</v>
      </c>
      <c r="Y925">
        <v>4</v>
      </c>
      <c r="Z925">
        <v>80</v>
      </c>
      <c r="AA925">
        <v>2</v>
      </c>
      <c r="AB925">
        <v>14</v>
      </c>
      <c r="AC925">
        <v>5</v>
      </c>
      <c r="AD925">
        <v>4</v>
      </c>
      <c r="AE925">
        <v>10</v>
      </c>
      <c r="AF925">
        <v>9</v>
      </c>
      <c r="AG925">
        <v>1</v>
      </c>
      <c r="AH925">
        <v>8</v>
      </c>
    </row>
    <row r="926" spans="1:34" x14ac:dyDescent="0.2">
      <c r="A926">
        <v>35</v>
      </c>
      <c r="B926" t="s">
        <v>42</v>
      </c>
      <c r="C926" t="s">
        <v>35</v>
      </c>
      <c r="D926" t="s">
        <v>44</v>
      </c>
      <c r="E926">
        <v>6</v>
      </c>
      <c r="F926">
        <v>1</v>
      </c>
      <c r="G926" t="s">
        <v>37</v>
      </c>
      <c r="H926">
        <v>1</v>
      </c>
      <c r="I926">
        <v>1291</v>
      </c>
      <c r="J926">
        <v>3</v>
      </c>
      <c r="K926" t="s">
        <v>45</v>
      </c>
      <c r="L926">
        <v>66</v>
      </c>
      <c r="M926">
        <v>3</v>
      </c>
      <c r="N926">
        <v>1</v>
      </c>
      <c r="O926" t="s">
        <v>46</v>
      </c>
      <c r="P926">
        <v>3</v>
      </c>
      <c r="Q926" t="s">
        <v>47</v>
      </c>
      <c r="R926">
        <v>3506</v>
      </c>
      <c r="S926">
        <v>6020</v>
      </c>
      <c r="T926">
        <v>0</v>
      </c>
      <c r="U926" t="s">
        <v>41</v>
      </c>
      <c r="V926" t="s">
        <v>34</v>
      </c>
      <c r="W926">
        <v>14</v>
      </c>
      <c r="X926">
        <v>3</v>
      </c>
      <c r="Y926">
        <v>4</v>
      </c>
      <c r="Z926">
        <v>80</v>
      </c>
      <c r="AA926">
        <v>0</v>
      </c>
      <c r="AB926">
        <v>4</v>
      </c>
      <c r="AC926">
        <v>3</v>
      </c>
      <c r="AD926">
        <v>3</v>
      </c>
      <c r="AE926">
        <v>3</v>
      </c>
      <c r="AF926">
        <v>2</v>
      </c>
      <c r="AG926">
        <v>2</v>
      </c>
      <c r="AH926">
        <v>2</v>
      </c>
    </row>
    <row r="927" spans="1:34" x14ac:dyDescent="0.2">
      <c r="A927">
        <v>42</v>
      </c>
      <c r="B927" t="s">
        <v>42</v>
      </c>
      <c r="C927" t="s">
        <v>35</v>
      </c>
      <c r="D927" t="s">
        <v>44</v>
      </c>
      <c r="E927">
        <v>7</v>
      </c>
      <c r="F927">
        <v>4</v>
      </c>
      <c r="G927" t="s">
        <v>50</v>
      </c>
      <c r="H927">
        <v>1</v>
      </c>
      <c r="I927">
        <v>1292</v>
      </c>
      <c r="J927">
        <v>2</v>
      </c>
      <c r="K927" t="s">
        <v>38</v>
      </c>
      <c r="L927">
        <v>78</v>
      </c>
      <c r="M927">
        <v>4</v>
      </c>
      <c r="N927">
        <v>2</v>
      </c>
      <c r="O927" t="s">
        <v>46</v>
      </c>
      <c r="P927">
        <v>2</v>
      </c>
      <c r="Q927" t="s">
        <v>47</v>
      </c>
      <c r="R927">
        <v>2372</v>
      </c>
      <c r="S927">
        <v>5628</v>
      </c>
      <c r="T927">
        <v>6</v>
      </c>
      <c r="U927" t="s">
        <v>41</v>
      </c>
      <c r="V927" t="s">
        <v>34</v>
      </c>
      <c r="W927">
        <v>16</v>
      </c>
      <c r="X927">
        <v>3</v>
      </c>
      <c r="Y927">
        <v>4</v>
      </c>
      <c r="Z927">
        <v>80</v>
      </c>
      <c r="AA927">
        <v>0</v>
      </c>
      <c r="AB927">
        <v>18</v>
      </c>
      <c r="AC927">
        <v>2</v>
      </c>
      <c r="AD927">
        <v>3</v>
      </c>
      <c r="AE927">
        <v>1</v>
      </c>
      <c r="AF927">
        <v>0</v>
      </c>
      <c r="AG927">
        <v>0</v>
      </c>
      <c r="AH927">
        <v>0</v>
      </c>
    </row>
    <row r="928" spans="1:34" x14ac:dyDescent="0.2">
      <c r="A928">
        <v>43</v>
      </c>
      <c r="B928" t="s">
        <v>42</v>
      </c>
      <c r="C928" t="s">
        <v>35</v>
      </c>
      <c r="D928" t="s">
        <v>36</v>
      </c>
      <c r="E928">
        <v>4</v>
      </c>
      <c r="F928">
        <v>4</v>
      </c>
      <c r="G928" t="s">
        <v>58</v>
      </c>
      <c r="H928">
        <v>1</v>
      </c>
      <c r="I928">
        <v>1293</v>
      </c>
      <c r="J928">
        <v>4</v>
      </c>
      <c r="K928" t="s">
        <v>38</v>
      </c>
      <c r="L928">
        <v>56</v>
      </c>
      <c r="M928">
        <v>2</v>
      </c>
      <c r="N928">
        <v>3</v>
      </c>
      <c r="O928" t="s">
        <v>39</v>
      </c>
      <c r="P928">
        <v>4</v>
      </c>
      <c r="Q928" t="s">
        <v>40</v>
      </c>
      <c r="R928">
        <v>10231</v>
      </c>
      <c r="S928">
        <v>20364</v>
      </c>
      <c r="T928">
        <v>3</v>
      </c>
      <c r="U928" t="s">
        <v>41</v>
      </c>
      <c r="V928" t="s">
        <v>42</v>
      </c>
      <c r="W928">
        <v>14</v>
      </c>
      <c r="X928">
        <v>3</v>
      </c>
      <c r="Y928">
        <v>4</v>
      </c>
      <c r="Z928">
        <v>80</v>
      </c>
      <c r="AA928">
        <v>0</v>
      </c>
      <c r="AB928">
        <v>23</v>
      </c>
      <c r="AC928">
        <v>3</v>
      </c>
      <c r="AD928">
        <v>4</v>
      </c>
      <c r="AE928">
        <v>21</v>
      </c>
      <c r="AF928">
        <v>7</v>
      </c>
      <c r="AG928">
        <v>15</v>
      </c>
      <c r="AH928">
        <v>17</v>
      </c>
    </row>
    <row r="929" spans="1:34" x14ac:dyDescent="0.2">
      <c r="A929">
        <v>36</v>
      </c>
      <c r="B929" t="s">
        <v>42</v>
      </c>
      <c r="C929" t="s">
        <v>35</v>
      </c>
      <c r="D929" t="s">
        <v>44</v>
      </c>
      <c r="E929">
        <v>2</v>
      </c>
      <c r="F929">
        <v>4</v>
      </c>
      <c r="G929" t="s">
        <v>37</v>
      </c>
      <c r="H929">
        <v>1</v>
      </c>
      <c r="I929">
        <v>1294</v>
      </c>
      <c r="J929">
        <v>3</v>
      </c>
      <c r="K929" t="s">
        <v>38</v>
      </c>
      <c r="L929">
        <v>53</v>
      </c>
      <c r="M929">
        <v>3</v>
      </c>
      <c r="N929">
        <v>2</v>
      </c>
      <c r="O929" t="s">
        <v>52</v>
      </c>
      <c r="P929">
        <v>2</v>
      </c>
      <c r="Q929" t="s">
        <v>40</v>
      </c>
      <c r="R929">
        <v>5410</v>
      </c>
      <c r="S929">
        <v>2323</v>
      </c>
      <c r="T929">
        <v>9</v>
      </c>
      <c r="U929" t="s">
        <v>41</v>
      </c>
      <c r="V929" t="s">
        <v>34</v>
      </c>
      <c r="W929">
        <v>11</v>
      </c>
      <c r="X929">
        <v>3</v>
      </c>
      <c r="Y929">
        <v>4</v>
      </c>
      <c r="Z929">
        <v>80</v>
      </c>
      <c r="AA929">
        <v>0</v>
      </c>
      <c r="AB929">
        <v>18</v>
      </c>
      <c r="AC929">
        <v>2</v>
      </c>
      <c r="AD929">
        <v>3</v>
      </c>
      <c r="AE929">
        <v>16</v>
      </c>
      <c r="AF929">
        <v>14</v>
      </c>
      <c r="AG929">
        <v>5</v>
      </c>
      <c r="AH929">
        <v>12</v>
      </c>
    </row>
    <row r="930" spans="1:34" x14ac:dyDescent="0.2">
      <c r="A930">
        <v>44</v>
      </c>
      <c r="B930" t="s">
        <v>34</v>
      </c>
      <c r="C930" t="s">
        <v>35</v>
      </c>
      <c r="D930" t="s">
        <v>44</v>
      </c>
      <c r="E930">
        <v>15</v>
      </c>
      <c r="F930">
        <v>3</v>
      </c>
      <c r="G930" t="s">
        <v>50</v>
      </c>
      <c r="H930">
        <v>1</v>
      </c>
      <c r="I930">
        <v>1295</v>
      </c>
      <c r="J930">
        <v>1</v>
      </c>
      <c r="K930" t="s">
        <v>38</v>
      </c>
      <c r="L930">
        <v>73</v>
      </c>
      <c r="M930">
        <v>3</v>
      </c>
      <c r="N930">
        <v>3</v>
      </c>
      <c r="O930" t="s">
        <v>53</v>
      </c>
      <c r="P930">
        <v>4</v>
      </c>
      <c r="Q930" t="s">
        <v>47</v>
      </c>
      <c r="R930">
        <v>7978</v>
      </c>
      <c r="S930">
        <v>14075</v>
      </c>
      <c r="T930">
        <v>1</v>
      </c>
      <c r="U930" t="s">
        <v>41</v>
      </c>
      <c r="V930" t="s">
        <v>42</v>
      </c>
      <c r="W930">
        <v>11</v>
      </c>
      <c r="X930">
        <v>3</v>
      </c>
      <c r="Y930">
        <v>4</v>
      </c>
      <c r="Z930">
        <v>80</v>
      </c>
      <c r="AA930">
        <v>1</v>
      </c>
      <c r="AB930">
        <v>10</v>
      </c>
      <c r="AC930">
        <v>2</v>
      </c>
      <c r="AD930">
        <v>3</v>
      </c>
      <c r="AE930">
        <v>10</v>
      </c>
      <c r="AF930">
        <v>7</v>
      </c>
      <c r="AG930">
        <v>0</v>
      </c>
      <c r="AH930">
        <v>5</v>
      </c>
    </row>
    <row r="931" spans="1:34" x14ac:dyDescent="0.2">
      <c r="A931">
        <v>28</v>
      </c>
      <c r="B931" t="s">
        <v>42</v>
      </c>
      <c r="C931" t="s">
        <v>43</v>
      </c>
      <c r="D931" t="s">
        <v>44</v>
      </c>
      <c r="E931">
        <v>2</v>
      </c>
      <c r="F931">
        <v>3</v>
      </c>
      <c r="G931" t="s">
        <v>37</v>
      </c>
      <c r="H931">
        <v>1</v>
      </c>
      <c r="I931">
        <v>1296</v>
      </c>
      <c r="J931">
        <v>4</v>
      </c>
      <c r="K931" t="s">
        <v>45</v>
      </c>
      <c r="L931">
        <v>52</v>
      </c>
      <c r="M931">
        <v>2</v>
      </c>
      <c r="N931">
        <v>1</v>
      </c>
      <c r="O931" t="s">
        <v>49</v>
      </c>
      <c r="P931">
        <v>4</v>
      </c>
      <c r="Q931" t="s">
        <v>47</v>
      </c>
      <c r="R931">
        <v>3867</v>
      </c>
      <c r="S931">
        <v>14222</v>
      </c>
      <c r="T931">
        <v>1</v>
      </c>
      <c r="U931" t="s">
        <v>41</v>
      </c>
      <c r="V931" t="s">
        <v>34</v>
      </c>
      <c r="W931">
        <v>12</v>
      </c>
      <c r="X931">
        <v>3</v>
      </c>
      <c r="Y931">
        <v>2</v>
      </c>
      <c r="Z931">
        <v>80</v>
      </c>
      <c r="AA931">
        <v>1</v>
      </c>
      <c r="AB931">
        <v>2</v>
      </c>
      <c r="AC931">
        <v>2</v>
      </c>
      <c r="AD931">
        <v>3</v>
      </c>
      <c r="AE931">
        <v>2</v>
      </c>
      <c r="AF931">
        <v>2</v>
      </c>
      <c r="AG931">
        <v>2</v>
      </c>
      <c r="AH931">
        <v>2</v>
      </c>
    </row>
    <row r="932" spans="1:34" x14ac:dyDescent="0.2">
      <c r="A932">
        <v>51</v>
      </c>
      <c r="B932" t="s">
        <v>42</v>
      </c>
      <c r="C932" t="s">
        <v>43</v>
      </c>
      <c r="D932" t="s">
        <v>44</v>
      </c>
      <c r="E932">
        <v>6</v>
      </c>
      <c r="F932">
        <v>2</v>
      </c>
      <c r="G932" t="s">
        <v>50</v>
      </c>
      <c r="H932">
        <v>1</v>
      </c>
      <c r="I932">
        <v>1297</v>
      </c>
      <c r="J932">
        <v>2</v>
      </c>
      <c r="K932" t="s">
        <v>38</v>
      </c>
      <c r="L932">
        <v>40</v>
      </c>
      <c r="M932">
        <v>2</v>
      </c>
      <c r="N932">
        <v>1</v>
      </c>
      <c r="O932" t="s">
        <v>49</v>
      </c>
      <c r="P932">
        <v>3</v>
      </c>
      <c r="Q932" t="s">
        <v>40</v>
      </c>
      <c r="R932">
        <v>2838</v>
      </c>
      <c r="S932">
        <v>4257</v>
      </c>
      <c r="T932">
        <v>0</v>
      </c>
      <c r="U932" t="s">
        <v>41</v>
      </c>
      <c r="V932" t="s">
        <v>42</v>
      </c>
      <c r="W932">
        <v>14</v>
      </c>
      <c r="X932">
        <v>3</v>
      </c>
      <c r="Y932">
        <v>2</v>
      </c>
      <c r="Z932">
        <v>80</v>
      </c>
      <c r="AA932">
        <v>0</v>
      </c>
      <c r="AB932">
        <v>8</v>
      </c>
      <c r="AC932">
        <v>6</v>
      </c>
      <c r="AD932">
        <v>2</v>
      </c>
      <c r="AE932">
        <v>7</v>
      </c>
      <c r="AF932">
        <v>0</v>
      </c>
      <c r="AG932">
        <v>7</v>
      </c>
      <c r="AH932">
        <v>7</v>
      </c>
    </row>
    <row r="933" spans="1:34" x14ac:dyDescent="0.2">
      <c r="A933">
        <v>30</v>
      </c>
      <c r="B933" t="s">
        <v>42</v>
      </c>
      <c r="C933" t="s">
        <v>54</v>
      </c>
      <c r="D933" t="s">
        <v>44</v>
      </c>
      <c r="E933">
        <v>9</v>
      </c>
      <c r="F933">
        <v>2</v>
      </c>
      <c r="G933" t="s">
        <v>50</v>
      </c>
      <c r="H933">
        <v>1</v>
      </c>
      <c r="I933">
        <v>1298</v>
      </c>
      <c r="J933">
        <v>3</v>
      </c>
      <c r="K933" t="s">
        <v>38</v>
      </c>
      <c r="L933">
        <v>72</v>
      </c>
      <c r="M933">
        <v>3</v>
      </c>
      <c r="N933">
        <v>2</v>
      </c>
      <c r="O933" t="s">
        <v>52</v>
      </c>
      <c r="P933">
        <v>3</v>
      </c>
      <c r="Q933" t="s">
        <v>40</v>
      </c>
      <c r="R933">
        <v>4695</v>
      </c>
      <c r="S933">
        <v>12858</v>
      </c>
      <c r="T933">
        <v>7</v>
      </c>
      <c r="U933" t="s">
        <v>41</v>
      </c>
      <c r="V933" t="s">
        <v>34</v>
      </c>
      <c r="W933">
        <v>18</v>
      </c>
      <c r="X933">
        <v>3</v>
      </c>
      <c r="Y933">
        <v>3</v>
      </c>
      <c r="Z933">
        <v>80</v>
      </c>
      <c r="AA933">
        <v>0</v>
      </c>
      <c r="AB933">
        <v>10</v>
      </c>
      <c r="AC933">
        <v>3</v>
      </c>
      <c r="AD933">
        <v>3</v>
      </c>
      <c r="AE933">
        <v>8</v>
      </c>
      <c r="AF933">
        <v>4</v>
      </c>
      <c r="AG933">
        <v>1</v>
      </c>
      <c r="AH933">
        <v>7</v>
      </c>
    </row>
    <row r="934" spans="1:34" x14ac:dyDescent="0.2">
      <c r="A934">
        <v>29</v>
      </c>
      <c r="B934" t="s">
        <v>34</v>
      </c>
      <c r="C934" t="s">
        <v>35</v>
      </c>
      <c r="D934" t="s">
        <v>44</v>
      </c>
      <c r="E934">
        <v>7</v>
      </c>
      <c r="F934">
        <v>3</v>
      </c>
      <c r="G934" t="s">
        <v>59</v>
      </c>
      <c r="H934">
        <v>1</v>
      </c>
      <c r="I934">
        <v>1299</v>
      </c>
      <c r="J934">
        <v>2</v>
      </c>
      <c r="K934" t="s">
        <v>38</v>
      </c>
      <c r="L934">
        <v>39</v>
      </c>
      <c r="M934">
        <v>3</v>
      </c>
      <c r="N934">
        <v>1</v>
      </c>
      <c r="O934" t="s">
        <v>49</v>
      </c>
      <c r="P934">
        <v>3</v>
      </c>
      <c r="Q934" t="s">
        <v>51</v>
      </c>
      <c r="R934">
        <v>3339</v>
      </c>
      <c r="S934">
        <v>17285</v>
      </c>
      <c r="T934">
        <v>3</v>
      </c>
      <c r="U934" t="s">
        <v>41</v>
      </c>
      <c r="V934" t="s">
        <v>34</v>
      </c>
      <c r="W934">
        <v>13</v>
      </c>
      <c r="X934">
        <v>3</v>
      </c>
      <c r="Y934">
        <v>1</v>
      </c>
      <c r="Z934">
        <v>80</v>
      </c>
      <c r="AA934">
        <v>2</v>
      </c>
      <c r="AB934">
        <v>10</v>
      </c>
      <c r="AC934">
        <v>2</v>
      </c>
      <c r="AD934">
        <v>3</v>
      </c>
      <c r="AE934">
        <v>7</v>
      </c>
      <c r="AF934">
        <v>7</v>
      </c>
      <c r="AG934">
        <v>7</v>
      </c>
      <c r="AH934">
        <v>7</v>
      </c>
    </row>
    <row r="935" spans="1:34" x14ac:dyDescent="0.2">
      <c r="A935">
        <v>28</v>
      </c>
      <c r="B935" t="s">
        <v>42</v>
      </c>
      <c r="C935" t="s">
        <v>35</v>
      </c>
      <c r="D935" t="s">
        <v>44</v>
      </c>
      <c r="E935">
        <v>1</v>
      </c>
      <c r="F935">
        <v>3</v>
      </c>
      <c r="G935" t="s">
        <v>59</v>
      </c>
      <c r="H935">
        <v>1</v>
      </c>
      <c r="I935">
        <v>1301</v>
      </c>
      <c r="J935">
        <v>4</v>
      </c>
      <c r="K935" t="s">
        <v>45</v>
      </c>
      <c r="L935">
        <v>84</v>
      </c>
      <c r="M935">
        <v>3</v>
      </c>
      <c r="N935">
        <v>1</v>
      </c>
      <c r="O935" t="s">
        <v>46</v>
      </c>
      <c r="P935">
        <v>1</v>
      </c>
      <c r="Q935" t="s">
        <v>40</v>
      </c>
      <c r="R935">
        <v>2080</v>
      </c>
      <c r="S935">
        <v>4732</v>
      </c>
      <c r="T935">
        <v>2</v>
      </c>
      <c r="U935" t="s">
        <v>41</v>
      </c>
      <c r="V935" t="s">
        <v>42</v>
      </c>
      <c r="W935">
        <v>11</v>
      </c>
      <c r="X935">
        <v>3</v>
      </c>
      <c r="Y935">
        <v>2</v>
      </c>
      <c r="Z935">
        <v>80</v>
      </c>
      <c r="AA935">
        <v>0</v>
      </c>
      <c r="AB935">
        <v>5</v>
      </c>
      <c r="AC935">
        <v>2</v>
      </c>
      <c r="AD935">
        <v>2</v>
      </c>
      <c r="AE935">
        <v>3</v>
      </c>
      <c r="AF935">
        <v>2</v>
      </c>
      <c r="AG935">
        <v>1</v>
      </c>
      <c r="AH935">
        <v>2</v>
      </c>
    </row>
    <row r="936" spans="1:34" x14ac:dyDescent="0.2">
      <c r="A936">
        <v>25</v>
      </c>
      <c r="B936" t="s">
        <v>42</v>
      </c>
      <c r="C936" t="s">
        <v>35</v>
      </c>
      <c r="D936" t="s">
        <v>44</v>
      </c>
      <c r="E936">
        <v>1</v>
      </c>
      <c r="F936">
        <v>3</v>
      </c>
      <c r="G936" t="s">
        <v>50</v>
      </c>
      <c r="H936">
        <v>1</v>
      </c>
      <c r="I936">
        <v>1303</v>
      </c>
      <c r="J936">
        <v>4</v>
      </c>
      <c r="K936" t="s">
        <v>38</v>
      </c>
      <c r="L936">
        <v>40</v>
      </c>
      <c r="M936">
        <v>3</v>
      </c>
      <c r="N936">
        <v>1</v>
      </c>
      <c r="O936" t="s">
        <v>46</v>
      </c>
      <c r="P936">
        <v>2</v>
      </c>
      <c r="Q936" t="s">
        <v>40</v>
      </c>
      <c r="R936">
        <v>2096</v>
      </c>
      <c r="S936">
        <v>18830</v>
      </c>
      <c r="T936">
        <v>1</v>
      </c>
      <c r="U936" t="s">
        <v>41</v>
      </c>
      <c r="V936" t="s">
        <v>42</v>
      </c>
      <c r="W936">
        <v>18</v>
      </c>
      <c r="X936">
        <v>3</v>
      </c>
      <c r="Y936">
        <v>4</v>
      </c>
      <c r="Z936">
        <v>80</v>
      </c>
      <c r="AA936">
        <v>0</v>
      </c>
      <c r="AB936">
        <v>2</v>
      </c>
      <c r="AC936">
        <v>3</v>
      </c>
      <c r="AD936">
        <v>2</v>
      </c>
      <c r="AE936">
        <v>2</v>
      </c>
      <c r="AF936">
        <v>2</v>
      </c>
      <c r="AG936">
        <v>2</v>
      </c>
      <c r="AH936">
        <v>1</v>
      </c>
    </row>
    <row r="937" spans="1:34" x14ac:dyDescent="0.2">
      <c r="A937">
        <v>32</v>
      </c>
      <c r="B937" t="s">
        <v>42</v>
      </c>
      <c r="C937" t="s">
        <v>35</v>
      </c>
      <c r="D937" t="s">
        <v>36</v>
      </c>
      <c r="E937">
        <v>8</v>
      </c>
      <c r="F937">
        <v>3</v>
      </c>
      <c r="G937" t="s">
        <v>50</v>
      </c>
      <c r="H937">
        <v>1</v>
      </c>
      <c r="I937">
        <v>1304</v>
      </c>
      <c r="J937">
        <v>3</v>
      </c>
      <c r="K937" t="s">
        <v>45</v>
      </c>
      <c r="L937">
        <v>56</v>
      </c>
      <c r="M937">
        <v>4</v>
      </c>
      <c r="N937">
        <v>2</v>
      </c>
      <c r="O937" t="s">
        <v>39</v>
      </c>
      <c r="P937">
        <v>4</v>
      </c>
      <c r="Q937" t="s">
        <v>47</v>
      </c>
      <c r="R937">
        <v>6209</v>
      </c>
      <c r="S937">
        <v>11693</v>
      </c>
      <c r="T937">
        <v>1</v>
      </c>
      <c r="U937" t="s">
        <v>41</v>
      </c>
      <c r="V937" t="s">
        <v>42</v>
      </c>
      <c r="W937">
        <v>15</v>
      </c>
      <c r="X937">
        <v>3</v>
      </c>
      <c r="Y937">
        <v>3</v>
      </c>
      <c r="Z937">
        <v>80</v>
      </c>
      <c r="AA937">
        <v>2</v>
      </c>
      <c r="AB937">
        <v>10</v>
      </c>
      <c r="AC937">
        <v>4</v>
      </c>
      <c r="AD937">
        <v>4</v>
      </c>
      <c r="AE937">
        <v>10</v>
      </c>
      <c r="AF937">
        <v>7</v>
      </c>
      <c r="AG937">
        <v>0</v>
      </c>
      <c r="AH937">
        <v>8</v>
      </c>
    </row>
    <row r="938" spans="1:34" x14ac:dyDescent="0.2">
      <c r="A938">
        <v>45</v>
      </c>
      <c r="B938" t="s">
        <v>42</v>
      </c>
      <c r="C938" t="s">
        <v>43</v>
      </c>
      <c r="D938" t="s">
        <v>44</v>
      </c>
      <c r="E938">
        <v>25</v>
      </c>
      <c r="F938">
        <v>3</v>
      </c>
      <c r="G938" t="s">
        <v>50</v>
      </c>
      <c r="H938">
        <v>1</v>
      </c>
      <c r="I938">
        <v>1306</v>
      </c>
      <c r="J938">
        <v>2</v>
      </c>
      <c r="K938" t="s">
        <v>38</v>
      </c>
      <c r="L938">
        <v>83</v>
      </c>
      <c r="M938">
        <v>3</v>
      </c>
      <c r="N938">
        <v>5</v>
      </c>
      <c r="O938" t="s">
        <v>55</v>
      </c>
      <c r="P938">
        <v>2</v>
      </c>
      <c r="Q938" t="s">
        <v>40</v>
      </c>
      <c r="R938">
        <v>18061</v>
      </c>
      <c r="S938">
        <v>13035</v>
      </c>
      <c r="T938">
        <v>3</v>
      </c>
      <c r="U938" t="s">
        <v>41</v>
      </c>
      <c r="V938" t="s">
        <v>42</v>
      </c>
      <c r="W938">
        <v>22</v>
      </c>
      <c r="X938">
        <v>4</v>
      </c>
      <c r="Y938">
        <v>3</v>
      </c>
      <c r="Z938">
        <v>80</v>
      </c>
      <c r="AA938">
        <v>0</v>
      </c>
      <c r="AB938">
        <v>22</v>
      </c>
      <c r="AC938">
        <v>4</v>
      </c>
      <c r="AD938">
        <v>3</v>
      </c>
      <c r="AE938">
        <v>0</v>
      </c>
      <c r="AF938">
        <v>0</v>
      </c>
      <c r="AG938">
        <v>0</v>
      </c>
      <c r="AH938">
        <v>0</v>
      </c>
    </row>
    <row r="939" spans="1:34" x14ac:dyDescent="0.2">
      <c r="A939">
        <v>39</v>
      </c>
      <c r="B939" t="s">
        <v>42</v>
      </c>
      <c r="C939" t="s">
        <v>35</v>
      </c>
      <c r="D939" t="s">
        <v>44</v>
      </c>
      <c r="E939">
        <v>13</v>
      </c>
      <c r="F939">
        <v>4</v>
      </c>
      <c r="G939" t="s">
        <v>50</v>
      </c>
      <c r="H939">
        <v>1</v>
      </c>
      <c r="I939">
        <v>1307</v>
      </c>
      <c r="J939">
        <v>3</v>
      </c>
      <c r="K939" t="s">
        <v>38</v>
      </c>
      <c r="L939">
        <v>94</v>
      </c>
      <c r="M939">
        <v>2</v>
      </c>
      <c r="N939">
        <v>4</v>
      </c>
      <c r="O939" t="s">
        <v>55</v>
      </c>
      <c r="P939">
        <v>2</v>
      </c>
      <c r="Q939" t="s">
        <v>51</v>
      </c>
      <c r="R939">
        <v>17123</v>
      </c>
      <c r="S939">
        <v>17334</v>
      </c>
      <c r="T939">
        <v>6</v>
      </c>
      <c r="U939" t="s">
        <v>41</v>
      </c>
      <c r="V939" t="s">
        <v>34</v>
      </c>
      <c r="W939">
        <v>13</v>
      </c>
      <c r="X939">
        <v>3</v>
      </c>
      <c r="Y939">
        <v>4</v>
      </c>
      <c r="Z939">
        <v>80</v>
      </c>
      <c r="AA939">
        <v>2</v>
      </c>
      <c r="AB939">
        <v>21</v>
      </c>
      <c r="AC939">
        <v>4</v>
      </c>
      <c r="AD939">
        <v>3</v>
      </c>
      <c r="AE939">
        <v>19</v>
      </c>
      <c r="AF939">
        <v>9</v>
      </c>
      <c r="AG939">
        <v>15</v>
      </c>
      <c r="AH939">
        <v>2</v>
      </c>
    </row>
    <row r="940" spans="1:34" x14ac:dyDescent="0.2">
      <c r="A940">
        <v>58</v>
      </c>
      <c r="B940" t="s">
        <v>42</v>
      </c>
      <c r="C940" t="s">
        <v>35</v>
      </c>
      <c r="D940" t="s">
        <v>44</v>
      </c>
      <c r="E940">
        <v>23</v>
      </c>
      <c r="F940">
        <v>4</v>
      </c>
      <c r="G940" t="s">
        <v>37</v>
      </c>
      <c r="H940">
        <v>1</v>
      </c>
      <c r="I940">
        <v>1308</v>
      </c>
      <c r="J940">
        <v>1</v>
      </c>
      <c r="K940" t="s">
        <v>45</v>
      </c>
      <c r="L940">
        <v>88</v>
      </c>
      <c r="M940">
        <v>3</v>
      </c>
      <c r="N940">
        <v>1</v>
      </c>
      <c r="O940" t="s">
        <v>46</v>
      </c>
      <c r="P940">
        <v>3</v>
      </c>
      <c r="Q940" t="s">
        <v>51</v>
      </c>
      <c r="R940">
        <v>2372</v>
      </c>
      <c r="S940">
        <v>26076</v>
      </c>
      <c r="T940">
        <v>1</v>
      </c>
      <c r="U940" t="s">
        <v>41</v>
      </c>
      <c r="V940" t="s">
        <v>42</v>
      </c>
      <c r="W940">
        <v>12</v>
      </c>
      <c r="X940">
        <v>3</v>
      </c>
      <c r="Y940">
        <v>4</v>
      </c>
      <c r="Z940">
        <v>80</v>
      </c>
      <c r="AA940">
        <v>2</v>
      </c>
      <c r="AB940">
        <v>2</v>
      </c>
      <c r="AC940">
        <v>3</v>
      </c>
      <c r="AD940">
        <v>3</v>
      </c>
      <c r="AE940">
        <v>2</v>
      </c>
      <c r="AF940">
        <v>2</v>
      </c>
      <c r="AG940">
        <v>2</v>
      </c>
      <c r="AH940">
        <v>2</v>
      </c>
    </row>
    <row r="941" spans="1:34" x14ac:dyDescent="0.2">
      <c r="A941">
        <v>32</v>
      </c>
      <c r="B941" t="s">
        <v>34</v>
      </c>
      <c r="C941" t="s">
        <v>35</v>
      </c>
      <c r="D941" t="s">
        <v>44</v>
      </c>
      <c r="E941">
        <v>7</v>
      </c>
      <c r="F941">
        <v>2</v>
      </c>
      <c r="G941" t="s">
        <v>37</v>
      </c>
      <c r="H941">
        <v>1</v>
      </c>
      <c r="I941">
        <v>1309</v>
      </c>
      <c r="J941">
        <v>4</v>
      </c>
      <c r="K941" t="s">
        <v>45</v>
      </c>
      <c r="L941">
        <v>79</v>
      </c>
      <c r="M941">
        <v>3</v>
      </c>
      <c r="N941">
        <v>2</v>
      </c>
      <c r="O941" t="s">
        <v>49</v>
      </c>
      <c r="P941">
        <v>3</v>
      </c>
      <c r="Q941" t="s">
        <v>47</v>
      </c>
      <c r="R941">
        <v>4883</v>
      </c>
      <c r="S941">
        <v>22845</v>
      </c>
      <c r="T941">
        <v>1</v>
      </c>
      <c r="U941" t="s">
        <v>41</v>
      </c>
      <c r="V941" t="s">
        <v>42</v>
      </c>
      <c r="W941">
        <v>18</v>
      </c>
      <c r="X941">
        <v>3</v>
      </c>
      <c r="Y941">
        <v>1</v>
      </c>
      <c r="Z941">
        <v>80</v>
      </c>
      <c r="AA941">
        <v>1</v>
      </c>
      <c r="AB941">
        <v>10</v>
      </c>
      <c r="AC941">
        <v>3</v>
      </c>
      <c r="AD941">
        <v>3</v>
      </c>
      <c r="AE941">
        <v>10</v>
      </c>
      <c r="AF941">
        <v>4</v>
      </c>
      <c r="AG941">
        <v>1</v>
      </c>
      <c r="AH941">
        <v>1</v>
      </c>
    </row>
    <row r="942" spans="1:34" x14ac:dyDescent="0.2">
      <c r="A942">
        <v>39</v>
      </c>
      <c r="B942" t="s">
        <v>34</v>
      </c>
      <c r="C942" t="s">
        <v>35</v>
      </c>
      <c r="D942" t="s">
        <v>44</v>
      </c>
      <c r="E942">
        <v>23</v>
      </c>
      <c r="F942">
        <v>3</v>
      </c>
      <c r="G942" t="s">
        <v>50</v>
      </c>
      <c r="H942">
        <v>1</v>
      </c>
      <c r="I942">
        <v>1310</v>
      </c>
      <c r="J942">
        <v>3</v>
      </c>
      <c r="K942" t="s">
        <v>45</v>
      </c>
      <c r="L942">
        <v>93</v>
      </c>
      <c r="M942">
        <v>3</v>
      </c>
      <c r="N942">
        <v>1</v>
      </c>
      <c r="O942" t="s">
        <v>46</v>
      </c>
      <c r="P942">
        <v>1</v>
      </c>
      <c r="Q942" t="s">
        <v>40</v>
      </c>
      <c r="R942">
        <v>3904</v>
      </c>
      <c r="S942">
        <v>22154</v>
      </c>
      <c r="T942">
        <v>0</v>
      </c>
      <c r="U942" t="s">
        <v>41</v>
      </c>
      <c r="V942" t="s">
        <v>42</v>
      </c>
      <c r="W942">
        <v>13</v>
      </c>
      <c r="X942">
        <v>3</v>
      </c>
      <c r="Y942">
        <v>1</v>
      </c>
      <c r="Z942">
        <v>80</v>
      </c>
      <c r="AA942">
        <v>0</v>
      </c>
      <c r="AB942">
        <v>6</v>
      </c>
      <c r="AC942">
        <v>2</v>
      </c>
      <c r="AD942">
        <v>3</v>
      </c>
      <c r="AE942">
        <v>5</v>
      </c>
      <c r="AF942">
        <v>2</v>
      </c>
      <c r="AG942">
        <v>0</v>
      </c>
      <c r="AH942">
        <v>3</v>
      </c>
    </row>
    <row r="943" spans="1:34" x14ac:dyDescent="0.2">
      <c r="A943">
        <v>30</v>
      </c>
      <c r="B943" t="s">
        <v>42</v>
      </c>
      <c r="C943" t="s">
        <v>35</v>
      </c>
      <c r="D943" t="s">
        <v>44</v>
      </c>
      <c r="E943">
        <v>6</v>
      </c>
      <c r="F943">
        <v>3</v>
      </c>
      <c r="G943" t="s">
        <v>59</v>
      </c>
      <c r="H943">
        <v>1</v>
      </c>
      <c r="I943">
        <v>1311</v>
      </c>
      <c r="J943">
        <v>1</v>
      </c>
      <c r="K943" t="s">
        <v>38</v>
      </c>
      <c r="L943">
        <v>48</v>
      </c>
      <c r="M943">
        <v>2</v>
      </c>
      <c r="N943">
        <v>2</v>
      </c>
      <c r="O943" t="s">
        <v>49</v>
      </c>
      <c r="P943">
        <v>4</v>
      </c>
      <c r="Q943" t="s">
        <v>47</v>
      </c>
      <c r="R943">
        <v>4627</v>
      </c>
      <c r="S943">
        <v>23631</v>
      </c>
      <c r="T943">
        <v>0</v>
      </c>
      <c r="U943" t="s">
        <v>41</v>
      </c>
      <c r="V943" t="s">
        <v>42</v>
      </c>
      <c r="W943">
        <v>12</v>
      </c>
      <c r="X943">
        <v>3</v>
      </c>
      <c r="Y943">
        <v>1</v>
      </c>
      <c r="Z943">
        <v>80</v>
      </c>
      <c r="AA943">
        <v>1</v>
      </c>
      <c r="AB943">
        <v>10</v>
      </c>
      <c r="AC943">
        <v>6</v>
      </c>
      <c r="AD943">
        <v>3</v>
      </c>
      <c r="AE943">
        <v>9</v>
      </c>
      <c r="AF943">
        <v>2</v>
      </c>
      <c r="AG943">
        <v>6</v>
      </c>
      <c r="AH943">
        <v>7</v>
      </c>
    </row>
    <row r="944" spans="1:34" x14ac:dyDescent="0.2">
      <c r="A944">
        <v>36</v>
      </c>
      <c r="B944" t="s">
        <v>42</v>
      </c>
      <c r="C944" t="s">
        <v>35</v>
      </c>
      <c r="D944" t="s">
        <v>44</v>
      </c>
      <c r="E944">
        <v>10</v>
      </c>
      <c r="F944">
        <v>4</v>
      </c>
      <c r="G944" t="s">
        <v>59</v>
      </c>
      <c r="H944">
        <v>1</v>
      </c>
      <c r="I944">
        <v>1312</v>
      </c>
      <c r="J944">
        <v>4</v>
      </c>
      <c r="K944" t="s">
        <v>38</v>
      </c>
      <c r="L944">
        <v>63</v>
      </c>
      <c r="M944">
        <v>3</v>
      </c>
      <c r="N944">
        <v>3</v>
      </c>
      <c r="O944" t="s">
        <v>53</v>
      </c>
      <c r="P944">
        <v>3</v>
      </c>
      <c r="Q944" t="s">
        <v>47</v>
      </c>
      <c r="R944">
        <v>7094</v>
      </c>
      <c r="S944">
        <v>5747</v>
      </c>
      <c r="T944">
        <v>3</v>
      </c>
      <c r="U944" t="s">
        <v>41</v>
      </c>
      <c r="V944" t="s">
        <v>42</v>
      </c>
      <c r="W944">
        <v>12</v>
      </c>
      <c r="X944">
        <v>3</v>
      </c>
      <c r="Y944">
        <v>1</v>
      </c>
      <c r="Z944">
        <v>80</v>
      </c>
      <c r="AA944">
        <v>0</v>
      </c>
      <c r="AB944">
        <v>10</v>
      </c>
      <c r="AC944">
        <v>0</v>
      </c>
      <c r="AD944">
        <v>3</v>
      </c>
      <c r="AE944">
        <v>7</v>
      </c>
      <c r="AF944">
        <v>7</v>
      </c>
      <c r="AG944">
        <v>1</v>
      </c>
      <c r="AH944">
        <v>7</v>
      </c>
    </row>
    <row r="945" spans="1:34" x14ac:dyDescent="0.2">
      <c r="A945">
        <v>46</v>
      </c>
      <c r="B945" t="s">
        <v>42</v>
      </c>
      <c r="C945" t="s">
        <v>35</v>
      </c>
      <c r="D945" t="s">
        <v>60</v>
      </c>
      <c r="E945">
        <v>1</v>
      </c>
      <c r="F945">
        <v>2</v>
      </c>
      <c r="G945" t="s">
        <v>37</v>
      </c>
      <c r="H945">
        <v>1</v>
      </c>
      <c r="I945">
        <v>1314</v>
      </c>
      <c r="J945">
        <v>4</v>
      </c>
      <c r="K945" t="s">
        <v>38</v>
      </c>
      <c r="L945">
        <v>44</v>
      </c>
      <c r="M945">
        <v>3</v>
      </c>
      <c r="N945">
        <v>1</v>
      </c>
      <c r="O945" t="s">
        <v>60</v>
      </c>
      <c r="P945">
        <v>1</v>
      </c>
      <c r="Q945" t="s">
        <v>40</v>
      </c>
      <c r="R945">
        <v>3423</v>
      </c>
      <c r="S945">
        <v>22957</v>
      </c>
      <c r="T945">
        <v>6</v>
      </c>
      <c r="U945" t="s">
        <v>41</v>
      </c>
      <c r="V945" t="s">
        <v>42</v>
      </c>
      <c r="W945">
        <v>12</v>
      </c>
      <c r="X945">
        <v>3</v>
      </c>
      <c r="Y945">
        <v>3</v>
      </c>
      <c r="Z945">
        <v>80</v>
      </c>
      <c r="AA945">
        <v>0</v>
      </c>
      <c r="AB945">
        <v>10</v>
      </c>
      <c r="AC945">
        <v>3</v>
      </c>
      <c r="AD945">
        <v>4</v>
      </c>
      <c r="AE945">
        <v>7</v>
      </c>
      <c r="AF945">
        <v>6</v>
      </c>
      <c r="AG945">
        <v>5</v>
      </c>
      <c r="AH945">
        <v>7</v>
      </c>
    </row>
    <row r="946" spans="1:34" x14ac:dyDescent="0.2">
      <c r="A946">
        <v>28</v>
      </c>
      <c r="B946" t="s">
        <v>42</v>
      </c>
      <c r="C946" t="s">
        <v>54</v>
      </c>
      <c r="D946" t="s">
        <v>44</v>
      </c>
      <c r="E946">
        <v>1</v>
      </c>
      <c r="F946">
        <v>3</v>
      </c>
      <c r="G946" t="s">
        <v>37</v>
      </c>
      <c r="H946">
        <v>1</v>
      </c>
      <c r="I946">
        <v>1315</v>
      </c>
      <c r="J946">
        <v>3</v>
      </c>
      <c r="K946" t="s">
        <v>38</v>
      </c>
      <c r="L946">
        <v>55</v>
      </c>
      <c r="M946">
        <v>1</v>
      </c>
      <c r="N946">
        <v>2</v>
      </c>
      <c r="O946" t="s">
        <v>49</v>
      </c>
      <c r="P946">
        <v>4</v>
      </c>
      <c r="Q946" t="s">
        <v>47</v>
      </c>
      <c r="R946">
        <v>6674</v>
      </c>
      <c r="S946">
        <v>16392</v>
      </c>
      <c r="T946">
        <v>0</v>
      </c>
      <c r="U946" t="s">
        <v>41</v>
      </c>
      <c r="V946" t="s">
        <v>42</v>
      </c>
      <c r="W946">
        <v>11</v>
      </c>
      <c r="X946">
        <v>3</v>
      </c>
      <c r="Y946">
        <v>1</v>
      </c>
      <c r="Z946">
        <v>80</v>
      </c>
      <c r="AA946">
        <v>3</v>
      </c>
      <c r="AB946">
        <v>10</v>
      </c>
      <c r="AC946">
        <v>6</v>
      </c>
      <c r="AD946">
        <v>3</v>
      </c>
      <c r="AE946">
        <v>9</v>
      </c>
      <c r="AF946">
        <v>8</v>
      </c>
      <c r="AG946">
        <v>7</v>
      </c>
      <c r="AH946">
        <v>5</v>
      </c>
    </row>
    <row r="947" spans="1:34" x14ac:dyDescent="0.2">
      <c r="A947">
        <v>50</v>
      </c>
      <c r="B947" t="s">
        <v>42</v>
      </c>
      <c r="C947" t="s">
        <v>35</v>
      </c>
      <c r="D947" t="s">
        <v>44</v>
      </c>
      <c r="E947">
        <v>28</v>
      </c>
      <c r="F947">
        <v>3</v>
      </c>
      <c r="G947" t="s">
        <v>37</v>
      </c>
      <c r="H947">
        <v>1</v>
      </c>
      <c r="I947">
        <v>1317</v>
      </c>
      <c r="J947">
        <v>4</v>
      </c>
      <c r="K947" t="s">
        <v>38</v>
      </c>
      <c r="L947">
        <v>43</v>
      </c>
      <c r="M947">
        <v>3</v>
      </c>
      <c r="N947">
        <v>4</v>
      </c>
      <c r="O947" t="s">
        <v>57</v>
      </c>
      <c r="P947">
        <v>1</v>
      </c>
      <c r="Q947" t="s">
        <v>47</v>
      </c>
      <c r="R947">
        <v>16880</v>
      </c>
      <c r="S947">
        <v>22422</v>
      </c>
      <c r="T947">
        <v>4</v>
      </c>
      <c r="U947" t="s">
        <v>41</v>
      </c>
      <c r="V947" t="s">
        <v>34</v>
      </c>
      <c r="W947">
        <v>11</v>
      </c>
      <c r="X947">
        <v>3</v>
      </c>
      <c r="Y947">
        <v>2</v>
      </c>
      <c r="Z947">
        <v>80</v>
      </c>
      <c r="AA947">
        <v>0</v>
      </c>
      <c r="AB947">
        <v>25</v>
      </c>
      <c r="AC947">
        <v>2</v>
      </c>
      <c r="AD947">
        <v>3</v>
      </c>
      <c r="AE947">
        <v>3</v>
      </c>
      <c r="AF947">
        <v>2</v>
      </c>
      <c r="AG947">
        <v>1</v>
      </c>
      <c r="AH947">
        <v>2</v>
      </c>
    </row>
    <row r="948" spans="1:34" x14ac:dyDescent="0.2">
      <c r="A948">
        <v>40</v>
      </c>
      <c r="B948" t="s">
        <v>34</v>
      </c>
      <c r="C948" t="s">
        <v>35</v>
      </c>
      <c r="D948" t="s">
        <v>36</v>
      </c>
      <c r="E948">
        <v>25</v>
      </c>
      <c r="F948">
        <v>4</v>
      </c>
      <c r="G948" t="s">
        <v>58</v>
      </c>
      <c r="H948">
        <v>1</v>
      </c>
      <c r="I948">
        <v>1318</v>
      </c>
      <c r="J948">
        <v>4</v>
      </c>
      <c r="K948" t="s">
        <v>45</v>
      </c>
      <c r="L948">
        <v>57</v>
      </c>
      <c r="M948">
        <v>2</v>
      </c>
      <c r="N948">
        <v>3</v>
      </c>
      <c r="O948" t="s">
        <v>39</v>
      </c>
      <c r="P948">
        <v>2</v>
      </c>
      <c r="Q948" t="s">
        <v>40</v>
      </c>
      <c r="R948">
        <v>9094</v>
      </c>
      <c r="S948">
        <v>17235</v>
      </c>
      <c r="T948">
        <v>2</v>
      </c>
      <c r="U948" t="s">
        <v>41</v>
      </c>
      <c r="V948" t="s">
        <v>34</v>
      </c>
      <c r="W948">
        <v>12</v>
      </c>
      <c r="X948">
        <v>3</v>
      </c>
      <c r="Y948">
        <v>3</v>
      </c>
      <c r="Z948">
        <v>80</v>
      </c>
      <c r="AA948">
        <v>0</v>
      </c>
      <c r="AB948">
        <v>9</v>
      </c>
      <c r="AC948">
        <v>2</v>
      </c>
      <c r="AD948">
        <v>3</v>
      </c>
      <c r="AE948">
        <v>5</v>
      </c>
      <c r="AF948">
        <v>4</v>
      </c>
      <c r="AG948">
        <v>1</v>
      </c>
      <c r="AH948">
        <v>0</v>
      </c>
    </row>
    <row r="949" spans="1:34" x14ac:dyDescent="0.2">
      <c r="A949">
        <v>52</v>
      </c>
      <c r="B949" t="s">
        <v>34</v>
      </c>
      <c r="C949" t="s">
        <v>35</v>
      </c>
      <c r="D949" t="s">
        <v>36</v>
      </c>
      <c r="E949">
        <v>5</v>
      </c>
      <c r="F949">
        <v>3</v>
      </c>
      <c r="G949" t="s">
        <v>37</v>
      </c>
      <c r="H949">
        <v>1</v>
      </c>
      <c r="I949">
        <v>1319</v>
      </c>
      <c r="J949">
        <v>2</v>
      </c>
      <c r="K949" t="s">
        <v>45</v>
      </c>
      <c r="L949">
        <v>64</v>
      </c>
      <c r="M949">
        <v>3</v>
      </c>
      <c r="N949">
        <v>3</v>
      </c>
      <c r="O949" t="s">
        <v>39</v>
      </c>
      <c r="P949">
        <v>2</v>
      </c>
      <c r="Q949" t="s">
        <v>40</v>
      </c>
      <c r="R949">
        <v>8446</v>
      </c>
      <c r="S949">
        <v>21534</v>
      </c>
      <c r="T949">
        <v>9</v>
      </c>
      <c r="U949" t="s">
        <v>41</v>
      </c>
      <c r="V949" t="s">
        <v>34</v>
      </c>
      <c r="W949">
        <v>19</v>
      </c>
      <c r="X949">
        <v>3</v>
      </c>
      <c r="Y949">
        <v>3</v>
      </c>
      <c r="Z949">
        <v>80</v>
      </c>
      <c r="AA949">
        <v>0</v>
      </c>
      <c r="AB949">
        <v>10</v>
      </c>
      <c r="AC949">
        <v>2</v>
      </c>
      <c r="AD949">
        <v>2</v>
      </c>
      <c r="AE949">
        <v>8</v>
      </c>
      <c r="AF949">
        <v>7</v>
      </c>
      <c r="AG949">
        <v>7</v>
      </c>
      <c r="AH949">
        <v>7</v>
      </c>
    </row>
    <row r="950" spans="1:34" x14ac:dyDescent="0.2">
      <c r="A950">
        <v>30</v>
      </c>
      <c r="B950" t="s">
        <v>42</v>
      </c>
      <c r="C950" t="s">
        <v>35</v>
      </c>
      <c r="D950" t="s">
        <v>44</v>
      </c>
      <c r="E950">
        <v>17</v>
      </c>
      <c r="F950">
        <v>4</v>
      </c>
      <c r="G950" t="s">
        <v>50</v>
      </c>
      <c r="H950">
        <v>1</v>
      </c>
      <c r="I950">
        <v>1321</v>
      </c>
      <c r="J950">
        <v>2</v>
      </c>
      <c r="K950" t="s">
        <v>38</v>
      </c>
      <c r="L950">
        <v>95</v>
      </c>
      <c r="M950">
        <v>3</v>
      </c>
      <c r="N950">
        <v>3</v>
      </c>
      <c r="O950" t="s">
        <v>55</v>
      </c>
      <c r="P950">
        <v>1</v>
      </c>
      <c r="Q950" t="s">
        <v>47</v>
      </c>
      <c r="R950">
        <v>11916</v>
      </c>
      <c r="S950">
        <v>25927</v>
      </c>
      <c r="T950">
        <v>1</v>
      </c>
      <c r="U950" t="s">
        <v>41</v>
      </c>
      <c r="V950" t="s">
        <v>34</v>
      </c>
      <c r="W950">
        <v>23</v>
      </c>
      <c r="X950">
        <v>4</v>
      </c>
      <c r="Y950">
        <v>4</v>
      </c>
      <c r="Z950">
        <v>80</v>
      </c>
      <c r="AA950">
        <v>2</v>
      </c>
      <c r="AB950">
        <v>9</v>
      </c>
      <c r="AC950">
        <v>2</v>
      </c>
      <c r="AD950">
        <v>3</v>
      </c>
      <c r="AE950">
        <v>9</v>
      </c>
      <c r="AF950">
        <v>1</v>
      </c>
      <c r="AG950">
        <v>0</v>
      </c>
      <c r="AH950">
        <v>8</v>
      </c>
    </row>
    <row r="951" spans="1:34" x14ac:dyDescent="0.2">
      <c r="A951">
        <v>39</v>
      </c>
      <c r="B951" t="s">
        <v>42</v>
      </c>
      <c r="C951" t="s">
        <v>35</v>
      </c>
      <c r="D951" t="s">
        <v>44</v>
      </c>
      <c r="E951">
        <v>18</v>
      </c>
      <c r="F951">
        <v>2</v>
      </c>
      <c r="G951" t="s">
        <v>37</v>
      </c>
      <c r="H951">
        <v>1</v>
      </c>
      <c r="I951">
        <v>1322</v>
      </c>
      <c r="J951">
        <v>1</v>
      </c>
      <c r="K951" t="s">
        <v>45</v>
      </c>
      <c r="L951">
        <v>32</v>
      </c>
      <c r="M951">
        <v>3</v>
      </c>
      <c r="N951">
        <v>2</v>
      </c>
      <c r="O951" t="s">
        <v>52</v>
      </c>
      <c r="P951">
        <v>3</v>
      </c>
      <c r="Q951" t="s">
        <v>40</v>
      </c>
      <c r="R951">
        <v>4534</v>
      </c>
      <c r="S951">
        <v>13352</v>
      </c>
      <c r="T951">
        <v>0</v>
      </c>
      <c r="U951" t="s">
        <v>41</v>
      </c>
      <c r="V951" t="s">
        <v>42</v>
      </c>
      <c r="W951">
        <v>11</v>
      </c>
      <c r="X951">
        <v>3</v>
      </c>
      <c r="Y951">
        <v>1</v>
      </c>
      <c r="Z951">
        <v>80</v>
      </c>
      <c r="AA951">
        <v>0</v>
      </c>
      <c r="AB951">
        <v>9</v>
      </c>
      <c r="AC951">
        <v>6</v>
      </c>
      <c r="AD951">
        <v>3</v>
      </c>
      <c r="AE951">
        <v>8</v>
      </c>
      <c r="AF951">
        <v>7</v>
      </c>
      <c r="AG951">
        <v>1</v>
      </c>
      <c r="AH951">
        <v>7</v>
      </c>
    </row>
    <row r="952" spans="1:34" x14ac:dyDescent="0.2">
      <c r="A952">
        <v>31</v>
      </c>
      <c r="B952" t="s">
        <v>42</v>
      </c>
      <c r="C952" t="s">
        <v>54</v>
      </c>
      <c r="D952" t="s">
        <v>36</v>
      </c>
      <c r="E952">
        <v>2</v>
      </c>
      <c r="F952">
        <v>4</v>
      </c>
      <c r="G952" t="s">
        <v>37</v>
      </c>
      <c r="H952">
        <v>1</v>
      </c>
      <c r="I952">
        <v>1324</v>
      </c>
      <c r="J952">
        <v>4</v>
      </c>
      <c r="K952" t="s">
        <v>38</v>
      </c>
      <c r="L952">
        <v>57</v>
      </c>
      <c r="M952">
        <v>3</v>
      </c>
      <c r="N952">
        <v>3</v>
      </c>
      <c r="O952" t="s">
        <v>39</v>
      </c>
      <c r="P952">
        <v>3</v>
      </c>
      <c r="Q952" t="s">
        <v>51</v>
      </c>
      <c r="R952">
        <v>9852</v>
      </c>
      <c r="S952">
        <v>8935</v>
      </c>
      <c r="T952">
        <v>1</v>
      </c>
      <c r="U952" t="s">
        <v>41</v>
      </c>
      <c r="V952" t="s">
        <v>34</v>
      </c>
      <c r="W952">
        <v>19</v>
      </c>
      <c r="X952">
        <v>3</v>
      </c>
      <c r="Y952">
        <v>1</v>
      </c>
      <c r="Z952">
        <v>80</v>
      </c>
      <c r="AA952">
        <v>1</v>
      </c>
      <c r="AB952">
        <v>10</v>
      </c>
      <c r="AC952">
        <v>5</v>
      </c>
      <c r="AD952">
        <v>2</v>
      </c>
      <c r="AE952">
        <v>10</v>
      </c>
      <c r="AF952">
        <v>8</v>
      </c>
      <c r="AG952">
        <v>9</v>
      </c>
      <c r="AH952">
        <v>6</v>
      </c>
    </row>
    <row r="953" spans="1:34" x14ac:dyDescent="0.2">
      <c r="A953">
        <v>41</v>
      </c>
      <c r="B953" t="s">
        <v>42</v>
      </c>
      <c r="C953" t="s">
        <v>54</v>
      </c>
      <c r="D953" t="s">
        <v>36</v>
      </c>
      <c r="E953">
        <v>10</v>
      </c>
      <c r="F953">
        <v>2</v>
      </c>
      <c r="G953" t="s">
        <v>50</v>
      </c>
      <c r="H953">
        <v>1</v>
      </c>
      <c r="I953">
        <v>1329</v>
      </c>
      <c r="J953">
        <v>3</v>
      </c>
      <c r="K953" t="s">
        <v>45</v>
      </c>
      <c r="L953">
        <v>40</v>
      </c>
      <c r="M953">
        <v>1</v>
      </c>
      <c r="N953">
        <v>2</v>
      </c>
      <c r="O953" t="s">
        <v>39</v>
      </c>
      <c r="P953">
        <v>2</v>
      </c>
      <c r="Q953" t="s">
        <v>40</v>
      </c>
      <c r="R953">
        <v>6151</v>
      </c>
      <c r="S953">
        <v>22074</v>
      </c>
      <c r="T953">
        <v>1</v>
      </c>
      <c r="U953" t="s">
        <v>41</v>
      </c>
      <c r="V953" t="s">
        <v>42</v>
      </c>
      <c r="W953">
        <v>13</v>
      </c>
      <c r="X953">
        <v>3</v>
      </c>
      <c r="Y953">
        <v>1</v>
      </c>
      <c r="Z953">
        <v>80</v>
      </c>
      <c r="AA953">
        <v>0</v>
      </c>
      <c r="AB953">
        <v>19</v>
      </c>
      <c r="AC953">
        <v>4</v>
      </c>
      <c r="AD953">
        <v>3</v>
      </c>
      <c r="AE953">
        <v>19</v>
      </c>
      <c r="AF953">
        <v>2</v>
      </c>
      <c r="AG953">
        <v>11</v>
      </c>
      <c r="AH953">
        <v>9</v>
      </c>
    </row>
    <row r="954" spans="1:34" x14ac:dyDescent="0.2">
      <c r="A954">
        <v>31</v>
      </c>
      <c r="B954" t="s">
        <v>34</v>
      </c>
      <c r="C954" t="s">
        <v>43</v>
      </c>
      <c r="D954" t="s">
        <v>36</v>
      </c>
      <c r="E954">
        <v>1</v>
      </c>
      <c r="F954">
        <v>3</v>
      </c>
      <c r="G954" t="s">
        <v>37</v>
      </c>
      <c r="H954">
        <v>1</v>
      </c>
      <c r="I954">
        <v>1331</v>
      </c>
      <c r="J954">
        <v>4</v>
      </c>
      <c r="K954" t="s">
        <v>38</v>
      </c>
      <c r="L954">
        <v>54</v>
      </c>
      <c r="M954">
        <v>3</v>
      </c>
      <c r="N954">
        <v>1</v>
      </c>
      <c r="O954" t="s">
        <v>56</v>
      </c>
      <c r="P954">
        <v>2</v>
      </c>
      <c r="Q954" t="s">
        <v>40</v>
      </c>
      <c r="R954">
        <v>2302</v>
      </c>
      <c r="S954">
        <v>8319</v>
      </c>
      <c r="T954">
        <v>1</v>
      </c>
      <c r="U954" t="s">
        <v>41</v>
      </c>
      <c r="V954" t="s">
        <v>34</v>
      </c>
      <c r="W954">
        <v>11</v>
      </c>
      <c r="X954">
        <v>3</v>
      </c>
      <c r="Y954">
        <v>1</v>
      </c>
      <c r="Z954">
        <v>80</v>
      </c>
      <c r="AA954">
        <v>0</v>
      </c>
      <c r="AB954">
        <v>3</v>
      </c>
      <c r="AC954">
        <v>2</v>
      </c>
      <c r="AD954">
        <v>4</v>
      </c>
      <c r="AE954">
        <v>3</v>
      </c>
      <c r="AF954">
        <v>2</v>
      </c>
      <c r="AG954">
        <v>2</v>
      </c>
      <c r="AH954">
        <v>2</v>
      </c>
    </row>
    <row r="955" spans="1:34" x14ac:dyDescent="0.2">
      <c r="A955">
        <v>44</v>
      </c>
      <c r="B955" t="s">
        <v>34</v>
      </c>
      <c r="C955" t="s">
        <v>35</v>
      </c>
      <c r="D955" t="s">
        <v>44</v>
      </c>
      <c r="E955">
        <v>3</v>
      </c>
      <c r="F955">
        <v>3</v>
      </c>
      <c r="G955" t="s">
        <v>37</v>
      </c>
      <c r="H955">
        <v>1</v>
      </c>
      <c r="I955">
        <v>1333</v>
      </c>
      <c r="J955">
        <v>1</v>
      </c>
      <c r="K955" t="s">
        <v>45</v>
      </c>
      <c r="L955">
        <v>89</v>
      </c>
      <c r="M955">
        <v>3</v>
      </c>
      <c r="N955">
        <v>1</v>
      </c>
      <c r="O955" t="s">
        <v>49</v>
      </c>
      <c r="P955">
        <v>1</v>
      </c>
      <c r="Q955" t="s">
        <v>47</v>
      </c>
      <c r="R955">
        <v>2362</v>
      </c>
      <c r="S955">
        <v>14669</v>
      </c>
      <c r="T955">
        <v>4</v>
      </c>
      <c r="U955" t="s">
        <v>41</v>
      </c>
      <c r="V955" t="s">
        <v>42</v>
      </c>
      <c r="W955">
        <v>12</v>
      </c>
      <c r="X955">
        <v>3</v>
      </c>
      <c r="Y955">
        <v>3</v>
      </c>
      <c r="Z955">
        <v>80</v>
      </c>
      <c r="AA955">
        <v>0</v>
      </c>
      <c r="AB955">
        <v>10</v>
      </c>
      <c r="AC955">
        <v>4</v>
      </c>
      <c r="AD955">
        <v>4</v>
      </c>
      <c r="AE955">
        <v>3</v>
      </c>
      <c r="AF955">
        <v>2</v>
      </c>
      <c r="AG955">
        <v>1</v>
      </c>
      <c r="AH955">
        <v>2</v>
      </c>
    </row>
    <row r="956" spans="1:34" x14ac:dyDescent="0.2">
      <c r="A956">
        <v>42</v>
      </c>
      <c r="B956" t="s">
        <v>42</v>
      </c>
      <c r="C956" t="s">
        <v>54</v>
      </c>
      <c r="D956" t="s">
        <v>44</v>
      </c>
      <c r="E956">
        <v>2</v>
      </c>
      <c r="F956">
        <v>1</v>
      </c>
      <c r="G956" t="s">
        <v>37</v>
      </c>
      <c r="H956">
        <v>1</v>
      </c>
      <c r="I956">
        <v>1334</v>
      </c>
      <c r="J956">
        <v>3</v>
      </c>
      <c r="K956" t="s">
        <v>45</v>
      </c>
      <c r="L956">
        <v>37</v>
      </c>
      <c r="M956">
        <v>3</v>
      </c>
      <c r="N956">
        <v>4</v>
      </c>
      <c r="O956" t="s">
        <v>55</v>
      </c>
      <c r="P956">
        <v>3</v>
      </c>
      <c r="Q956" t="s">
        <v>47</v>
      </c>
      <c r="R956">
        <v>17861</v>
      </c>
      <c r="S956">
        <v>26582</v>
      </c>
      <c r="T956">
        <v>0</v>
      </c>
      <c r="U956" t="s">
        <v>41</v>
      </c>
      <c r="V956" t="s">
        <v>34</v>
      </c>
      <c r="W956">
        <v>13</v>
      </c>
      <c r="X956">
        <v>3</v>
      </c>
      <c r="Y956">
        <v>4</v>
      </c>
      <c r="Z956">
        <v>80</v>
      </c>
      <c r="AA956">
        <v>0</v>
      </c>
      <c r="AB956">
        <v>21</v>
      </c>
      <c r="AC956">
        <v>3</v>
      </c>
      <c r="AD956">
        <v>2</v>
      </c>
      <c r="AE956">
        <v>20</v>
      </c>
      <c r="AF956">
        <v>8</v>
      </c>
      <c r="AG956">
        <v>2</v>
      </c>
      <c r="AH956">
        <v>10</v>
      </c>
    </row>
    <row r="957" spans="1:34" x14ac:dyDescent="0.2">
      <c r="A957">
        <v>55</v>
      </c>
      <c r="B957" t="s">
        <v>42</v>
      </c>
      <c r="C957" t="s">
        <v>35</v>
      </c>
      <c r="D957" t="s">
        <v>44</v>
      </c>
      <c r="E957">
        <v>2</v>
      </c>
      <c r="F957">
        <v>2</v>
      </c>
      <c r="G957" t="s">
        <v>50</v>
      </c>
      <c r="H957">
        <v>1</v>
      </c>
      <c r="I957">
        <v>1336</v>
      </c>
      <c r="J957">
        <v>4</v>
      </c>
      <c r="K957" t="s">
        <v>38</v>
      </c>
      <c r="L957">
        <v>58</v>
      </c>
      <c r="M957">
        <v>1</v>
      </c>
      <c r="N957">
        <v>5</v>
      </c>
      <c r="O957" t="s">
        <v>55</v>
      </c>
      <c r="P957">
        <v>3</v>
      </c>
      <c r="Q957" t="s">
        <v>47</v>
      </c>
      <c r="R957">
        <v>19187</v>
      </c>
      <c r="S957">
        <v>6992</v>
      </c>
      <c r="T957">
        <v>4</v>
      </c>
      <c r="U957" t="s">
        <v>41</v>
      </c>
      <c r="V957" t="s">
        <v>42</v>
      </c>
      <c r="W957">
        <v>14</v>
      </c>
      <c r="X957">
        <v>3</v>
      </c>
      <c r="Y957">
        <v>4</v>
      </c>
      <c r="Z957">
        <v>80</v>
      </c>
      <c r="AA957">
        <v>1</v>
      </c>
      <c r="AB957">
        <v>23</v>
      </c>
      <c r="AC957">
        <v>5</v>
      </c>
      <c r="AD957">
        <v>3</v>
      </c>
      <c r="AE957">
        <v>19</v>
      </c>
      <c r="AF957">
        <v>9</v>
      </c>
      <c r="AG957">
        <v>9</v>
      </c>
      <c r="AH957">
        <v>11</v>
      </c>
    </row>
    <row r="958" spans="1:34" x14ac:dyDescent="0.2">
      <c r="A958">
        <v>56</v>
      </c>
      <c r="B958" t="s">
        <v>42</v>
      </c>
      <c r="C958" t="s">
        <v>35</v>
      </c>
      <c r="D958" t="s">
        <v>60</v>
      </c>
      <c r="E958">
        <v>8</v>
      </c>
      <c r="F958">
        <v>4</v>
      </c>
      <c r="G958" t="s">
        <v>37</v>
      </c>
      <c r="H958">
        <v>1</v>
      </c>
      <c r="I958">
        <v>1338</v>
      </c>
      <c r="J958">
        <v>4</v>
      </c>
      <c r="K958" t="s">
        <v>45</v>
      </c>
      <c r="L958">
        <v>99</v>
      </c>
      <c r="M958">
        <v>3</v>
      </c>
      <c r="N958">
        <v>5</v>
      </c>
      <c r="O958" t="s">
        <v>55</v>
      </c>
      <c r="P958">
        <v>2</v>
      </c>
      <c r="Q958" t="s">
        <v>40</v>
      </c>
      <c r="R958">
        <v>19717</v>
      </c>
      <c r="S958">
        <v>4022</v>
      </c>
      <c r="T958">
        <v>6</v>
      </c>
      <c r="U958" t="s">
        <v>41</v>
      </c>
      <c r="V958" t="s">
        <v>42</v>
      </c>
      <c r="W958">
        <v>14</v>
      </c>
      <c r="X958">
        <v>3</v>
      </c>
      <c r="Y958">
        <v>1</v>
      </c>
      <c r="Z958">
        <v>80</v>
      </c>
      <c r="AA958">
        <v>0</v>
      </c>
      <c r="AB958">
        <v>36</v>
      </c>
      <c r="AC958">
        <v>4</v>
      </c>
      <c r="AD958">
        <v>3</v>
      </c>
      <c r="AE958">
        <v>7</v>
      </c>
      <c r="AF958">
        <v>3</v>
      </c>
      <c r="AG958">
        <v>7</v>
      </c>
      <c r="AH958">
        <v>7</v>
      </c>
    </row>
    <row r="959" spans="1:34" x14ac:dyDescent="0.2">
      <c r="A959">
        <v>40</v>
      </c>
      <c r="B959" t="s">
        <v>42</v>
      </c>
      <c r="C959" t="s">
        <v>54</v>
      </c>
      <c r="D959" t="s">
        <v>44</v>
      </c>
      <c r="E959">
        <v>16</v>
      </c>
      <c r="F959">
        <v>2</v>
      </c>
      <c r="G959" t="s">
        <v>37</v>
      </c>
      <c r="H959">
        <v>1</v>
      </c>
      <c r="I959">
        <v>1340</v>
      </c>
      <c r="J959">
        <v>3</v>
      </c>
      <c r="K959" t="s">
        <v>45</v>
      </c>
      <c r="L959">
        <v>74</v>
      </c>
      <c r="M959">
        <v>3</v>
      </c>
      <c r="N959">
        <v>1</v>
      </c>
      <c r="O959" t="s">
        <v>46</v>
      </c>
      <c r="P959">
        <v>3</v>
      </c>
      <c r="Q959" t="s">
        <v>51</v>
      </c>
      <c r="R959">
        <v>3544</v>
      </c>
      <c r="S959">
        <v>8532</v>
      </c>
      <c r="T959">
        <v>9</v>
      </c>
      <c r="U959" t="s">
        <v>41</v>
      </c>
      <c r="V959" t="s">
        <v>42</v>
      </c>
      <c r="W959">
        <v>16</v>
      </c>
      <c r="X959">
        <v>3</v>
      </c>
      <c r="Y959">
        <v>2</v>
      </c>
      <c r="Z959">
        <v>80</v>
      </c>
      <c r="AA959">
        <v>1</v>
      </c>
      <c r="AB959">
        <v>6</v>
      </c>
      <c r="AC959">
        <v>0</v>
      </c>
      <c r="AD959">
        <v>3</v>
      </c>
      <c r="AE959">
        <v>4</v>
      </c>
      <c r="AF959">
        <v>2</v>
      </c>
      <c r="AG959">
        <v>0</v>
      </c>
      <c r="AH959">
        <v>0</v>
      </c>
    </row>
    <row r="960" spans="1:34" x14ac:dyDescent="0.2">
      <c r="A960">
        <v>34</v>
      </c>
      <c r="B960" t="s">
        <v>42</v>
      </c>
      <c r="C960" t="s">
        <v>35</v>
      </c>
      <c r="D960" t="s">
        <v>44</v>
      </c>
      <c r="E960">
        <v>9</v>
      </c>
      <c r="F960">
        <v>3</v>
      </c>
      <c r="G960" t="s">
        <v>37</v>
      </c>
      <c r="H960">
        <v>1</v>
      </c>
      <c r="I960">
        <v>1344</v>
      </c>
      <c r="J960">
        <v>4</v>
      </c>
      <c r="K960" t="s">
        <v>45</v>
      </c>
      <c r="L960">
        <v>86</v>
      </c>
      <c r="M960">
        <v>3</v>
      </c>
      <c r="N960">
        <v>3</v>
      </c>
      <c r="O960" t="s">
        <v>53</v>
      </c>
      <c r="P960">
        <v>4</v>
      </c>
      <c r="Q960" t="s">
        <v>51</v>
      </c>
      <c r="R960">
        <v>8500</v>
      </c>
      <c r="S960">
        <v>5494</v>
      </c>
      <c r="T960">
        <v>0</v>
      </c>
      <c r="U960" t="s">
        <v>41</v>
      </c>
      <c r="V960" t="s">
        <v>42</v>
      </c>
      <c r="W960">
        <v>11</v>
      </c>
      <c r="X960">
        <v>3</v>
      </c>
      <c r="Y960">
        <v>4</v>
      </c>
      <c r="Z960">
        <v>80</v>
      </c>
      <c r="AA960">
        <v>1</v>
      </c>
      <c r="AB960">
        <v>10</v>
      </c>
      <c r="AC960">
        <v>0</v>
      </c>
      <c r="AD960">
        <v>2</v>
      </c>
      <c r="AE960">
        <v>9</v>
      </c>
      <c r="AF960">
        <v>7</v>
      </c>
      <c r="AG960">
        <v>1</v>
      </c>
      <c r="AH960">
        <v>6</v>
      </c>
    </row>
    <row r="961" spans="1:34" x14ac:dyDescent="0.2">
      <c r="A961">
        <v>40</v>
      </c>
      <c r="B961" t="s">
        <v>42</v>
      </c>
      <c r="C961" t="s">
        <v>35</v>
      </c>
      <c r="D961" t="s">
        <v>44</v>
      </c>
      <c r="E961">
        <v>2</v>
      </c>
      <c r="F961">
        <v>3</v>
      </c>
      <c r="G961" t="s">
        <v>37</v>
      </c>
      <c r="H961">
        <v>1</v>
      </c>
      <c r="I961">
        <v>1346</v>
      </c>
      <c r="J961">
        <v>3</v>
      </c>
      <c r="K961" t="s">
        <v>45</v>
      </c>
      <c r="L961">
        <v>98</v>
      </c>
      <c r="M961">
        <v>3</v>
      </c>
      <c r="N961">
        <v>2</v>
      </c>
      <c r="O961" t="s">
        <v>46</v>
      </c>
      <c r="P961">
        <v>4</v>
      </c>
      <c r="Q961" t="s">
        <v>40</v>
      </c>
      <c r="R961">
        <v>4661</v>
      </c>
      <c r="S961">
        <v>22455</v>
      </c>
      <c r="T961">
        <v>1</v>
      </c>
      <c r="U961" t="s">
        <v>41</v>
      </c>
      <c r="V961" t="s">
        <v>42</v>
      </c>
      <c r="W961">
        <v>13</v>
      </c>
      <c r="X961">
        <v>3</v>
      </c>
      <c r="Y961">
        <v>3</v>
      </c>
      <c r="Z961">
        <v>80</v>
      </c>
      <c r="AA961">
        <v>0</v>
      </c>
      <c r="AB961">
        <v>9</v>
      </c>
      <c r="AC961">
        <v>4</v>
      </c>
      <c r="AD961">
        <v>3</v>
      </c>
      <c r="AE961">
        <v>9</v>
      </c>
      <c r="AF961">
        <v>8</v>
      </c>
      <c r="AG961">
        <v>8</v>
      </c>
      <c r="AH961">
        <v>8</v>
      </c>
    </row>
    <row r="962" spans="1:34" x14ac:dyDescent="0.2">
      <c r="A962">
        <v>41</v>
      </c>
      <c r="B962" t="s">
        <v>42</v>
      </c>
      <c r="C962" t="s">
        <v>43</v>
      </c>
      <c r="D962" t="s">
        <v>36</v>
      </c>
      <c r="E962">
        <v>1</v>
      </c>
      <c r="F962">
        <v>3</v>
      </c>
      <c r="G962" t="s">
        <v>58</v>
      </c>
      <c r="H962">
        <v>1</v>
      </c>
      <c r="I962">
        <v>1349</v>
      </c>
      <c r="J962">
        <v>3</v>
      </c>
      <c r="K962" t="s">
        <v>38</v>
      </c>
      <c r="L962">
        <v>66</v>
      </c>
      <c r="M962">
        <v>3</v>
      </c>
      <c r="N962">
        <v>2</v>
      </c>
      <c r="O962" t="s">
        <v>39</v>
      </c>
      <c r="P962">
        <v>1</v>
      </c>
      <c r="Q962" t="s">
        <v>51</v>
      </c>
      <c r="R962">
        <v>4103</v>
      </c>
      <c r="S962">
        <v>4297</v>
      </c>
      <c r="T962">
        <v>0</v>
      </c>
      <c r="U962" t="s">
        <v>41</v>
      </c>
      <c r="V962" t="s">
        <v>42</v>
      </c>
      <c r="W962">
        <v>17</v>
      </c>
      <c r="X962">
        <v>3</v>
      </c>
      <c r="Y962">
        <v>4</v>
      </c>
      <c r="Z962">
        <v>80</v>
      </c>
      <c r="AA962">
        <v>1</v>
      </c>
      <c r="AB962">
        <v>10</v>
      </c>
      <c r="AC962">
        <v>2</v>
      </c>
      <c r="AD962">
        <v>3</v>
      </c>
      <c r="AE962">
        <v>9</v>
      </c>
      <c r="AF962">
        <v>3</v>
      </c>
      <c r="AG962">
        <v>1</v>
      </c>
      <c r="AH962">
        <v>7</v>
      </c>
    </row>
    <row r="963" spans="1:34" x14ac:dyDescent="0.2">
      <c r="A963">
        <v>35</v>
      </c>
      <c r="B963" t="s">
        <v>42</v>
      </c>
      <c r="C963" t="s">
        <v>43</v>
      </c>
      <c r="D963" t="s">
        <v>44</v>
      </c>
      <c r="E963">
        <v>4</v>
      </c>
      <c r="F963">
        <v>4</v>
      </c>
      <c r="G963" t="s">
        <v>37</v>
      </c>
      <c r="H963">
        <v>1</v>
      </c>
      <c r="I963">
        <v>1350</v>
      </c>
      <c r="J963">
        <v>3</v>
      </c>
      <c r="K963" t="s">
        <v>45</v>
      </c>
      <c r="L963">
        <v>87</v>
      </c>
      <c r="M963">
        <v>3</v>
      </c>
      <c r="N963">
        <v>2</v>
      </c>
      <c r="O963" t="s">
        <v>46</v>
      </c>
      <c r="P963">
        <v>3</v>
      </c>
      <c r="Q963" t="s">
        <v>40</v>
      </c>
      <c r="R963">
        <v>4249</v>
      </c>
      <c r="S963">
        <v>2690</v>
      </c>
      <c r="T963">
        <v>1</v>
      </c>
      <c r="U963" t="s">
        <v>41</v>
      </c>
      <c r="V963" t="s">
        <v>34</v>
      </c>
      <c r="W963">
        <v>11</v>
      </c>
      <c r="X963">
        <v>3</v>
      </c>
      <c r="Y963">
        <v>2</v>
      </c>
      <c r="Z963">
        <v>80</v>
      </c>
      <c r="AA963">
        <v>0</v>
      </c>
      <c r="AB963">
        <v>9</v>
      </c>
      <c r="AC963">
        <v>3</v>
      </c>
      <c r="AD963">
        <v>3</v>
      </c>
      <c r="AE963">
        <v>9</v>
      </c>
      <c r="AF963">
        <v>6</v>
      </c>
      <c r="AG963">
        <v>1</v>
      </c>
      <c r="AH963">
        <v>1</v>
      </c>
    </row>
    <row r="964" spans="1:34" x14ac:dyDescent="0.2">
      <c r="A964">
        <v>51</v>
      </c>
      <c r="B964" t="s">
        <v>42</v>
      </c>
      <c r="C964" t="s">
        <v>35</v>
      </c>
      <c r="D964" t="s">
        <v>60</v>
      </c>
      <c r="E964">
        <v>5</v>
      </c>
      <c r="F964">
        <v>3</v>
      </c>
      <c r="G964" t="s">
        <v>37</v>
      </c>
      <c r="H964">
        <v>1</v>
      </c>
      <c r="I964">
        <v>1352</v>
      </c>
      <c r="J964">
        <v>3</v>
      </c>
      <c r="K964" t="s">
        <v>45</v>
      </c>
      <c r="L964">
        <v>84</v>
      </c>
      <c r="M964">
        <v>3</v>
      </c>
      <c r="N964">
        <v>4</v>
      </c>
      <c r="O964" t="s">
        <v>55</v>
      </c>
      <c r="P964">
        <v>2</v>
      </c>
      <c r="Q964" t="s">
        <v>51</v>
      </c>
      <c r="R964">
        <v>14026</v>
      </c>
      <c r="S964">
        <v>17588</v>
      </c>
      <c r="T964">
        <v>1</v>
      </c>
      <c r="U964" t="s">
        <v>41</v>
      </c>
      <c r="V964" t="s">
        <v>34</v>
      </c>
      <c r="W964">
        <v>11</v>
      </c>
      <c r="X964">
        <v>3</v>
      </c>
      <c r="Y964">
        <v>2</v>
      </c>
      <c r="Z964">
        <v>80</v>
      </c>
      <c r="AA964">
        <v>1</v>
      </c>
      <c r="AB964">
        <v>33</v>
      </c>
      <c r="AC964">
        <v>2</v>
      </c>
      <c r="AD964">
        <v>3</v>
      </c>
      <c r="AE964">
        <v>33</v>
      </c>
      <c r="AF964">
        <v>9</v>
      </c>
      <c r="AG964">
        <v>0</v>
      </c>
      <c r="AH964">
        <v>10</v>
      </c>
    </row>
    <row r="965" spans="1:34" x14ac:dyDescent="0.2">
      <c r="A965">
        <v>38</v>
      </c>
      <c r="B965" t="s">
        <v>42</v>
      </c>
      <c r="C965" t="s">
        <v>35</v>
      </c>
      <c r="D965" t="s">
        <v>36</v>
      </c>
      <c r="E965">
        <v>2</v>
      </c>
      <c r="F965">
        <v>2</v>
      </c>
      <c r="G965" t="s">
        <v>37</v>
      </c>
      <c r="H965">
        <v>1</v>
      </c>
      <c r="I965">
        <v>1355</v>
      </c>
      <c r="J965">
        <v>2</v>
      </c>
      <c r="K965" t="s">
        <v>38</v>
      </c>
      <c r="L965">
        <v>31</v>
      </c>
      <c r="M965">
        <v>3</v>
      </c>
      <c r="N965">
        <v>2</v>
      </c>
      <c r="O965" t="s">
        <v>39</v>
      </c>
      <c r="P965">
        <v>1</v>
      </c>
      <c r="Q965" t="s">
        <v>51</v>
      </c>
      <c r="R965">
        <v>6893</v>
      </c>
      <c r="S965">
        <v>19461</v>
      </c>
      <c r="T965">
        <v>3</v>
      </c>
      <c r="U965" t="s">
        <v>41</v>
      </c>
      <c r="V965" t="s">
        <v>42</v>
      </c>
      <c r="W965">
        <v>15</v>
      </c>
      <c r="X965">
        <v>3</v>
      </c>
      <c r="Y965">
        <v>4</v>
      </c>
      <c r="Z965">
        <v>80</v>
      </c>
      <c r="AA965">
        <v>1</v>
      </c>
      <c r="AB965">
        <v>11</v>
      </c>
      <c r="AC965">
        <v>3</v>
      </c>
      <c r="AD965">
        <v>3</v>
      </c>
      <c r="AE965">
        <v>7</v>
      </c>
      <c r="AF965">
        <v>7</v>
      </c>
      <c r="AG965">
        <v>1</v>
      </c>
      <c r="AH965">
        <v>7</v>
      </c>
    </row>
    <row r="966" spans="1:34" x14ac:dyDescent="0.2">
      <c r="A966">
        <v>34</v>
      </c>
      <c r="B966" t="s">
        <v>42</v>
      </c>
      <c r="C966" t="s">
        <v>35</v>
      </c>
      <c r="D966" t="s">
        <v>36</v>
      </c>
      <c r="E966">
        <v>15</v>
      </c>
      <c r="F966">
        <v>2</v>
      </c>
      <c r="G966" t="s">
        <v>50</v>
      </c>
      <c r="H966">
        <v>1</v>
      </c>
      <c r="I966">
        <v>1356</v>
      </c>
      <c r="J966">
        <v>3</v>
      </c>
      <c r="K966" t="s">
        <v>38</v>
      </c>
      <c r="L966">
        <v>66</v>
      </c>
      <c r="M966">
        <v>3</v>
      </c>
      <c r="N966">
        <v>2</v>
      </c>
      <c r="O966" t="s">
        <v>39</v>
      </c>
      <c r="P966">
        <v>1</v>
      </c>
      <c r="Q966" t="s">
        <v>40</v>
      </c>
      <c r="R966">
        <v>6125</v>
      </c>
      <c r="S966">
        <v>23553</v>
      </c>
      <c r="T966">
        <v>1</v>
      </c>
      <c r="U966" t="s">
        <v>41</v>
      </c>
      <c r="V966" t="s">
        <v>42</v>
      </c>
      <c r="W966">
        <v>12</v>
      </c>
      <c r="X966">
        <v>3</v>
      </c>
      <c r="Y966">
        <v>4</v>
      </c>
      <c r="Z966">
        <v>80</v>
      </c>
      <c r="AA966">
        <v>0</v>
      </c>
      <c r="AB966">
        <v>10</v>
      </c>
      <c r="AC966">
        <v>6</v>
      </c>
      <c r="AD966">
        <v>4</v>
      </c>
      <c r="AE966">
        <v>10</v>
      </c>
      <c r="AF966">
        <v>8</v>
      </c>
      <c r="AG966">
        <v>9</v>
      </c>
      <c r="AH966">
        <v>6</v>
      </c>
    </row>
    <row r="967" spans="1:34" x14ac:dyDescent="0.2">
      <c r="A967">
        <v>25</v>
      </c>
      <c r="B967" t="s">
        <v>42</v>
      </c>
      <c r="C967" t="s">
        <v>35</v>
      </c>
      <c r="D967" t="s">
        <v>44</v>
      </c>
      <c r="E967">
        <v>19</v>
      </c>
      <c r="F967">
        <v>1</v>
      </c>
      <c r="G967" t="s">
        <v>50</v>
      </c>
      <c r="H967">
        <v>1</v>
      </c>
      <c r="I967">
        <v>1358</v>
      </c>
      <c r="J967">
        <v>4</v>
      </c>
      <c r="K967" t="s">
        <v>45</v>
      </c>
      <c r="L967">
        <v>67</v>
      </c>
      <c r="M967">
        <v>3</v>
      </c>
      <c r="N967">
        <v>1</v>
      </c>
      <c r="O967" t="s">
        <v>49</v>
      </c>
      <c r="P967">
        <v>4</v>
      </c>
      <c r="Q967" t="s">
        <v>47</v>
      </c>
      <c r="R967">
        <v>3669</v>
      </c>
      <c r="S967">
        <v>9075</v>
      </c>
      <c r="T967">
        <v>3</v>
      </c>
      <c r="U967" t="s">
        <v>41</v>
      </c>
      <c r="V967" t="s">
        <v>42</v>
      </c>
      <c r="W967">
        <v>11</v>
      </c>
      <c r="X967">
        <v>3</v>
      </c>
      <c r="Y967">
        <v>3</v>
      </c>
      <c r="Z967">
        <v>80</v>
      </c>
      <c r="AA967">
        <v>3</v>
      </c>
      <c r="AB967">
        <v>7</v>
      </c>
      <c r="AC967">
        <v>6</v>
      </c>
      <c r="AD967">
        <v>2</v>
      </c>
      <c r="AE967">
        <v>3</v>
      </c>
      <c r="AF967">
        <v>2</v>
      </c>
      <c r="AG967">
        <v>1</v>
      </c>
      <c r="AH967">
        <v>2</v>
      </c>
    </row>
    <row r="968" spans="1:34" x14ac:dyDescent="0.2">
      <c r="A968">
        <v>58</v>
      </c>
      <c r="B968" t="s">
        <v>34</v>
      </c>
      <c r="C968" t="s">
        <v>35</v>
      </c>
      <c r="D968" t="s">
        <v>44</v>
      </c>
      <c r="E968">
        <v>7</v>
      </c>
      <c r="F968">
        <v>4</v>
      </c>
      <c r="G968" t="s">
        <v>50</v>
      </c>
      <c r="H968">
        <v>1</v>
      </c>
      <c r="I968">
        <v>1360</v>
      </c>
      <c r="J968">
        <v>3</v>
      </c>
      <c r="K968" t="s">
        <v>38</v>
      </c>
      <c r="L968">
        <v>53</v>
      </c>
      <c r="M968">
        <v>2</v>
      </c>
      <c r="N968">
        <v>3</v>
      </c>
      <c r="O968" t="s">
        <v>52</v>
      </c>
      <c r="P968">
        <v>1</v>
      </c>
      <c r="Q968" t="s">
        <v>47</v>
      </c>
      <c r="R968">
        <v>10008</v>
      </c>
      <c r="S968">
        <v>12023</v>
      </c>
      <c r="T968">
        <v>7</v>
      </c>
      <c r="U968" t="s">
        <v>41</v>
      </c>
      <c r="V968" t="s">
        <v>34</v>
      </c>
      <c r="W968">
        <v>14</v>
      </c>
      <c r="X968">
        <v>3</v>
      </c>
      <c r="Y968">
        <v>4</v>
      </c>
      <c r="Z968">
        <v>80</v>
      </c>
      <c r="AA968">
        <v>0</v>
      </c>
      <c r="AB968">
        <v>31</v>
      </c>
      <c r="AC968">
        <v>0</v>
      </c>
      <c r="AD968">
        <v>2</v>
      </c>
      <c r="AE968">
        <v>10</v>
      </c>
      <c r="AF968">
        <v>9</v>
      </c>
      <c r="AG968">
        <v>5</v>
      </c>
      <c r="AH968">
        <v>9</v>
      </c>
    </row>
    <row r="969" spans="1:34" x14ac:dyDescent="0.2">
      <c r="A969">
        <v>40</v>
      </c>
      <c r="B969" t="s">
        <v>42</v>
      </c>
      <c r="C969" t="s">
        <v>35</v>
      </c>
      <c r="D969" t="s">
        <v>44</v>
      </c>
      <c r="E969">
        <v>1</v>
      </c>
      <c r="F969">
        <v>4</v>
      </c>
      <c r="G969" t="s">
        <v>37</v>
      </c>
      <c r="H969">
        <v>1</v>
      </c>
      <c r="I969">
        <v>1361</v>
      </c>
      <c r="J969">
        <v>2</v>
      </c>
      <c r="K969" t="s">
        <v>45</v>
      </c>
      <c r="L969">
        <v>88</v>
      </c>
      <c r="M969">
        <v>3</v>
      </c>
      <c r="N969">
        <v>1</v>
      </c>
      <c r="O969" t="s">
        <v>49</v>
      </c>
      <c r="P969">
        <v>2</v>
      </c>
      <c r="Q969" t="s">
        <v>47</v>
      </c>
      <c r="R969">
        <v>2387</v>
      </c>
      <c r="S969">
        <v>6762</v>
      </c>
      <c r="T969">
        <v>3</v>
      </c>
      <c r="U969" t="s">
        <v>41</v>
      </c>
      <c r="V969" t="s">
        <v>42</v>
      </c>
      <c r="W969">
        <v>22</v>
      </c>
      <c r="X969">
        <v>4</v>
      </c>
      <c r="Y969">
        <v>3</v>
      </c>
      <c r="Z969">
        <v>80</v>
      </c>
      <c r="AA969">
        <v>1</v>
      </c>
      <c r="AB969">
        <v>7</v>
      </c>
      <c r="AC969">
        <v>3</v>
      </c>
      <c r="AD969">
        <v>3</v>
      </c>
      <c r="AE969">
        <v>4</v>
      </c>
      <c r="AF969">
        <v>2</v>
      </c>
      <c r="AG969">
        <v>0</v>
      </c>
      <c r="AH969">
        <v>3</v>
      </c>
    </row>
    <row r="970" spans="1:34" x14ac:dyDescent="0.2">
      <c r="A970">
        <v>36</v>
      </c>
      <c r="B970" t="s">
        <v>42</v>
      </c>
      <c r="C970" t="s">
        <v>43</v>
      </c>
      <c r="D970" t="s">
        <v>36</v>
      </c>
      <c r="E970">
        <v>7</v>
      </c>
      <c r="F970">
        <v>3</v>
      </c>
      <c r="G970" t="s">
        <v>58</v>
      </c>
      <c r="H970">
        <v>1</v>
      </c>
      <c r="I970">
        <v>1362</v>
      </c>
      <c r="J970">
        <v>1</v>
      </c>
      <c r="K970" t="s">
        <v>38</v>
      </c>
      <c r="L970">
        <v>83</v>
      </c>
      <c r="M970">
        <v>4</v>
      </c>
      <c r="N970">
        <v>2</v>
      </c>
      <c r="O970" t="s">
        <v>39</v>
      </c>
      <c r="P970">
        <v>1</v>
      </c>
      <c r="Q970" t="s">
        <v>47</v>
      </c>
      <c r="R970">
        <v>4639</v>
      </c>
      <c r="S970">
        <v>2261</v>
      </c>
      <c r="T970">
        <v>2</v>
      </c>
      <c r="U970" t="s">
        <v>41</v>
      </c>
      <c r="V970" t="s">
        <v>42</v>
      </c>
      <c r="W970">
        <v>16</v>
      </c>
      <c r="X970">
        <v>3</v>
      </c>
      <c r="Y970">
        <v>4</v>
      </c>
      <c r="Z970">
        <v>80</v>
      </c>
      <c r="AA970">
        <v>1</v>
      </c>
      <c r="AB970">
        <v>17</v>
      </c>
      <c r="AC970">
        <v>2</v>
      </c>
      <c r="AD970">
        <v>2</v>
      </c>
      <c r="AE970">
        <v>15</v>
      </c>
      <c r="AF970">
        <v>7</v>
      </c>
      <c r="AG970">
        <v>6</v>
      </c>
      <c r="AH970">
        <v>13</v>
      </c>
    </row>
    <row r="971" spans="1:34" x14ac:dyDescent="0.2">
      <c r="A971">
        <v>48</v>
      </c>
      <c r="B971" t="s">
        <v>42</v>
      </c>
      <c r="C971" t="s">
        <v>35</v>
      </c>
      <c r="D971" t="s">
        <v>44</v>
      </c>
      <c r="E971">
        <v>4</v>
      </c>
      <c r="F971">
        <v>3</v>
      </c>
      <c r="G971" t="s">
        <v>37</v>
      </c>
      <c r="H971">
        <v>1</v>
      </c>
      <c r="I971">
        <v>1363</v>
      </c>
      <c r="J971">
        <v>4</v>
      </c>
      <c r="K971" t="s">
        <v>45</v>
      </c>
      <c r="L971">
        <v>54</v>
      </c>
      <c r="M971">
        <v>3</v>
      </c>
      <c r="N971">
        <v>3</v>
      </c>
      <c r="O971" t="s">
        <v>52</v>
      </c>
      <c r="P971">
        <v>4</v>
      </c>
      <c r="Q971" t="s">
        <v>40</v>
      </c>
      <c r="R971">
        <v>7898</v>
      </c>
      <c r="S971">
        <v>18706</v>
      </c>
      <c r="T971">
        <v>1</v>
      </c>
      <c r="U971" t="s">
        <v>41</v>
      </c>
      <c r="V971" t="s">
        <v>42</v>
      </c>
      <c r="W971">
        <v>11</v>
      </c>
      <c r="X971">
        <v>3</v>
      </c>
      <c r="Y971">
        <v>3</v>
      </c>
      <c r="Z971">
        <v>80</v>
      </c>
      <c r="AA971">
        <v>0</v>
      </c>
      <c r="AB971">
        <v>11</v>
      </c>
      <c r="AC971">
        <v>2</v>
      </c>
      <c r="AD971">
        <v>3</v>
      </c>
      <c r="AE971">
        <v>10</v>
      </c>
      <c r="AF971">
        <v>9</v>
      </c>
      <c r="AG971">
        <v>0</v>
      </c>
      <c r="AH971">
        <v>8</v>
      </c>
    </row>
    <row r="972" spans="1:34" x14ac:dyDescent="0.2">
      <c r="A972">
        <v>27</v>
      </c>
      <c r="B972" t="s">
        <v>42</v>
      </c>
      <c r="C972" t="s">
        <v>35</v>
      </c>
      <c r="D972" t="s">
        <v>36</v>
      </c>
      <c r="E972">
        <v>11</v>
      </c>
      <c r="F972">
        <v>3</v>
      </c>
      <c r="G972" t="s">
        <v>50</v>
      </c>
      <c r="H972">
        <v>1</v>
      </c>
      <c r="I972">
        <v>1364</v>
      </c>
      <c r="J972">
        <v>3</v>
      </c>
      <c r="K972" t="s">
        <v>38</v>
      </c>
      <c r="L972">
        <v>98</v>
      </c>
      <c r="M972">
        <v>4</v>
      </c>
      <c r="N972">
        <v>1</v>
      </c>
      <c r="O972" t="s">
        <v>56</v>
      </c>
      <c r="P972">
        <v>4</v>
      </c>
      <c r="Q972" t="s">
        <v>47</v>
      </c>
      <c r="R972">
        <v>2534</v>
      </c>
      <c r="S972">
        <v>6527</v>
      </c>
      <c r="T972">
        <v>8</v>
      </c>
      <c r="U972" t="s">
        <v>41</v>
      </c>
      <c r="V972" t="s">
        <v>42</v>
      </c>
      <c r="W972">
        <v>14</v>
      </c>
      <c r="X972">
        <v>3</v>
      </c>
      <c r="Y972">
        <v>2</v>
      </c>
      <c r="Z972">
        <v>80</v>
      </c>
      <c r="AA972">
        <v>1</v>
      </c>
      <c r="AB972">
        <v>5</v>
      </c>
      <c r="AC972">
        <v>4</v>
      </c>
      <c r="AD972">
        <v>3</v>
      </c>
      <c r="AE972">
        <v>1</v>
      </c>
      <c r="AF972">
        <v>0</v>
      </c>
      <c r="AG972">
        <v>0</v>
      </c>
      <c r="AH972">
        <v>0</v>
      </c>
    </row>
    <row r="973" spans="1:34" x14ac:dyDescent="0.2">
      <c r="A973">
        <v>51</v>
      </c>
      <c r="B973" t="s">
        <v>42</v>
      </c>
      <c r="C973" t="s">
        <v>35</v>
      </c>
      <c r="D973" t="s">
        <v>44</v>
      </c>
      <c r="E973">
        <v>11</v>
      </c>
      <c r="F973">
        <v>2</v>
      </c>
      <c r="G973" t="s">
        <v>59</v>
      </c>
      <c r="H973">
        <v>1</v>
      </c>
      <c r="I973">
        <v>1367</v>
      </c>
      <c r="J973">
        <v>4</v>
      </c>
      <c r="K973" t="s">
        <v>38</v>
      </c>
      <c r="L973">
        <v>82</v>
      </c>
      <c r="M973">
        <v>2</v>
      </c>
      <c r="N973">
        <v>4</v>
      </c>
      <c r="O973" t="s">
        <v>52</v>
      </c>
      <c r="P973">
        <v>2</v>
      </c>
      <c r="Q973" t="s">
        <v>40</v>
      </c>
      <c r="R973">
        <v>13142</v>
      </c>
      <c r="S973">
        <v>24439</v>
      </c>
      <c r="T973">
        <v>3</v>
      </c>
      <c r="U973" t="s">
        <v>41</v>
      </c>
      <c r="V973" t="s">
        <v>42</v>
      </c>
      <c r="W973">
        <v>16</v>
      </c>
      <c r="X973">
        <v>3</v>
      </c>
      <c r="Y973">
        <v>2</v>
      </c>
      <c r="Z973">
        <v>80</v>
      </c>
      <c r="AA973">
        <v>0</v>
      </c>
      <c r="AB973">
        <v>29</v>
      </c>
      <c r="AC973">
        <v>1</v>
      </c>
      <c r="AD973">
        <v>2</v>
      </c>
      <c r="AE973">
        <v>5</v>
      </c>
      <c r="AF973">
        <v>2</v>
      </c>
      <c r="AG973">
        <v>0</v>
      </c>
      <c r="AH973">
        <v>3</v>
      </c>
    </row>
    <row r="974" spans="1:34" x14ac:dyDescent="0.2">
      <c r="A974">
        <v>18</v>
      </c>
      <c r="B974" t="s">
        <v>42</v>
      </c>
      <c r="C974" t="s">
        <v>54</v>
      </c>
      <c r="D974" t="s">
        <v>44</v>
      </c>
      <c r="E974">
        <v>1</v>
      </c>
      <c r="F974">
        <v>3</v>
      </c>
      <c r="G974" t="s">
        <v>37</v>
      </c>
      <c r="H974">
        <v>1</v>
      </c>
      <c r="I974">
        <v>1368</v>
      </c>
      <c r="J974">
        <v>4</v>
      </c>
      <c r="K974" t="s">
        <v>38</v>
      </c>
      <c r="L974">
        <v>97</v>
      </c>
      <c r="M974">
        <v>3</v>
      </c>
      <c r="N974">
        <v>1</v>
      </c>
      <c r="O974" t="s">
        <v>49</v>
      </c>
      <c r="P974">
        <v>4</v>
      </c>
      <c r="Q974" t="s">
        <v>40</v>
      </c>
      <c r="R974">
        <v>1611</v>
      </c>
      <c r="S974">
        <v>19305</v>
      </c>
      <c r="T974">
        <v>1</v>
      </c>
      <c r="U974" t="s">
        <v>41</v>
      </c>
      <c r="V974" t="s">
        <v>42</v>
      </c>
      <c r="W974">
        <v>15</v>
      </c>
      <c r="X974">
        <v>3</v>
      </c>
      <c r="Y974">
        <v>3</v>
      </c>
      <c r="Z974">
        <v>80</v>
      </c>
      <c r="AA974">
        <v>0</v>
      </c>
      <c r="AB974">
        <v>0</v>
      </c>
      <c r="AC974">
        <v>5</v>
      </c>
      <c r="AD974">
        <v>4</v>
      </c>
      <c r="AE974">
        <v>0</v>
      </c>
      <c r="AF974">
        <v>0</v>
      </c>
      <c r="AG974">
        <v>0</v>
      </c>
      <c r="AH974">
        <v>0</v>
      </c>
    </row>
    <row r="975" spans="1:34" x14ac:dyDescent="0.2">
      <c r="A975">
        <v>35</v>
      </c>
      <c r="B975" t="s">
        <v>42</v>
      </c>
      <c r="C975" t="s">
        <v>35</v>
      </c>
      <c r="D975" t="s">
        <v>44</v>
      </c>
      <c r="E975">
        <v>1</v>
      </c>
      <c r="F975">
        <v>3</v>
      </c>
      <c r="G975" t="s">
        <v>50</v>
      </c>
      <c r="H975">
        <v>1</v>
      </c>
      <c r="I975">
        <v>1369</v>
      </c>
      <c r="J975">
        <v>4</v>
      </c>
      <c r="K975" t="s">
        <v>38</v>
      </c>
      <c r="L975">
        <v>60</v>
      </c>
      <c r="M975">
        <v>2</v>
      </c>
      <c r="N975">
        <v>2</v>
      </c>
      <c r="O975" t="s">
        <v>49</v>
      </c>
      <c r="P975">
        <v>4</v>
      </c>
      <c r="Q975" t="s">
        <v>47</v>
      </c>
      <c r="R975">
        <v>5363</v>
      </c>
      <c r="S975">
        <v>10846</v>
      </c>
      <c r="T975">
        <v>0</v>
      </c>
      <c r="U975" t="s">
        <v>41</v>
      </c>
      <c r="V975" t="s">
        <v>42</v>
      </c>
      <c r="W975">
        <v>12</v>
      </c>
      <c r="X975">
        <v>3</v>
      </c>
      <c r="Y975">
        <v>2</v>
      </c>
      <c r="Z975">
        <v>80</v>
      </c>
      <c r="AA975">
        <v>1</v>
      </c>
      <c r="AB975">
        <v>10</v>
      </c>
      <c r="AC975">
        <v>0</v>
      </c>
      <c r="AD975">
        <v>3</v>
      </c>
      <c r="AE975">
        <v>9</v>
      </c>
      <c r="AF975">
        <v>7</v>
      </c>
      <c r="AG975">
        <v>0</v>
      </c>
      <c r="AH975">
        <v>0</v>
      </c>
    </row>
    <row r="976" spans="1:34" x14ac:dyDescent="0.2">
      <c r="A976">
        <v>27</v>
      </c>
      <c r="B976" t="s">
        <v>42</v>
      </c>
      <c r="C976" t="s">
        <v>43</v>
      </c>
      <c r="D976" t="s">
        <v>36</v>
      </c>
      <c r="E976">
        <v>2</v>
      </c>
      <c r="F976">
        <v>1</v>
      </c>
      <c r="G976" t="s">
        <v>37</v>
      </c>
      <c r="H976">
        <v>1</v>
      </c>
      <c r="I976">
        <v>1371</v>
      </c>
      <c r="J976">
        <v>4</v>
      </c>
      <c r="K976" t="s">
        <v>45</v>
      </c>
      <c r="L976">
        <v>43</v>
      </c>
      <c r="M976">
        <v>1</v>
      </c>
      <c r="N976">
        <v>2</v>
      </c>
      <c r="O976" t="s">
        <v>39</v>
      </c>
      <c r="P976">
        <v>4</v>
      </c>
      <c r="Q976" t="s">
        <v>40</v>
      </c>
      <c r="R976">
        <v>5071</v>
      </c>
      <c r="S976">
        <v>20392</v>
      </c>
      <c r="T976">
        <v>3</v>
      </c>
      <c r="U976" t="s">
        <v>41</v>
      </c>
      <c r="V976" t="s">
        <v>42</v>
      </c>
      <c r="W976">
        <v>20</v>
      </c>
      <c r="X976">
        <v>4</v>
      </c>
      <c r="Y976">
        <v>2</v>
      </c>
      <c r="Z976">
        <v>80</v>
      </c>
      <c r="AA976">
        <v>0</v>
      </c>
      <c r="AB976">
        <v>8</v>
      </c>
      <c r="AC976">
        <v>3</v>
      </c>
      <c r="AD976">
        <v>3</v>
      </c>
      <c r="AE976">
        <v>6</v>
      </c>
      <c r="AF976">
        <v>2</v>
      </c>
      <c r="AG976">
        <v>0</v>
      </c>
      <c r="AH976">
        <v>0</v>
      </c>
    </row>
    <row r="977" spans="1:34" x14ac:dyDescent="0.2">
      <c r="A977">
        <v>55</v>
      </c>
      <c r="B977" t="s">
        <v>34</v>
      </c>
      <c r="C977" t="s">
        <v>35</v>
      </c>
      <c r="D977" t="s">
        <v>36</v>
      </c>
      <c r="E977">
        <v>13</v>
      </c>
      <c r="F977">
        <v>4</v>
      </c>
      <c r="G977" t="s">
        <v>58</v>
      </c>
      <c r="H977">
        <v>1</v>
      </c>
      <c r="I977">
        <v>1372</v>
      </c>
      <c r="J977">
        <v>1</v>
      </c>
      <c r="K977" t="s">
        <v>45</v>
      </c>
      <c r="L977">
        <v>85</v>
      </c>
      <c r="M977">
        <v>4</v>
      </c>
      <c r="N977">
        <v>4</v>
      </c>
      <c r="O977" t="s">
        <v>39</v>
      </c>
      <c r="P977">
        <v>3</v>
      </c>
      <c r="Q977" t="s">
        <v>40</v>
      </c>
      <c r="R977">
        <v>13695</v>
      </c>
      <c r="S977">
        <v>9277</v>
      </c>
      <c r="T977">
        <v>6</v>
      </c>
      <c r="U977" t="s">
        <v>41</v>
      </c>
      <c r="V977" t="s">
        <v>34</v>
      </c>
      <c r="W977">
        <v>17</v>
      </c>
      <c r="X977">
        <v>3</v>
      </c>
      <c r="Y977">
        <v>3</v>
      </c>
      <c r="Z977">
        <v>80</v>
      </c>
      <c r="AA977">
        <v>0</v>
      </c>
      <c r="AB977">
        <v>24</v>
      </c>
      <c r="AC977">
        <v>2</v>
      </c>
      <c r="AD977">
        <v>2</v>
      </c>
      <c r="AE977">
        <v>19</v>
      </c>
      <c r="AF977">
        <v>7</v>
      </c>
      <c r="AG977">
        <v>3</v>
      </c>
      <c r="AH977">
        <v>8</v>
      </c>
    </row>
    <row r="978" spans="1:34" x14ac:dyDescent="0.2">
      <c r="A978">
        <v>56</v>
      </c>
      <c r="B978" t="s">
        <v>42</v>
      </c>
      <c r="C978" t="s">
        <v>35</v>
      </c>
      <c r="D978" t="s">
        <v>44</v>
      </c>
      <c r="E978">
        <v>23</v>
      </c>
      <c r="F978">
        <v>3</v>
      </c>
      <c r="G978" t="s">
        <v>37</v>
      </c>
      <c r="H978">
        <v>1</v>
      </c>
      <c r="I978">
        <v>1373</v>
      </c>
      <c r="J978">
        <v>4</v>
      </c>
      <c r="K978" t="s">
        <v>45</v>
      </c>
      <c r="L978">
        <v>68</v>
      </c>
      <c r="M978">
        <v>3</v>
      </c>
      <c r="N978">
        <v>4</v>
      </c>
      <c r="O978" t="s">
        <v>52</v>
      </c>
      <c r="P978">
        <v>2</v>
      </c>
      <c r="Q978" t="s">
        <v>47</v>
      </c>
      <c r="R978">
        <v>13402</v>
      </c>
      <c r="S978">
        <v>18235</v>
      </c>
      <c r="T978">
        <v>4</v>
      </c>
      <c r="U978" t="s">
        <v>41</v>
      </c>
      <c r="V978" t="s">
        <v>34</v>
      </c>
      <c r="W978">
        <v>12</v>
      </c>
      <c r="X978">
        <v>3</v>
      </c>
      <c r="Y978">
        <v>1</v>
      </c>
      <c r="Z978">
        <v>80</v>
      </c>
      <c r="AA978">
        <v>1</v>
      </c>
      <c r="AB978">
        <v>33</v>
      </c>
      <c r="AC978">
        <v>0</v>
      </c>
      <c r="AD978">
        <v>3</v>
      </c>
      <c r="AE978">
        <v>19</v>
      </c>
      <c r="AF978">
        <v>16</v>
      </c>
      <c r="AG978">
        <v>15</v>
      </c>
      <c r="AH978">
        <v>9</v>
      </c>
    </row>
    <row r="979" spans="1:34" x14ac:dyDescent="0.2">
      <c r="A979">
        <v>34</v>
      </c>
      <c r="B979" t="s">
        <v>42</v>
      </c>
      <c r="C979" t="s">
        <v>54</v>
      </c>
      <c r="D979" t="s">
        <v>44</v>
      </c>
      <c r="E979">
        <v>26</v>
      </c>
      <c r="F979">
        <v>1</v>
      </c>
      <c r="G979" t="s">
        <v>59</v>
      </c>
      <c r="H979">
        <v>1</v>
      </c>
      <c r="I979">
        <v>1374</v>
      </c>
      <c r="J979">
        <v>1</v>
      </c>
      <c r="K979" t="s">
        <v>38</v>
      </c>
      <c r="L979">
        <v>92</v>
      </c>
      <c r="M979">
        <v>2</v>
      </c>
      <c r="N979">
        <v>1</v>
      </c>
      <c r="O979" t="s">
        <v>46</v>
      </c>
      <c r="P979">
        <v>3</v>
      </c>
      <c r="Q979" t="s">
        <v>51</v>
      </c>
      <c r="R979">
        <v>2029</v>
      </c>
      <c r="S979">
        <v>15891</v>
      </c>
      <c r="T979">
        <v>1</v>
      </c>
      <c r="U979" t="s">
        <v>41</v>
      </c>
      <c r="V979" t="s">
        <v>42</v>
      </c>
      <c r="W979">
        <v>20</v>
      </c>
      <c r="X979">
        <v>4</v>
      </c>
      <c r="Y979">
        <v>3</v>
      </c>
      <c r="Z979">
        <v>80</v>
      </c>
      <c r="AA979">
        <v>3</v>
      </c>
      <c r="AB979">
        <v>5</v>
      </c>
      <c r="AC979">
        <v>2</v>
      </c>
      <c r="AD979">
        <v>3</v>
      </c>
      <c r="AE979">
        <v>5</v>
      </c>
      <c r="AF979">
        <v>4</v>
      </c>
      <c r="AG979">
        <v>0</v>
      </c>
      <c r="AH979">
        <v>0</v>
      </c>
    </row>
    <row r="980" spans="1:34" x14ac:dyDescent="0.2">
      <c r="A980">
        <v>40</v>
      </c>
      <c r="B980" t="s">
        <v>42</v>
      </c>
      <c r="C980" t="s">
        <v>35</v>
      </c>
      <c r="D980" t="s">
        <v>44</v>
      </c>
      <c r="E980">
        <v>2</v>
      </c>
      <c r="F980">
        <v>1</v>
      </c>
      <c r="G980" t="s">
        <v>50</v>
      </c>
      <c r="H980">
        <v>1</v>
      </c>
      <c r="I980">
        <v>1375</v>
      </c>
      <c r="J980">
        <v>2</v>
      </c>
      <c r="K980" t="s">
        <v>38</v>
      </c>
      <c r="L980">
        <v>89</v>
      </c>
      <c r="M980">
        <v>4</v>
      </c>
      <c r="N980">
        <v>2</v>
      </c>
      <c r="O980" t="s">
        <v>53</v>
      </c>
      <c r="P980">
        <v>3</v>
      </c>
      <c r="Q980" t="s">
        <v>51</v>
      </c>
      <c r="R980">
        <v>6377</v>
      </c>
      <c r="S980">
        <v>13888</v>
      </c>
      <c r="T980">
        <v>5</v>
      </c>
      <c r="U980" t="s">
        <v>41</v>
      </c>
      <c r="V980" t="s">
        <v>42</v>
      </c>
      <c r="W980">
        <v>20</v>
      </c>
      <c r="X980">
        <v>4</v>
      </c>
      <c r="Y980">
        <v>2</v>
      </c>
      <c r="Z980">
        <v>80</v>
      </c>
      <c r="AA980">
        <v>3</v>
      </c>
      <c r="AB980">
        <v>15</v>
      </c>
      <c r="AC980">
        <v>0</v>
      </c>
      <c r="AD980">
        <v>3</v>
      </c>
      <c r="AE980">
        <v>12</v>
      </c>
      <c r="AF980">
        <v>11</v>
      </c>
      <c r="AG980">
        <v>11</v>
      </c>
      <c r="AH980">
        <v>8</v>
      </c>
    </row>
    <row r="981" spans="1:34" x14ac:dyDescent="0.2">
      <c r="A981">
        <v>34</v>
      </c>
      <c r="B981" t="s">
        <v>42</v>
      </c>
      <c r="C981" t="s">
        <v>35</v>
      </c>
      <c r="D981" t="s">
        <v>44</v>
      </c>
      <c r="E981">
        <v>29</v>
      </c>
      <c r="F981">
        <v>3</v>
      </c>
      <c r="G981" t="s">
        <v>50</v>
      </c>
      <c r="H981">
        <v>1</v>
      </c>
      <c r="I981">
        <v>1377</v>
      </c>
      <c r="J981">
        <v>2</v>
      </c>
      <c r="K981" t="s">
        <v>45</v>
      </c>
      <c r="L981">
        <v>86</v>
      </c>
      <c r="M981">
        <v>3</v>
      </c>
      <c r="N981">
        <v>2</v>
      </c>
      <c r="O981" t="s">
        <v>49</v>
      </c>
      <c r="P981">
        <v>3</v>
      </c>
      <c r="Q981" t="s">
        <v>47</v>
      </c>
      <c r="R981">
        <v>5429</v>
      </c>
      <c r="S981">
        <v>17491</v>
      </c>
      <c r="T981">
        <v>4</v>
      </c>
      <c r="U981" t="s">
        <v>41</v>
      </c>
      <c r="V981" t="s">
        <v>42</v>
      </c>
      <c r="W981">
        <v>13</v>
      </c>
      <c r="X981">
        <v>3</v>
      </c>
      <c r="Y981">
        <v>1</v>
      </c>
      <c r="Z981">
        <v>80</v>
      </c>
      <c r="AA981">
        <v>2</v>
      </c>
      <c r="AB981">
        <v>10</v>
      </c>
      <c r="AC981">
        <v>1</v>
      </c>
      <c r="AD981">
        <v>3</v>
      </c>
      <c r="AE981">
        <v>8</v>
      </c>
      <c r="AF981">
        <v>7</v>
      </c>
      <c r="AG981">
        <v>7</v>
      </c>
      <c r="AH981">
        <v>7</v>
      </c>
    </row>
    <row r="982" spans="1:34" x14ac:dyDescent="0.2">
      <c r="A982">
        <v>31</v>
      </c>
      <c r="B982" t="s">
        <v>34</v>
      </c>
      <c r="C982" t="s">
        <v>43</v>
      </c>
      <c r="D982" t="s">
        <v>36</v>
      </c>
      <c r="E982">
        <v>2</v>
      </c>
      <c r="F982">
        <v>3</v>
      </c>
      <c r="G982" t="s">
        <v>37</v>
      </c>
      <c r="H982">
        <v>1</v>
      </c>
      <c r="I982">
        <v>1379</v>
      </c>
      <c r="J982">
        <v>3</v>
      </c>
      <c r="K982" t="s">
        <v>38</v>
      </c>
      <c r="L982">
        <v>90</v>
      </c>
      <c r="M982">
        <v>2</v>
      </c>
      <c r="N982">
        <v>1</v>
      </c>
      <c r="O982" t="s">
        <v>56</v>
      </c>
      <c r="P982">
        <v>4</v>
      </c>
      <c r="Q982" t="s">
        <v>40</v>
      </c>
      <c r="R982">
        <v>2785</v>
      </c>
      <c r="S982">
        <v>11882</v>
      </c>
      <c r="T982">
        <v>7</v>
      </c>
      <c r="U982" t="s">
        <v>41</v>
      </c>
      <c r="V982" t="s">
        <v>42</v>
      </c>
      <c r="W982">
        <v>14</v>
      </c>
      <c r="X982">
        <v>3</v>
      </c>
      <c r="Y982">
        <v>3</v>
      </c>
      <c r="Z982">
        <v>80</v>
      </c>
      <c r="AA982">
        <v>0</v>
      </c>
      <c r="AB982">
        <v>3</v>
      </c>
      <c r="AC982">
        <v>3</v>
      </c>
      <c r="AD982">
        <v>4</v>
      </c>
      <c r="AE982">
        <v>1</v>
      </c>
      <c r="AF982">
        <v>0</v>
      </c>
      <c r="AG982">
        <v>0</v>
      </c>
      <c r="AH982">
        <v>0</v>
      </c>
    </row>
    <row r="983" spans="1:34" x14ac:dyDescent="0.2">
      <c r="A983">
        <v>35</v>
      </c>
      <c r="B983" t="s">
        <v>34</v>
      </c>
      <c r="C983" t="s">
        <v>43</v>
      </c>
      <c r="D983" t="s">
        <v>36</v>
      </c>
      <c r="E983">
        <v>18</v>
      </c>
      <c r="F983">
        <v>4</v>
      </c>
      <c r="G983" t="s">
        <v>58</v>
      </c>
      <c r="H983">
        <v>1</v>
      </c>
      <c r="I983">
        <v>1380</v>
      </c>
      <c r="J983">
        <v>4</v>
      </c>
      <c r="K983" t="s">
        <v>38</v>
      </c>
      <c r="L983">
        <v>67</v>
      </c>
      <c r="M983">
        <v>3</v>
      </c>
      <c r="N983">
        <v>2</v>
      </c>
      <c r="O983" t="s">
        <v>39</v>
      </c>
      <c r="P983">
        <v>3</v>
      </c>
      <c r="Q983" t="s">
        <v>47</v>
      </c>
      <c r="R983">
        <v>4614</v>
      </c>
      <c r="S983">
        <v>23288</v>
      </c>
      <c r="T983">
        <v>0</v>
      </c>
      <c r="U983" t="s">
        <v>41</v>
      </c>
      <c r="V983" t="s">
        <v>34</v>
      </c>
      <c r="W983">
        <v>18</v>
      </c>
      <c r="X983">
        <v>3</v>
      </c>
      <c r="Y983">
        <v>3</v>
      </c>
      <c r="Z983">
        <v>80</v>
      </c>
      <c r="AA983">
        <v>1</v>
      </c>
      <c r="AB983">
        <v>5</v>
      </c>
      <c r="AC983">
        <v>0</v>
      </c>
      <c r="AD983">
        <v>2</v>
      </c>
      <c r="AE983">
        <v>4</v>
      </c>
      <c r="AF983">
        <v>2</v>
      </c>
      <c r="AG983">
        <v>3</v>
      </c>
      <c r="AH983">
        <v>2</v>
      </c>
    </row>
    <row r="984" spans="1:34" x14ac:dyDescent="0.2">
      <c r="A984">
        <v>38</v>
      </c>
      <c r="B984" t="s">
        <v>42</v>
      </c>
      <c r="C984" t="s">
        <v>43</v>
      </c>
      <c r="D984" t="s">
        <v>44</v>
      </c>
      <c r="E984">
        <v>7</v>
      </c>
      <c r="F984">
        <v>3</v>
      </c>
      <c r="G984" t="s">
        <v>37</v>
      </c>
      <c r="H984">
        <v>1</v>
      </c>
      <c r="I984">
        <v>1382</v>
      </c>
      <c r="J984">
        <v>4</v>
      </c>
      <c r="K984" t="s">
        <v>45</v>
      </c>
      <c r="L984">
        <v>57</v>
      </c>
      <c r="M984">
        <v>4</v>
      </c>
      <c r="N984">
        <v>1</v>
      </c>
      <c r="O984" t="s">
        <v>46</v>
      </c>
      <c r="P984">
        <v>3</v>
      </c>
      <c r="Q984" t="s">
        <v>51</v>
      </c>
      <c r="R984">
        <v>2610</v>
      </c>
      <c r="S984">
        <v>15748</v>
      </c>
      <c r="T984">
        <v>1</v>
      </c>
      <c r="U984" t="s">
        <v>41</v>
      </c>
      <c r="V984" t="s">
        <v>42</v>
      </c>
      <c r="W984">
        <v>11</v>
      </c>
      <c r="X984">
        <v>3</v>
      </c>
      <c r="Y984">
        <v>4</v>
      </c>
      <c r="Z984">
        <v>80</v>
      </c>
      <c r="AA984">
        <v>3</v>
      </c>
      <c r="AB984">
        <v>4</v>
      </c>
      <c r="AC984">
        <v>2</v>
      </c>
      <c r="AD984">
        <v>3</v>
      </c>
      <c r="AE984">
        <v>4</v>
      </c>
      <c r="AF984">
        <v>2</v>
      </c>
      <c r="AG984">
        <v>0</v>
      </c>
      <c r="AH984">
        <v>3</v>
      </c>
    </row>
    <row r="985" spans="1:34" x14ac:dyDescent="0.2">
      <c r="A985">
        <v>34</v>
      </c>
      <c r="B985" t="s">
        <v>42</v>
      </c>
      <c r="C985" t="s">
        <v>35</v>
      </c>
      <c r="D985" t="s">
        <v>44</v>
      </c>
      <c r="E985">
        <v>2</v>
      </c>
      <c r="F985">
        <v>4</v>
      </c>
      <c r="G985" t="s">
        <v>59</v>
      </c>
      <c r="H985">
        <v>1</v>
      </c>
      <c r="I985">
        <v>1383</v>
      </c>
      <c r="J985">
        <v>3</v>
      </c>
      <c r="K985" t="s">
        <v>38</v>
      </c>
      <c r="L985">
        <v>98</v>
      </c>
      <c r="M985">
        <v>3</v>
      </c>
      <c r="N985">
        <v>2</v>
      </c>
      <c r="O985" t="s">
        <v>53</v>
      </c>
      <c r="P985">
        <v>4</v>
      </c>
      <c r="Q985" t="s">
        <v>40</v>
      </c>
      <c r="R985">
        <v>6687</v>
      </c>
      <c r="S985">
        <v>6163</v>
      </c>
      <c r="T985">
        <v>1</v>
      </c>
      <c r="U985" t="s">
        <v>41</v>
      </c>
      <c r="V985" t="s">
        <v>42</v>
      </c>
      <c r="W985">
        <v>11</v>
      </c>
      <c r="X985">
        <v>3</v>
      </c>
      <c r="Y985">
        <v>4</v>
      </c>
      <c r="Z985">
        <v>80</v>
      </c>
      <c r="AA985">
        <v>0</v>
      </c>
      <c r="AB985">
        <v>14</v>
      </c>
      <c r="AC985">
        <v>2</v>
      </c>
      <c r="AD985">
        <v>4</v>
      </c>
      <c r="AE985">
        <v>14</v>
      </c>
      <c r="AF985">
        <v>11</v>
      </c>
      <c r="AG985">
        <v>4</v>
      </c>
      <c r="AH985">
        <v>11</v>
      </c>
    </row>
    <row r="986" spans="1:34" x14ac:dyDescent="0.2">
      <c r="A986">
        <v>28</v>
      </c>
      <c r="B986" t="s">
        <v>42</v>
      </c>
      <c r="C986" t="s">
        <v>35</v>
      </c>
      <c r="D986" t="s">
        <v>36</v>
      </c>
      <c r="E986">
        <v>26</v>
      </c>
      <c r="F986">
        <v>3</v>
      </c>
      <c r="G986" t="s">
        <v>37</v>
      </c>
      <c r="H986">
        <v>1</v>
      </c>
      <c r="I986">
        <v>1387</v>
      </c>
      <c r="J986">
        <v>3</v>
      </c>
      <c r="K986" t="s">
        <v>45</v>
      </c>
      <c r="L986">
        <v>48</v>
      </c>
      <c r="M986">
        <v>2</v>
      </c>
      <c r="N986">
        <v>2</v>
      </c>
      <c r="O986" t="s">
        <v>39</v>
      </c>
      <c r="P986">
        <v>1</v>
      </c>
      <c r="Q986" t="s">
        <v>47</v>
      </c>
      <c r="R986">
        <v>4724</v>
      </c>
      <c r="S986">
        <v>24232</v>
      </c>
      <c r="T986">
        <v>1</v>
      </c>
      <c r="U986" t="s">
        <v>41</v>
      </c>
      <c r="V986" t="s">
        <v>42</v>
      </c>
      <c r="W986">
        <v>11</v>
      </c>
      <c r="X986">
        <v>3</v>
      </c>
      <c r="Y986">
        <v>3</v>
      </c>
      <c r="Z986">
        <v>80</v>
      </c>
      <c r="AA986">
        <v>1</v>
      </c>
      <c r="AB986">
        <v>5</v>
      </c>
      <c r="AC986">
        <v>0</v>
      </c>
      <c r="AD986">
        <v>3</v>
      </c>
      <c r="AE986">
        <v>5</v>
      </c>
      <c r="AF986">
        <v>3</v>
      </c>
      <c r="AG986">
        <v>0</v>
      </c>
      <c r="AH986">
        <v>4</v>
      </c>
    </row>
    <row r="987" spans="1:34" x14ac:dyDescent="0.2">
      <c r="A987">
        <v>31</v>
      </c>
      <c r="B987" t="s">
        <v>34</v>
      </c>
      <c r="C987" t="s">
        <v>35</v>
      </c>
      <c r="D987" t="s">
        <v>44</v>
      </c>
      <c r="E987">
        <v>22</v>
      </c>
      <c r="F987">
        <v>4</v>
      </c>
      <c r="G987" t="s">
        <v>50</v>
      </c>
      <c r="H987">
        <v>1</v>
      </c>
      <c r="I987">
        <v>1389</v>
      </c>
      <c r="J987">
        <v>4</v>
      </c>
      <c r="K987" t="s">
        <v>45</v>
      </c>
      <c r="L987">
        <v>98</v>
      </c>
      <c r="M987">
        <v>3</v>
      </c>
      <c r="N987">
        <v>2</v>
      </c>
      <c r="O987" t="s">
        <v>52</v>
      </c>
      <c r="P987">
        <v>3</v>
      </c>
      <c r="Q987" t="s">
        <v>47</v>
      </c>
      <c r="R987">
        <v>6179</v>
      </c>
      <c r="S987">
        <v>21057</v>
      </c>
      <c r="T987">
        <v>1</v>
      </c>
      <c r="U987" t="s">
        <v>41</v>
      </c>
      <c r="V987" t="s">
        <v>34</v>
      </c>
      <c r="W987">
        <v>15</v>
      </c>
      <c r="X987">
        <v>3</v>
      </c>
      <c r="Y987">
        <v>4</v>
      </c>
      <c r="Z987">
        <v>80</v>
      </c>
      <c r="AA987">
        <v>2</v>
      </c>
      <c r="AB987">
        <v>10</v>
      </c>
      <c r="AC987">
        <v>3</v>
      </c>
      <c r="AD987">
        <v>2</v>
      </c>
      <c r="AE987">
        <v>10</v>
      </c>
      <c r="AF987">
        <v>2</v>
      </c>
      <c r="AG987">
        <v>6</v>
      </c>
      <c r="AH987">
        <v>7</v>
      </c>
    </row>
    <row r="988" spans="1:34" x14ac:dyDescent="0.2">
      <c r="A988">
        <v>39</v>
      </c>
      <c r="B988" t="s">
        <v>42</v>
      </c>
      <c r="C988" t="s">
        <v>35</v>
      </c>
      <c r="D988" t="s">
        <v>36</v>
      </c>
      <c r="E988">
        <v>21</v>
      </c>
      <c r="F988">
        <v>4</v>
      </c>
      <c r="G988" t="s">
        <v>37</v>
      </c>
      <c r="H988">
        <v>1</v>
      </c>
      <c r="I988">
        <v>1390</v>
      </c>
      <c r="J988">
        <v>1</v>
      </c>
      <c r="K988" t="s">
        <v>45</v>
      </c>
      <c r="L988">
        <v>44</v>
      </c>
      <c r="M988">
        <v>2</v>
      </c>
      <c r="N988">
        <v>2</v>
      </c>
      <c r="O988" t="s">
        <v>39</v>
      </c>
      <c r="P988">
        <v>4</v>
      </c>
      <c r="Q988" t="s">
        <v>47</v>
      </c>
      <c r="R988">
        <v>6120</v>
      </c>
      <c r="S988">
        <v>3567</v>
      </c>
      <c r="T988">
        <v>3</v>
      </c>
      <c r="U988" t="s">
        <v>41</v>
      </c>
      <c r="V988" t="s">
        <v>34</v>
      </c>
      <c r="W988">
        <v>12</v>
      </c>
      <c r="X988">
        <v>3</v>
      </c>
      <c r="Y988">
        <v>4</v>
      </c>
      <c r="Z988">
        <v>80</v>
      </c>
      <c r="AA988">
        <v>2</v>
      </c>
      <c r="AB988">
        <v>8</v>
      </c>
      <c r="AC988">
        <v>2</v>
      </c>
      <c r="AD988">
        <v>4</v>
      </c>
      <c r="AE988">
        <v>5</v>
      </c>
      <c r="AF988">
        <v>4</v>
      </c>
      <c r="AG988">
        <v>1</v>
      </c>
      <c r="AH988">
        <v>4</v>
      </c>
    </row>
    <row r="989" spans="1:34" x14ac:dyDescent="0.2">
      <c r="A989">
        <v>51</v>
      </c>
      <c r="B989" t="s">
        <v>42</v>
      </c>
      <c r="C989" t="s">
        <v>43</v>
      </c>
      <c r="D989" t="s">
        <v>36</v>
      </c>
      <c r="E989">
        <v>2</v>
      </c>
      <c r="F989">
        <v>3</v>
      </c>
      <c r="G989" t="s">
        <v>58</v>
      </c>
      <c r="H989">
        <v>1</v>
      </c>
      <c r="I989">
        <v>1391</v>
      </c>
      <c r="J989">
        <v>2</v>
      </c>
      <c r="K989" t="s">
        <v>45</v>
      </c>
      <c r="L989">
        <v>52</v>
      </c>
      <c r="M989">
        <v>3</v>
      </c>
      <c r="N989">
        <v>3</v>
      </c>
      <c r="O989" t="s">
        <v>39</v>
      </c>
      <c r="P989">
        <v>2</v>
      </c>
      <c r="Q989" t="s">
        <v>47</v>
      </c>
      <c r="R989">
        <v>10596</v>
      </c>
      <c r="S989">
        <v>15395</v>
      </c>
      <c r="T989">
        <v>2</v>
      </c>
      <c r="U989" t="s">
        <v>41</v>
      </c>
      <c r="V989" t="s">
        <v>42</v>
      </c>
      <c r="W989">
        <v>11</v>
      </c>
      <c r="X989">
        <v>3</v>
      </c>
      <c r="Y989">
        <v>2</v>
      </c>
      <c r="Z989">
        <v>80</v>
      </c>
      <c r="AA989">
        <v>0</v>
      </c>
      <c r="AB989">
        <v>14</v>
      </c>
      <c r="AC989">
        <v>5</v>
      </c>
      <c r="AD989">
        <v>3</v>
      </c>
      <c r="AE989">
        <v>4</v>
      </c>
      <c r="AF989">
        <v>2</v>
      </c>
      <c r="AG989">
        <v>3</v>
      </c>
      <c r="AH989">
        <v>2</v>
      </c>
    </row>
    <row r="990" spans="1:34" x14ac:dyDescent="0.2">
      <c r="A990">
        <v>41</v>
      </c>
      <c r="B990" t="s">
        <v>42</v>
      </c>
      <c r="C990" t="s">
        <v>43</v>
      </c>
      <c r="D990" t="s">
        <v>44</v>
      </c>
      <c r="E990">
        <v>22</v>
      </c>
      <c r="F990">
        <v>3</v>
      </c>
      <c r="G990" t="s">
        <v>37</v>
      </c>
      <c r="H990">
        <v>1</v>
      </c>
      <c r="I990">
        <v>1392</v>
      </c>
      <c r="J990">
        <v>4</v>
      </c>
      <c r="K990" t="s">
        <v>38</v>
      </c>
      <c r="L990">
        <v>75</v>
      </c>
      <c r="M990">
        <v>3</v>
      </c>
      <c r="N990">
        <v>2</v>
      </c>
      <c r="O990" t="s">
        <v>46</v>
      </c>
      <c r="P990">
        <v>4</v>
      </c>
      <c r="Q990" t="s">
        <v>51</v>
      </c>
      <c r="R990">
        <v>5467</v>
      </c>
      <c r="S990">
        <v>13953</v>
      </c>
      <c r="T990">
        <v>3</v>
      </c>
      <c r="U990" t="s">
        <v>41</v>
      </c>
      <c r="V990" t="s">
        <v>34</v>
      </c>
      <c r="W990">
        <v>14</v>
      </c>
      <c r="X990">
        <v>3</v>
      </c>
      <c r="Y990">
        <v>1</v>
      </c>
      <c r="Z990">
        <v>80</v>
      </c>
      <c r="AA990">
        <v>2</v>
      </c>
      <c r="AB990">
        <v>12</v>
      </c>
      <c r="AC990">
        <v>4</v>
      </c>
      <c r="AD990">
        <v>2</v>
      </c>
      <c r="AE990">
        <v>6</v>
      </c>
      <c r="AF990">
        <v>2</v>
      </c>
      <c r="AG990">
        <v>3</v>
      </c>
      <c r="AH990">
        <v>3</v>
      </c>
    </row>
    <row r="991" spans="1:34" x14ac:dyDescent="0.2">
      <c r="A991">
        <v>37</v>
      </c>
      <c r="B991" t="s">
        <v>42</v>
      </c>
      <c r="C991" t="s">
        <v>35</v>
      </c>
      <c r="D991" t="s">
        <v>44</v>
      </c>
      <c r="E991">
        <v>4</v>
      </c>
      <c r="F991">
        <v>1</v>
      </c>
      <c r="G991" t="s">
        <v>37</v>
      </c>
      <c r="H991">
        <v>1</v>
      </c>
      <c r="I991">
        <v>1394</v>
      </c>
      <c r="J991">
        <v>3</v>
      </c>
      <c r="K991" t="s">
        <v>45</v>
      </c>
      <c r="L991">
        <v>54</v>
      </c>
      <c r="M991">
        <v>3</v>
      </c>
      <c r="N991">
        <v>1</v>
      </c>
      <c r="O991" t="s">
        <v>46</v>
      </c>
      <c r="P991">
        <v>3</v>
      </c>
      <c r="Q991" t="s">
        <v>47</v>
      </c>
      <c r="R991">
        <v>2996</v>
      </c>
      <c r="S991">
        <v>5182</v>
      </c>
      <c r="T991">
        <v>7</v>
      </c>
      <c r="U991" t="s">
        <v>41</v>
      </c>
      <c r="V991" t="s">
        <v>34</v>
      </c>
      <c r="W991">
        <v>15</v>
      </c>
      <c r="X991">
        <v>3</v>
      </c>
      <c r="Y991">
        <v>4</v>
      </c>
      <c r="Z991">
        <v>80</v>
      </c>
      <c r="AA991">
        <v>0</v>
      </c>
      <c r="AB991">
        <v>8</v>
      </c>
      <c r="AC991">
        <v>2</v>
      </c>
      <c r="AD991">
        <v>3</v>
      </c>
      <c r="AE991">
        <v>6</v>
      </c>
      <c r="AF991">
        <v>4</v>
      </c>
      <c r="AG991">
        <v>1</v>
      </c>
      <c r="AH991">
        <v>3</v>
      </c>
    </row>
    <row r="992" spans="1:34" x14ac:dyDescent="0.2">
      <c r="A992">
        <v>33</v>
      </c>
      <c r="B992" t="s">
        <v>42</v>
      </c>
      <c r="C992" t="s">
        <v>43</v>
      </c>
      <c r="D992" t="s">
        <v>36</v>
      </c>
      <c r="E992">
        <v>5</v>
      </c>
      <c r="F992">
        <v>1</v>
      </c>
      <c r="G992" t="s">
        <v>37</v>
      </c>
      <c r="H992">
        <v>1</v>
      </c>
      <c r="I992">
        <v>1395</v>
      </c>
      <c r="J992">
        <v>2</v>
      </c>
      <c r="K992" t="s">
        <v>45</v>
      </c>
      <c r="L992">
        <v>61</v>
      </c>
      <c r="M992">
        <v>3</v>
      </c>
      <c r="N992">
        <v>2</v>
      </c>
      <c r="O992" t="s">
        <v>39</v>
      </c>
      <c r="P992">
        <v>4</v>
      </c>
      <c r="Q992" t="s">
        <v>47</v>
      </c>
      <c r="R992">
        <v>9998</v>
      </c>
      <c r="S992">
        <v>19293</v>
      </c>
      <c r="T992">
        <v>6</v>
      </c>
      <c r="U992" t="s">
        <v>41</v>
      </c>
      <c r="V992" t="s">
        <v>42</v>
      </c>
      <c r="W992">
        <v>13</v>
      </c>
      <c r="X992">
        <v>3</v>
      </c>
      <c r="Y992">
        <v>1</v>
      </c>
      <c r="Z992">
        <v>80</v>
      </c>
      <c r="AA992">
        <v>0</v>
      </c>
      <c r="AB992">
        <v>8</v>
      </c>
      <c r="AC992">
        <v>2</v>
      </c>
      <c r="AD992">
        <v>4</v>
      </c>
      <c r="AE992">
        <v>5</v>
      </c>
      <c r="AF992">
        <v>4</v>
      </c>
      <c r="AG992">
        <v>1</v>
      </c>
      <c r="AH992">
        <v>2</v>
      </c>
    </row>
    <row r="993" spans="1:34" x14ac:dyDescent="0.2">
      <c r="A993">
        <v>32</v>
      </c>
      <c r="B993" t="s">
        <v>42</v>
      </c>
      <c r="C993" t="s">
        <v>35</v>
      </c>
      <c r="D993" t="s">
        <v>36</v>
      </c>
      <c r="E993">
        <v>2</v>
      </c>
      <c r="F993">
        <v>1</v>
      </c>
      <c r="G993" t="s">
        <v>58</v>
      </c>
      <c r="H993">
        <v>1</v>
      </c>
      <c r="I993">
        <v>1396</v>
      </c>
      <c r="J993">
        <v>3</v>
      </c>
      <c r="K993" t="s">
        <v>45</v>
      </c>
      <c r="L993">
        <v>36</v>
      </c>
      <c r="M993">
        <v>3</v>
      </c>
      <c r="N993">
        <v>2</v>
      </c>
      <c r="O993" t="s">
        <v>39</v>
      </c>
      <c r="P993">
        <v>2</v>
      </c>
      <c r="Q993" t="s">
        <v>47</v>
      </c>
      <c r="R993">
        <v>4078</v>
      </c>
      <c r="S993">
        <v>20497</v>
      </c>
      <c r="T993">
        <v>0</v>
      </c>
      <c r="U993" t="s">
        <v>41</v>
      </c>
      <c r="V993" t="s">
        <v>34</v>
      </c>
      <c r="W993">
        <v>13</v>
      </c>
      <c r="X993">
        <v>3</v>
      </c>
      <c r="Y993">
        <v>1</v>
      </c>
      <c r="Z993">
        <v>80</v>
      </c>
      <c r="AA993">
        <v>3</v>
      </c>
      <c r="AB993">
        <v>4</v>
      </c>
      <c r="AC993">
        <v>3</v>
      </c>
      <c r="AD993">
        <v>2</v>
      </c>
      <c r="AE993">
        <v>3</v>
      </c>
      <c r="AF993">
        <v>2</v>
      </c>
      <c r="AG993">
        <v>1</v>
      </c>
      <c r="AH993">
        <v>2</v>
      </c>
    </row>
    <row r="994" spans="1:34" x14ac:dyDescent="0.2">
      <c r="A994">
        <v>39</v>
      </c>
      <c r="B994" t="s">
        <v>42</v>
      </c>
      <c r="C994" t="s">
        <v>54</v>
      </c>
      <c r="D994" t="s">
        <v>44</v>
      </c>
      <c r="E994">
        <v>25</v>
      </c>
      <c r="F994">
        <v>2</v>
      </c>
      <c r="G994" t="s">
        <v>37</v>
      </c>
      <c r="H994">
        <v>1</v>
      </c>
      <c r="I994">
        <v>1397</v>
      </c>
      <c r="J994">
        <v>3</v>
      </c>
      <c r="K994" t="s">
        <v>45</v>
      </c>
      <c r="L994">
        <v>71</v>
      </c>
      <c r="M994">
        <v>3</v>
      </c>
      <c r="N994">
        <v>3</v>
      </c>
      <c r="O994" t="s">
        <v>53</v>
      </c>
      <c r="P994">
        <v>3</v>
      </c>
      <c r="Q994" t="s">
        <v>47</v>
      </c>
      <c r="R994">
        <v>10920</v>
      </c>
      <c r="S994">
        <v>3449</v>
      </c>
      <c r="T994">
        <v>3</v>
      </c>
      <c r="U994" t="s">
        <v>41</v>
      </c>
      <c r="V994" t="s">
        <v>42</v>
      </c>
      <c r="W994">
        <v>21</v>
      </c>
      <c r="X994">
        <v>4</v>
      </c>
      <c r="Y994">
        <v>2</v>
      </c>
      <c r="Z994">
        <v>80</v>
      </c>
      <c r="AA994">
        <v>1</v>
      </c>
      <c r="AB994">
        <v>13</v>
      </c>
      <c r="AC994">
        <v>2</v>
      </c>
      <c r="AD994">
        <v>3</v>
      </c>
      <c r="AE994">
        <v>6</v>
      </c>
      <c r="AF994">
        <v>4</v>
      </c>
      <c r="AG994">
        <v>0</v>
      </c>
      <c r="AH994">
        <v>5</v>
      </c>
    </row>
    <row r="995" spans="1:34" x14ac:dyDescent="0.2">
      <c r="A995">
        <v>25</v>
      </c>
      <c r="B995" t="s">
        <v>42</v>
      </c>
      <c r="C995" t="s">
        <v>35</v>
      </c>
      <c r="D995" t="s">
        <v>36</v>
      </c>
      <c r="E995">
        <v>18</v>
      </c>
      <c r="F995">
        <v>1</v>
      </c>
      <c r="G995" t="s">
        <v>37</v>
      </c>
      <c r="H995">
        <v>1</v>
      </c>
      <c r="I995">
        <v>1399</v>
      </c>
      <c r="J995">
        <v>1</v>
      </c>
      <c r="K995" t="s">
        <v>45</v>
      </c>
      <c r="L995">
        <v>93</v>
      </c>
      <c r="M995">
        <v>4</v>
      </c>
      <c r="N995">
        <v>2</v>
      </c>
      <c r="O995" t="s">
        <v>39</v>
      </c>
      <c r="P995">
        <v>3</v>
      </c>
      <c r="Q995" t="s">
        <v>47</v>
      </c>
      <c r="R995">
        <v>6232</v>
      </c>
      <c r="S995">
        <v>12477</v>
      </c>
      <c r="T995">
        <v>2</v>
      </c>
      <c r="U995" t="s">
        <v>41</v>
      </c>
      <c r="V995" t="s">
        <v>42</v>
      </c>
      <c r="W995">
        <v>11</v>
      </c>
      <c r="X995">
        <v>3</v>
      </c>
      <c r="Y995">
        <v>2</v>
      </c>
      <c r="Z995">
        <v>80</v>
      </c>
      <c r="AA995">
        <v>0</v>
      </c>
      <c r="AB995">
        <v>6</v>
      </c>
      <c r="AC995">
        <v>3</v>
      </c>
      <c r="AD995">
        <v>2</v>
      </c>
      <c r="AE995">
        <v>3</v>
      </c>
      <c r="AF995">
        <v>2</v>
      </c>
      <c r="AG995">
        <v>1</v>
      </c>
      <c r="AH995">
        <v>2</v>
      </c>
    </row>
    <row r="996" spans="1:34" x14ac:dyDescent="0.2">
      <c r="A996">
        <v>52</v>
      </c>
      <c r="B996" t="s">
        <v>42</v>
      </c>
      <c r="C996" t="s">
        <v>43</v>
      </c>
      <c r="D996" t="s">
        <v>44</v>
      </c>
      <c r="E996">
        <v>28</v>
      </c>
      <c r="F996">
        <v>2</v>
      </c>
      <c r="G996" t="s">
        <v>50</v>
      </c>
      <c r="H996">
        <v>1</v>
      </c>
      <c r="I996">
        <v>1401</v>
      </c>
      <c r="J996">
        <v>4</v>
      </c>
      <c r="K996" t="s">
        <v>38</v>
      </c>
      <c r="L996">
        <v>59</v>
      </c>
      <c r="M996">
        <v>4</v>
      </c>
      <c r="N996">
        <v>4</v>
      </c>
      <c r="O996" t="s">
        <v>52</v>
      </c>
      <c r="P996">
        <v>3</v>
      </c>
      <c r="Q996" t="s">
        <v>47</v>
      </c>
      <c r="R996">
        <v>13247</v>
      </c>
      <c r="S996">
        <v>9731</v>
      </c>
      <c r="T996">
        <v>2</v>
      </c>
      <c r="U996" t="s">
        <v>41</v>
      </c>
      <c r="V996" t="s">
        <v>34</v>
      </c>
      <c r="W996">
        <v>11</v>
      </c>
      <c r="X996">
        <v>3</v>
      </c>
      <c r="Y996">
        <v>2</v>
      </c>
      <c r="Z996">
        <v>80</v>
      </c>
      <c r="AA996">
        <v>1</v>
      </c>
      <c r="AB996">
        <v>24</v>
      </c>
      <c r="AC996">
        <v>3</v>
      </c>
      <c r="AD996">
        <v>2</v>
      </c>
      <c r="AE996">
        <v>5</v>
      </c>
      <c r="AF996">
        <v>3</v>
      </c>
      <c r="AG996">
        <v>0</v>
      </c>
      <c r="AH996">
        <v>2</v>
      </c>
    </row>
    <row r="997" spans="1:34" x14ac:dyDescent="0.2">
      <c r="A997">
        <v>43</v>
      </c>
      <c r="B997" t="s">
        <v>42</v>
      </c>
      <c r="C997" t="s">
        <v>35</v>
      </c>
      <c r="D997" t="s">
        <v>44</v>
      </c>
      <c r="E997">
        <v>6</v>
      </c>
      <c r="F997">
        <v>3</v>
      </c>
      <c r="G997" t="s">
        <v>50</v>
      </c>
      <c r="H997">
        <v>1</v>
      </c>
      <c r="I997">
        <v>1402</v>
      </c>
      <c r="J997">
        <v>1</v>
      </c>
      <c r="K997" t="s">
        <v>38</v>
      </c>
      <c r="L997">
        <v>73</v>
      </c>
      <c r="M997">
        <v>2</v>
      </c>
      <c r="N997">
        <v>2</v>
      </c>
      <c r="O997" t="s">
        <v>46</v>
      </c>
      <c r="P997">
        <v>3</v>
      </c>
      <c r="Q997" t="s">
        <v>40</v>
      </c>
      <c r="R997">
        <v>4081</v>
      </c>
      <c r="S997">
        <v>20003</v>
      </c>
      <c r="T997">
        <v>1</v>
      </c>
      <c r="U997" t="s">
        <v>41</v>
      </c>
      <c r="V997" t="s">
        <v>34</v>
      </c>
      <c r="W997">
        <v>14</v>
      </c>
      <c r="X997">
        <v>3</v>
      </c>
      <c r="Y997">
        <v>1</v>
      </c>
      <c r="Z997">
        <v>80</v>
      </c>
      <c r="AA997">
        <v>0</v>
      </c>
      <c r="AB997">
        <v>20</v>
      </c>
      <c r="AC997">
        <v>3</v>
      </c>
      <c r="AD997">
        <v>1</v>
      </c>
      <c r="AE997">
        <v>20</v>
      </c>
      <c r="AF997">
        <v>7</v>
      </c>
      <c r="AG997">
        <v>1</v>
      </c>
      <c r="AH997">
        <v>8</v>
      </c>
    </row>
    <row r="998" spans="1:34" x14ac:dyDescent="0.2">
      <c r="A998">
        <v>27</v>
      </c>
      <c r="B998" t="s">
        <v>42</v>
      </c>
      <c r="C998" t="s">
        <v>35</v>
      </c>
      <c r="D998" t="s">
        <v>36</v>
      </c>
      <c r="E998">
        <v>10</v>
      </c>
      <c r="F998">
        <v>3</v>
      </c>
      <c r="G998" t="s">
        <v>58</v>
      </c>
      <c r="H998">
        <v>1</v>
      </c>
      <c r="I998">
        <v>1403</v>
      </c>
      <c r="J998">
        <v>4</v>
      </c>
      <c r="K998" t="s">
        <v>38</v>
      </c>
      <c r="L998">
        <v>98</v>
      </c>
      <c r="M998">
        <v>2</v>
      </c>
      <c r="N998">
        <v>2</v>
      </c>
      <c r="O998" t="s">
        <v>39</v>
      </c>
      <c r="P998">
        <v>4</v>
      </c>
      <c r="Q998" t="s">
        <v>47</v>
      </c>
      <c r="R998">
        <v>5769</v>
      </c>
      <c r="S998">
        <v>7100</v>
      </c>
      <c r="T998">
        <v>1</v>
      </c>
      <c r="U998" t="s">
        <v>41</v>
      </c>
      <c r="V998" t="s">
        <v>34</v>
      </c>
      <c r="W998">
        <v>11</v>
      </c>
      <c r="X998">
        <v>3</v>
      </c>
      <c r="Y998">
        <v>4</v>
      </c>
      <c r="Z998">
        <v>80</v>
      </c>
      <c r="AA998">
        <v>0</v>
      </c>
      <c r="AB998">
        <v>6</v>
      </c>
      <c r="AC998">
        <v>3</v>
      </c>
      <c r="AD998">
        <v>3</v>
      </c>
      <c r="AE998">
        <v>6</v>
      </c>
      <c r="AF998">
        <v>2</v>
      </c>
      <c r="AG998">
        <v>4</v>
      </c>
      <c r="AH998">
        <v>4</v>
      </c>
    </row>
    <row r="999" spans="1:34" x14ac:dyDescent="0.2">
      <c r="A999">
        <v>27</v>
      </c>
      <c r="B999" t="s">
        <v>34</v>
      </c>
      <c r="C999" t="s">
        <v>35</v>
      </c>
      <c r="D999" t="s">
        <v>44</v>
      </c>
      <c r="E999">
        <v>17</v>
      </c>
      <c r="F999">
        <v>4</v>
      </c>
      <c r="G999" t="s">
        <v>37</v>
      </c>
      <c r="H999">
        <v>1</v>
      </c>
      <c r="I999">
        <v>1405</v>
      </c>
      <c r="J999">
        <v>4</v>
      </c>
      <c r="K999" t="s">
        <v>38</v>
      </c>
      <c r="L999">
        <v>51</v>
      </c>
      <c r="M999">
        <v>3</v>
      </c>
      <c r="N999">
        <v>1</v>
      </c>
      <c r="O999" t="s">
        <v>46</v>
      </c>
      <c r="P999">
        <v>3</v>
      </c>
      <c r="Q999" t="s">
        <v>40</v>
      </c>
      <c r="R999">
        <v>2394</v>
      </c>
      <c r="S999">
        <v>25681</v>
      </c>
      <c r="T999">
        <v>1</v>
      </c>
      <c r="U999" t="s">
        <v>41</v>
      </c>
      <c r="V999" t="s">
        <v>34</v>
      </c>
      <c r="W999">
        <v>13</v>
      </c>
      <c r="X999">
        <v>3</v>
      </c>
      <c r="Y999">
        <v>4</v>
      </c>
      <c r="Z999">
        <v>80</v>
      </c>
      <c r="AA999">
        <v>0</v>
      </c>
      <c r="AB999">
        <v>8</v>
      </c>
      <c r="AC999">
        <v>2</v>
      </c>
      <c r="AD999">
        <v>3</v>
      </c>
      <c r="AE999">
        <v>8</v>
      </c>
      <c r="AF999">
        <v>2</v>
      </c>
      <c r="AG999">
        <v>7</v>
      </c>
      <c r="AH999">
        <v>7</v>
      </c>
    </row>
    <row r="1000" spans="1:34" x14ac:dyDescent="0.2">
      <c r="A1000">
        <v>26</v>
      </c>
      <c r="B1000" t="s">
        <v>42</v>
      </c>
      <c r="C1000" t="s">
        <v>35</v>
      </c>
      <c r="D1000" t="s">
        <v>44</v>
      </c>
      <c r="E1000">
        <v>2</v>
      </c>
      <c r="F1000">
        <v>1</v>
      </c>
      <c r="G1000" t="s">
        <v>50</v>
      </c>
      <c r="H1000">
        <v>1</v>
      </c>
      <c r="I1000">
        <v>1407</v>
      </c>
      <c r="J1000">
        <v>1</v>
      </c>
      <c r="K1000" t="s">
        <v>45</v>
      </c>
      <c r="L1000">
        <v>36</v>
      </c>
      <c r="M1000">
        <v>2</v>
      </c>
      <c r="N1000">
        <v>1</v>
      </c>
      <c r="O1000" t="s">
        <v>46</v>
      </c>
      <c r="P1000">
        <v>4</v>
      </c>
      <c r="Q1000" t="s">
        <v>40</v>
      </c>
      <c r="R1000">
        <v>3904</v>
      </c>
      <c r="S1000">
        <v>4050</v>
      </c>
      <c r="T1000">
        <v>0</v>
      </c>
      <c r="U1000" t="s">
        <v>41</v>
      </c>
      <c r="V1000" t="s">
        <v>42</v>
      </c>
      <c r="W1000">
        <v>12</v>
      </c>
      <c r="X1000">
        <v>3</v>
      </c>
      <c r="Y1000">
        <v>4</v>
      </c>
      <c r="Z1000">
        <v>80</v>
      </c>
      <c r="AA1000">
        <v>0</v>
      </c>
      <c r="AB1000">
        <v>5</v>
      </c>
      <c r="AC1000">
        <v>2</v>
      </c>
      <c r="AD1000">
        <v>3</v>
      </c>
      <c r="AE1000">
        <v>4</v>
      </c>
      <c r="AF1000">
        <v>3</v>
      </c>
      <c r="AG1000">
        <v>1</v>
      </c>
      <c r="AH1000">
        <v>1</v>
      </c>
    </row>
    <row r="1001" spans="1:34" x14ac:dyDescent="0.2">
      <c r="A1001">
        <v>42</v>
      </c>
      <c r="B1001" t="s">
        <v>42</v>
      </c>
      <c r="C1001" t="s">
        <v>35</v>
      </c>
      <c r="D1001" t="s">
        <v>60</v>
      </c>
      <c r="E1001">
        <v>10</v>
      </c>
      <c r="F1001">
        <v>3</v>
      </c>
      <c r="G1001" t="s">
        <v>60</v>
      </c>
      <c r="H1001">
        <v>1</v>
      </c>
      <c r="I1001">
        <v>1408</v>
      </c>
      <c r="J1001">
        <v>3</v>
      </c>
      <c r="K1001" t="s">
        <v>38</v>
      </c>
      <c r="L1001">
        <v>31</v>
      </c>
      <c r="M1001">
        <v>3</v>
      </c>
      <c r="N1001">
        <v>4</v>
      </c>
      <c r="O1001" t="s">
        <v>55</v>
      </c>
      <c r="P1001">
        <v>1</v>
      </c>
      <c r="Q1001" t="s">
        <v>47</v>
      </c>
      <c r="R1001">
        <v>16799</v>
      </c>
      <c r="S1001">
        <v>16616</v>
      </c>
      <c r="T1001">
        <v>0</v>
      </c>
      <c r="U1001" t="s">
        <v>41</v>
      </c>
      <c r="V1001" t="s">
        <v>42</v>
      </c>
      <c r="W1001">
        <v>14</v>
      </c>
      <c r="X1001">
        <v>3</v>
      </c>
      <c r="Y1001">
        <v>3</v>
      </c>
      <c r="Z1001">
        <v>80</v>
      </c>
      <c r="AA1001">
        <v>1</v>
      </c>
      <c r="AB1001">
        <v>21</v>
      </c>
      <c r="AC1001">
        <v>5</v>
      </c>
      <c r="AD1001">
        <v>3</v>
      </c>
      <c r="AE1001">
        <v>20</v>
      </c>
      <c r="AF1001">
        <v>7</v>
      </c>
      <c r="AG1001">
        <v>0</v>
      </c>
      <c r="AH1001">
        <v>9</v>
      </c>
    </row>
    <row r="1002" spans="1:34" x14ac:dyDescent="0.2">
      <c r="A1002">
        <v>52</v>
      </c>
      <c r="B1002" t="s">
        <v>42</v>
      </c>
      <c r="C1002" t="s">
        <v>35</v>
      </c>
      <c r="D1002" t="s">
        <v>44</v>
      </c>
      <c r="E1002">
        <v>8</v>
      </c>
      <c r="F1002">
        <v>4</v>
      </c>
      <c r="G1002" t="s">
        <v>48</v>
      </c>
      <c r="H1002">
        <v>1</v>
      </c>
      <c r="I1002">
        <v>1409</v>
      </c>
      <c r="J1002">
        <v>3</v>
      </c>
      <c r="K1002" t="s">
        <v>38</v>
      </c>
      <c r="L1002">
        <v>54</v>
      </c>
      <c r="M1002">
        <v>3</v>
      </c>
      <c r="N1002">
        <v>1</v>
      </c>
      <c r="O1002" t="s">
        <v>49</v>
      </c>
      <c r="P1002">
        <v>1</v>
      </c>
      <c r="Q1002" t="s">
        <v>47</v>
      </c>
      <c r="R1002">
        <v>2950</v>
      </c>
      <c r="S1002">
        <v>17363</v>
      </c>
      <c r="T1002">
        <v>9</v>
      </c>
      <c r="U1002" t="s">
        <v>41</v>
      </c>
      <c r="V1002" t="s">
        <v>42</v>
      </c>
      <c r="W1002">
        <v>13</v>
      </c>
      <c r="X1002">
        <v>3</v>
      </c>
      <c r="Y1002">
        <v>3</v>
      </c>
      <c r="Z1002">
        <v>80</v>
      </c>
      <c r="AA1002">
        <v>0</v>
      </c>
      <c r="AB1002">
        <v>12</v>
      </c>
      <c r="AC1002">
        <v>2</v>
      </c>
      <c r="AD1002">
        <v>1</v>
      </c>
      <c r="AE1002">
        <v>5</v>
      </c>
      <c r="AF1002">
        <v>4</v>
      </c>
      <c r="AG1002">
        <v>0</v>
      </c>
      <c r="AH1002">
        <v>4</v>
      </c>
    </row>
    <row r="1003" spans="1:34" x14ac:dyDescent="0.2">
      <c r="A1003">
        <v>37</v>
      </c>
      <c r="B1003" t="s">
        <v>42</v>
      </c>
      <c r="C1003" t="s">
        <v>35</v>
      </c>
      <c r="D1003" t="s">
        <v>44</v>
      </c>
      <c r="E1003">
        <v>11</v>
      </c>
      <c r="F1003">
        <v>3</v>
      </c>
      <c r="G1003" t="s">
        <v>50</v>
      </c>
      <c r="H1003">
        <v>1</v>
      </c>
      <c r="I1003">
        <v>1411</v>
      </c>
      <c r="J1003">
        <v>1</v>
      </c>
      <c r="K1003" t="s">
        <v>38</v>
      </c>
      <c r="L1003">
        <v>94</v>
      </c>
      <c r="M1003">
        <v>3</v>
      </c>
      <c r="N1003">
        <v>1</v>
      </c>
      <c r="O1003" t="s">
        <v>49</v>
      </c>
      <c r="P1003">
        <v>3</v>
      </c>
      <c r="Q1003" t="s">
        <v>40</v>
      </c>
      <c r="R1003">
        <v>3629</v>
      </c>
      <c r="S1003">
        <v>19106</v>
      </c>
      <c r="T1003">
        <v>4</v>
      </c>
      <c r="U1003" t="s">
        <v>41</v>
      </c>
      <c r="V1003" t="s">
        <v>42</v>
      </c>
      <c r="W1003">
        <v>18</v>
      </c>
      <c r="X1003">
        <v>3</v>
      </c>
      <c r="Y1003">
        <v>1</v>
      </c>
      <c r="Z1003">
        <v>80</v>
      </c>
      <c r="AA1003">
        <v>0</v>
      </c>
      <c r="AB1003">
        <v>8</v>
      </c>
      <c r="AC1003">
        <v>6</v>
      </c>
      <c r="AD1003">
        <v>3</v>
      </c>
      <c r="AE1003">
        <v>3</v>
      </c>
      <c r="AF1003">
        <v>2</v>
      </c>
      <c r="AG1003">
        <v>0</v>
      </c>
      <c r="AH1003">
        <v>2</v>
      </c>
    </row>
    <row r="1004" spans="1:34" x14ac:dyDescent="0.2">
      <c r="A1004">
        <v>35</v>
      </c>
      <c r="B1004" t="s">
        <v>42</v>
      </c>
      <c r="C1004" t="s">
        <v>43</v>
      </c>
      <c r="D1004" t="s">
        <v>44</v>
      </c>
      <c r="E1004">
        <v>18</v>
      </c>
      <c r="F1004">
        <v>2</v>
      </c>
      <c r="G1004" t="s">
        <v>37</v>
      </c>
      <c r="H1004">
        <v>1</v>
      </c>
      <c r="I1004">
        <v>1412</v>
      </c>
      <c r="J1004">
        <v>3</v>
      </c>
      <c r="K1004" t="s">
        <v>45</v>
      </c>
      <c r="L1004">
        <v>60</v>
      </c>
      <c r="M1004">
        <v>3</v>
      </c>
      <c r="N1004">
        <v>3</v>
      </c>
      <c r="O1004" t="s">
        <v>52</v>
      </c>
      <c r="P1004">
        <v>4</v>
      </c>
      <c r="Q1004" t="s">
        <v>40</v>
      </c>
      <c r="R1004">
        <v>9362</v>
      </c>
      <c r="S1004">
        <v>19944</v>
      </c>
      <c r="T1004">
        <v>2</v>
      </c>
      <c r="U1004" t="s">
        <v>41</v>
      </c>
      <c r="V1004" t="s">
        <v>42</v>
      </c>
      <c r="W1004">
        <v>11</v>
      </c>
      <c r="X1004">
        <v>3</v>
      </c>
      <c r="Y1004">
        <v>3</v>
      </c>
      <c r="Z1004">
        <v>80</v>
      </c>
      <c r="AA1004">
        <v>0</v>
      </c>
      <c r="AB1004">
        <v>10</v>
      </c>
      <c r="AC1004">
        <v>2</v>
      </c>
      <c r="AD1004">
        <v>3</v>
      </c>
      <c r="AE1004">
        <v>2</v>
      </c>
      <c r="AF1004">
        <v>2</v>
      </c>
      <c r="AG1004">
        <v>2</v>
      </c>
      <c r="AH1004">
        <v>2</v>
      </c>
    </row>
    <row r="1005" spans="1:34" x14ac:dyDescent="0.2">
      <c r="A1005">
        <v>25</v>
      </c>
      <c r="B1005" t="s">
        <v>42</v>
      </c>
      <c r="C1005" t="s">
        <v>35</v>
      </c>
      <c r="D1005" t="s">
        <v>44</v>
      </c>
      <c r="E1005">
        <v>1</v>
      </c>
      <c r="F1005">
        <v>3</v>
      </c>
      <c r="G1005" t="s">
        <v>59</v>
      </c>
      <c r="H1005">
        <v>1</v>
      </c>
      <c r="I1005">
        <v>1415</v>
      </c>
      <c r="J1005">
        <v>1</v>
      </c>
      <c r="K1005" t="s">
        <v>45</v>
      </c>
      <c r="L1005">
        <v>81</v>
      </c>
      <c r="M1005">
        <v>3</v>
      </c>
      <c r="N1005">
        <v>1</v>
      </c>
      <c r="O1005" t="s">
        <v>49</v>
      </c>
      <c r="P1005">
        <v>4</v>
      </c>
      <c r="Q1005" t="s">
        <v>47</v>
      </c>
      <c r="R1005">
        <v>3229</v>
      </c>
      <c r="S1005">
        <v>4910</v>
      </c>
      <c r="T1005">
        <v>4</v>
      </c>
      <c r="U1005" t="s">
        <v>41</v>
      </c>
      <c r="V1005" t="s">
        <v>42</v>
      </c>
      <c r="W1005">
        <v>11</v>
      </c>
      <c r="X1005">
        <v>3</v>
      </c>
      <c r="Y1005">
        <v>2</v>
      </c>
      <c r="Z1005">
        <v>80</v>
      </c>
      <c r="AA1005">
        <v>1</v>
      </c>
      <c r="AB1005">
        <v>7</v>
      </c>
      <c r="AC1005">
        <v>2</v>
      </c>
      <c r="AD1005">
        <v>2</v>
      </c>
      <c r="AE1005">
        <v>3</v>
      </c>
      <c r="AF1005">
        <v>2</v>
      </c>
      <c r="AG1005">
        <v>0</v>
      </c>
      <c r="AH1005">
        <v>2</v>
      </c>
    </row>
    <row r="1006" spans="1:34" x14ac:dyDescent="0.2">
      <c r="A1006">
        <v>26</v>
      </c>
      <c r="B1006" t="s">
        <v>42</v>
      </c>
      <c r="C1006" t="s">
        <v>35</v>
      </c>
      <c r="D1006" t="s">
        <v>44</v>
      </c>
      <c r="E1006">
        <v>7</v>
      </c>
      <c r="F1006">
        <v>3</v>
      </c>
      <c r="G1006" t="s">
        <v>48</v>
      </c>
      <c r="H1006">
        <v>1</v>
      </c>
      <c r="I1006">
        <v>1417</v>
      </c>
      <c r="J1006">
        <v>3</v>
      </c>
      <c r="K1006" t="s">
        <v>45</v>
      </c>
      <c r="L1006">
        <v>100</v>
      </c>
      <c r="M1006">
        <v>4</v>
      </c>
      <c r="N1006">
        <v>1</v>
      </c>
      <c r="O1006" t="s">
        <v>49</v>
      </c>
      <c r="P1006">
        <v>1</v>
      </c>
      <c r="Q1006" t="s">
        <v>40</v>
      </c>
      <c r="R1006">
        <v>3578</v>
      </c>
      <c r="S1006">
        <v>23577</v>
      </c>
      <c r="T1006">
        <v>0</v>
      </c>
      <c r="U1006" t="s">
        <v>41</v>
      </c>
      <c r="V1006" t="s">
        <v>42</v>
      </c>
      <c r="W1006">
        <v>12</v>
      </c>
      <c r="X1006">
        <v>3</v>
      </c>
      <c r="Y1006">
        <v>4</v>
      </c>
      <c r="Z1006">
        <v>80</v>
      </c>
      <c r="AA1006">
        <v>0</v>
      </c>
      <c r="AB1006">
        <v>8</v>
      </c>
      <c r="AC1006">
        <v>2</v>
      </c>
      <c r="AD1006">
        <v>3</v>
      </c>
      <c r="AE1006">
        <v>7</v>
      </c>
      <c r="AF1006">
        <v>7</v>
      </c>
      <c r="AG1006">
        <v>0</v>
      </c>
      <c r="AH1006">
        <v>7</v>
      </c>
    </row>
    <row r="1007" spans="1:34" x14ac:dyDescent="0.2">
      <c r="A1007">
        <v>29</v>
      </c>
      <c r="B1007" t="s">
        <v>42</v>
      </c>
      <c r="C1007" t="s">
        <v>35</v>
      </c>
      <c r="D1007" t="s">
        <v>60</v>
      </c>
      <c r="E1007">
        <v>17</v>
      </c>
      <c r="F1007">
        <v>3</v>
      </c>
      <c r="G1007" t="s">
        <v>48</v>
      </c>
      <c r="H1007">
        <v>1</v>
      </c>
      <c r="I1007">
        <v>1419</v>
      </c>
      <c r="J1007">
        <v>2</v>
      </c>
      <c r="K1007" t="s">
        <v>45</v>
      </c>
      <c r="L1007">
        <v>51</v>
      </c>
      <c r="M1007">
        <v>2</v>
      </c>
      <c r="N1007">
        <v>3</v>
      </c>
      <c r="O1007" t="s">
        <v>60</v>
      </c>
      <c r="P1007">
        <v>1</v>
      </c>
      <c r="Q1007" t="s">
        <v>40</v>
      </c>
      <c r="R1007">
        <v>7988</v>
      </c>
      <c r="S1007">
        <v>9769</v>
      </c>
      <c r="T1007">
        <v>1</v>
      </c>
      <c r="U1007" t="s">
        <v>41</v>
      </c>
      <c r="V1007" t="s">
        <v>42</v>
      </c>
      <c r="W1007">
        <v>13</v>
      </c>
      <c r="X1007">
        <v>3</v>
      </c>
      <c r="Y1007">
        <v>1</v>
      </c>
      <c r="Z1007">
        <v>80</v>
      </c>
      <c r="AA1007">
        <v>0</v>
      </c>
      <c r="AB1007">
        <v>10</v>
      </c>
      <c r="AC1007">
        <v>3</v>
      </c>
      <c r="AD1007">
        <v>2</v>
      </c>
      <c r="AE1007">
        <v>10</v>
      </c>
      <c r="AF1007">
        <v>9</v>
      </c>
      <c r="AG1007">
        <v>0</v>
      </c>
      <c r="AH1007">
        <v>9</v>
      </c>
    </row>
    <row r="1008" spans="1:34" x14ac:dyDescent="0.2">
      <c r="A1008">
        <v>49</v>
      </c>
      <c r="B1008" t="s">
        <v>34</v>
      </c>
      <c r="C1008" t="s">
        <v>43</v>
      </c>
      <c r="D1008" t="s">
        <v>44</v>
      </c>
      <c r="E1008">
        <v>28</v>
      </c>
      <c r="F1008">
        <v>2</v>
      </c>
      <c r="G1008" t="s">
        <v>37</v>
      </c>
      <c r="H1008">
        <v>1</v>
      </c>
      <c r="I1008">
        <v>1420</v>
      </c>
      <c r="J1008">
        <v>1</v>
      </c>
      <c r="K1008" t="s">
        <v>45</v>
      </c>
      <c r="L1008">
        <v>97</v>
      </c>
      <c r="M1008">
        <v>2</v>
      </c>
      <c r="N1008">
        <v>2</v>
      </c>
      <c r="O1008" t="s">
        <v>49</v>
      </c>
      <c r="P1008">
        <v>1</v>
      </c>
      <c r="Q1008" t="s">
        <v>40</v>
      </c>
      <c r="R1008">
        <v>4284</v>
      </c>
      <c r="S1008">
        <v>22710</v>
      </c>
      <c r="T1008">
        <v>3</v>
      </c>
      <c r="U1008" t="s">
        <v>41</v>
      </c>
      <c r="V1008" t="s">
        <v>42</v>
      </c>
      <c r="W1008">
        <v>20</v>
      </c>
      <c r="X1008">
        <v>4</v>
      </c>
      <c r="Y1008">
        <v>1</v>
      </c>
      <c r="Z1008">
        <v>80</v>
      </c>
      <c r="AA1008">
        <v>0</v>
      </c>
      <c r="AB1008">
        <v>20</v>
      </c>
      <c r="AC1008">
        <v>2</v>
      </c>
      <c r="AD1008">
        <v>3</v>
      </c>
      <c r="AE1008">
        <v>4</v>
      </c>
      <c r="AF1008">
        <v>3</v>
      </c>
      <c r="AG1008">
        <v>1</v>
      </c>
      <c r="AH1008">
        <v>3</v>
      </c>
    </row>
    <row r="1009" spans="1:34" x14ac:dyDescent="0.2">
      <c r="A1009">
        <v>29</v>
      </c>
      <c r="B1009" t="s">
        <v>34</v>
      </c>
      <c r="C1009" t="s">
        <v>43</v>
      </c>
      <c r="D1009" t="s">
        <v>44</v>
      </c>
      <c r="E1009">
        <v>14</v>
      </c>
      <c r="F1009">
        <v>1</v>
      </c>
      <c r="G1009" t="s">
        <v>48</v>
      </c>
      <c r="H1009">
        <v>1</v>
      </c>
      <c r="I1009">
        <v>1421</v>
      </c>
      <c r="J1009">
        <v>3</v>
      </c>
      <c r="K1009" t="s">
        <v>38</v>
      </c>
      <c r="L1009">
        <v>84</v>
      </c>
      <c r="M1009">
        <v>3</v>
      </c>
      <c r="N1009">
        <v>3</v>
      </c>
      <c r="O1009" t="s">
        <v>53</v>
      </c>
      <c r="P1009">
        <v>4</v>
      </c>
      <c r="Q1009" t="s">
        <v>40</v>
      </c>
      <c r="R1009">
        <v>7553</v>
      </c>
      <c r="S1009">
        <v>22930</v>
      </c>
      <c r="T1009">
        <v>0</v>
      </c>
      <c r="U1009" t="s">
        <v>41</v>
      </c>
      <c r="V1009" t="s">
        <v>34</v>
      </c>
      <c r="W1009">
        <v>12</v>
      </c>
      <c r="X1009">
        <v>3</v>
      </c>
      <c r="Y1009">
        <v>1</v>
      </c>
      <c r="Z1009">
        <v>80</v>
      </c>
      <c r="AA1009">
        <v>0</v>
      </c>
      <c r="AB1009">
        <v>9</v>
      </c>
      <c r="AC1009">
        <v>1</v>
      </c>
      <c r="AD1009">
        <v>3</v>
      </c>
      <c r="AE1009">
        <v>8</v>
      </c>
      <c r="AF1009">
        <v>7</v>
      </c>
      <c r="AG1009">
        <v>7</v>
      </c>
      <c r="AH1009">
        <v>7</v>
      </c>
    </row>
    <row r="1010" spans="1:34" x14ac:dyDescent="0.2">
      <c r="A1010">
        <v>54</v>
      </c>
      <c r="B1010" t="s">
        <v>42</v>
      </c>
      <c r="C1010" t="s">
        <v>35</v>
      </c>
      <c r="D1010" t="s">
        <v>44</v>
      </c>
      <c r="E1010">
        <v>1</v>
      </c>
      <c r="F1010">
        <v>3</v>
      </c>
      <c r="G1010" t="s">
        <v>50</v>
      </c>
      <c r="H1010">
        <v>1</v>
      </c>
      <c r="I1010">
        <v>1422</v>
      </c>
      <c r="J1010">
        <v>4</v>
      </c>
      <c r="K1010" t="s">
        <v>38</v>
      </c>
      <c r="L1010">
        <v>54</v>
      </c>
      <c r="M1010">
        <v>3</v>
      </c>
      <c r="N1010">
        <v>4</v>
      </c>
      <c r="O1010" t="s">
        <v>57</v>
      </c>
      <c r="P1010">
        <v>4</v>
      </c>
      <c r="Q1010" t="s">
        <v>40</v>
      </c>
      <c r="R1010">
        <v>17328</v>
      </c>
      <c r="S1010">
        <v>5652</v>
      </c>
      <c r="T1010">
        <v>6</v>
      </c>
      <c r="U1010" t="s">
        <v>41</v>
      </c>
      <c r="V1010" t="s">
        <v>42</v>
      </c>
      <c r="W1010">
        <v>19</v>
      </c>
      <c r="X1010">
        <v>3</v>
      </c>
      <c r="Y1010">
        <v>4</v>
      </c>
      <c r="Z1010">
        <v>80</v>
      </c>
      <c r="AA1010">
        <v>0</v>
      </c>
      <c r="AB1010">
        <v>29</v>
      </c>
      <c r="AC1010">
        <v>3</v>
      </c>
      <c r="AD1010">
        <v>2</v>
      </c>
      <c r="AE1010">
        <v>20</v>
      </c>
      <c r="AF1010">
        <v>7</v>
      </c>
      <c r="AG1010">
        <v>12</v>
      </c>
      <c r="AH1010">
        <v>7</v>
      </c>
    </row>
    <row r="1011" spans="1:34" x14ac:dyDescent="0.2">
      <c r="A1011">
        <v>58</v>
      </c>
      <c r="B1011" t="s">
        <v>42</v>
      </c>
      <c r="C1011" t="s">
        <v>35</v>
      </c>
      <c r="D1011" t="s">
        <v>44</v>
      </c>
      <c r="E1011">
        <v>1</v>
      </c>
      <c r="F1011">
        <v>3</v>
      </c>
      <c r="G1011" t="s">
        <v>50</v>
      </c>
      <c r="H1011">
        <v>1</v>
      </c>
      <c r="I1011">
        <v>1423</v>
      </c>
      <c r="J1011">
        <v>4</v>
      </c>
      <c r="K1011" t="s">
        <v>38</v>
      </c>
      <c r="L1011">
        <v>76</v>
      </c>
      <c r="M1011">
        <v>3</v>
      </c>
      <c r="N1011">
        <v>5</v>
      </c>
      <c r="O1011" t="s">
        <v>57</v>
      </c>
      <c r="P1011">
        <v>1</v>
      </c>
      <c r="Q1011" t="s">
        <v>47</v>
      </c>
      <c r="R1011">
        <v>19701</v>
      </c>
      <c r="S1011">
        <v>22456</v>
      </c>
      <c r="T1011">
        <v>3</v>
      </c>
      <c r="U1011" t="s">
        <v>41</v>
      </c>
      <c r="V1011" t="s">
        <v>34</v>
      </c>
      <c r="W1011">
        <v>21</v>
      </c>
      <c r="X1011">
        <v>4</v>
      </c>
      <c r="Y1011">
        <v>3</v>
      </c>
      <c r="Z1011">
        <v>80</v>
      </c>
      <c r="AA1011">
        <v>1</v>
      </c>
      <c r="AB1011">
        <v>32</v>
      </c>
      <c r="AC1011">
        <v>3</v>
      </c>
      <c r="AD1011">
        <v>3</v>
      </c>
      <c r="AE1011">
        <v>9</v>
      </c>
      <c r="AF1011">
        <v>8</v>
      </c>
      <c r="AG1011">
        <v>1</v>
      </c>
      <c r="AH1011">
        <v>5</v>
      </c>
    </row>
    <row r="1012" spans="1:34" x14ac:dyDescent="0.2">
      <c r="A1012">
        <v>55</v>
      </c>
      <c r="B1012" t="s">
        <v>42</v>
      </c>
      <c r="C1012" t="s">
        <v>35</v>
      </c>
      <c r="D1012" t="s">
        <v>44</v>
      </c>
      <c r="E1012">
        <v>1</v>
      </c>
      <c r="F1012">
        <v>4</v>
      </c>
      <c r="G1012" t="s">
        <v>50</v>
      </c>
      <c r="H1012">
        <v>1</v>
      </c>
      <c r="I1012">
        <v>1424</v>
      </c>
      <c r="J1012">
        <v>2</v>
      </c>
      <c r="K1012" t="s">
        <v>45</v>
      </c>
      <c r="L1012">
        <v>81</v>
      </c>
      <c r="M1012">
        <v>4</v>
      </c>
      <c r="N1012">
        <v>4</v>
      </c>
      <c r="O1012" t="s">
        <v>57</v>
      </c>
      <c r="P1012">
        <v>4</v>
      </c>
      <c r="Q1012" t="s">
        <v>51</v>
      </c>
      <c r="R1012">
        <v>14732</v>
      </c>
      <c r="S1012">
        <v>12414</v>
      </c>
      <c r="T1012">
        <v>2</v>
      </c>
      <c r="U1012" t="s">
        <v>41</v>
      </c>
      <c r="V1012" t="s">
        <v>42</v>
      </c>
      <c r="W1012">
        <v>13</v>
      </c>
      <c r="X1012">
        <v>3</v>
      </c>
      <c r="Y1012">
        <v>4</v>
      </c>
      <c r="Z1012">
        <v>80</v>
      </c>
      <c r="AA1012">
        <v>2</v>
      </c>
      <c r="AB1012">
        <v>31</v>
      </c>
      <c r="AC1012">
        <v>4</v>
      </c>
      <c r="AD1012">
        <v>4</v>
      </c>
      <c r="AE1012">
        <v>7</v>
      </c>
      <c r="AF1012">
        <v>7</v>
      </c>
      <c r="AG1012">
        <v>0</v>
      </c>
      <c r="AH1012">
        <v>0</v>
      </c>
    </row>
    <row r="1013" spans="1:34" x14ac:dyDescent="0.2">
      <c r="A1013">
        <v>36</v>
      </c>
      <c r="B1013" t="s">
        <v>42</v>
      </c>
      <c r="C1013" t="s">
        <v>35</v>
      </c>
      <c r="D1013" t="s">
        <v>36</v>
      </c>
      <c r="E1013">
        <v>3</v>
      </c>
      <c r="F1013">
        <v>4</v>
      </c>
      <c r="G1013" t="s">
        <v>58</v>
      </c>
      <c r="H1013">
        <v>1</v>
      </c>
      <c r="I1013">
        <v>1425</v>
      </c>
      <c r="J1013">
        <v>1</v>
      </c>
      <c r="K1013" t="s">
        <v>38</v>
      </c>
      <c r="L1013">
        <v>99</v>
      </c>
      <c r="M1013">
        <v>3</v>
      </c>
      <c r="N1013">
        <v>2</v>
      </c>
      <c r="O1013" t="s">
        <v>39</v>
      </c>
      <c r="P1013">
        <v>2</v>
      </c>
      <c r="Q1013" t="s">
        <v>40</v>
      </c>
      <c r="R1013">
        <v>9278</v>
      </c>
      <c r="S1013">
        <v>20763</v>
      </c>
      <c r="T1013">
        <v>3</v>
      </c>
      <c r="U1013" t="s">
        <v>41</v>
      </c>
      <c r="V1013" t="s">
        <v>34</v>
      </c>
      <c r="W1013">
        <v>16</v>
      </c>
      <c r="X1013">
        <v>3</v>
      </c>
      <c r="Y1013">
        <v>4</v>
      </c>
      <c r="Z1013">
        <v>80</v>
      </c>
      <c r="AA1013">
        <v>0</v>
      </c>
      <c r="AB1013">
        <v>15</v>
      </c>
      <c r="AC1013">
        <v>3</v>
      </c>
      <c r="AD1013">
        <v>3</v>
      </c>
      <c r="AE1013">
        <v>5</v>
      </c>
      <c r="AF1013">
        <v>4</v>
      </c>
      <c r="AG1013">
        <v>0</v>
      </c>
      <c r="AH1013">
        <v>1</v>
      </c>
    </row>
    <row r="1014" spans="1:34" x14ac:dyDescent="0.2">
      <c r="A1014">
        <v>31</v>
      </c>
      <c r="B1014" t="s">
        <v>34</v>
      </c>
      <c r="C1014" t="s">
        <v>43</v>
      </c>
      <c r="D1014" t="s">
        <v>36</v>
      </c>
      <c r="E1014">
        <v>1</v>
      </c>
      <c r="F1014">
        <v>4</v>
      </c>
      <c r="G1014" t="s">
        <v>37</v>
      </c>
      <c r="H1014">
        <v>1</v>
      </c>
      <c r="I1014">
        <v>1427</v>
      </c>
      <c r="J1014">
        <v>2</v>
      </c>
      <c r="K1014" t="s">
        <v>38</v>
      </c>
      <c r="L1014">
        <v>50</v>
      </c>
      <c r="M1014">
        <v>1</v>
      </c>
      <c r="N1014">
        <v>1</v>
      </c>
      <c r="O1014" t="s">
        <v>56</v>
      </c>
      <c r="P1014">
        <v>3</v>
      </c>
      <c r="Q1014" t="s">
        <v>40</v>
      </c>
      <c r="R1014">
        <v>1359</v>
      </c>
      <c r="S1014">
        <v>16154</v>
      </c>
      <c r="T1014">
        <v>1</v>
      </c>
      <c r="U1014" t="s">
        <v>41</v>
      </c>
      <c r="V1014" t="s">
        <v>42</v>
      </c>
      <c r="W1014">
        <v>12</v>
      </c>
      <c r="X1014">
        <v>3</v>
      </c>
      <c r="Y1014">
        <v>2</v>
      </c>
      <c r="Z1014">
        <v>80</v>
      </c>
      <c r="AA1014">
        <v>0</v>
      </c>
      <c r="AB1014">
        <v>1</v>
      </c>
      <c r="AC1014">
        <v>3</v>
      </c>
      <c r="AD1014">
        <v>3</v>
      </c>
      <c r="AE1014">
        <v>1</v>
      </c>
      <c r="AF1014">
        <v>0</v>
      </c>
      <c r="AG1014">
        <v>0</v>
      </c>
      <c r="AH1014">
        <v>0</v>
      </c>
    </row>
    <row r="1015" spans="1:34" x14ac:dyDescent="0.2">
      <c r="A1015">
        <v>30</v>
      </c>
      <c r="B1015" t="s">
        <v>42</v>
      </c>
      <c r="C1015" t="s">
        <v>35</v>
      </c>
      <c r="D1015" t="s">
        <v>36</v>
      </c>
      <c r="E1015">
        <v>7</v>
      </c>
      <c r="F1015">
        <v>4</v>
      </c>
      <c r="G1015" t="s">
        <v>58</v>
      </c>
      <c r="H1015">
        <v>1</v>
      </c>
      <c r="I1015">
        <v>1428</v>
      </c>
      <c r="J1015">
        <v>4</v>
      </c>
      <c r="K1015" t="s">
        <v>38</v>
      </c>
      <c r="L1015">
        <v>73</v>
      </c>
      <c r="M1015">
        <v>3</v>
      </c>
      <c r="N1015">
        <v>2</v>
      </c>
      <c r="O1015" t="s">
        <v>39</v>
      </c>
      <c r="P1015">
        <v>1</v>
      </c>
      <c r="Q1015" t="s">
        <v>51</v>
      </c>
      <c r="R1015">
        <v>4779</v>
      </c>
      <c r="S1015">
        <v>12761</v>
      </c>
      <c r="T1015">
        <v>7</v>
      </c>
      <c r="U1015" t="s">
        <v>41</v>
      </c>
      <c r="V1015" t="s">
        <v>42</v>
      </c>
      <c r="W1015">
        <v>14</v>
      </c>
      <c r="X1015">
        <v>3</v>
      </c>
      <c r="Y1015">
        <v>2</v>
      </c>
      <c r="Z1015">
        <v>80</v>
      </c>
      <c r="AA1015">
        <v>2</v>
      </c>
      <c r="AB1015">
        <v>8</v>
      </c>
      <c r="AC1015">
        <v>3</v>
      </c>
      <c r="AD1015">
        <v>3</v>
      </c>
      <c r="AE1015">
        <v>3</v>
      </c>
      <c r="AF1015">
        <v>2</v>
      </c>
      <c r="AG1015">
        <v>0</v>
      </c>
      <c r="AH1015">
        <v>2</v>
      </c>
    </row>
    <row r="1016" spans="1:34" x14ac:dyDescent="0.2">
      <c r="A1016">
        <v>31</v>
      </c>
      <c r="B1016" t="s">
        <v>42</v>
      </c>
      <c r="C1016" t="s">
        <v>35</v>
      </c>
      <c r="D1016" t="s">
        <v>44</v>
      </c>
      <c r="E1016">
        <v>8</v>
      </c>
      <c r="F1016">
        <v>5</v>
      </c>
      <c r="G1016" t="s">
        <v>37</v>
      </c>
      <c r="H1016">
        <v>1</v>
      </c>
      <c r="I1016">
        <v>1430</v>
      </c>
      <c r="J1016">
        <v>1</v>
      </c>
      <c r="K1016" t="s">
        <v>38</v>
      </c>
      <c r="L1016">
        <v>93</v>
      </c>
      <c r="M1016">
        <v>3</v>
      </c>
      <c r="N1016">
        <v>4</v>
      </c>
      <c r="O1016" t="s">
        <v>57</v>
      </c>
      <c r="P1016">
        <v>2</v>
      </c>
      <c r="Q1016" t="s">
        <v>40</v>
      </c>
      <c r="R1016">
        <v>16422</v>
      </c>
      <c r="S1016">
        <v>8847</v>
      </c>
      <c r="T1016">
        <v>3</v>
      </c>
      <c r="U1016" t="s">
        <v>41</v>
      </c>
      <c r="V1016" t="s">
        <v>42</v>
      </c>
      <c r="W1016">
        <v>11</v>
      </c>
      <c r="X1016">
        <v>3</v>
      </c>
      <c r="Y1016">
        <v>3</v>
      </c>
      <c r="Z1016">
        <v>80</v>
      </c>
      <c r="AA1016">
        <v>0</v>
      </c>
      <c r="AB1016">
        <v>9</v>
      </c>
      <c r="AC1016">
        <v>3</v>
      </c>
      <c r="AD1016">
        <v>4</v>
      </c>
      <c r="AE1016">
        <v>3</v>
      </c>
      <c r="AF1016">
        <v>2</v>
      </c>
      <c r="AG1016">
        <v>1</v>
      </c>
      <c r="AH1016">
        <v>0</v>
      </c>
    </row>
    <row r="1017" spans="1:34" x14ac:dyDescent="0.2">
      <c r="A1017">
        <v>34</v>
      </c>
      <c r="B1017" t="s">
        <v>42</v>
      </c>
      <c r="C1017" t="s">
        <v>43</v>
      </c>
      <c r="D1017" t="s">
        <v>44</v>
      </c>
      <c r="E1017">
        <v>1</v>
      </c>
      <c r="F1017">
        <v>4</v>
      </c>
      <c r="G1017" t="s">
        <v>48</v>
      </c>
      <c r="H1017">
        <v>1</v>
      </c>
      <c r="I1017">
        <v>1431</v>
      </c>
      <c r="J1017">
        <v>4</v>
      </c>
      <c r="K1017" t="s">
        <v>45</v>
      </c>
      <c r="L1017">
        <v>91</v>
      </c>
      <c r="M1017">
        <v>3</v>
      </c>
      <c r="N1017">
        <v>1</v>
      </c>
      <c r="O1017" t="s">
        <v>46</v>
      </c>
      <c r="P1017">
        <v>1</v>
      </c>
      <c r="Q1017" t="s">
        <v>51</v>
      </c>
      <c r="R1017">
        <v>2996</v>
      </c>
      <c r="S1017">
        <v>20284</v>
      </c>
      <c r="T1017">
        <v>5</v>
      </c>
      <c r="U1017" t="s">
        <v>41</v>
      </c>
      <c r="V1017" t="s">
        <v>42</v>
      </c>
      <c r="W1017">
        <v>14</v>
      </c>
      <c r="X1017">
        <v>3</v>
      </c>
      <c r="Y1017">
        <v>3</v>
      </c>
      <c r="Z1017">
        <v>80</v>
      </c>
      <c r="AA1017">
        <v>2</v>
      </c>
      <c r="AB1017">
        <v>10</v>
      </c>
      <c r="AC1017">
        <v>2</v>
      </c>
      <c r="AD1017">
        <v>3</v>
      </c>
      <c r="AE1017">
        <v>4</v>
      </c>
      <c r="AF1017">
        <v>3</v>
      </c>
      <c r="AG1017">
        <v>1</v>
      </c>
      <c r="AH1017">
        <v>3</v>
      </c>
    </row>
    <row r="1018" spans="1:34" x14ac:dyDescent="0.2">
      <c r="A1018">
        <v>31</v>
      </c>
      <c r="B1018" t="s">
        <v>34</v>
      </c>
      <c r="C1018" t="s">
        <v>35</v>
      </c>
      <c r="D1018" t="s">
        <v>44</v>
      </c>
      <c r="E1018">
        <v>8</v>
      </c>
      <c r="F1018">
        <v>3</v>
      </c>
      <c r="G1018" t="s">
        <v>37</v>
      </c>
      <c r="H1018">
        <v>1</v>
      </c>
      <c r="I1018">
        <v>1433</v>
      </c>
      <c r="J1018">
        <v>1</v>
      </c>
      <c r="K1018" t="s">
        <v>38</v>
      </c>
      <c r="L1018">
        <v>34</v>
      </c>
      <c r="M1018">
        <v>2</v>
      </c>
      <c r="N1018">
        <v>1</v>
      </c>
      <c r="O1018" t="s">
        <v>46</v>
      </c>
      <c r="P1018">
        <v>2</v>
      </c>
      <c r="Q1018" t="s">
        <v>40</v>
      </c>
      <c r="R1018">
        <v>1261</v>
      </c>
      <c r="S1018">
        <v>22262</v>
      </c>
      <c r="T1018">
        <v>1</v>
      </c>
      <c r="U1018" t="s">
        <v>41</v>
      </c>
      <c r="V1018" t="s">
        <v>42</v>
      </c>
      <c r="W1018">
        <v>12</v>
      </c>
      <c r="X1018">
        <v>3</v>
      </c>
      <c r="Y1018">
        <v>3</v>
      </c>
      <c r="Z1018">
        <v>80</v>
      </c>
      <c r="AA1018">
        <v>0</v>
      </c>
      <c r="AB1018">
        <v>1</v>
      </c>
      <c r="AC1018">
        <v>3</v>
      </c>
      <c r="AD1018">
        <v>4</v>
      </c>
      <c r="AE1018">
        <v>1</v>
      </c>
      <c r="AF1018">
        <v>0</v>
      </c>
      <c r="AG1018">
        <v>0</v>
      </c>
      <c r="AH1018">
        <v>0</v>
      </c>
    </row>
    <row r="1019" spans="1:34" x14ac:dyDescent="0.2">
      <c r="A1019">
        <v>27</v>
      </c>
      <c r="B1019" t="s">
        <v>42</v>
      </c>
      <c r="C1019" t="s">
        <v>35</v>
      </c>
      <c r="D1019" t="s">
        <v>44</v>
      </c>
      <c r="E1019">
        <v>11</v>
      </c>
      <c r="F1019">
        <v>1</v>
      </c>
      <c r="G1019" t="s">
        <v>37</v>
      </c>
      <c r="H1019">
        <v>1</v>
      </c>
      <c r="I1019">
        <v>1434</v>
      </c>
      <c r="J1019">
        <v>2</v>
      </c>
      <c r="K1019" t="s">
        <v>45</v>
      </c>
      <c r="L1019">
        <v>91</v>
      </c>
      <c r="M1019">
        <v>3</v>
      </c>
      <c r="N1019">
        <v>1</v>
      </c>
      <c r="O1019" t="s">
        <v>49</v>
      </c>
      <c r="P1019">
        <v>1</v>
      </c>
      <c r="Q1019" t="s">
        <v>47</v>
      </c>
      <c r="R1019">
        <v>2099</v>
      </c>
      <c r="S1019">
        <v>7679</v>
      </c>
      <c r="T1019">
        <v>0</v>
      </c>
      <c r="U1019" t="s">
        <v>41</v>
      </c>
      <c r="V1019" t="s">
        <v>42</v>
      </c>
      <c r="W1019">
        <v>14</v>
      </c>
      <c r="X1019">
        <v>3</v>
      </c>
      <c r="Y1019">
        <v>2</v>
      </c>
      <c r="Z1019">
        <v>80</v>
      </c>
      <c r="AA1019">
        <v>0</v>
      </c>
      <c r="AB1019">
        <v>6</v>
      </c>
      <c r="AC1019">
        <v>3</v>
      </c>
      <c r="AD1019">
        <v>4</v>
      </c>
      <c r="AE1019">
        <v>5</v>
      </c>
      <c r="AF1019">
        <v>0</v>
      </c>
      <c r="AG1019">
        <v>1</v>
      </c>
      <c r="AH1019">
        <v>4</v>
      </c>
    </row>
    <row r="1020" spans="1:34" x14ac:dyDescent="0.2">
      <c r="A1020">
        <v>36</v>
      </c>
      <c r="B1020" t="s">
        <v>42</v>
      </c>
      <c r="C1020" t="s">
        <v>35</v>
      </c>
      <c r="D1020" t="s">
        <v>44</v>
      </c>
      <c r="E1020">
        <v>4</v>
      </c>
      <c r="F1020">
        <v>4</v>
      </c>
      <c r="G1020" t="s">
        <v>37</v>
      </c>
      <c r="H1020">
        <v>1</v>
      </c>
      <c r="I1020">
        <v>1435</v>
      </c>
      <c r="J1020">
        <v>1</v>
      </c>
      <c r="K1020" t="s">
        <v>45</v>
      </c>
      <c r="L1020">
        <v>37</v>
      </c>
      <c r="M1020">
        <v>2</v>
      </c>
      <c r="N1020">
        <v>2</v>
      </c>
      <c r="O1020" t="s">
        <v>49</v>
      </c>
      <c r="P1020">
        <v>4</v>
      </c>
      <c r="Q1020" t="s">
        <v>40</v>
      </c>
      <c r="R1020">
        <v>5810</v>
      </c>
      <c r="S1020">
        <v>22604</v>
      </c>
      <c r="T1020">
        <v>1</v>
      </c>
      <c r="U1020" t="s">
        <v>41</v>
      </c>
      <c r="V1020" t="s">
        <v>42</v>
      </c>
      <c r="W1020">
        <v>16</v>
      </c>
      <c r="X1020">
        <v>3</v>
      </c>
      <c r="Y1020">
        <v>3</v>
      </c>
      <c r="Z1020">
        <v>80</v>
      </c>
      <c r="AA1020">
        <v>0</v>
      </c>
      <c r="AB1020">
        <v>10</v>
      </c>
      <c r="AC1020">
        <v>2</v>
      </c>
      <c r="AD1020">
        <v>2</v>
      </c>
      <c r="AE1020">
        <v>10</v>
      </c>
      <c r="AF1020">
        <v>4</v>
      </c>
      <c r="AG1020">
        <v>1</v>
      </c>
      <c r="AH1020">
        <v>8</v>
      </c>
    </row>
    <row r="1021" spans="1:34" x14ac:dyDescent="0.2">
      <c r="A1021">
        <v>36</v>
      </c>
      <c r="B1021" t="s">
        <v>42</v>
      </c>
      <c r="C1021" t="s">
        <v>35</v>
      </c>
      <c r="D1021" t="s">
        <v>36</v>
      </c>
      <c r="E1021">
        <v>16</v>
      </c>
      <c r="F1021">
        <v>4</v>
      </c>
      <c r="G1021" t="s">
        <v>58</v>
      </c>
      <c r="H1021">
        <v>1</v>
      </c>
      <c r="I1021">
        <v>1436</v>
      </c>
      <c r="J1021">
        <v>3</v>
      </c>
      <c r="K1021" t="s">
        <v>38</v>
      </c>
      <c r="L1021">
        <v>98</v>
      </c>
      <c r="M1021">
        <v>2</v>
      </c>
      <c r="N1021">
        <v>2</v>
      </c>
      <c r="O1021" t="s">
        <v>39</v>
      </c>
      <c r="P1021">
        <v>1</v>
      </c>
      <c r="Q1021" t="s">
        <v>47</v>
      </c>
      <c r="R1021">
        <v>5647</v>
      </c>
      <c r="S1021">
        <v>13494</v>
      </c>
      <c r="T1021">
        <v>4</v>
      </c>
      <c r="U1021" t="s">
        <v>41</v>
      </c>
      <c r="V1021" t="s">
        <v>42</v>
      </c>
      <c r="W1021">
        <v>13</v>
      </c>
      <c r="X1021">
        <v>3</v>
      </c>
      <c r="Y1021">
        <v>1</v>
      </c>
      <c r="Z1021">
        <v>80</v>
      </c>
      <c r="AA1021">
        <v>2</v>
      </c>
      <c r="AB1021">
        <v>11</v>
      </c>
      <c r="AC1021">
        <v>3</v>
      </c>
      <c r="AD1021">
        <v>2</v>
      </c>
      <c r="AE1021">
        <v>3</v>
      </c>
      <c r="AF1021">
        <v>2</v>
      </c>
      <c r="AG1021">
        <v>0</v>
      </c>
      <c r="AH1021">
        <v>2</v>
      </c>
    </row>
    <row r="1022" spans="1:34" x14ac:dyDescent="0.2">
      <c r="A1022">
        <v>47</v>
      </c>
      <c r="B1022" t="s">
        <v>42</v>
      </c>
      <c r="C1022" t="s">
        <v>35</v>
      </c>
      <c r="D1022" t="s">
        <v>44</v>
      </c>
      <c r="E1022">
        <v>1</v>
      </c>
      <c r="F1022">
        <v>3</v>
      </c>
      <c r="G1022" t="s">
        <v>59</v>
      </c>
      <c r="H1022">
        <v>1</v>
      </c>
      <c r="I1022">
        <v>1438</v>
      </c>
      <c r="J1022">
        <v>1</v>
      </c>
      <c r="K1022" t="s">
        <v>45</v>
      </c>
      <c r="L1022">
        <v>74</v>
      </c>
      <c r="M1022">
        <v>3</v>
      </c>
      <c r="N1022">
        <v>1</v>
      </c>
      <c r="O1022" t="s">
        <v>46</v>
      </c>
      <c r="P1022">
        <v>4</v>
      </c>
      <c r="Q1022" t="s">
        <v>47</v>
      </c>
      <c r="R1022">
        <v>3420</v>
      </c>
      <c r="S1022">
        <v>10205</v>
      </c>
      <c r="T1022">
        <v>7</v>
      </c>
      <c r="U1022" t="s">
        <v>41</v>
      </c>
      <c r="V1022" t="s">
        <v>42</v>
      </c>
      <c r="W1022">
        <v>12</v>
      </c>
      <c r="X1022">
        <v>3</v>
      </c>
      <c r="Y1022">
        <v>3</v>
      </c>
      <c r="Z1022">
        <v>80</v>
      </c>
      <c r="AA1022">
        <v>1</v>
      </c>
      <c r="AB1022">
        <v>17</v>
      </c>
      <c r="AC1022">
        <v>2</v>
      </c>
      <c r="AD1022">
        <v>2</v>
      </c>
      <c r="AE1022">
        <v>6</v>
      </c>
      <c r="AF1022">
        <v>5</v>
      </c>
      <c r="AG1022">
        <v>1</v>
      </c>
      <c r="AH1022">
        <v>2</v>
      </c>
    </row>
    <row r="1023" spans="1:34" x14ac:dyDescent="0.2">
      <c r="A1023">
        <v>25</v>
      </c>
      <c r="B1023" t="s">
        <v>34</v>
      </c>
      <c r="C1023" t="s">
        <v>35</v>
      </c>
      <c r="D1023" t="s">
        <v>36</v>
      </c>
      <c r="E1023">
        <v>9</v>
      </c>
      <c r="F1023">
        <v>2</v>
      </c>
      <c r="G1023" t="s">
        <v>37</v>
      </c>
      <c r="H1023">
        <v>1</v>
      </c>
      <c r="I1023">
        <v>1439</v>
      </c>
      <c r="J1023">
        <v>1</v>
      </c>
      <c r="K1023" t="s">
        <v>45</v>
      </c>
      <c r="L1023">
        <v>68</v>
      </c>
      <c r="M1023">
        <v>2</v>
      </c>
      <c r="N1023">
        <v>1</v>
      </c>
      <c r="O1023" t="s">
        <v>56</v>
      </c>
      <c r="P1023">
        <v>1</v>
      </c>
      <c r="Q1023" t="s">
        <v>47</v>
      </c>
      <c r="R1023">
        <v>4400</v>
      </c>
      <c r="S1023">
        <v>15182</v>
      </c>
      <c r="T1023">
        <v>3</v>
      </c>
      <c r="U1023" t="s">
        <v>41</v>
      </c>
      <c r="V1023" t="s">
        <v>42</v>
      </c>
      <c r="W1023">
        <v>12</v>
      </c>
      <c r="X1023">
        <v>3</v>
      </c>
      <c r="Y1023">
        <v>1</v>
      </c>
      <c r="Z1023">
        <v>80</v>
      </c>
      <c r="AA1023">
        <v>0</v>
      </c>
      <c r="AB1023">
        <v>6</v>
      </c>
      <c r="AC1023">
        <v>2</v>
      </c>
      <c r="AD1023">
        <v>3</v>
      </c>
      <c r="AE1023">
        <v>3</v>
      </c>
      <c r="AF1023">
        <v>2</v>
      </c>
      <c r="AG1023">
        <v>2</v>
      </c>
      <c r="AH1023">
        <v>2</v>
      </c>
    </row>
    <row r="1024" spans="1:34" x14ac:dyDescent="0.2">
      <c r="A1024">
        <v>37</v>
      </c>
      <c r="B1024" t="s">
        <v>42</v>
      </c>
      <c r="C1024" t="s">
        <v>54</v>
      </c>
      <c r="D1024" t="s">
        <v>44</v>
      </c>
      <c r="E1024">
        <v>5</v>
      </c>
      <c r="F1024">
        <v>2</v>
      </c>
      <c r="G1024" t="s">
        <v>59</v>
      </c>
      <c r="H1024">
        <v>1</v>
      </c>
      <c r="I1024">
        <v>1440</v>
      </c>
      <c r="J1024">
        <v>3</v>
      </c>
      <c r="K1024" t="s">
        <v>45</v>
      </c>
      <c r="L1024">
        <v>84</v>
      </c>
      <c r="M1024">
        <v>4</v>
      </c>
      <c r="N1024">
        <v>1</v>
      </c>
      <c r="O1024" t="s">
        <v>49</v>
      </c>
      <c r="P1024">
        <v>3</v>
      </c>
      <c r="Q1024" t="s">
        <v>40</v>
      </c>
      <c r="R1024">
        <v>3500</v>
      </c>
      <c r="S1024">
        <v>25470</v>
      </c>
      <c r="T1024">
        <v>0</v>
      </c>
      <c r="U1024" t="s">
        <v>41</v>
      </c>
      <c r="V1024" t="s">
        <v>42</v>
      </c>
      <c r="W1024">
        <v>14</v>
      </c>
      <c r="X1024">
        <v>3</v>
      </c>
      <c r="Y1024">
        <v>1</v>
      </c>
      <c r="Z1024">
        <v>80</v>
      </c>
      <c r="AA1024">
        <v>0</v>
      </c>
      <c r="AB1024">
        <v>7</v>
      </c>
      <c r="AC1024">
        <v>2</v>
      </c>
      <c r="AD1024">
        <v>1</v>
      </c>
      <c r="AE1024">
        <v>6</v>
      </c>
      <c r="AF1024">
        <v>5</v>
      </c>
      <c r="AG1024">
        <v>1</v>
      </c>
      <c r="AH1024">
        <v>3</v>
      </c>
    </row>
    <row r="1025" spans="1:34" x14ac:dyDescent="0.2">
      <c r="A1025">
        <v>56</v>
      </c>
      <c r="B1025" t="s">
        <v>42</v>
      </c>
      <c r="C1025" t="s">
        <v>35</v>
      </c>
      <c r="D1025" t="s">
        <v>44</v>
      </c>
      <c r="E1025">
        <v>1</v>
      </c>
      <c r="F1025">
        <v>2</v>
      </c>
      <c r="G1025" t="s">
        <v>37</v>
      </c>
      <c r="H1025">
        <v>1</v>
      </c>
      <c r="I1025">
        <v>1441</v>
      </c>
      <c r="J1025">
        <v>1</v>
      </c>
      <c r="K1025" t="s">
        <v>38</v>
      </c>
      <c r="L1025">
        <v>90</v>
      </c>
      <c r="M1025">
        <v>3</v>
      </c>
      <c r="N1025">
        <v>1</v>
      </c>
      <c r="O1025" t="s">
        <v>46</v>
      </c>
      <c r="P1025">
        <v>1</v>
      </c>
      <c r="Q1025" t="s">
        <v>47</v>
      </c>
      <c r="R1025">
        <v>2066</v>
      </c>
      <c r="S1025">
        <v>10494</v>
      </c>
      <c r="T1025">
        <v>2</v>
      </c>
      <c r="U1025" t="s">
        <v>41</v>
      </c>
      <c r="V1025" t="s">
        <v>42</v>
      </c>
      <c r="W1025">
        <v>22</v>
      </c>
      <c r="X1025">
        <v>4</v>
      </c>
      <c r="Y1025">
        <v>4</v>
      </c>
      <c r="Z1025">
        <v>80</v>
      </c>
      <c r="AA1025">
        <v>1</v>
      </c>
      <c r="AB1025">
        <v>5</v>
      </c>
      <c r="AC1025">
        <v>3</v>
      </c>
      <c r="AD1025">
        <v>4</v>
      </c>
      <c r="AE1025">
        <v>3</v>
      </c>
      <c r="AF1025">
        <v>2</v>
      </c>
      <c r="AG1025">
        <v>1</v>
      </c>
      <c r="AH1025">
        <v>0</v>
      </c>
    </row>
    <row r="1026" spans="1:34" x14ac:dyDescent="0.2">
      <c r="A1026">
        <v>47</v>
      </c>
      <c r="B1026" t="s">
        <v>42</v>
      </c>
      <c r="C1026" t="s">
        <v>35</v>
      </c>
      <c r="D1026" t="s">
        <v>44</v>
      </c>
      <c r="E1026">
        <v>2</v>
      </c>
      <c r="F1026">
        <v>4</v>
      </c>
      <c r="G1026" t="s">
        <v>50</v>
      </c>
      <c r="H1026">
        <v>1</v>
      </c>
      <c r="I1026">
        <v>1443</v>
      </c>
      <c r="J1026">
        <v>1</v>
      </c>
      <c r="K1026" t="s">
        <v>38</v>
      </c>
      <c r="L1026">
        <v>82</v>
      </c>
      <c r="M1026">
        <v>3</v>
      </c>
      <c r="N1026">
        <v>4</v>
      </c>
      <c r="O1026" t="s">
        <v>57</v>
      </c>
      <c r="P1026">
        <v>3</v>
      </c>
      <c r="Q1026" t="s">
        <v>47</v>
      </c>
      <c r="R1026">
        <v>17169</v>
      </c>
      <c r="S1026">
        <v>26703</v>
      </c>
      <c r="T1026">
        <v>3</v>
      </c>
      <c r="U1026" t="s">
        <v>41</v>
      </c>
      <c r="V1026" t="s">
        <v>42</v>
      </c>
      <c r="W1026">
        <v>19</v>
      </c>
      <c r="X1026">
        <v>3</v>
      </c>
      <c r="Y1026">
        <v>2</v>
      </c>
      <c r="Z1026">
        <v>80</v>
      </c>
      <c r="AA1026">
        <v>2</v>
      </c>
      <c r="AB1026">
        <v>26</v>
      </c>
      <c r="AC1026">
        <v>2</v>
      </c>
      <c r="AD1026">
        <v>4</v>
      </c>
      <c r="AE1026">
        <v>20</v>
      </c>
      <c r="AF1026">
        <v>17</v>
      </c>
      <c r="AG1026">
        <v>5</v>
      </c>
      <c r="AH1026">
        <v>6</v>
      </c>
    </row>
    <row r="1027" spans="1:34" x14ac:dyDescent="0.2">
      <c r="A1027">
        <v>24</v>
      </c>
      <c r="B1027" t="s">
        <v>42</v>
      </c>
      <c r="C1027" t="s">
        <v>35</v>
      </c>
      <c r="D1027" t="s">
        <v>36</v>
      </c>
      <c r="E1027">
        <v>4</v>
      </c>
      <c r="F1027">
        <v>1</v>
      </c>
      <c r="G1027" t="s">
        <v>50</v>
      </c>
      <c r="H1027">
        <v>1</v>
      </c>
      <c r="I1027">
        <v>1445</v>
      </c>
      <c r="J1027">
        <v>4</v>
      </c>
      <c r="K1027" t="s">
        <v>38</v>
      </c>
      <c r="L1027">
        <v>42</v>
      </c>
      <c r="M1027">
        <v>3</v>
      </c>
      <c r="N1027">
        <v>2</v>
      </c>
      <c r="O1027" t="s">
        <v>39</v>
      </c>
      <c r="P1027">
        <v>3</v>
      </c>
      <c r="Q1027" t="s">
        <v>47</v>
      </c>
      <c r="R1027">
        <v>4162</v>
      </c>
      <c r="S1027">
        <v>15211</v>
      </c>
      <c r="T1027">
        <v>1</v>
      </c>
      <c r="U1027" t="s">
        <v>41</v>
      </c>
      <c r="V1027" t="s">
        <v>34</v>
      </c>
      <c r="W1027">
        <v>12</v>
      </c>
      <c r="X1027">
        <v>3</v>
      </c>
      <c r="Y1027">
        <v>3</v>
      </c>
      <c r="Z1027">
        <v>80</v>
      </c>
      <c r="AA1027">
        <v>2</v>
      </c>
      <c r="AB1027">
        <v>5</v>
      </c>
      <c r="AC1027">
        <v>3</v>
      </c>
      <c r="AD1027">
        <v>3</v>
      </c>
      <c r="AE1027">
        <v>5</v>
      </c>
      <c r="AF1027">
        <v>4</v>
      </c>
      <c r="AG1027">
        <v>0</v>
      </c>
      <c r="AH1027">
        <v>3</v>
      </c>
    </row>
    <row r="1028" spans="1:34" x14ac:dyDescent="0.2">
      <c r="A1028">
        <v>32</v>
      </c>
      <c r="B1028" t="s">
        <v>42</v>
      </c>
      <c r="C1028" t="s">
        <v>35</v>
      </c>
      <c r="D1028" t="s">
        <v>36</v>
      </c>
      <c r="E1028">
        <v>7</v>
      </c>
      <c r="F1028">
        <v>5</v>
      </c>
      <c r="G1028" t="s">
        <v>58</v>
      </c>
      <c r="H1028">
        <v>1</v>
      </c>
      <c r="I1028">
        <v>1446</v>
      </c>
      <c r="J1028">
        <v>4</v>
      </c>
      <c r="K1028" t="s">
        <v>45</v>
      </c>
      <c r="L1028">
        <v>97</v>
      </c>
      <c r="M1028">
        <v>3</v>
      </c>
      <c r="N1028">
        <v>2</v>
      </c>
      <c r="O1028" t="s">
        <v>39</v>
      </c>
      <c r="P1028">
        <v>4</v>
      </c>
      <c r="Q1028" t="s">
        <v>47</v>
      </c>
      <c r="R1028">
        <v>9204</v>
      </c>
      <c r="S1028">
        <v>23343</v>
      </c>
      <c r="T1028">
        <v>4</v>
      </c>
      <c r="U1028" t="s">
        <v>41</v>
      </c>
      <c r="V1028" t="s">
        <v>42</v>
      </c>
      <c r="W1028">
        <v>12</v>
      </c>
      <c r="X1028">
        <v>3</v>
      </c>
      <c r="Y1028">
        <v>3</v>
      </c>
      <c r="Z1028">
        <v>80</v>
      </c>
      <c r="AA1028">
        <v>1</v>
      </c>
      <c r="AB1028">
        <v>7</v>
      </c>
      <c r="AC1028">
        <v>3</v>
      </c>
      <c r="AD1028">
        <v>2</v>
      </c>
      <c r="AE1028">
        <v>4</v>
      </c>
      <c r="AF1028">
        <v>3</v>
      </c>
      <c r="AG1028">
        <v>0</v>
      </c>
      <c r="AH1028">
        <v>3</v>
      </c>
    </row>
    <row r="1029" spans="1:34" x14ac:dyDescent="0.2">
      <c r="A1029">
        <v>34</v>
      </c>
      <c r="B1029" t="s">
        <v>42</v>
      </c>
      <c r="C1029" t="s">
        <v>35</v>
      </c>
      <c r="D1029" t="s">
        <v>44</v>
      </c>
      <c r="E1029">
        <v>1</v>
      </c>
      <c r="F1029">
        <v>3</v>
      </c>
      <c r="G1029" t="s">
        <v>37</v>
      </c>
      <c r="H1029">
        <v>1</v>
      </c>
      <c r="I1029">
        <v>1447</v>
      </c>
      <c r="J1029">
        <v>4</v>
      </c>
      <c r="K1029" t="s">
        <v>38</v>
      </c>
      <c r="L1029">
        <v>86</v>
      </c>
      <c r="M1029">
        <v>2</v>
      </c>
      <c r="N1029">
        <v>1</v>
      </c>
      <c r="O1029" t="s">
        <v>49</v>
      </c>
      <c r="P1029">
        <v>2</v>
      </c>
      <c r="Q1029" t="s">
        <v>47</v>
      </c>
      <c r="R1029">
        <v>3294</v>
      </c>
      <c r="S1029">
        <v>3708</v>
      </c>
      <c r="T1029">
        <v>5</v>
      </c>
      <c r="U1029" t="s">
        <v>41</v>
      </c>
      <c r="V1029" t="s">
        <v>42</v>
      </c>
      <c r="W1029">
        <v>17</v>
      </c>
      <c r="X1029">
        <v>3</v>
      </c>
      <c r="Y1029">
        <v>1</v>
      </c>
      <c r="Z1029">
        <v>80</v>
      </c>
      <c r="AA1029">
        <v>1</v>
      </c>
      <c r="AB1029">
        <v>7</v>
      </c>
      <c r="AC1029">
        <v>2</v>
      </c>
      <c r="AD1029">
        <v>2</v>
      </c>
      <c r="AE1029">
        <v>5</v>
      </c>
      <c r="AF1029">
        <v>4</v>
      </c>
      <c r="AG1029">
        <v>0</v>
      </c>
      <c r="AH1029">
        <v>2</v>
      </c>
    </row>
    <row r="1030" spans="1:34" x14ac:dyDescent="0.2">
      <c r="A1030">
        <v>41</v>
      </c>
      <c r="B1030" t="s">
        <v>42</v>
      </c>
      <c r="C1030" t="s">
        <v>35</v>
      </c>
      <c r="D1030" t="s">
        <v>44</v>
      </c>
      <c r="E1030">
        <v>5</v>
      </c>
      <c r="F1030">
        <v>5</v>
      </c>
      <c r="G1030" t="s">
        <v>50</v>
      </c>
      <c r="H1030">
        <v>1</v>
      </c>
      <c r="I1030">
        <v>1448</v>
      </c>
      <c r="J1030">
        <v>2</v>
      </c>
      <c r="K1030" t="s">
        <v>45</v>
      </c>
      <c r="L1030">
        <v>90</v>
      </c>
      <c r="M1030">
        <v>4</v>
      </c>
      <c r="N1030">
        <v>1</v>
      </c>
      <c r="O1030" t="s">
        <v>46</v>
      </c>
      <c r="P1030">
        <v>3</v>
      </c>
      <c r="Q1030" t="s">
        <v>47</v>
      </c>
      <c r="R1030">
        <v>2127</v>
      </c>
      <c r="S1030">
        <v>5561</v>
      </c>
      <c r="T1030">
        <v>2</v>
      </c>
      <c r="U1030" t="s">
        <v>41</v>
      </c>
      <c r="V1030" t="s">
        <v>34</v>
      </c>
      <c r="W1030">
        <v>12</v>
      </c>
      <c r="X1030">
        <v>3</v>
      </c>
      <c r="Y1030">
        <v>1</v>
      </c>
      <c r="Z1030">
        <v>80</v>
      </c>
      <c r="AA1030">
        <v>0</v>
      </c>
      <c r="AB1030">
        <v>7</v>
      </c>
      <c r="AC1030">
        <v>5</v>
      </c>
      <c r="AD1030">
        <v>2</v>
      </c>
      <c r="AE1030">
        <v>4</v>
      </c>
      <c r="AF1030">
        <v>2</v>
      </c>
      <c r="AG1030">
        <v>0</v>
      </c>
      <c r="AH1030">
        <v>3</v>
      </c>
    </row>
    <row r="1031" spans="1:34" x14ac:dyDescent="0.2">
      <c r="A1031">
        <v>40</v>
      </c>
      <c r="B1031" t="s">
        <v>42</v>
      </c>
      <c r="C1031" t="s">
        <v>54</v>
      </c>
      <c r="D1031" t="s">
        <v>44</v>
      </c>
      <c r="E1031">
        <v>9</v>
      </c>
      <c r="F1031">
        <v>4</v>
      </c>
      <c r="G1031" t="s">
        <v>48</v>
      </c>
      <c r="H1031">
        <v>1</v>
      </c>
      <c r="I1031">
        <v>1449</v>
      </c>
      <c r="J1031">
        <v>3</v>
      </c>
      <c r="K1031" t="s">
        <v>45</v>
      </c>
      <c r="L1031">
        <v>81</v>
      </c>
      <c r="M1031">
        <v>3</v>
      </c>
      <c r="N1031">
        <v>2</v>
      </c>
      <c r="O1031" t="s">
        <v>49</v>
      </c>
      <c r="P1031">
        <v>3</v>
      </c>
      <c r="Q1031" t="s">
        <v>51</v>
      </c>
      <c r="R1031">
        <v>3975</v>
      </c>
      <c r="S1031">
        <v>23099</v>
      </c>
      <c r="T1031">
        <v>3</v>
      </c>
      <c r="U1031" t="s">
        <v>41</v>
      </c>
      <c r="V1031" t="s">
        <v>42</v>
      </c>
      <c r="W1031">
        <v>11</v>
      </c>
      <c r="X1031">
        <v>3</v>
      </c>
      <c r="Y1031">
        <v>3</v>
      </c>
      <c r="Z1031">
        <v>80</v>
      </c>
      <c r="AA1031">
        <v>2</v>
      </c>
      <c r="AB1031">
        <v>11</v>
      </c>
      <c r="AC1031">
        <v>2</v>
      </c>
      <c r="AD1031">
        <v>4</v>
      </c>
      <c r="AE1031">
        <v>8</v>
      </c>
      <c r="AF1031">
        <v>7</v>
      </c>
      <c r="AG1031">
        <v>0</v>
      </c>
      <c r="AH1031">
        <v>7</v>
      </c>
    </row>
    <row r="1032" spans="1:34" x14ac:dyDescent="0.2">
      <c r="A1032">
        <v>31</v>
      </c>
      <c r="B1032" t="s">
        <v>42</v>
      </c>
      <c r="C1032" t="s">
        <v>35</v>
      </c>
      <c r="D1032" t="s">
        <v>36</v>
      </c>
      <c r="E1032">
        <v>8</v>
      </c>
      <c r="F1032">
        <v>2</v>
      </c>
      <c r="G1032" t="s">
        <v>37</v>
      </c>
      <c r="H1032">
        <v>1</v>
      </c>
      <c r="I1032">
        <v>1453</v>
      </c>
      <c r="J1032">
        <v>1</v>
      </c>
      <c r="K1032" t="s">
        <v>45</v>
      </c>
      <c r="L1032">
        <v>31</v>
      </c>
      <c r="M1032">
        <v>3</v>
      </c>
      <c r="N1032">
        <v>3</v>
      </c>
      <c r="O1032" t="s">
        <v>39</v>
      </c>
      <c r="P1032">
        <v>4</v>
      </c>
      <c r="Q1032" t="s">
        <v>51</v>
      </c>
      <c r="R1032">
        <v>10793</v>
      </c>
      <c r="S1032">
        <v>8386</v>
      </c>
      <c r="T1032">
        <v>1</v>
      </c>
      <c r="U1032" t="s">
        <v>41</v>
      </c>
      <c r="V1032" t="s">
        <v>42</v>
      </c>
      <c r="W1032">
        <v>18</v>
      </c>
      <c r="X1032">
        <v>3</v>
      </c>
      <c r="Y1032">
        <v>1</v>
      </c>
      <c r="Z1032">
        <v>80</v>
      </c>
      <c r="AA1032">
        <v>1</v>
      </c>
      <c r="AB1032">
        <v>13</v>
      </c>
      <c r="AC1032">
        <v>5</v>
      </c>
      <c r="AD1032">
        <v>3</v>
      </c>
      <c r="AE1032">
        <v>13</v>
      </c>
      <c r="AF1032">
        <v>7</v>
      </c>
      <c r="AG1032">
        <v>9</v>
      </c>
      <c r="AH1032">
        <v>9</v>
      </c>
    </row>
    <row r="1033" spans="1:34" x14ac:dyDescent="0.2">
      <c r="A1033">
        <v>46</v>
      </c>
      <c r="B1033" t="s">
        <v>34</v>
      </c>
      <c r="C1033" t="s">
        <v>35</v>
      </c>
      <c r="D1033" t="s">
        <v>36</v>
      </c>
      <c r="E1033">
        <v>9</v>
      </c>
      <c r="F1033">
        <v>3</v>
      </c>
      <c r="G1033" t="s">
        <v>58</v>
      </c>
      <c r="H1033">
        <v>1</v>
      </c>
      <c r="I1033">
        <v>1457</v>
      </c>
      <c r="J1033">
        <v>1</v>
      </c>
      <c r="K1033" t="s">
        <v>45</v>
      </c>
      <c r="L1033">
        <v>52</v>
      </c>
      <c r="M1033">
        <v>3</v>
      </c>
      <c r="N1033">
        <v>3</v>
      </c>
      <c r="O1033" t="s">
        <v>39</v>
      </c>
      <c r="P1033">
        <v>4</v>
      </c>
      <c r="Q1033" t="s">
        <v>51</v>
      </c>
      <c r="R1033">
        <v>10096</v>
      </c>
      <c r="S1033">
        <v>15986</v>
      </c>
      <c r="T1033">
        <v>4</v>
      </c>
      <c r="U1033" t="s">
        <v>41</v>
      </c>
      <c r="V1033" t="s">
        <v>42</v>
      </c>
      <c r="W1033">
        <v>11</v>
      </c>
      <c r="X1033">
        <v>3</v>
      </c>
      <c r="Y1033">
        <v>1</v>
      </c>
      <c r="Z1033">
        <v>80</v>
      </c>
      <c r="AA1033">
        <v>1</v>
      </c>
      <c r="AB1033">
        <v>28</v>
      </c>
      <c r="AC1033">
        <v>1</v>
      </c>
      <c r="AD1033">
        <v>4</v>
      </c>
      <c r="AE1033">
        <v>7</v>
      </c>
      <c r="AF1033">
        <v>7</v>
      </c>
      <c r="AG1033">
        <v>4</v>
      </c>
      <c r="AH1033">
        <v>3</v>
      </c>
    </row>
    <row r="1034" spans="1:34" x14ac:dyDescent="0.2">
      <c r="A1034">
        <v>39</v>
      </c>
      <c r="B1034" t="s">
        <v>34</v>
      </c>
      <c r="C1034" t="s">
        <v>54</v>
      </c>
      <c r="D1034" t="s">
        <v>44</v>
      </c>
      <c r="E1034">
        <v>2</v>
      </c>
      <c r="F1034">
        <v>3</v>
      </c>
      <c r="G1034" t="s">
        <v>37</v>
      </c>
      <c r="H1034">
        <v>1</v>
      </c>
      <c r="I1034">
        <v>1458</v>
      </c>
      <c r="J1034">
        <v>1</v>
      </c>
      <c r="K1034" t="s">
        <v>38</v>
      </c>
      <c r="L1034">
        <v>54</v>
      </c>
      <c r="M1034">
        <v>2</v>
      </c>
      <c r="N1034">
        <v>1</v>
      </c>
      <c r="O1034" t="s">
        <v>49</v>
      </c>
      <c r="P1034">
        <v>1</v>
      </c>
      <c r="Q1034" t="s">
        <v>40</v>
      </c>
      <c r="R1034">
        <v>3646</v>
      </c>
      <c r="S1034">
        <v>17181</v>
      </c>
      <c r="T1034">
        <v>2</v>
      </c>
      <c r="U1034" t="s">
        <v>41</v>
      </c>
      <c r="V1034" t="s">
        <v>34</v>
      </c>
      <c r="W1034">
        <v>23</v>
      </c>
      <c r="X1034">
        <v>4</v>
      </c>
      <c r="Y1034">
        <v>2</v>
      </c>
      <c r="Z1034">
        <v>80</v>
      </c>
      <c r="AA1034">
        <v>0</v>
      </c>
      <c r="AB1034">
        <v>11</v>
      </c>
      <c r="AC1034">
        <v>2</v>
      </c>
      <c r="AD1034">
        <v>4</v>
      </c>
      <c r="AE1034">
        <v>1</v>
      </c>
      <c r="AF1034">
        <v>0</v>
      </c>
      <c r="AG1034">
        <v>0</v>
      </c>
      <c r="AH1034">
        <v>0</v>
      </c>
    </row>
    <row r="1035" spans="1:34" x14ac:dyDescent="0.2">
      <c r="A1035">
        <v>31</v>
      </c>
      <c r="B1035" t="s">
        <v>34</v>
      </c>
      <c r="C1035" t="s">
        <v>43</v>
      </c>
      <c r="D1035" t="s">
        <v>44</v>
      </c>
      <c r="E1035">
        <v>1</v>
      </c>
      <c r="F1035">
        <v>5</v>
      </c>
      <c r="G1035" t="s">
        <v>37</v>
      </c>
      <c r="H1035">
        <v>1</v>
      </c>
      <c r="I1035">
        <v>1459</v>
      </c>
      <c r="J1035">
        <v>3</v>
      </c>
      <c r="K1035" t="s">
        <v>38</v>
      </c>
      <c r="L1035">
        <v>100</v>
      </c>
      <c r="M1035">
        <v>4</v>
      </c>
      <c r="N1035">
        <v>3</v>
      </c>
      <c r="O1035" t="s">
        <v>52</v>
      </c>
      <c r="P1035">
        <v>2</v>
      </c>
      <c r="Q1035" t="s">
        <v>40</v>
      </c>
      <c r="R1035">
        <v>7446</v>
      </c>
      <c r="S1035">
        <v>8931</v>
      </c>
      <c r="T1035">
        <v>1</v>
      </c>
      <c r="U1035" t="s">
        <v>41</v>
      </c>
      <c r="V1035" t="s">
        <v>42</v>
      </c>
      <c r="W1035">
        <v>11</v>
      </c>
      <c r="X1035">
        <v>3</v>
      </c>
      <c r="Y1035">
        <v>1</v>
      </c>
      <c r="Z1035">
        <v>80</v>
      </c>
      <c r="AA1035">
        <v>0</v>
      </c>
      <c r="AB1035">
        <v>10</v>
      </c>
      <c r="AC1035">
        <v>2</v>
      </c>
      <c r="AD1035">
        <v>3</v>
      </c>
      <c r="AE1035">
        <v>10</v>
      </c>
      <c r="AF1035">
        <v>8</v>
      </c>
      <c r="AG1035">
        <v>4</v>
      </c>
      <c r="AH1035">
        <v>7</v>
      </c>
    </row>
    <row r="1036" spans="1:34" x14ac:dyDescent="0.2">
      <c r="A1036">
        <v>45</v>
      </c>
      <c r="B1036" t="s">
        <v>42</v>
      </c>
      <c r="C1036" t="s">
        <v>35</v>
      </c>
      <c r="D1036" t="s">
        <v>44</v>
      </c>
      <c r="E1036">
        <v>20</v>
      </c>
      <c r="F1036">
        <v>3</v>
      </c>
      <c r="G1036" t="s">
        <v>50</v>
      </c>
      <c r="H1036">
        <v>1</v>
      </c>
      <c r="I1036">
        <v>1460</v>
      </c>
      <c r="J1036">
        <v>2</v>
      </c>
      <c r="K1036" t="s">
        <v>45</v>
      </c>
      <c r="L1036">
        <v>95</v>
      </c>
      <c r="M1036">
        <v>1</v>
      </c>
      <c r="N1036">
        <v>3</v>
      </c>
      <c r="O1036" t="s">
        <v>53</v>
      </c>
      <c r="P1036">
        <v>1</v>
      </c>
      <c r="Q1036" t="s">
        <v>51</v>
      </c>
      <c r="R1036">
        <v>10851</v>
      </c>
      <c r="S1036">
        <v>19863</v>
      </c>
      <c r="T1036">
        <v>2</v>
      </c>
      <c r="U1036" t="s">
        <v>41</v>
      </c>
      <c r="V1036" t="s">
        <v>34</v>
      </c>
      <c r="W1036">
        <v>18</v>
      </c>
      <c r="X1036">
        <v>3</v>
      </c>
      <c r="Y1036">
        <v>2</v>
      </c>
      <c r="Z1036">
        <v>80</v>
      </c>
      <c r="AA1036">
        <v>1</v>
      </c>
      <c r="AB1036">
        <v>24</v>
      </c>
      <c r="AC1036">
        <v>2</v>
      </c>
      <c r="AD1036">
        <v>3</v>
      </c>
      <c r="AE1036">
        <v>7</v>
      </c>
      <c r="AF1036">
        <v>7</v>
      </c>
      <c r="AG1036">
        <v>0</v>
      </c>
      <c r="AH1036">
        <v>7</v>
      </c>
    </row>
    <row r="1037" spans="1:34" x14ac:dyDescent="0.2">
      <c r="A1037">
        <v>31</v>
      </c>
      <c r="B1037" t="s">
        <v>42</v>
      </c>
      <c r="C1037" t="s">
        <v>35</v>
      </c>
      <c r="D1037" t="s">
        <v>60</v>
      </c>
      <c r="E1037">
        <v>8</v>
      </c>
      <c r="F1037">
        <v>2</v>
      </c>
      <c r="G1037" t="s">
        <v>50</v>
      </c>
      <c r="H1037">
        <v>1</v>
      </c>
      <c r="I1037">
        <v>1461</v>
      </c>
      <c r="J1037">
        <v>4</v>
      </c>
      <c r="K1037" t="s">
        <v>38</v>
      </c>
      <c r="L1037">
        <v>96</v>
      </c>
      <c r="M1037">
        <v>4</v>
      </c>
      <c r="N1037">
        <v>1</v>
      </c>
      <c r="O1037" t="s">
        <v>60</v>
      </c>
      <c r="P1037">
        <v>2</v>
      </c>
      <c r="Q1037" t="s">
        <v>40</v>
      </c>
      <c r="R1037">
        <v>2109</v>
      </c>
      <c r="S1037">
        <v>24609</v>
      </c>
      <c r="T1037">
        <v>9</v>
      </c>
      <c r="U1037" t="s">
        <v>41</v>
      </c>
      <c r="V1037" t="s">
        <v>42</v>
      </c>
      <c r="W1037">
        <v>18</v>
      </c>
      <c r="X1037">
        <v>3</v>
      </c>
      <c r="Y1037">
        <v>4</v>
      </c>
      <c r="Z1037">
        <v>80</v>
      </c>
      <c r="AA1037">
        <v>0</v>
      </c>
      <c r="AB1037">
        <v>8</v>
      </c>
      <c r="AC1037">
        <v>3</v>
      </c>
      <c r="AD1037">
        <v>3</v>
      </c>
      <c r="AE1037">
        <v>3</v>
      </c>
      <c r="AF1037">
        <v>2</v>
      </c>
      <c r="AG1037">
        <v>0</v>
      </c>
      <c r="AH1037">
        <v>2</v>
      </c>
    </row>
    <row r="1038" spans="1:34" x14ac:dyDescent="0.2">
      <c r="A1038">
        <v>31</v>
      </c>
      <c r="B1038" t="s">
        <v>34</v>
      </c>
      <c r="C1038" t="s">
        <v>43</v>
      </c>
      <c r="D1038" t="s">
        <v>44</v>
      </c>
      <c r="E1038">
        <v>2</v>
      </c>
      <c r="F1038">
        <v>3</v>
      </c>
      <c r="G1038" t="s">
        <v>37</v>
      </c>
      <c r="H1038">
        <v>1</v>
      </c>
      <c r="I1038">
        <v>1464</v>
      </c>
      <c r="J1038">
        <v>2</v>
      </c>
      <c r="K1038" t="s">
        <v>45</v>
      </c>
      <c r="L1038">
        <v>94</v>
      </c>
      <c r="M1038">
        <v>3</v>
      </c>
      <c r="N1038">
        <v>1</v>
      </c>
      <c r="O1038" t="s">
        <v>49</v>
      </c>
      <c r="P1038">
        <v>4</v>
      </c>
      <c r="Q1038" t="s">
        <v>47</v>
      </c>
      <c r="R1038">
        <v>3722</v>
      </c>
      <c r="S1038">
        <v>21081</v>
      </c>
      <c r="T1038">
        <v>6</v>
      </c>
      <c r="U1038" t="s">
        <v>41</v>
      </c>
      <c r="V1038" t="s">
        <v>34</v>
      </c>
      <c r="W1038">
        <v>13</v>
      </c>
      <c r="X1038">
        <v>3</v>
      </c>
      <c r="Y1038">
        <v>3</v>
      </c>
      <c r="Z1038">
        <v>80</v>
      </c>
      <c r="AA1038">
        <v>1</v>
      </c>
      <c r="AB1038">
        <v>7</v>
      </c>
      <c r="AC1038">
        <v>2</v>
      </c>
      <c r="AD1038">
        <v>1</v>
      </c>
      <c r="AE1038">
        <v>2</v>
      </c>
      <c r="AF1038">
        <v>2</v>
      </c>
      <c r="AG1038">
        <v>2</v>
      </c>
      <c r="AH1038">
        <v>2</v>
      </c>
    </row>
    <row r="1039" spans="1:34" x14ac:dyDescent="0.2">
      <c r="A1039">
        <v>45</v>
      </c>
      <c r="B1039" t="s">
        <v>42</v>
      </c>
      <c r="C1039" t="s">
        <v>35</v>
      </c>
      <c r="D1039" t="s">
        <v>44</v>
      </c>
      <c r="E1039">
        <v>29</v>
      </c>
      <c r="F1039">
        <v>3</v>
      </c>
      <c r="G1039" t="s">
        <v>59</v>
      </c>
      <c r="H1039">
        <v>1</v>
      </c>
      <c r="I1039">
        <v>1465</v>
      </c>
      <c r="J1039">
        <v>2</v>
      </c>
      <c r="K1039" t="s">
        <v>45</v>
      </c>
      <c r="L1039">
        <v>55</v>
      </c>
      <c r="M1039">
        <v>3</v>
      </c>
      <c r="N1039">
        <v>3</v>
      </c>
      <c r="O1039" t="s">
        <v>52</v>
      </c>
      <c r="P1039">
        <v>4</v>
      </c>
      <c r="Q1039" t="s">
        <v>47</v>
      </c>
      <c r="R1039">
        <v>9380</v>
      </c>
      <c r="S1039">
        <v>14720</v>
      </c>
      <c r="T1039">
        <v>4</v>
      </c>
      <c r="U1039" t="s">
        <v>41</v>
      </c>
      <c r="V1039" t="s">
        <v>34</v>
      </c>
      <c r="W1039">
        <v>18</v>
      </c>
      <c r="X1039">
        <v>3</v>
      </c>
      <c r="Y1039">
        <v>4</v>
      </c>
      <c r="Z1039">
        <v>80</v>
      </c>
      <c r="AA1039">
        <v>2</v>
      </c>
      <c r="AB1039">
        <v>10</v>
      </c>
      <c r="AC1039">
        <v>4</v>
      </c>
      <c r="AD1039">
        <v>4</v>
      </c>
      <c r="AE1039">
        <v>3</v>
      </c>
      <c r="AF1039">
        <v>1</v>
      </c>
      <c r="AG1039">
        <v>1</v>
      </c>
      <c r="AH1039">
        <v>2</v>
      </c>
    </row>
    <row r="1040" spans="1:34" x14ac:dyDescent="0.2">
      <c r="A1040">
        <v>48</v>
      </c>
      <c r="B1040" t="s">
        <v>42</v>
      </c>
      <c r="C1040" t="s">
        <v>35</v>
      </c>
      <c r="D1040" t="s">
        <v>36</v>
      </c>
      <c r="E1040">
        <v>7</v>
      </c>
      <c r="F1040">
        <v>3</v>
      </c>
      <c r="G1040" t="s">
        <v>58</v>
      </c>
      <c r="H1040">
        <v>1</v>
      </c>
      <c r="I1040">
        <v>1466</v>
      </c>
      <c r="J1040">
        <v>3</v>
      </c>
      <c r="K1040" t="s">
        <v>45</v>
      </c>
      <c r="L1040">
        <v>96</v>
      </c>
      <c r="M1040">
        <v>3</v>
      </c>
      <c r="N1040">
        <v>2</v>
      </c>
      <c r="O1040" t="s">
        <v>39</v>
      </c>
      <c r="P1040">
        <v>1</v>
      </c>
      <c r="Q1040" t="s">
        <v>51</v>
      </c>
      <c r="R1040">
        <v>5486</v>
      </c>
      <c r="S1040">
        <v>24795</v>
      </c>
      <c r="T1040">
        <v>4</v>
      </c>
      <c r="U1040" t="s">
        <v>41</v>
      </c>
      <c r="V1040" t="s">
        <v>42</v>
      </c>
      <c r="W1040">
        <v>11</v>
      </c>
      <c r="X1040">
        <v>3</v>
      </c>
      <c r="Y1040">
        <v>1</v>
      </c>
      <c r="Z1040">
        <v>80</v>
      </c>
      <c r="AA1040">
        <v>3</v>
      </c>
      <c r="AB1040">
        <v>15</v>
      </c>
      <c r="AC1040">
        <v>3</v>
      </c>
      <c r="AD1040">
        <v>3</v>
      </c>
      <c r="AE1040">
        <v>2</v>
      </c>
      <c r="AF1040">
        <v>2</v>
      </c>
      <c r="AG1040">
        <v>2</v>
      </c>
      <c r="AH1040">
        <v>2</v>
      </c>
    </row>
    <row r="1041" spans="1:34" x14ac:dyDescent="0.2">
      <c r="A1041">
        <v>34</v>
      </c>
      <c r="B1041" t="s">
        <v>34</v>
      </c>
      <c r="C1041" t="s">
        <v>35</v>
      </c>
      <c r="D1041" t="s">
        <v>60</v>
      </c>
      <c r="E1041">
        <v>9</v>
      </c>
      <c r="F1041">
        <v>4</v>
      </c>
      <c r="G1041" t="s">
        <v>59</v>
      </c>
      <c r="H1041">
        <v>1</v>
      </c>
      <c r="I1041">
        <v>1467</v>
      </c>
      <c r="J1041">
        <v>1</v>
      </c>
      <c r="K1041" t="s">
        <v>38</v>
      </c>
      <c r="L1041">
        <v>52</v>
      </c>
      <c r="M1041">
        <v>3</v>
      </c>
      <c r="N1041">
        <v>1</v>
      </c>
      <c r="O1041" t="s">
        <v>60</v>
      </c>
      <c r="P1041">
        <v>3</v>
      </c>
      <c r="Q1041" t="s">
        <v>47</v>
      </c>
      <c r="R1041">
        <v>2742</v>
      </c>
      <c r="S1041">
        <v>3072</v>
      </c>
      <c r="T1041">
        <v>1</v>
      </c>
      <c r="U1041" t="s">
        <v>41</v>
      </c>
      <c r="V1041" t="s">
        <v>42</v>
      </c>
      <c r="W1041">
        <v>15</v>
      </c>
      <c r="X1041">
        <v>3</v>
      </c>
      <c r="Y1041">
        <v>4</v>
      </c>
      <c r="Z1041">
        <v>80</v>
      </c>
      <c r="AA1041">
        <v>0</v>
      </c>
      <c r="AB1041">
        <v>2</v>
      </c>
      <c r="AC1041">
        <v>0</v>
      </c>
      <c r="AD1041">
        <v>3</v>
      </c>
      <c r="AE1041">
        <v>2</v>
      </c>
      <c r="AF1041">
        <v>2</v>
      </c>
      <c r="AG1041">
        <v>2</v>
      </c>
      <c r="AH1041">
        <v>2</v>
      </c>
    </row>
    <row r="1042" spans="1:34" x14ac:dyDescent="0.2">
      <c r="A1042">
        <v>40</v>
      </c>
      <c r="B1042" t="s">
        <v>42</v>
      </c>
      <c r="C1042" t="s">
        <v>54</v>
      </c>
      <c r="D1042" t="s">
        <v>44</v>
      </c>
      <c r="E1042">
        <v>8</v>
      </c>
      <c r="F1042">
        <v>1</v>
      </c>
      <c r="G1042" t="s">
        <v>50</v>
      </c>
      <c r="H1042">
        <v>1</v>
      </c>
      <c r="I1042">
        <v>1468</v>
      </c>
      <c r="J1042">
        <v>4</v>
      </c>
      <c r="K1042" t="s">
        <v>45</v>
      </c>
      <c r="L1042">
        <v>55</v>
      </c>
      <c r="M1042">
        <v>2</v>
      </c>
      <c r="N1042">
        <v>3</v>
      </c>
      <c r="O1042" t="s">
        <v>57</v>
      </c>
      <c r="P1042">
        <v>2</v>
      </c>
      <c r="Q1042" t="s">
        <v>51</v>
      </c>
      <c r="R1042">
        <v>13757</v>
      </c>
      <c r="S1042">
        <v>25178</v>
      </c>
      <c r="T1042">
        <v>2</v>
      </c>
      <c r="U1042" t="s">
        <v>41</v>
      </c>
      <c r="V1042" t="s">
        <v>42</v>
      </c>
      <c r="W1042">
        <v>11</v>
      </c>
      <c r="X1042">
        <v>3</v>
      </c>
      <c r="Y1042">
        <v>3</v>
      </c>
      <c r="Z1042">
        <v>80</v>
      </c>
      <c r="AA1042">
        <v>1</v>
      </c>
      <c r="AB1042">
        <v>16</v>
      </c>
      <c r="AC1042">
        <v>5</v>
      </c>
      <c r="AD1042">
        <v>3</v>
      </c>
      <c r="AE1042">
        <v>9</v>
      </c>
      <c r="AF1042">
        <v>8</v>
      </c>
      <c r="AG1042">
        <v>4</v>
      </c>
      <c r="AH1042">
        <v>8</v>
      </c>
    </row>
    <row r="1043" spans="1:34" x14ac:dyDescent="0.2">
      <c r="A1043">
        <v>28</v>
      </c>
      <c r="B1043" t="s">
        <v>42</v>
      </c>
      <c r="C1043" t="s">
        <v>35</v>
      </c>
      <c r="D1043" t="s">
        <v>36</v>
      </c>
      <c r="E1043">
        <v>5</v>
      </c>
      <c r="F1043">
        <v>3</v>
      </c>
      <c r="G1043" t="s">
        <v>50</v>
      </c>
      <c r="H1043">
        <v>1</v>
      </c>
      <c r="I1043">
        <v>1469</v>
      </c>
      <c r="J1043">
        <v>4</v>
      </c>
      <c r="K1043" t="s">
        <v>45</v>
      </c>
      <c r="L1043">
        <v>84</v>
      </c>
      <c r="M1043">
        <v>3</v>
      </c>
      <c r="N1043">
        <v>2</v>
      </c>
      <c r="O1043" t="s">
        <v>39</v>
      </c>
      <c r="P1043">
        <v>1</v>
      </c>
      <c r="Q1043" t="s">
        <v>40</v>
      </c>
      <c r="R1043">
        <v>8463</v>
      </c>
      <c r="S1043">
        <v>23490</v>
      </c>
      <c r="T1043">
        <v>0</v>
      </c>
      <c r="U1043" t="s">
        <v>41</v>
      </c>
      <c r="V1043" t="s">
        <v>42</v>
      </c>
      <c r="W1043">
        <v>18</v>
      </c>
      <c r="X1043">
        <v>3</v>
      </c>
      <c r="Y1043">
        <v>4</v>
      </c>
      <c r="Z1043">
        <v>80</v>
      </c>
      <c r="AA1043">
        <v>0</v>
      </c>
      <c r="AB1043">
        <v>6</v>
      </c>
      <c r="AC1043">
        <v>4</v>
      </c>
      <c r="AD1043">
        <v>3</v>
      </c>
      <c r="AE1043">
        <v>5</v>
      </c>
      <c r="AF1043">
        <v>4</v>
      </c>
      <c r="AG1043">
        <v>1</v>
      </c>
      <c r="AH1043">
        <v>3</v>
      </c>
    </row>
    <row r="1044" spans="1:34" x14ac:dyDescent="0.2">
      <c r="A1044">
        <v>44</v>
      </c>
      <c r="B1044" t="s">
        <v>42</v>
      </c>
      <c r="C1044" t="s">
        <v>54</v>
      </c>
      <c r="D1044" t="s">
        <v>44</v>
      </c>
      <c r="E1044">
        <v>5</v>
      </c>
      <c r="F1044">
        <v>3</v>
      </c>
      <c r="G1044" t="s">
        <v>37</v>
      </c>
      <c r="H1044">
        <v>1</v>
      </c>
      <c r="I1044">
        <v>1471</v>
      </c>
      <c r="J1044">
        <v>3</v>
      </c>
      <c r="K1044" t="s">
        <v>45</v>
      </c>
      <c r="L1044">
        <v>90</v>
      </c>
      <c r="M1044">
        <v>2</v>
      </c>
      <c r="N1044">
        <v>1</v>
      </c>
      <c r="O1044" t="s">
        <v>49</v>
      </c>
      <c r="P1044">
        <v>3</v>
      </c>
      <c r="Q1044" t="s">
        <v>40</v>
      </c>
      <c r="R1044">
        <v>3162</v>
      </c>
      <c r="S1044">
        <v>7973</v>
      </c>
      <c r="T1044">
        <v>3</v>
      </c>
      <c r="U1044" t="s">
        <v>41</v>
      </c>
      <c r="V1044" t="s">
        <v>42</v>
      </c>
      <c r="W1044">
        <v>14</v>
      </c>
      <c r="X1044">
        <v>3</v>
      </c>
      <c r="Y1044">
        <v>4</v>
      </c>
      <c r="Z1044">
        <v>80</v>
      </c>
      <c r="AA1044">
        <v>0</v>
      </c>
      <c r="AB1044">
        <v>7</v>
      </c>
      <c r="AC1044">
        <v>5</v>
      </c>
      <c r="AD1044">
        <v>3</v>
      </c>
      <c r="AE1044">
        <v>5</v>
      </c>
      <c r="AF1044">
        <v>2</v>
      </c>
      <c r="AG1044">
        <v>0</v>
      </c>
      <c r="AH1044">
        <v>3</v>
      </c>
    </row>
    <row r="1045" spans="1:34" x14ac:dyDescent="0.2">
      <c r="A1045">
        <v>53</v>
      </c>
      <c r="B1045" t="s">
        <v>42</v>
      </c>
      <c r="C1045" t="s">
        <v>35</v>
      </c>
      <c r="D1045" t="s">
        <v>44</v>
      </c>
      <c r="E1045">
        <v>2</v>
      </c>
      <c r="F1045">
        <v>3</v>
      </c>
      <c r="G1045" t="s">
        <v>50</v>
      </c>
      <c r="H1045">
        <v>1</v>
      </c>
      <c r="I1045">
        <v>1472</v>
      </c>
      <c r="J1045">
        <v>4</v>
      </c>
      <c r="K1045" t="s">
        <v>45</v>
      </c>
      <c r="L1045">
        <v>39</v>
      </c>
      <c r="M1045">
        <v>4</v>
      </c>
      <c r="N1045">
        <v>4</v>
      </c>
      <c r="O1045" t="s">
        <v>57</v>
      </c>
      <c r="P1045">
        <v>2</v>
      </c>
      <c r="Q1045" t="s">
        <v>40</v>
      </c>
      <c r="R1045">
        <v>16598</v>
      </c>
      <c r="S1045">
        <v>19764</v>
      </c>
      <c r="T1045">
        <v>4</v>
      </c>
      <c r="U1045" t="s">
        <v>41</v>
      </c>
      <c r="V1045" t="s">
        <v>42</v>
      </c>
      <c r="W1045">
        <v>12</v>
      </c>
      <c r="X1045">
        <v>3</v>
      </c>
      <c r="Y1045">
        <v>2</v>
      </c>
      <c r="Z1045">
        <v>80</v>
      </c>
      <c r="AA1045">
        <v>0</v>
      </c>
      <c r="AB1045">
        <v>35</v>
      </c>
      <c r="AC1045">
        <v>2</v>
      </c>
      <c r="AD1045">
        <v>2</v>
      </c>
      <c r="AE1045">
        <v>9</v>
      </c>
      <c r="AF1045">
        <v>8</v>
      </c>
      <c r="AG1045">
        <v>8</v>
      </c>
      <c r="AH1045">
        <v>8</v>
      </c>
    </row>
    <row r="1046" spans="1:34" x14ac:dyDescent="0.2">
      <c r="A1046">
        <v>49</v>
      </c>
      <c r="B1046" t="s">
        <v>42</v>
      </c>
      <c r="C1046" t="s">
        <v>35</v>
      </c>
      <c r="D1046" t="s">
        <v>44</v>
      </c>
      <c r="E1046">
        <v>5</v>
      </c>
      <c r="F1046">
        <v>4</v>
      </c>
      <c r="G1046" t="s">
        <v>59</v>
      </c>
      <c r="H1046">
        <v>1</v>
      </c>
      <c r="I1046">
        <v>1473</v>
      </c>
      <c r="J1046">
        <v>1</v>
      </c>
      <c r="K1046" t="s">
        <v>45</v>
      </c>
      <c r="L1046">
        <v>96</v>
      </c>
      <c r="M1046">
        <v>3</v>
      </c>
      <c r="N1046">
        <v>2</v>
      </c>
      <c r="O1046" t="s">
        <v>53</v>
      </c>
      <c r="P1046">
        <v>3</v>
      </c>
      <c r="Q1046" t="s">
        <v>47</v>
      </c>
      <c r="R1046">
        <v>6651</v>
      </c>
      <c r="S1046">
        <v>21534</v>
      </c>
      <c r="T1046">
        <v>2</v>
      </c>
      <c r="U1046" t="s">
        <v>41</v>
      </c>
      <c r="V1046" t="s">
        <v>42</v>
      </c>
      <c r="W1046">
        <v>14</v>
      </c>
      <c r="X1046">
        <v>3</v>
      </c>
      <c r="Y1046">
        <v>2</v>
      </c>
      <c r="Z1046">
        <v>80</v>
      </c>
      <c r="AA1046">
        <v>1</v>
      </c>
      <c r="AB1046">
        <v>20</v>
      </c>
      <c r="AC1046">
        <v>0</v>
      </c>
      <c r="AD1046">
        <v>2</v>
      </c>
      <c r="AE1046">
        <v>3</v>
      </c>
      <c r="AF1046">
        <v>2</v>
      </c>
      <c r="AG1046">
        <v>1</v>
      </c>
      <c r="AH1046">
        <v>2</v>
      </c>
    </row>
    <row r="1047" spans="1:34" x14ac:dyDescent="0.2">
      <c r="A1047">
        <v>40</v>
      </c>
      <c r="B1047" t="s">
        <v>42</v>
      </c>
      <c r="C1047" t="s">
        <v>35</v>
      </c>
      <c r="D1047" t="s">
        <v>44</v>
      </c>
      <c r="E1047">
        <v>2</v>
      </c>
      <c r="F1047">
        <v>3</v>
      </c>
      <c r="G1047" t="s">
        <v>50</v>
      </c>
      <c r="H1047">
        <v>1</v>
      </c>
      <c r="I1047">
        <v>1474</v>
      </c>
      <c r="J1047">
        <v>3</v>
      </c>
      <c r="K1047" t="s">
        <v>45</v>
      </c>
      <c r="L1047">
        <v>68</v>
      </c>
      <c r="M1047">
        <v>3</v>
      </c>
      <c r="N1047">
        <v>1</v>
      </c>
      <c r="O1047" t="s">
        <v>46</v>
      </c>
      <c r="P1047">
        <v>3</v>
      </c>
      <c r="Q1047" t="s">
        <v>51</v>
      </c>
      <c r="R1047">
        <v>2345</v>
      </c>
      <c r="S1047">
        <v>8045</v>
      </c>
      <c r="T1047">
        <v>2</v>
      </c>
      <c r="U1047" t="s">
        <v>41</v>
      </c>
      <c r="V1047" t="s">
        <v>42</v>
      </c>
      <c r="W1047">
        <v>14</v>
      </c>
      <c r="X1047">
        <v>3</v>
      </c>
      <c r="Y1047">
        <v>3</v>
      </c>
      <c r="Z1047">
        <v>80</v>
      </c>
      <c r="AA1047">
        <v>1</v>
      </c>
      <c r="AB1047">
        <v>8</v>
      </c>
      <c r="AC1047">
        <v>3</v>
      </c>
      <c r="AD1047">
        <v>4</v>
      </c>
      <c r="AE1047">
        <v>3</v>
      </c>
      <c r="AF1047">
        <v>1</v>
      </c>
      <c r="AG1047">
        <v>1</v>
      </c>
      <c r="AH1047">
        <v>2</v>
      </c>
    </row>
    <row r="1048" spans="1:34" x14ac:dyDescent="0.2">
      <c r="A1048">
        <v>44</v>
      </c>
      <c r="B1048" t="s">
        <v>42</v>
      </c>
      <c r="C1048" t="s">
        <v>35</v>
      </c>
      <c r="D1048" t="s">
        <v>44</v>
      </c>
      <c r="E1048">
        <v>20</v>
      </c>
      <c r="F1048">
        <v>3</v>
      </c>
      <c r="G1048" t="s">
        <v>37</v>
      </c>
      <c r="H1048">
        <v>1</v>
      </c>
      <c r="I1048">
        <v>1475</v>
      </c>
      <c r="J1048">
        <v>4</v>
      </c>
      <c r="K1048" t="s">
        <v>45</v>
      </c>
      <c r="L1048">
        <v>49</v>
      </c>
      <c r="M1048">
        <v>3</v>
      </c>
      <c r="N1048">
        <v>1</v>
      </c>
      <c r="O1048" t="s">
        <v>46</v>
      </c>
      <c r="P1048">
        <v>2</v>
      </c>
      <c r="Q1048" t="s">
        <v>40</v>
      </c>
      <c r="R1048">
        <v>3420</v>
      </c>
      <c r="S1048">
        <v>21158</v>
      </c>
      <c r="T1048">
        <v>1</v>
      </c>
      <c r="U1048" t="s">
        <v>41</v>
      </c>
      <c r="V1048" t="s">
        <v>42</v>
      </c>
      <c r="W1048">
        <v>13</v>
      </c>
      <c r="X1048">
        <v>3</v>
      </c>
      <c r="Y1048">
        <v>3</v>
      </c>
      <c r="Z1048">
        <v>80</v>
      </c>
      <c r="AA1048">
        <v>0</v>
      </c>
      <c r="AB1048">
        <v>6</v>
      </c>
      <c r="AC1048">
        <v>3</v>
      </c>
      <c r="AD1048">
        <v>2</v>
      </c>
      <c r="AE1048">
        <v>5</v>
      </c>
      <c r="AF1048">
        <v>2</v>
      </c>
      <c r="AG1048">
        <v>1</v>
      </c>
      <c r="AH1048">
        <v>3</v>
      </c>
    </row>
    <row r="1049" spans="1:34" x14ac:dyDescent="0.2">
      <c r="A1049">
        <v>33</v>
      </c>
      <c r="B1049" t="s">
        <v>42</v>
      </c>
      <c r="C1049" t="s">
        <v>43</v>
      </c>
      <c r="D1049" t="s">
        <v>36</v>
      </c>
      <c r="E1049">
        <v>7</v>
      </c>
      <c r="F1049">
        <v>3</v>
      </c>
      <c r="G1049" t="s">
        <v>50</v>
      </c>
      <c r="H1049">
        <v>1</v>
      </c>
      <c r="I1049">
        <v>1477</v>
      </c>
      <c r="J1049">
        <v>4</v>
      </c>
      <c r="K1049" t="s">
        <v>45</v>
      </c>
      <c r="L1049">
        <v>54</v>
      </c>
      <c r="M1049">
        <v>3</v>
      </c>
      <c r="N1049">
        <v>2</v>
      </c>
      <c r="O1049" t="s">
        <v>39</v>
      </c>
      <c r="P1049">
        <v>1</v>
      </c>
      <c r="Q1049" t="s">
        <v>47</v>
      </c>
      <c r="R1049">
        <v>4373</v>
      </c>
      <c r="S1049">
        <v>17456</v>
      </c>
      <c r="T1049">
        <v>0</v>
      </c>
      <c r="U1049" t="s">
        <v>41</v>
      </c>
      <c r="V1049" t="s">
        <v>42</v>
      </c>
      <c r="W1049">
        <v>14</v>
      </c>
      <c r="X1049">
        <v>3</v>
      </c>
      <c r="Y1049">
        <v>1</v>
      </c>
      <c r="Z1049">
        <v>80</v>
      </c>
      <c r="AA1049">
        <v>2</v>
      </c>
      <c r="AB1049">
        <v>5</v>
      </c>
      <c r="AC1049">
        <v>2</v>
      </c>
      <c r="AD1049">
        <v>3</v>
      </c>
      <c r="AE1049">
        <v>4</v>
      </c>
      <c r="AF1049">
        <v>3</v>
      </c>
      <c r="AG1049">
        <v>0</v>
      </c>
      <c r="AH1049">
        <v>3</v>
      </c>
    </row>
    <row r="1050" spans="1:34" x14ac:dyDescent="0.2">
      <c r="A1050">
        <v>34</v>
      </c>
      <c r="B1050" t="s">
        <v>42</v>
      </c>
      <c r="C1050" t="s">
        <v>35</v>
      </c>
      <c r="D1050" t="s">
        <v>36</v>
      </c>
      <c r="E1050">
        <v>3</v>
      </c>
      <c r="F1050">
        <v>3</v>
      </c>
      <c r="G1050" t="s">
        <v>48</v>
      </c>
      <c r="H1050">
        <v>1</v>
      </c>
      <c r="I1050">
        <v>1478</v>
      </c>
      <c r="J1050">
        <v>4</v>
      </c>
      <c r="K1050" t="s">
        <v>45</v>
      </c>
      <c r="L1050">
        <v>81</v>
      </c>
      <c r="M1050">
        <v>1</v>
      </c>
      <c r="N1050">
        <v>2</v>
      </c>
      <c r="O1050" t="s">
        <v>39</v>
      </c>
      <c r="P1050">
        <v>1</v>
      </c>
      <c r="Q1050" t="s">
        <v>40</v>
      </c>
      <c r="R1050">
        <v>4759</v>
      </c>
      <c r="S1050">
        <v>15891</v>
      </c>
      <c r="T1050">
        <v>3</v>
      </c>
      <c r="U1050" t="s">
        <v>41</v>
      </c>
      <c r="V1050" t="s">
        <v>42</v>
      </c>
      <c r="W1050">
        <v>18</v>
      </c>
      <c r="X1050">
        <v>3</v>
      </c>
      <c r="Y1050">
        <v>4</v>
      </c>
      <c r="Z1050">
        <v>80</v>
      </c>
      <c r="AA1050">
        <v>0</v>
      </c>
      <c r="AB1050">
        <v>15</v>
      </c>
      <c r="AC1050">
        <v>2</v>
      </c>
      <c r="AD1050">
        <v>3</v>
      </c>
      <c r="AE1050">
        <v>13</v>
      </c>
      <c r="AF1050">
        <v>9</v>
      </c>
      <c r="AG1050">
        <v>3</v>
      </c>
      <c r="AH1050">
        <v>12</v>
      </c>
    </row>
    <row r="1051" spans="1:34" x14ac:dyDescent="0.2">
      <c r="A1051">
        <v>30</v>
      </c>
      <c r="B1051" t="s">
        <v>42</v>
      </c>
      <c r="C1051" t="s">
        <v>35</v>
      </c>
      <c r="D1051" t="s">
        <v>36</v>
      </c>
      <c r="E1051">
        <v>16</v>
      </c>
      <c r="F1051">
        <v>1</v>
      </c>
      <c r="G1051" t="s">
        <v>37</v>
      </c>
      <c r="H1051">
        <v>1</v>
      </c>
      <c r="I1051">
        <v>1479</v>
      </c>
      <c r="J1051">
        <v>4</v>
      </c>
      <c r="K1051" t="s">
        <v>45</v>
      </c>
      <c r="L1051">
        <v>96</v>
      </c>
      <c r="M1051">
        <v>3</v>
      </c>
      <c r="N1051">
        <v>2</v>
      </c>
      <c r="O1051" t="s">
        <v>39</v>
      </c>
      <c r="P1051">
        <v>3</v>
      </c>
      <c r="Q1051" t="s">
        <v>47</v>
      </c>
      <c r="R1051">
        <v>5301</v>
      </c>
      <c r="S1051">
        <v>2939</v>
      </c>
      <c r="T1051">
        <v>8</v>
      </c>
      <c r="U1051" t="s">
        <v>41</v>
      </c>
      <c r="V1051" t="s">
        <v>42</v>
      </c>
      <c r="W1051">
        <v>15</v>
      </c>
      <c r="X1051">
        <v>3</v>
      </c>
      <c r="Y1051">
        <v>3</v>
      </c>
      <c r="Z1051">
        <v>80</v>
      </c>
      <c r="AA1051">
        <v>2</v>
      </c>
      <c r="AB1051">
        <v>4</v>
      </c>
      <c r="AC1051">
        <v>2</v>
      </c>
      <c r="AD1051">
        <v>2</v>
      </c>
      <c r="AE1051">
        <v>2</v>
      </c>
      <c r="AF1051">
        <v>1</v>
      </c>
      <c r="AG1051">
        <v>2</v>
      </c>
      <c r="AH1051">
        <v>2</v>
      </c>
    </row>
    <row r="1052" spans="1:34" x14ac:dyDescent="0.2">
      <c r="A1052">
        <v>42</v>
      </c>
      <c r="B1052" t="s">
        <v>42</v>
      </c>
      <c r="C1052" t="s">
        <v>43</v>
      </c>
      <c r="D1052" t="s">
        <v>44</v>
      </c>
      <c r="E1052">
        <v>9</v>
      </c>
      <c r="F1052">
        <v>2</v>
      </c>
      <c r="G1052" t="s">
        <v>50</v>
      </c>
      <c r="H1052">
        <v>1</v>
      </c>
      <c r="I1052">
        <v>1480</v>
      </c>
      <c r="J1052">
        <v>1</v>
      </c>
      <c r="K1052" t="s">
        <v>38</v>
      </c>
      <c r="L1052">
        <v>74</v>
      </c>
      <c r="M1052">
        <v>3</v>
      </c>
      <c r="N1052">
        <v>1</v>
      </c>
      <c r="O1052" t="s">
        <v>49</v>
      </c>
      <c r="P1052">
        <v>4</v>
      </c>
      <c r="Q1052" t="s">
        <v>40</v>
      </c>
      <c r="R1052">
        <v>3673</v>
      </c>
      <c r="S1052">
        <v>16458</v>
      </c>
      <c r="T1052">
        <v>1</v>
      </c>
      <c r="U1052" t="s">
        <v>41</v>
      </c>
      <c r="V1052" t="s">
        <v>42</v>
      </c>
      <c r="W1052">
        <v>13</v>
      </c>
      <c r="X1052">
        <v>3</v>
      </c>
      <c r="Y1052">
        <v>3</v>
      </c>
      <c r="Z1052">
        <v>80</v>
      </c>
      <c r="AA1052">
        <v>0</v>
      </c>
      <c r="AB1052">
        <v>12</v>
      </c>
      <c r="AC1052">
        <v>3</v>
      </c>
      <c r="AD1052">
        <v>3</v>
      </c>
      <c r="AE1052">
        <v>12</v>
      </c>
      <c r="AF1052">
        <v>9</v>
      </c>
      <c r="AG1052">
        <v>5</v>
      </c>
      <c r="AH1052">
        <v>8</v>
      </c>
    </row>
    <row r="1053" spans="1:34" x14ac:dyDescent="0.2">
      <c r="A1053">
        <v>44</v>
      </c>
      <c r="B1053" t="s">
        <v>42</v>
      </c>
      <c r="C1053" t="s">
        <v>43</v>
      </c>
      <c r="D1053" t="s">
        <v>36</v>
      </c>
      <c r="E1053">
        <v>1</v>
      </c>
      <c r="F1053">
        <v>5</v>
      </c>
      <c r="G1053" t="s">
        <v>58</v>
      </c>
      <c r="H1053">
        <v>1</v>
      </c>
      <c r="I1053">
        <v>1481</v>
      </c>
      <c r="J1053">
        <v>1</v>
      </c>
      <c r="K1053" t="s">
        <v>38</v>
      </c>
      <c r="L1053">
        <v>79</v>
      </c>
      <c r="M1053">
        <v>3</v>
      </c>
      <c r="N1053">
        <v>2</v>
      </c>
      <c r="O1053" t="s">
        <v>39</v>
      </c>
      <c r="P1053">
        <v>3</v>
      </c>
      <c r="Q1053" t="s">
        <v>47</v>
      </c>
      <c r="R1053">
        <v>4768</v>
      </c>
      <c r="S1053">
        <v>9282</v>
      </c>
      <c r="T1053">
        <v>7</v>
      </c>
      <c r="U1053" t="s">
        <v>41</v>
      </c>
      <c r="V1053" t="s">
        <v>42</v>
      </c>
      <c r="W1053">
        <v>12</v>
      </c>
      <c r="X1053">
        <v>3</v>
      </c>
      <c r="Y1053">
        <v>3</v>
      </c>
      <c r="Z1053">
        <v>80</v>
      </c>
      <c r="AA1053">
        <v>1</v>
      </c>
      <c r="AB1053">
        <v>11</v>
      </c>
      <c r="AC1053">
        <v>4</v>
      </c>
      <c r="AD1053">
        <v>2</v>
      </c>
      <c r="AE1053">
        <v>1</v>
      </c>
      <c r="AF1053">
        <v>0</v>
      </c>
      <c r="AG1053">
        <v>0</v>
      </c>
      <c r="AH1053">
        <v>0</v>
      </c>
    </row>
    <row r="1054" spans="1:34" x14ac:dyDescent="0.2">
      <c r="A1054">
        <v>30</v>
      </c>
      <c r="B1054" t="s">
        <v>42</v>
      </c>
      <c r="C1054" t="s">
        <v>54</v>
      </c>
      <c r="D1054" t="s">
        <v>44</v>
      </c>
      <c r="E1054">
        <v>7</v>
      </c>
      <c r="F1054">
        <v>3</v>
      </c>
      <c r="G1054" t="s">
        <v>59</v>
      </c>
      <c r="H1054">
        <v>1</v>
      </c>
      <c r="I1054">
        <v>1482</v>
      </c>
      <c r="J1054">
        <v>3</v>
      </c>
      <c r="K1054" t="s">
        <v>45</v>
      </c>
      <c r="L1054">
        <v>64</v>
      </c>
      <c r="M1054">
        <v>3</v>
      </c>
      <c r="N1054">
        <v>1</v>
      </c>
      <c r="O1054" t="s">
        <v>46</v>
      </c>
      <c r="P1054">
        <v>3</v>
      </c>
      <c r="Q1054" t="s">
        <v>51</v>
      </c>
      <c r="R1054">
        <v>1274</v>
      </c>
      <c r="S1054">
        <v>7152</v>
      </c>
      <c r="T1054">
        <v>1</v>
      </c>
      <c r="U1054" t="s">
        <v>41</v>
      </c>
      <c r="V1054" t="s">
        <v>42</v>
      </c>
      <c r="W1054">
        <v>13</v>
      </c>
      <c r="X1054">
        <v>3</v>
      </c>
      <c r="Y1054">
        <v>2</v>
      </c>
      <c r="Z1054">
        <v>80</v>
      </c>
      <c r="AA1054">
        <v>2</v>
      </c>
      <c r="AB1054">
        <v>1</v>
      </c>
      <c r="AC1054">
        <v>2</v>
      </c>
      <c r="AD1054">
        <v>2</v>
      </c>
      <c r="AE1054">
        <v>1</v>
      </c>
      <c r="AF1054">
        <v>0</v>
      </c>
      <c r="AG1054">
        <v>0</v>
      </c>
      <c r="AH1054">
        <v>0</v>
      </c>
    </row>
    <row r="1055" spans="1:34" x14ac:dyDescent="0.2">
      <c r="A1055">
        <v>57</v>
      </c>
      <c r="B1055" t="s">
        <v>42</v>
      </c>
      <c r="C1055" t="s">
        <v>35</v>
      </c>
      <c r="D1055" t="s">
        <v>44</v>
      </c>
      <c r="E1055">
        <v>1</v>
      </c>
      <c r="F1055">
        <v>2</v>
      </c>
      <c r="G1055" t="s">
        <v>37</v>
      </c>
      <c r="H1055">
        <v>1</v>
      </c>
      <c r="I1055">
        <v>1483</v>
      </c>
      <c r="J1055">
        <v>2</v>
      </c>
      <c r="K1055" t="s">
        <v>45</v>
      </c>
      <c r="L1055">
        <v>93</v>
      </c>
      <c r="M1055">
        <v>4</v>
      </c>
      <c r="N1055">
        <v>2</v>
      </c>
      <c r="O1055" t="s">
        <v>46</v>
      </c>
      <c r="P1055">
        <v>3</v>
      </c>
      <c r="Q1055" t="s">
        <v>47</v>
      </c>
      <c r="R1055">
        <v>4900</v>
      </c>
      <c r="S1055">
        <v>2721</v>
      </c>
      <c r="T1055">
        <v>0</v>
      </c>
      <c r="U1055" t="s">
        <v>41</v>
      </c>
      <c r="V1055" t="s">
        <v>42</v>
      </c>
      <c r="W1055">
        <v>24</v>
      </c>
      <c r="X1055">
        <v>4</v>
      </c>
      <c r="Y1055">
        <v>1</v>
      </c>
      <c r="Z1055">
        <v>80</v>
      </c>
      <c r="AA1055">
        <v>1</v>
      </c>
      <c r="AB1055">
        <v>13</v>
      </c>
      <c r="AC1055">
        <v>2</v>
      </c>
      <c r="AD1055">
        <v>2</v>
      </c>
      <c r="AE1055">
        <v>12</v>
      </c>
      <c r="AF1055">
        <v>9</v>
      </c>
      <c r="AG1055">
        <v>2</v>
      </c>
      <c r="AH1055">
        <v>8</v>
      </c>
    </row>
    <row r="1056" spans="1:34" x14ac:dyDescent="0.2">
      <c r="A1056">
        <v>49</v>
      </c>
      <c r="B1056" t="s">
        <v>42</v>
      </c>
      <c r="C1056" t="s">
        <v>35</v>
      </c>
      <c r="D1056" t="s">
        <v>44</v>
      </c>
      <c r="E1056">
        <v>7</v>
      </c>
      <c r="F1056">
        <v>4</v>
      </c>
      <c r="G1056" t="s">
        <v>37</v>
      </c>
      <c r="H1056">
        <v>1</v>
      </c>
      <c r="I1056">
        <v>1484</v>
      </c>
      <c r="J1056">
        <v>3</v>
      </c>
      <c r="K1056" t="s">
        <v>45</v>
      </c>
      <c r="L1056">
        <v>35</v>
      </c>
      <c r="M1056">
        <v>3</v>
      </c>
      <c r="N1056">
        <v>3</v>
      </c>
      <c r="O1056" t="s">
        <v>53</v>
      </c>
      <c r="P1056">
        <v>2</v>
      </c>
      <c r="Q1056" t="s">
        <v>51</v>
      </c>
      <c r="R1056">
        <v>10466</v>
      </c>
      <c r="S1056">
        <v>20948</v>
      </c>
      <c r="T1056">
        <v>3</v>
      </c>
      <c r="U1056" t="s">
        <v>41</v>
      </c>
      <c r="V1056" t="s">
        <v>42</v>
      </c>
      <c r="W1056">
        <v>14</v>
      </c>
      <c r="X1056">
        <v>3</v>
      </c>
      <c r="Y1056">
        <v>2</v>
      </c>
      <c r="Z1056">
        <v>80</v>
      </c>
      <c r="AA1056">
        <v>2</v>
      </c>
      <c r="AB1056">
        <v>29</v>
      </c>
      <c r="AC1056">
        <v>3</v>
      </c>
      <c r="AD1056">
        <v>3</v>
      </c>
      <c r="AE1056">
        <v>8</v>
      </c>
      <c r="AF1056">
        <v>7</v>
      </c>
      <c r="AG1056">
        <v>0</v>
      </c>
      <c r="AH1056">
        <v>7</v>
      </c>
    </row>
    <row r="1057" spans="1:34" x14ac:dyDescent="0.2">
      <c r="A1057">
        <v>34</v>
      </c>
      <c r="B1057" t="s">
        <v>42</v>
      </c>
      <c r="C1057" t="s">
        <v>43</v>
      </c>
      <c r="D1057" t="s">
        <v>44</v>
      </c>
      <c r="E1057">
        <v>15</v>
      </c>
      <c r="F1057">
        <v>3</v>
      </c>
      <c r="G1057" t="s">
        <v>50</v>
      </c>
      <c r="H1057">
        <v>1</v>
      </c>
      <c r="I1057">
        <v>1485</v>
      </c>
      <c r="J1057">
        <v>2</v>
      </c>
      <c r="K1057" t="s">
        <v>45</v>
      </c>
      <c r="L1057">
        <v>71</v>
      </c>
      <c r="M1057">
        <v>3</v>
      </c>
      <c r="N1057">
        <v>4</v>
      </c>
      <c r="O1057" t="s">
        <v>57</v>
      </c>
      <c r="P1057">
        <v>1</v>
      </c>
      <c r="Q1057" t="s">
        <v>51</v>
      </c>
      <c r="R1057">
        <v>17007</v>
      </c>
      <c r="S1057">
        <v>11929</v>
      </c>
      <c r="T1057">
        <v>7</v>
      </c>
      <c r="U1057" t="s">
        <v>41</v>
      </c>
      <c r="V1057" t="s">
        <v>42</v>
      </c>
      <c r="W1057">
        <v>14</v>
      </c>
      <c r="X1057">
        <v>3</v>
      </c>
      <c r="Y1057">
        <v>4</v>
      </c>
      <c r="Z1057">
        <v>80</v>
      </c>
      <c r="AA1057">
        <v>2</v>
      </c>
      <c r="AB1057">
        <v>16</v>
      </c>
      <c r="AC1057">
        <v>3</v>
      </c>
      <c r="AD1057">
        <v>2</v>
      </c>
      <c r="AE1057">
        <v>14</v>
      </c>
      <c r="AF1057">
        <v>8</v>
      </c>
      <c r="AG1057">
        <v>6</v>
      </c>
      <c r="AH1057">
        <v>9</v>
      </c>
    </row>
    <row r="1058" spans="1:34" x14ac:dyDescent="0.2">
      <c r="A1058">
        <v>28</v>
      </c>
      <c r="B1058" t="s">
        <v>34</v>
      </c>
      <c r="C1058" t="s">
        <v>43</v>
      </c>
      <c r="D1058" t="s">
        <v>36</v>
      </c>
      <c r="E1058">
        <v>1</v>
      </c>
      <c r="F1058">
        <v>3</v>
      </c>
      <c r="G1058" t="s">
        <v>59</v>
      </c>
      <c r="H1058">
        <v>1</v>
      </c>
      <c r="I1058">
        <v>1486</v>
      </c>
      <c r="J1058">
        <v>1</v>
      </c>
      <c r="K1058" t="s">
        <v>45</v>
      </c>
      <c r="L1058">
        <v>92</v>
      </c>
      <c r="M1058">
        <v>3</v>
      </c>
      <c r="N1058">
        <v>1</v>
      </c>
      <c r="O1058" t="s">
        <v>56</v>
      </c>
      <c r="P1058">
        <v>3</v>
      </c>
      <c r="Q1058" t="s">
        <v>47</v>
      </c>
      <c r="R1058">
        <v>2909</v>
      </c>
      <c r="S1058">
        <v>15747</v>
      </c>
      <c r="T1058">
        <v>3</v>
      </c>
      <c r="U1058" t="s">
        <v>41</v>
      </c>
      <c r="V1058" t="s">
        <v>42</v>
      </c>
      <c r="W1058">
        <v>15</v>
      </c>
      <c r="X1058">
        <v>3</v>
      </c>
      <c r="Y1058">
        <v>4</v>
      </c>
      <c r="Z1058">
        <v>80</v>
      </c>
      <c r="AA1058">
        <v>1</v>
      </c>
      <c r="AB1058">
        <v>5</v>
      </c>
      <c r="AC1058">
        <v>3</v>
      </c>
      <c r="AD1058">
        <v>4</v>
      </c>
      <c r="AE1058">
        <v>3</v>
      </c>
      <c r="AF1058">
        <v>2</v>
      </c>
      <c r="AG1058">
        <v>1</v>
      </c>
      <c r="AH1058">
        <v>2</v>
      </c>
    </row>
    <row r="1059" spans="1:34" x14ac:dyDescent="0.2">
      <c r="A1059">
        <v>29</v>
      </c>
      <c r="B1059" t="s">
        <v>34</v>
      </c>
      <c r="C1059" t="s">
        <v>43</v>
      </c>
      <c r="D1059" t="s">
        <v>36</v>
      </c>
      <c r="E1059">
        <v>13</v>
      </c>
      <c r="F1059">
        <v>3</v>
      </c>
      <c r="G1059" t="s">
        <v>59</v>
      </c>
      <c r="H1059">
        <v>1</v>
      </c>
      <c r="I1059">
        <v>1487</v>
      </c>
      <c r="J1059">
        <v>1</v>
      </c>
      <c r="K1059" t="s">
        <v>38</v>
      </c>
      <c r="L1059">
        <v>51</v>
      </c>
      <c r="M1059">
        <v>3</v>
      </c>
      <c r="N1059">
        <v>2</v>
      </c>
      <c r="O1059" t="s">
        <v>39</v>
      </c>
      <c r="P1059">
        <v>2</v>
      </c>
      <c r="Q1059" t="s">
        <v>40</v>
      </c>
      <c r="R1059">
        <v>5765</v>
      </c>
      <c r="S1059">
        <v>17485</v>
      </c>
      <c r="T1059">
        <v>5</v>
      </c>
      <c r="U1059" t="s">
        <v>41</v>
      </c>
      <c r="V1059" t="s">
        <v>42</v>
      </c>
      <c r="W1059">
        <v>11</v>
      </c>
      <c r="X1059">
        <v>3</v>
      </c>
      <c r="Y1059">
        <v>1</v>
      </c>
      <c r="Z1059">
        <v>80</v>
      </c>
      <c r="AA1059">
        <v>0</v>
      </c>
      <c r="AB1059">
        <v>7</v>
      </c>
      <c r="AC1059">
        <v>4</v>
      </c>
      <c r="AD1059">
        <v>1</v>
      </c>
      <c r="AE1059">
        <v>5</v>
      </c>
      <c r="AF1059">
        <v>3</v>
      </c>
      <c r="AG1059">
        <v>0</v>
      </c>
      <c r="AH1059">
        <v>0</v>
      </c>
    </row>
    <row r="1060" spans="1:34" x14ac:dyDescent="0.2">
      <c r="A1060">
        <v>34</v>
      </c>
      <c r="B1060" t="s">
        <v>34</v>
      </c>
      <c r="C1060" t="s">
        <v>35</v>
      </c>
      <c r="D1060" t="s">
        <v>36</v>
      </c>
      <c r="E1060">
        <v>24</v>
      </c>
      <c r="F1060">
        <v>4</v>
      </c>
      <c r="G1060" t="s">
        <v>50</v>
      </c>
      <c r="H1060">
        <v>1</v>
      </c>
      <c r="I1060">
        <v>1489</v>
      </c>
      <c r="J1060">
        <v>1</v>
      </c>
      <c r="K1060" t="s">
        <v>38</v>
      </c>
      <c r="L1060">
        <v>40</v>
      </c>
      <c r="M1060">
        <v>2</v>
      </c>
      <c r="N1060">
        <v>2</v>
      </c>
      <c r="O1060" t="s">
        <v>39</v>
      </c>
      <c r="P1060">
        <v>2</v>
      </c>
      <c r="Q1060" t="s">
        <v>40</v>
      </c>
      <c r="R1060">
        <v>4599</v>
      </c>
      <c r="S1060">
        <v>7815</v>
      </c>
      <c r="T1060">
        <v>0</v>
      </c>
      <c r="U1060" t="s">
        <v>41</v>
      </c>
      <c r="V1060" t="s">
        <v>34</v>
      </c>
      <c r="W1060">
        <v>23</v>
      </c>
      <c r="X1060">
        <v>4</v>
      </c>
      <c r="Y1060">
        <v>3</v>
      </c>
      <c r="Z1060">
        <v>80</v>
      </c>
      <c r="AA1060">
        <v>0</v>
      </c>
      <c r="AB1060">
        <v>16</v>
      </c>
      <c r="AC1060">
        <v>2</v>
      </c>
      <c r="AD1060">
        <v>4</v>
      </c>
      <c r="AE1060">
        <v>15</v>
      </c>
      <c r="AF1060">
        <v>9</v>
      </c>
      <c r="AG1060">
        <v>10</v>
      </c>
      <c r="AH1060">
        <v>10</v>
      </c>
    </row>
    <row r="1061" spans="1:34" x14ac:dyDescent="0.2">
      <c r="A1061">
        <v>35</v>
      </c>
      <c r="B1061" t="s">
        <v>42</v>
      </c>
      <c r="C1061" t="s">
        <v>35</v>
      </c>
      <c r="D1061" t="s">
        <v>36</v>
      </c>
      <c r="E1061">
        <v>7</v>
      </c>
      <c r="F1061">
        <v>1</v>
      </c>
      <c r="G1061" t="s">
        <v>37</v>
      </c>
      <c r="H1061">
        <v>1</v>
      </c>
      <c r="I1061">
        <v>1492</v>
      </c>
      <c r="J1061">
        <v>4</v>
      </c>
      <c r="K1061" t="s">
        <v>45</v>
      </c>
      <c r="L1061">
        <v>76</v>
      </c>
      <c r="M1061">
        <v>3</v>
      </c>
      <c r="N1061">
        <v>1</v>
      </c>
      <c r="O1061" t="s">
        <v>56</v>
      </c>
      <c r="P1061">
        <v>3</v>
      </c>
      <c r="Q1061" t="s">
        <v>47</v>
      </c>
      <c r="R1061">
        <v>2404</v>
      </c>
      <c r="S1061">
        <v>16192</v>
      </c>
      <c r="T1061">
        <v>1</v>
      </c>
      <c r="U1061" t="s">
        <v>41</v>
      </c>
      <c r="V1061" t="s">
        <v>42</v>
      </c>
      <c r="W1061">
        <v>13</v>
      </c>
      <c r="X1061">
        <v>3</v>
      </c>
      <c r="Y1061">
        <v>1</v>
      </c>
      <c r="Z1061">
        <v>80</v>
      </c>
      <c r="AA1061">
        <v>1</v>
      </c>
      <c r="AB1061">
        <v>1</v>
      </c>
      <c r="AC1061">
        <v>3</v>
      </c>
      <c r="AD1061">
        <v>3</v>
      </c>
      <c r="AE1061">
        <v>1</v>
      </c>
      <c r="AF1061">
        <v>0</v>
      </c>
      <c r="AG1061">
        <v>0</v>
      </c>
      <c r="AH1061">
        <v>0</v>
      </c>
    </row>
    <row r="1062" spans="1:34" x14ac:dyDescent="0.2">
      <c r="A1062">
        <v>24</v>
      </c>
      <c r="B1062" t="s">
        <v>34</v>
      </c>
      <c r="C1062" t="s">
        <v>43</v>
      </c>
      <c r="D1062" t="s">
        <v>44</v>
      </c>
      <c r="E1062">
        <v>9</v>
      </c>
      <c r="F1062">
        <v>3</v>
      </c>
      <c r="G1062" t="s">
        <v>50</v>
      </c>
      <c r="H1062">
        <v>1</v>
      </c>
      <c r="I1062">
        <v>1494</v>
      </c>
      <c r="J1062">
        <v>2</v>
      </c>
      <c r="K1062" t="s">
        <v>45</v>
      </c>
      <c r="L1062">
        <v>89</v>
      </c>
      <c r="M1062">
        <v>3</v>
      </c>
      <c r="N1062">
        <v>1</v>
      </c>
      <c r="O1062" t="s">
        <v>49</v>
      </c>
      <c r="P1062">
        <v>1</v>
      </c>
      <c r="Q1062" t="s">
        <v>40</v>
      </c>
      <c r="R1062">
        <v>3172</v>
      </c>
      <c r="S1062">
        <v>16998</v>
      </c>
      <c r="T1062">
        <v>2</v>
      </c>
      <c r="U1062" t="s">
        <v>41</v>
      </c>
      <c r="V1062" t="s">
        <v>34</v>
      </c>
      <c r="W1062">
        <v>11</v>
      </c>
      <c r="X1062">
        <v>3</v>
      </c>
      <c r="Y1062">
        <v>3</v>
      </c>
      <c r="Z1062">
        <v>80</v>
      </c>
      <c r="AA1062">
        <v>0</v>
      </c>
      <c r="AB1062">
        <v>4</v>
      </c>
      <c r="AC1062">
        <v>2</v>
      </c>
      <c r="AD1062">
        <v>2</v>
      </c>
      <c r="AE1062">
        <v>0</v>
      </c>
      <c r="AF1062">
        <v>0</v>
      </c>
      <c r="AG1062">
        <v>0</v>
      </c>
      <c r="AH1062">
        <v>0</v>
      </c>
    </row>
    <row r="1063" spans="1:34" x14ac:dyDescent="0.2">
      <c r="A1063">
        <v>24</v>
      </c>
      <c r="B1063" t="s">
        <v>42</v>
      </c>
      <c r="C1063" t="s">
        <v>54</v>
      </c>
      <c r="D1063" t="s">
        <v>36</v>
      </c>
      <c r="E1063">
        <v>13</v>
      </c>
      <c r="F1063">
        <v>2</v>
      </c>
      <c r="G1063" t="s">
        <v>37</v>
      </c>
      <c r="H1063">
        <v>1</v>
      </c>
      <c r="I1063">
        <v>1495</v>
      </c>
      <c r="J1063">
        <v>4</v>
      </c>
      <c r="K1063" t="s">
        <v>38</v>
      </c>
      <c r="L1063">
        <v>78</v>
      </c>
      <c r="M1063">
        <v>3</v>
      </c>
      <c r="N1063">
        <v>1</v>
      </c>
      <c r="O1063" t="s">
        <v>56</v>
      </c>
      <c r="P1063">
        <v>2</v>
      </c>
      <c r="Q1063" t="s">
        <v>47</v>
      </c>
      <c r="R1063">
        <v>2033</v>
      </c>
      <c r="S1063">
        <v>7103</v>
      </c>
      <c r="T1063">
        <v>1</v>
      </c>
      <c r="U1063" t="s">
        <v>41</v>
      </c>
      <c r="V1063" t="s">
        <v>42</v>
      </c>
      <c r="W1063">
        <v>13</v>
      </c>
      <c r="X1063">
        <v>3</v>
      </c>
      <c r="Y1063">
        <v>3</v>
      </c>
      <c r="Z1063">
        <v>80</v>
      </c>
      <c r="AA1063">
        <v>1</v>
      </c>
      <c r="AB1063">
        <v>1</v>
      </c>
      <c r="AC1063">
        <v>2</v>
      </c>
      <c r="AD1063">
        <v>3</v>
      </c>
      <c r="AE1063">
        <v>1</v>
      </c>
      <c r="AF1063">
        <v>0</v>
      </c>
      <c r="AG1063">
        <v>0</v>
      </c>
      <c r="AH1063">
        <v>0</v>
      </c>
    </row>
    <row r="1064" spans="1:34" x14ac:dyDescent="0.2">
      <c r="A1064">
        <v>44</v>
      </c>
      <c r="B1064" t="s">
        <v>42</v>
      </c>
      <c r="C1064" t="s">
        <v>43</v>
      </c>
      <c r="D1064" t="s">
        <v>44</v>
      </c>
      <c r="E1064">
        <v>2</v>
      </c>
      <c r="F1064">
        <v>1</v>
      </c>
      <c r="G1064" t="s">
        <v>50</v>
      </c>
      <c r="H1064">
        <v>1</v>
      </c>
      <c r="I1064">
        <v>1496</v>
      </c>
      <c r="J1064">
        <v>2</v>
      </c>
      <c r="K1064" t="s">
        <v>45</v>
      </c>
      <c r="L1064">
        <v>86</v>
      </c>
      <c r="M1064">
        <v>3</v>
      </c>
      <c r="N1064">
        <v>3</v>
      </c>
      <c r="O1064" t="s">
        <v>52</v>
      </c>
      <c r="P1064">
        <v>3</v>
      </c>
      <c r="Q1064" t="s">
        <v>40</v>
      </c>
      <c r="R1064">
        <v>10209</v>
      </c>
      <c r="S1064">
        <v>19719</v>
      </c>
      <c r="T1064">
        <v>5</v>
      </c>
      <c r="U1064" t="s">
        <v>41</v>
      </c>
      <c r="V1064" t="s">
        <v>34</v>
      </c>
      <c r="W1064">
        <v>18</v>
      </c>
      <c r="X1064">
        <v>3</v>
      </c>
      <c r="Y1064">
        <v>2</v>
      </c>
      <c r="Z1064">
        <v>80</v>
      </c>
      <c r="AA1064">
        <v>0</v>
      </c>
      <c r="AB1064">
        <v>16</v>
      </c>
      <c r="AC1064">
        <v>2</v>
      </c>
      <c r="AD1064">
        <v>2</v>
      </c>
      <c r="AE1064">
        <v>2</v>
      </c>
      <c r="AF1064">
        <v>2</v>
      </c>
      <c r="AG1064">
        <v>2</v>
      </c>
      <c r="AH1064">
        <v>2</v>
      </c>
    </row>
    <row r="1065" spans="1:34" x14ac:dyDescent="0.2">
      <c r="A1065">
        <v>29</v>
      </c>
      <c r="B1065" t="s">
        <v>42</v>
      </c>
      <c r="C1065" t="s">
        <v>35</v>
      </c>
      <c r="D1065" t="s">
        <v>36</v>
      </c>
      <c r="E1065">
        <v>19</v>
      </c>
      <c r="F1065">
        <v>3</v>
      </c>
      <c r="G1065" t="s">
        <v>37</v>
      </c>
      <c r="H1065">
        <v>1</v>
      </c>
      <c r="I1065">
        <v>1497</v>
      </c>
      <c r="J1065">
        <v>3</v>
      </c>
      <c r="K1065" t="s">
        <v>45</v>
      </c>
      <c r="L1065">
        <v>77</v>
      </c>
      <c r="M1065">
        <v>2</v>
      </c>
      <c r="N1065">
        <v>2</v>
      </c>
      <c r="O1065" t="s">
        <v>39</v>
      </c>
      <c r="P1065">
        <v>3</v>
      </c>
      <c r="Q1065" t="s">
        <v>51</v>
      </c>
      <c r="R1065">
        <v>8620</v>
      </c>
      <c r="S1065">
        <v>23757</v>
      </c>
      <c r="T1065">
        <v>1</v>
      </c>
      <c r="U1065" t="s">
        <v>41</v>
      </c>
      <c r="V1065" t="s">
        <v>42</v>
      </c>
      <c r="W1065">
        <v>14</v>
      </c>
      <c r="X1065">
        <v>3</v>
      </c>
      <c r="Y1065">
        <v>3</v>
      </c>
      <c r="Z1065">
        <v>80</v>
      </c>
      <c r="AA1065">
        <v>2</v>
      </c>
      <c r="AB1065">
        <v>10</v>
      </c>
      <c r="AC1065">
        <v>3</v>
      </c>
      <c r="AD1065">
        <v>3</v>
      </c>
      <c r="AE1065">
        <v>10</v>
      </c>
      <c r="AF1065">
        <v>7</v>
      </c>
      <c r="AG1065">
        <v>0</v>
      </c>
      <c r="AH1065">
        <v>4</v>
      </c>
    </row>
    <row r="1066" spans="1:34" x14ac:dyDescent="0.2">
      <c r="A1066">
        <v>30</v>
      </c>
      <c r="B1066" t="s">
        <v>42</v>
      </c>
      <c r="C1066" t="s">
        <v>35</v>
      </c>
      <c r="D1066" t="s">
        <v>60</v>
      </c>
      <c r="E1066">
        <v>1</v>
      </c>
      <c r="F1066">
        <v>3</v>
      </c>
      <c r="G1066" t="s">
        <v>37</v>
      </c>
      <c r="H1066">
        <v>1</v>
      </c>
      <c r="I1066">
        <v>1499</v>
      </c>
      <c r="J1066">
        <v>3</v>
      </c>
      <c r="K1066" t="s">
        <v>45</v>
      </c>
      <c r="L1066">
        <v>46</v>
      </c>
      <c r="M1066">
        <v>3</v>
      </c>
      <c r="N1066">
        <v>1</v>
      </c>
      <c r="O1066" t="s">
        <v>60</v>
      </c>
      <c r="P1066">
        <v>3</v>
      </c>
      <c r="Q1066" t="s">
        <v>51</v>
      </c>
      <c r="R1066">
        <v>2064</v>
      </c>
      <c r="S1066">
        <v>15428</v>
      </c>
      <c r="T1066">
        <v>0</v>
      </c>
      <c r="U1066" t="s">
        <v>41</v>
      </c>
      <c r="V1066" t="s">
        <v>42</v>
      </c>
      <c r="W1066">
        <v>21</v>
      </c>
      <c r="X1066">
        <v>4</v>
      </c>
      <c r="Y1066">
        <v>1</v>
      </c>
      <c r="Z1066">
        <v>80</v>
      </c>
      <c r="AA1066">
        <v>1</v>
      </c>
      <c r="AB1066">
        <v>6</v>
      </c>
      <c r="AC1066">
        <v>3</v>
      </c>
      <c r="AD1066">
        <v>4</v>
      </c>
      <c r="AE1066">
        <v>5</v>
      </c>
      <c r="AF1066">
        <v>3</v>
      </c>
      <c r="AG1066">
        <v>1</v>
      </c>
      <c r="AH1066">
        <v>3</v>
      </c>
    </row>
    <row r="1067" spans="1:34" x14ac:dyDescent="0.2">
      <c r="A1067">
        <v>55</v>
      </c>
      <c r="B1067" t="s">
        <v>42</v>
      </c>
      <c r="C1067" t="s">
        <v>35</v>
      </c>
      <c r="D1067" t="s">
        <v>44</v>
      </c>
      <c r="E1067">
        <v>4</v>
      </c>
      <c r="F1067">
        <v>4</v>
      </c>
      <c r="G1067" t="s">
        <v>37</v>
      </c>
      <c r="H1067">
        <v>1</v>
      </c>
      <c r="I1067">
        <v>1501</v>
      </c>
      <c r="J1067">
        <v>4</v>
      </c>
      <c r="K1067" t="s">
        <v>45</v>
      </c>
      <c r="L1067">
        <v>30</v>
      </c>
      <c r="M1067">
        <v>3</v>
      </c>
      <c r="N1067">
        <v>2</v>
      </c>
      <c r="O1067" t="s">
        <v>53</v>
      </c>
      <c r="P1067">
        <v>3</v>
      </c>
      <c r="Q1067" t="s">
        <v>47</v>
      </c>
      <c r="R1067">
        <v>4035</v>
      </c>
      <c r="S1067">
        <v>16143</v>
      </c>
      <c r="T1067">
        <v>0</v>
      </c>
      <c r="U1067" t="s">
        <v>41</v>
      </c>
      <c r="V1067" t="s">
        <v>34</v>
      </c>
      <c r="W1067">
        <v>16</v>
      </c>
      <c r="X1067">
        <v>3</v>
      </c>
      <c r="Y1067">
        <v>2</v>
      </c>
      <c r="Z1067">
        <v>80</v>
      </c>
      <c r="AA1067">
        <v>0</v>
      </c>
      <c r="AB1067">
        <v>4</v>
      </c>
      <c r="AC1067">
        <v>2</v>
      </c>
      <c r="AD1067">
        <v>3</v>
      </c>
      <c r="AE1067">
        <v>3</v>
      </c>
      <c r="AF1067">
        <v>2</v>
      </c>
      <c r="AG1067">
        <v>1</v>
      </c>
      <c r="AH1067">
        <v>2</v>
      </c>
    </row>
    <row r="1068" spans="1:34" x14ac:dyDescent="0.2">
      <c r="A1068">
        <v>33</v>
      </c>
      <c r="B1068" t="s">
        <v>42</v>
      </c>
      <c r="C1068" t="s">
        <v>35</v>
      </c>
      <c r="D1068" t="s">
        <v>44</v>
      </c>
      <c r="E1068">
        <v>4</v>
      </c>
      <c r="F1068">
        <v>4</v>
      </c>
      <c r="G1068" t="s">
        <v>50</v>
      </c>
      <c r="H1068">
        <v>1</v>
      </c>
      <c r="I1068">
        <v>1502</v>
      </c>
      <c r="J1068">
        <v>1</v>
      </c>
      <c r="K1068" t="s">
        <v>38</v>
      </c>
      <c r="L1068">
        <v>82</v>
      </c>
      <c r="M1068">
        <v>2</v>
      </c>
      <c r="N1068">
        <v>1</v>
      </c>
      <c r="O1068" t="s">
        <v>49</v>
      </c>
      <c r="P1068">
        <v>2</v>
      </c>
      <c r="Q1068" t="s">
        <v>47</v>
      </c>
      <c r="R1068">
        <v>3838</v>
      </c>
      <c r="S1068">
        <v>8192</v>
      </c>
      <c r="T1068">
        <v>8</v>
      </c>
      <c r="U1068" t="s">
        <v>41</v>
      </c>
      <c r="V1068" t="s">
        <v>42</v>
      </c>
      <c r="W1068">
        <v>11</v>
      </c>
      <c r="X1068">
        <v>3</v>
      </c>
      <c r="Y1068">
        <v>4</v>
      </c>
      <c r="Z1068">
        <v>80</v>
      </c>
      <c r="AA1068">
        <v>0</v>
      </c>
      <c r="AB1068">
        <v>8</v>
      </c>
      <c r="AC1068">
        <v>5</v>
      </c>
      <c r="AD1068">
        <v>3</v>
      </c>
      <c r="AE1068">
        <v>5</v>
      </c>
      <c r="AF1068">
        <v>4</v>
      </c>
      <c r="AG1068">
        <v>0</v>
      </c>
      <c r="AH1068">
        <v>2</v>
      </c>
    </row>
    <row r="1069" spans="1:34" x14ac:dyDescent="0.2">
      <c r="A1069">
        <v>47</v>
      </c>
      <c r="B1069" t="s">
        <v>42</v>
      </c>
      <c r="C1069" t="s">
        <v>35</v>
      </c>
      <c r="D1069" t="s">
        <v>36</v>
      </c>
      <c r="E1069">
        <v>14</v>
      </c>
      <c r="F1069">
        <v>3</v>
      </c>
      <c r="G1069" t="s">
        <v>50</v>
      </c>
      <c r="H1069">
        <v>1</v>
      </c>
      <c r="I1069">
        <v>1503</v>
      </c>
      <c r="J1069">
        <v>3</v>
      </c>
      <c r="K1069" t="s">
        <v>38</v>
      </c>
      <c r="L1069">
        <v>78</v>
      </c>
      <c r="M1069">
        <v>3</v>
      </c>
      <c r="N1069">
        <v>2</v>
      </c>
      <c r="O1069" t="s">
        <v>39</v>
      </c>
      <c r="P1069">
        <v>3</v>
      </c>
      <c r="Q1069" t="s">
        <v>47</v>
      </c>
      <c r="R1069">
        <v>4591</v>
      </c>
      <c r="S1069">
        <v>24200</v>
      </c>
      <c r="T1069">
        <v>3</v>
      </c>
      <c r="U1069" t="s">
        <v>41</v>
      </c>
      <c r="V1069" t="s">
        <v>34</v>
      </c>
      <c r="W1069">
        <v>17</v>
      </c>
      <c r="X1069">
        <v>3</v>
      </c>
      <c r="Y1069">
        <v>3</v>
      </c>
      <c r="Z1069">
        <v>80</v>
      </c>
      <c r="AA1069">
        <v>1</v>
      </c>
      <c r="AB1069">
        <v>11</v>
      </c>
      <c r="AC1069">
        <v>4</v>
      </c>
      <c r="AD1069">
        <v>2</v>
      </c>
      <c r="AE1069">
        <v>5</v>
      </c>
      <c r="AF1069">
        <v>4</v>
      </c>
      <c r="AG1069">
        <v>1</v>
      </c>
      <c r="AH1069">
        <v>2</v>
      </c>
    </row>
    <row r="1070" spans="1:34" x14ac:dyDescent="0.2">
      <c r="A1070">
        <v>28</v>
      </c>
      <c r="B1070" t="s">
        <v>34</v>
      </c>
      <c r="C1070" t="s">
        <v>43</v>
      </c>
      <c r="D1070" t="s">
        <v>44</v>
      </c>
      <c r="E1070">
        <v>2</v>
      </c>
      <c r="F1070">
        <v>2</v>
      </c>
      <c r="G1070" t="s">
        <v>50</v>
      </c>
      <c r="H1070">
        <v>1</v>
      </c>
      <c r="I1070">
        <v>1504</v>
      </c>
      <c r="J1070">
        <v>3</v>
      </c>
      <c r="K1070" t="s">
        <v>45</v>
      </c>
      <c r="L1070">
        <v>38</v>
      </c>
      <c r="M1070">
        <v>2</v>
      </c>
      <c r="N1070">
        <v>1</v>
      </c>
      <c r="O1070" t="s">
        <v>49</v>
      </c>
      <c r="P1070">
        <v>1</v>
      </c>
      <c r="Q1070" t="s">
        <v>40</v>
      </c>
      <c r="R1070">
        <v>2561</v>
      </c>
      <c r="S1070">
        <v>5355</v>
      </c>
      <c r="T1070">
        <v>7</v>
      </c>
      <c r="U1070" t="s">
        <v>41</v>
      </c>
      <c r="V1070" t="s">
        <v>42</v>
      </c>
      <c r="W1070">
        <v>11</v>
      </c>
      <c r="X1070">
        <v>3</v>
      </c>
      <c r="Y1070">
        <v>3</v>
      </c>
      <c r="Z1070">
        <v>80</v>
      </c>
      <c r="AA1070">
        <v>0</v>
      </c>
      <c r="AB1070">
        <v>8</v>
      </c>
      <c r="AC1070">
        <v>2</v>
      </c>
      <c r="AD1070">
        <v>2</v>
      </c>
      <c r="AE1070">
        <v>0</v>
      </c>
      <c r="AF1070">
        <v>0</v>
      </c>
      <c r="AG1070">
        <v>0</v>
      </c>
      <c r="AH1070">
        <v>0</v>
      </c>
    </row>
    <row r="1071" spans="1:34" x14ac:dyDescent="0.2">
      <c r="A1071">
        <v>28</v>
      </c>
      <c r="B1071" t="s">
        <v>42</v>
      </c>
      <c r="C1071" t="s">
        <v>35</v>
      </c>
      <c r="D1071" t="s">
        <v>44</v>
      </c>
      <c r="E1071">
        <v>1</v>
      </c>
      <c r="F1071">
        <v>3</v>
      </c>
      <c r="G1071" t="s">
        <v>37</v>
      </c>
      <c r="H1071">
        <v>1</v>
      </c>
      <c r="I1071">
        <v>1506</v>
      </c>
      <c r="J1071">
        <v>1</v>
      </c>
      <c r="K1071" t="s">
        <v>45</v>
      </c>
      <c r="L1071">
        <v>72</v>
      </c>
      <c r="M1071">
        <v>2</v>
      </c>
      <c r="N1071">
        <v>1</v>
      </c>
      <c r="O1071" t="s">
        <v>46</v>
      </c>
      <c r="P1071">
        <v>3</v>
      </c>
      <c r="Q1071" t="s">
        <v>51</v>
      </c>
      <c r="R1071">
        <v>1563</v>
      </c>
      <c r="S1071">
        <v>12530</v>
      </c>
      <c r="T1071">
        <v>1</v>
      </c>
      <c r="U1071" t="s">
        <v>41</v>
      </c>
      <c r="V1071" t="s">
        <v>42</v>
      </c>
      <c r="W1071">
        <v>14</v>
      </c>
      <c r="X1071">
        <v>3</v>
      </c>
      <c r="Y1071">
        <v>4</v>
      </c>
      <c r="Z1071">
        <v>80</v>
      </c>
      <c r="AA1071">
        <v>1</v>
      </c>
      <c r="AB1071">
        <v>1</v>
      </c>
      <c r="AC1071">
        <v>2</v>
      </c>
      <c r="AD1071">
        <v>1</v>
      </c>
      <c r="AE1071">
        <v>1</v>
      </c>
      <c r="AF1071">
        <v>0</v>
      </c>
      <c r="AG1071">
        <v>0</v>
      </c>
      <c r="AH1071">
        <v>0</v>
      </c>
    </row>
    <row r="1072" spans="1:34" x14ac:dyDescent="0.2">
      <c r="A1072">
        <v>28</v>
      </c>
      <c r="B1072" t="s">
        <v>42</v>
      </c>
      <c r="C1072" t="s">
        <v>43</v>
      </c>
      <c r="D1072" t="s">
        <v>36</v>
      </c>
      <c r="E1072">
        <v>7</v>
      </c>
      <c r="F1072">
        <v>3</v>
      </c>
      <c r="G1072" t="s">
        <v>37</v>
      </c>
      <c r="H1072">
        <v>1</v>
      </c>
      <c r="I1072">
        <v>1507</v>
      </c>
      <c r="J1072">
        <v>3</v>
      </c>
      <c r="K1072" t="s">
        <v>45</v>
      </c>
      <c r="L1072">
        <v>55</v>
      </c>
      <c r="M1072">
        <v>3</v>
      </c>
      <c r="N1072">
        <v>2</v>
      </c>
      <c r="O1072" t="s">
        <v>39</v>
      </c>
      <c r="P1072">
        <v>1</v>
      </c>
      <c r="Q1072" t="s">
        <v>40</v>
      </c>
      <c r="R1072">
        <v>4898</v>
      </c>
      <c r="S1072">
        <v>11827</v>
      </c>
      <c r="T1072">
        <v>0</v>
      </c>
      <c r="U1072" t="s">
        <v>41</v>
      </c>
      <c r="V1072" t="s">
        <v>42</v>
      </c>
      <c r="W1072">
        <v>14</v>
      </c>
      <c r="X1072">
        <v>3</v>
      </c>
      <c r="Y1072">
        <v>4</v>
      </c>
      <c r="Z1072">
        <v>80</v>
      </c>
      <c r="AA1072">
        <v>0</v>
      </c>
      <c r="AB1072">
        <v>5</v>
      </c>
      <c r="AC1072">
        <v>5</v>
      </c>
      <c r="AD1072">
        <v>3</v>
      </c>
      <c r="AE1072">
        <v>4</v>
      </c>
      <c r="AF1072">
        <v>2</v>
      </c>
      <c r="AG1072">
        <v>1</v>
      </c>
      <c r="AH1072">
        <v>3</v>
      </c>
    </row>
    <row r="1073" spans="1:34" x14ac:dyDescent="0.2">
      <c r="A1073">
        <v>49</v>
      </c>
      <c r="B1073" t="s">
        <v>42</v>
      </c>
      <c r="C1073" t="s">
        <v>35</v>
      </c>
      <c r="D1073" t="s">
        <v>44</v>
      </c>
      <c r="E1073">
        <v>3</v>
      </c>
      <c r="F1073">
        <v>2</v>
      </c>
      <c r="G1073" t="s">
        <v>50</v>
      </c>
      <c r="H1073">
        <v>1</v>
      </c>
      <c r="I1073">
        <v>1509</v>
      </c>
      <c r="J1073">
        <v>3</v>
      </c>
      <c r="K1073" t="s">
        <v>38</v>
      </c>
      <c r="L1073">
        <v>43</v>
      </c>
      <c r="M1073">
        <v>2</v>
      </c>
      <c r="N1073">
        <v>2</v>
      </c>
      <c r="O1073" t="s">
        <v>49</v>
      </c>
      <c r="P1073">
        <v>1</v>
      </c>
      <c r="Q1073" t="s">
        <v>47</v>
      </c>
      <c r="R1073">
        <v>4789</v>
      </c>
      <c r="S1073">
        <v>23070</v>
      </c>
      <c r="T1073">
        <v>4</v>
      </c>
      <c r="U1073" t="s">
        <v>41</v>
      </c>
      <c r="V1073" t="s">
        <v>42</v>
      </c>
      <c r="W1073">
        <v>25</v>
      </c>
      <c r="X1073">
        <v>4</v>
      </c>
      <c r="Y1073">
        <v>1</v>
      </c>
      <c r="Z1073">
        <v>80</v>
      </c>
      <c r="AA1073">
        <v>1</v>
      </c>
      <c r="AB1073">
        <v>10</v>
      </c>
      <c r="AC1073">
        <v>3</v>
      </c>
      <c r="AD1073">
        <v>3</v>
      </c>
      <c r="AE1073">
        <v>3</v>
      </c>
      <c r="AF1073">
        <v>2</v>
      </c>
      <c r="AG1073">
        <v>1</v>
      </c>
      <c r="AH1073">
        <v>2</v>
      </c>
    </row>
    <row r="1074" spans="1:34" x14ac:dyDescent="0.2">
      <c r="A1074">
        <v>29</v>
      </c>
      <c r="B1074" t="s">
        <v>42</v>
      </c>
      <c r="C1074" t="s">
        <v>43</v>
      </c>
      <c r="D1074" t="s">
        <v>44</v>
      </c>
      <c r="E1074">
        <v>2</v>
      </c>
      <c r="F1074">
        <v>1</v>
      </c>
      <c r="G1074" t="s">
        <v>37</v>
      </c>
      <c r="H1074">
        <v>1</v>
      </c>
      <c r="I1074">
        <v>1513</v>
      </c>
      <c r="J1074">
        <v>4</v>
      </c>
      <c r="K1074" t="s">
        <v>38</v>
      </c>
      <c r="L1074">
        <v>97</v>
      </c>
      <c r="M1074">
        <v>3</v>
      </c>
      <c r="N1074">
        <v>1</v>
      </c>
      <c r="O1074" t="s">
        <v>49</v>
      </c>
      <c r="P1074">
        <v>2</v>
      </c>
      <c r="Q1074" t="s">
        <v>47</v>
      </c>
      <c r="R1074">
        <v>3180</v>
      </c>
      <c r="S1074">
        <v>4668</v>
      </c>
      <c r="T1074">
        <v>0</v>
      </c>
      <c r="U1074" t="s">
        <v>41</v>
      </c>
      <c r="V1074" t="s">
        <v>42</v>
      </c>
      <c r="W1074">
        <v>13</v>
      </c>
      <c r="X1074">
        <v>3</v>
      </c>
      <c r="Y1074">
        <v>3</v>
      </c>
      <c r="Z1074">
        <v>80</v>
      </c>
      <c r="AA1074">
        <v>3</v>
      </c>
      <c r="AB1074">
        <v>4</v>
      </c>
      <c r="AC1074">
        <v>3</v>
      </c>
      <c r="AD1074">
        <v>3</v>
      </c>
      <c r="AE1074">
        <v>3</v>
      </c>
      <c r="AF1074">
        <v>2</v>
      </c>
      <c r="AG1074">
        <v>0</v>
      </c>
      <c r="AH1074">
        <v>2</v>
      </c>
    </row>
    <row r="1075" spans="1:34" x14ac:dyDescent="0.2">
      <c r="A1075">
        <v>28</v>
      </c>
      <c r="B1075" t="s">
        <v>42</v>
      </c>
      <c r="C1075" t="s">
        <v>35</v>
      </c>
      <c r="D1075" t="s">
        <v>44</v>
      </c>
      <c r="E1075">
        <v>29</v>
      </c>
      <c r="F1075">
        <v>1</v>
      </c>
      <c r="G1075" t="s">
        <v>37</v>
      </c>
      <c r="H1075">
        <v>1</v>
      </c>
      <c r="I1075">
        <v>1514</v>
      </c>
      <c r="J1075">
        <v>3</v>
      </c>
      <c r="K1075" t="s">
        <v>45</v>
      </c>
      <c r="L1075">
        <v>96</v>
      </c>
      <c r="M1075">
        <v>1</v>
      </c>
      <c r="N1075">
        <v>2</v>
      </c>
      <c r="O1075" t="s">
        <v>52</v>
      </c>
      <c r="P1075">
        <v>2</v>
      </c>
      <c r="Q1075" t="s">
        <v>47</v>
      </c>
      <c r="R1075">
        <v>6549</v>
      </c>
      <c r="S1075">
        <v>3173</v>
      </c>
      <c r="T1075">
        <v>1</v>
      </c>
      <c r="U1075" t="s">
        <v>41</v>
      </c>
      <c r="V1075" t="s">
        <v>42</v>
      </c>
      <c r="W1075">
        <v>14</v>
      </c>
      <c r="X1075">
        <v>3</v>
      </c>
      <c r="Y1075">
        <v>2</v>
      </c>
      <c r="Z1075">
        <v>80</v>
      </c>
      <c r="AA1075">
        <v>2</v>
      </c>
      <c r="AB1075">
        <v>8</v>
      </c>
      <c r="AC1075">
        <v>2</v>
      </c>
      <c r="AD1075">
        <v>2</v>
      </c>
      <c r="AE1075">
        <v>8</v>
      </c>
      <c r="AF1075">
        <v>6</v>
      </c>
      <c r="AG1075">
        <v>1</v>
      </c>
      <c r="AH1075">
        <v>7</v>
      </c>
    </row>
    <row r="1076" spans="1:34" x14ac:dyDescent="0.2">
      <c r="A1076">
        <v>33</v>
      </c>
      <c r="B1076" t="s">
        <v>42</v>
      </c>
      <c r="C1076" t="s">
        <v>35</v>
      </c>
      <c r="D1076" t="s">
        <v>44</v>
      </c>
      <c r="E1076">
        <v>8</v>
      </c>
      <c r="F1076">
        <v>5</v>
      </c>
      <c r="G1076" t="s">
        <v>37</v>
      </c>
      <c r="H1076">
        <v>1</v>
      </c>
      <c r="I1076">
        <v>1515</v>
      </c>
      <c r="J1076">
        <v>4</v>
      </c>
      <c r="K1076" t="s">
        <v>45</v>
      </c>
      <c r="L1076">
        <v>69</v>
      </c>
      <c r="M1076">
        <v>3</v>
      </c>
      <c r="N1076">
        <v>2</v>
      </c>
      <c r="O1076" t="s">
        <v>53</v>
      </c>
      <c r="P1076">
        <v>3</v>
      </c>
      <c r="Q1076" t="s">
        <v>40</v>
      </c>
      <c r="R1076">
        <v>6388</v>
      </c>
      <c r="S1076">
        <v>22049</v>
      </c>
      <c r="T1076">
        <v>2</v>
      </c>
      <c r="U1076" t="s">
        <v>41</v>
      </c>
      <c r="V1076" t="s">
        <v>34</v>
      </c>
      <c r="W1076">
        <v>17</v>
      </c>
      <c r="X1076">
        <v>3</v>
      </c>
      <c r="Y1076">
        <v>1</v>
      </c>
      <c r="Z1076">
        <v>80</v>
      </c>
      <c r="AA1076">
        <v>0</v>
      </c>
      <c r="AB1076">
        <v>14</v>
      </c>
      <c r="AC1076">
        <v>6</v>
      </c>
      <c r="AD1076">
        <v>3</v>
      </c>
      <c r="AE1076">
        <v>0</v>
      </c>
      <c r="AF1076">
        <v>0</v>
      </c>
      <c r="AG1076">
        <v>0</v>
      </c>
      <c r="AH1076">
        <v>0</v>
      </c>
    </row>
    <row r="1077" spans="1:34" x14ac:dyDescent="0.2">
      <c r="A1077">
        <v>32</v>
      </c>
      <c r="B1077" t="s">
        <v>42</v>
      </c>
      <c r="C1077" t="s">
        <v>35</v>
      </c>
      <c r="D1077" t="s">
        <v>44</v>
      </c>
      <c r="E1077">
        <v>10</v>
      </c>
      <c r="F1077">
        <v>3</v>
      </c>
      <c r="G1077" t="s">
        <v>50</v>
      </c>
      <c r="H1077">
        <v>1</v>
      </c>
      <c r="I1077">
        <v>1516</v>
      </c>
      <c r="J1077">
        <v>3</v>
      </c>
      <c r="K1077" t="s">
        <v>45</v>
      </c>
      <c r="L1077">
        <v>64</v>
      </c>
      <c r="M1077">
        <v>3</v>
      </c>
      <c r="N1077">
        <v>3</v>
      </c>
      <c r="O1077" t="s">
        <v>55</v>
      </c>
      <c r="P1077">
        <v>4</v>
      </c>
      <c r="Q1077" t="s">
        <v>40</v>
      </c>
      <c r="R1077">
        <v>11244</v>
      </c>
      <c r="S1077">
        <v>21072</v>
      </c>
      <c r="T1077">
        <v>2</v>
      </c>
      <c r="U1077" t="s">
        <v>41</v>
      </c>
      <c r="V1077" t="s">
        <v>42</v>
      </c>
      <c r="W1077">
        <v>25</v>
      </c>
      <c r="X1077">
        <v>4</v>
      </c>
      <c r="Y1077">
        <v>2</v>
      </c>
      <c r="Z1077">
        <v>80</v>
      </c>
      <c r="AA1077">
        <v>0</v>
      </c>
      <c r="AB1077">
        <v>10</v>
      </c>
      <c r="AC1077">
        <v>5</v>
      </c>
      <c r="AD1077">
        <v>4</v>
      </c>
      <c r="AE1077">
        <v>5</v>
      </c>
      <c r="AF1077">
        <v>2</v>
      </c>
      <c r="AG1077">
        <v>0</v>
      </c>
      <c r="AH1077">
        <v>0</v>
      </c>
    </row>
    <row r="1078" spans="1:34" x14ac:dyDescent="0.2">
      <c r="A1078">
        <v>54</v>
      </c>
      <c r="B1078" t="s">
        <v>42</v>
      </c>
      <c r="C1078" t="s">
        <v>43</v>
      </c>
      <c r="D1078" t="s">
        <v>44</v>
      </c>
      <c r="E1078">
        <v>11</v>
      </c>
      <c r="F1078">
        <v>4</v>
      </c>
      <c r="G1078" t="s">
        <v>50</v>
      </c>
      <c r="H1078">
        <v>1</v>
      </c>
      <c r="I1078">
        <v>1520</v>
      </c>
      <c r="J1078">
        <v>2</v>
      </c>
      <c r="K1078" t="s">
        <v>38</v>
      </c>
      <c r="L1078">
        <v>87</v>
      </c>
      <c r="M1078">
        <v>3</v>
      </c>
      <c r="N1078">
        <v>4</v>
      </c>
      <c r="O1078" t="s">
        <v>55</v>
      </c>
      <c r="P1078">
        <v>4</v>
      </c>
      <c r="Q1078" t="s">
        <v>51</v>
      </c>
      <c r="R1078">
        <v>16032</v>
      </c>
      <c r="S1078">
        <v>24456</v>
      </c>
      <c r="T1078">
        <v>3</v>
      </c>
      <c r="U1078" t="s">
        <v>41</v>
      </c>
      <c r="V1078" t="s">
        <v>42</v>
      </c>
      <c r="W1078">
        <v>20</v>
      </c>
      <c r="X1078">
        <v>4</v>
      </c>
      <c r="Y1078">
        <v>1</v>
      </c>
      <c r="Z1078">
        <v>80</v>
      </c>
      <c r="AA1078">
        <v>1</v>
      </c>
      <c r="AB1078">
        <v>26</v>
      </c>
      <c r="AC1078">
        <v>2</v>
      </c>
      <c r="AD1078">
        <v>3</v>
      </c>
      <c r="AE1078">
        <v>14</v>
      </c>
      <c r="AF1078">
        <v>9</v>
      </c>
      <c r="AG1078">
        <v>1</v>
      </c>
      <c r="AH1078">
        <v>12</v>
      </c>
    </row>
    <row r="1079" spans="1:34" x14ac:dyDescent="0.2">
      <c r="A1079">
        <v>29</v>
      </c>
      <c r="B1079" t="s">
        <v>34</v>
      </c>
      <c r="C1079" t="s">
        <v>35</v>
      </c>
      <c r="D1079" t="s">
        <v>44</v>
      </c>
      <c r="E1079">
        <v>1</v>
      </c>
      <c r="F1079">
        <v>4</v>
      </c>
      <c r="G1079" t="s">
        <v>59</v>
      </c>
      <c r="H1079">
        <v>1</v>
      </c>
      <c r="I1079">
        <v>1522</v>
      </c>
      <c r="J1079">
        <v>1</v>
      </c>
      <c r="K1079" t="s">
        <v>45</v>
      </c>
      <c r="L1079">
        <v>100</v>
      </c>
      <c r="M1079">
        <v>2</v>
      </c>
      <c r="N1079">
        <v>1</v>
      </c>
      <c r="O1079" t="s">
        <v>46</v>
      </c>
      <c r="P1079">
        <v>1</v>
      </c>
      <c r="Q1079" t="s">
        <v>40</v>
      </c>
      <c r="R1079">
        <v>2362</v>
      </c>
      <c r="S1079">
        <v>7568</v>
      </c>
      <c r="T1079">
        <v>6</v>
      </c>
      <c r="U1079" t="s">
        <v>41</v>
      </c>
      <c r="V1079" t="s">
        <v>42</v>
      </c>
      <c r="W1079">
        <v>13</v>
      </c>
      <c r="X1079">
        <v>3</v>
      </c>
      <c r="Y1079">
        <v>3</v>
      </c>
      <c r="Z1079">
        <v>80</v>
      </c>
      <c r="AA1079">
        <v>0</v>
      </c>
      <c r="AB1079">
        <v>11</v>
      </c>
      <c r="AC1079">
        <v>2</v>
      </c>
      <c r="AD1079">
        <v>1</v>
      </c>
      <c r="AE1079">
        <v>9</v>
      </c>
      <c r="AF1079">
        <v>7</v>
      </c>
      <c r="AG1079">
        <v>0</v>
      </c>
      <c r="AH1079">
        <v>7</v>
      </c>
    </row>
    <row r="1080" spans="1:34" x14ac:dyDescent="0.2">
      <c r="A1080">
        <v>44</v>
      </c>
      <c r="B1080" t="s">
        <v>42</v>
      </c>
      <c r="C1080" t="s">
        <v>35</v>
      </c>
      <c r="D1080" t="s">
        <v>44</v>
      </c>
      <c r="E1080">
        <v>28</v>
      </c>
      <c r="F1080">
        <v>3</v>
      </c>
      <c r="G1080" t="s">
        <v>37</v>
      </c>
      <c r="H1080">
        <v>1</v>
      </c>
      <c r="I1080">
        <v>1523</v>
      </c>
      <c r="J1080">
        <v>4</v>
      </c>
      <c r="K1080" t="s">
        <v>45</v>
      </c>
      <c r="L1080">
        <v>32</v>
      </c>
      <c r="M1080">
        <v>3</v>
      </c>
      <c r="N1080">
        <v>4</v>
      </c>
      <c r="O1080" t="s">
        <v>57</v>
      </c>
      <c r="P1080">
        <v>1</v>
      </c>
      <c r="Q1080" t="s">
        <v>47</v>
      </c>
      <c r="R1080">
        <v>16328</v>
      </c>
      <c r="S1080">
        <v>22074</v>
      </c>
      <c r="T1080">
        <v>3</v>
      </c>
      <c r="U1080" t="s">
        <v>41</v>
      </c>
      <c r="V1080" t="s">
        <v>42</v>
      </c>
      <c r="W1080">
        <v>13</v>
      </c>
      <c r="X1080">
        <v>3</v>
      </c>
      <c r="Y1080">
        <v>3</v>
      </c>
      <c r="Z1080">
        <v>80</v>
      </c>
      <c r="AA1080">
        <v>1</v>
      </c>
      <c r="AB1080">
        <v>24</v>
      </c>
      <c r="AC1080">
        <v>1</v>
      </c>
      <c r="AD1080">
        <v>4</v>
      </c>
      <c r="AE1080">
        <v>20</v>
      </c>
      <c r="AF1080">
        <v>6</v>
      </c>
      <c r="AG1080">
        <v>14</v>
      </c>
      <c r="AH1080">
        <v>17</v>
      </c>
    </row>
    <row r="1081" spans="1:34" x14ac:dyDescent="0.2">
      <c r="A1081">
        <v>39</v>
      </c>
      <c r="B1081" t="s">
        <v>42</v>
      </c>
      <c r="C1081" t="s">
        <v>35</v>
      </c>
      <c r="D1081" t="s">
        <v>44</v>
      </c>
      <c r="E1081">
        <v>6</v>
      </c>
      <c r="F1081">
        <v>3</v>
      </c>
      <c r="G1081" t="s">
        <v>37</v>
      </c>
      <c r="H1081">
        <v>1</v>
      </c>
      <c r="I1081">
        <v>1525</v>
      </c>
      <c r="J1081">
        <v>2</v>
      </c>
      <c r="K1081" t="s">
        <v>38</v>
      </c>
      <c r="L1081">
        <v>32</v>
      </c>
      <c r="M1081">
        <v>3</v>
      </c>
      <c r="N1081">
        <v>3</v>
      </c>
      <c r="O1081" t="s">
        <v>52</v>
      </c>
      <c r="P1081">
        <v>2</v>
      </c>
      <c r="Q1081" t="s">
        <v>40</v>
      </c>
      <c r="R1081">
        <v>8376</v>
      </c>
      <c r="S1081">
        <v>9150</v>
      </c>
      <c r="T1081">
        <v>4</v>
      </c>
      <c r="U1081" t="s">
        <v>41</v>
      </c>
      <c r="V1081" t="s">
        <v>42</v>
      </c>
      <c r="W1081">
        <v>18</v>
      </c>
      <c r="X1081">
        <v>3</v>
      </c>
      <c r="Y1081">
        <v>4</v>
      </c>
      <c r="Z1081">
        <v>80</v>
      </c>
      <c r="AA1081">
        <v>0</v>
      </c>
      <c r="AB1081">
        <v>9</v>
      </c>
      <c r="AC1081">
        <v>3</v>
      </c>
      <c r="AD1081">
        <v>3</v>
      </c>
      <c r="AE1081">
        <v>2</v>
      </c>
      <c r="AF1081">
        <v>0</v>
      </c>
      <c r="AG1081">
        <v>2</v>
      </c>
      <c r="AH1081">
        <v>2</v>
      </c>
    </row>
    <row r="1082" spans="1:34" x14ac:dyDescent="0.2">
      <c r="A1082">
        <v>46</v>
      </c>
      <c r="B1082" t="s">
        <v>42</v>
      </c>
      <c r="C1082" t="s">
        <v>35</v>
      </c>
      <c r="D1082" t="s">
        <v>36</v>
      </c>
      <c r="E1082">
        <v>3</v>
      </c>
      <c r="F1082">
        <v>3</v>
      </c>
      <c r="G1082" t="s">
        <v>37</v>
      </c>
      <c r="H1082">
        <v>1</v>
      </c>
      <c r="I1082">
        <v>1527</v>
      </c>
      <c r="J1082">
        <v>3</v>
      </c>
      <c r="K1082" t="s">
        <v>38</v>
      </c>
      <c r="L1082">
        <v>51</v>
      </c>
      <c r="M1082">
        <v>3</v>
      </c>
      <c r="N1082">
        <v>4</v>
      </c>
      <c r="O1082" t="s">
        <v>55</v>
      </c>
      <c r="P1082">
        <v>2</v>
      </c>
      <c r="Q1082" t="s">
        <v>47</v>
      </c>
      <c r="R1082">
        <v>16606</v>
      </c>
      <c r="S1082">
        <v>11380</v>
      </c>
      <c r="T1082">
        <v>8</v>
      </c>
      <c r="U1082" t="s">
        <v>41</v>
      </c>
      <c r="V1082" t="s">
        <v>42</v>
      </c>
      <c r="W1082">
        <v>12</v>
      </c>
      <c r="X1082">
        <v>3</v>
      </c>
      <c r="Y1082">
        <v>4</v>
      </c>
      <c r="Z1082">
        <v>80</v>
      </c>
      <c r="AA1082">
        <v>1</v>
      </c>
      <c r="AB1082">
        <v>23</v>
      </c>
      <c r="AC1082">
        <v>2</v>
      </c>
      <c r="AD1082">
        <v>4</v>
      </c>
      <c r="AE1082">
        <v>13</v>
      </c>
      <c r="AF1082">
        <v>12</v>
      </c>
      <c r="AG1082">
        <v>5</v>
      </c>
      <c r="AH1082">
        <v>1</v>
      </c>
    </row>
    <row r="1083" spans="1:34" x14ac:dyDescent="0.2">
      <c r="A1083">
        <v>35</v>
      </c>
      <c r="B1083" t="s">
        <v>42</v>
      </c>
      <c r="C1083" t="s">
        <v>35</v>
      </c>
      <c r="D1083" t="s">
        <v>44</v>
      </c>
      <c r="E1083">
        <v>16</v>
      </c>
      <c r="F1083">
        <v>3</v>
      </c>
      <c r="G1083" t="s">
        <v>37</v>
      </c>
      <c r="H1083">
        <v>1</v>
      </c>
      <c r="I1083">
        <v>1529</v>
      </c>
      <c r="J1083">
        <v>4</v>
      </c>
      <c r="K1083" t="s">
        <v>38</v>
      </c>
      <c r="L1083">
        <v>91</v>
      </c>
      <c r="M1083">
        <v>2</v>
      </c>
      <c r="N1083">
        <v>3</v>
      </c>
      <c r="O1083" t="s">
        <v>53</v>
      </c>
      <c r="P1083">
        <v>2</v>
      </c>
      <c r="Q1083" t="s">
        <v>40</v>
      </c>
      <c r="R1083">
        <v>8606</v>
      </c>
      <c r="S1083">
        <v>21195</v>
      </c>
      <c r="T1083">
        <v>1</v>
      </c>
      <c r="U1083" t="s">
        <v>41</v>
      </c>
      <c r="V1083" t="s">
        <v>42</v>
      </c>
      <c r="W1083">
        <v>19</v>
      </c>
      <c r="X1083">
        <v>3</v>
      </c>
      <c r="Y1083">
        <v>4</v>
      </c>
      <c r="Z1083">
        <v>80</v>
      </c>
      <c r="AA1083">
        <v>0</v>
      </c>
      <c r="AB1083">
        <v>11</v>
      </c>
      <c r="AC1083">
        <v>3</v>
      </c>
      <c r="AD1083">
        <v>1</v>
      </c>
      <c r="AE1083">
        <v>11</v>
      </c>
      <c r="AF1083">
        <v>8</v>
      </c>
      <c r="AG1083">
        <v>3</v>
      </c>
      <c r="AH1083">
        <v>3</v>
      </c>
    </row>
    <row r="1084" spans="1:34" x14ac:dyDescent="0.2">
      <c r="A1084">
        <v>23</v>
      </c>
      <c r="B1084" t="s">
        <v>42</v>
      </c>
      <c r="C1084" t="s">
        <v>35</v>
      </c>
      <c r="D1084" t="s">
        <v>44</v>
      </c>
      <c r="E1084">
        <v>20</v>
      </c>
      <c r="F1084">
        <v>1</v>
      </c>
      <c r="G1084" t="s">
        <v>37</v>
      </c>
      <c r="H1084">
        <v>1</v>
      </c>
      <c r="I1084">
        <v>1533</v>
      </c>
      <c r="J1084">
        <v>1</v>
      </c>
      <c r="K1084" t="s">
        <v>45</v>
      </c>
      <c r="L1084">
        <v>97</v>
      </c>
      <c r="M1084">
        <v>3</v>
      </c>
      <c r="N1084">
        <v>2</v>
      </c>
      <c r="O1084" t="s">
        <v>49</v>
      </c>
      <c r="P1084">
        <v>3</v>
      </c>
      <c r="Q1084" t="s">
        <v>40</v>
      </c>
      <c r="R1084">
        <v>2272</v>
      </c>
      <c r="S1084">
        <v>24812</v>
      </c>
      <c r="T1084">
        <v>0</v>
      </c>
      <c r="U1084" t="s">
        <v>41</v>
      </c>
      <c r="V1084" t="s">
        <v>42</v>
      </c>
      <c r="W1084">
        <v>14</v>
      </c>
      <c r="X1084">
        <v>3</v>
      </c>
      <c r="Y1084">
        <v>2</v>
      </c>
      <c r="Z1084">
        <v>80</v>
      </c>
      <c r="AA1084">
        <v>0</v>
      </c>
      <c r="AB1084">
        <v>5</v>
      </c>
      <c r="AC1084">
        <v>2</v>
      </c>
      <c r="AD1084">
        <v>3</v>
      </c>
      <c r="AE1084">
        <v>4</v>
      </c>
      <c r="AF1084">
        <v>3</v>
      </c>
      <c r="AG1084">
        <v>1</v>
      </c>
      <c r="AH1084">
        <v>2</v>
      </c>
    </row>
    <row r="1085" spans="1:34" x14ac:dyDescent="0.2">
      <c r="A1085">
        <v>40</v>
      </c>
      <c r="B1085" t="s">
        <v>34</v>
      </c>
      <c r="C1085" t="s">
        <v>35</v>
      </c>
      <c r="D1085" t="s">
        <v>44</v>
      </c>
      <c r="E1085">
        <v>9</v>
      </c>
      <c r="F1085">
        <v>4</v>
      </c>
      <c r="G1085" t="s">
        <v>37</v>
      </c>
      <c r="H1085">
        <v>1</v>
      </c>
      <c r="I1085">
        <v>1534</v>
      </c>
      <c r="J1085">
        <v>4</v>
      </c>
      <c r="K1085" t="s">
        <v>45</v>
      </c>
      <c r="L1085">
        <v>86</v>
      </c>
      <c r="M1085">
        <v>3</v>
      </c>
      <c r="N1085">
        <v>1</v>
      </c>
      <c r="O1085" t="s">
        <v>49</v>
      </c>
      <c r="P1085">
        <v>1</v>
      </c>
      <c r="Q1085" t="s">
        <v>40</v>
      </c>
      <c r="R1085">
        <v>2018</v>
      </c>
      <c r="S1085">
        <v>21831</v>
      </c>
      <c r="T1085">
        <v>3</v>
      </c>
      <c r="U1085" t="s">
        <v>41</v>
      </c>
      <c r="V1085" t="s">
        <v>42</v>
      </c>
      <c r="W1085">
        <v>14</v>
      </c>
      <c r="X1085">
        <v>3</v>
      </c>
      <c r="Y1085">
        <v>2</v>
      </c>
      <c r="Z1085">
        <v>80</v>
      </c>
      <c r="AA1085">
        <v>0</v>
      </c>
      <c r="AB1085">
        <v>15</v>
      </c>
      <c r="AC1085">
        <v>3</v>
      </c>
      <c r="AD1085">
        <v>1</v>
      </c>
      <c r="AE1085">
        <v>5</v>
      </c>
      <c r="AF1085">
        <v>4</v>
      </c>
      <c r="AG1085">
        <v>1</v>
      </c>
      <c r="AH1085">
        <v>0</v>
      </c>
    </row>
    <row r="1086" spans="1:34" x14ac:dyDescent="0.2">
      <c r="A1086">
        <v>34</v>
      </c>
      <c r="B1086" t="s">
        <v>42</v>
      </c>
      <c r="C1086" t="s">
        <v>35</v>
      </c>
      <c r="D1086" t="s">
        <v>36</v>
      </c>
      <c r="E1086">
        <v>1</v>
      </c>
      <c r="F1086">
        <v>3</v>
      </c>
      <c r="G1086" t="s">
        <v>59</v>
      </c>
      <c r="H1086">
        <v>1</v>
      </c>
      <c r="I1086">
        <v>1535</v>
      </c>
      <c r="J1086">
        <v>4</v>
      </c>
      <c r="K1086" t="s">
        <v>45</v>
      </c>
      <c r="L1086">
        <v>64</v>
      </c>
      <c r="M1086">
        <v>2</v>
      </c>
      <c r="N1086">
        <v>3</v>
      </c>
      <c r="O1086" t="s">
        <v>39</v>
      </c>
      <c r="P1086">
        <v>3</v>
      </c>
      <c r="Q1086" t="s">
        <v>47</v>
      </c>
      <c r="R1086">
        <v>7083</v>
      </c>
      <c r="S1086">
        <v>12288</v>
      </c>
      <c r="T1086">
        <v>1</v>
      </c>
      <c r="U1086" t="s">
        <v>41</v>
      </c>
      <c r="V1086" t="s">
        <v>34</v>
      </c>
      <c r="W1086">
        <v>14</v>
      </c>
      <c r="X1086">
        <v>3</v>
      </c>
      <c r="Y1086">
        <v>4</v>
      </c>
      <c r="Z1086">
        <v>80</v>
      </c>
      <c r="AA1086">
        <v>0</v>
      </c>
      <c r="AB1086">
        <v>10</v>
      </c>
      <c r="AC1086">
        <v>3</v>
      </c>
      <c r="AD1086">
        <v>3</v>
      </c>
      <c r="AE1086">
        <v>10</v>
      </c>
      <c r="AF1086">
        <v>9</v>
      </c>
      <c r="AG1086">
        <v>8</v>
      </c>
      <c r="AH1086">
        <v>6</v>
      </c>
    </row>
    <row r="1087" spans="1:34" x14ac:dyDescent="0.2">
      <c r="A1087">
        <v>31</v>
      </c>
      <c r="B1087" t="s">
        <v>34</v>
      </c>
      <c r="C1087" t="s">
        <v>43</v>
      </c>
      <c r="D1087" t="s">
        <v>44</v>
      </c>
      <c r="E1087">
        <v>3</v>
      </c>
      <c r="F1087">
        <v>3</v>
      </c>
      <c r="G1087" t="s">
        <v>37</v>
      </c>
      <c r="H1087">
        <v>1</v>
      </c>
      <c r="I1087">
        <v>1537</v>
      </c>
      <c r="J1087">
        <v>4</v>
      </c>
      <c r="K1087" t="s">
        <v>38</v>
      </c>
      <c r="L1087">
        <v>33</v>
      </c>
      <c r="M1087">
        <v>3</v>
      </c>
      <c r="N1087">
        <v>1</v>
      </c>
      <c r="O1087" t="s">
        <v>46</v>
      </c>
      <c r="P1087">
        <v>3</v>
      </c>
      <c r="Q1087" t="s">
        <v>40</v>
      </c>
      <c r="R1087">
        <v>4084</v>
      </c>
      <c r="S1087">
        <v>4156</v>
      </c>
      <c r="T1087">
        <v>1</v>
      </c>
      <c r="U1087" t="s">
        <v>41</v>
      </c>
      <c r="V1087" t="s">
        <v>42</v>
      </c>
      <c r="W1087">
        <v>12</v>
      </c>
      <c r="X1087">
        <v>3</v>
      </c>
      <c r="Y1087">
        <v>1</v>
      </c>
      <c r="Z1087">
        <v>80</v>
      </c>
      <c r="AA1087">
        <v>0</v>
      </c>
      <c r="AB1087">
        <v>7</v>
      </c>
      <c r="AC1087">
        <v>2</v>
      </c>
      <c r="AD1087">
        <v>1</v>
      </c>
      <c r="AE1087">
        <v>7</v>
      </c>
      <c r="AF1087">
        <v>2</v>
      </c>
      <c r="AG1087">
        <v>7</v>
      </c>
      <c r="AH1087">
        <v>7</v>
      </c>
    </row>
    <row r="1088" spans="1:34" x14ac:dyDescent="0.2">
      <c r="A1088">
        <v>50</v>
      </c>
      <c r="B1088" t="s">
        <v>42</v>
      </c>
      <c r="C1088" t="s">
        <v>43</v>
      </c>
      <c r="D1088" t="s">
        <v>44</v>
      </c>
      <c r="E1088">
        <v>22</v>
      </c>
      <c r="F1088">
        <v>5</v>
      </c>
      <c r="G1088" t="s">
        <v>50</v>
      </c>
      <c r="H1088">
        <v>1</v>
      </c>
      <c r="I1088">
        <v>1539</v>
      </c>
      <c r="J1088">
        <v>3</v>
      </c>
      <c r="K1088" t="s">
        <v>45</v>
      </c>
      <c r="L1088">
        <v>88</v>
      </c>
      <c r="M1088">
        <v>1</v>
      </c>
      <c r="N1088">
        <v>4</v>
      </c>
      <c r="O1088" t="s">
        <v>57</v>
      </c>
      <c r="P1088">
        <v>4</v>
      </c>
      <c r="Q1088" t="s">
        <v>40</v>
      </c>
      <c r="R1088">
        <v>14411</v>
      </c>
      <c r="S1088">
        <v>24450</v>
      </c>
      <c r="T1088">
        <v>1</v>
      </c>
      <c r="U1088" t="s">
        <v>41</v>
      </c>
      <c r="V1088" t="s">
        <v>34</v>
      </c>
      <c r="W1088">
        <v>13</v>
      </c>
      <c r="X1088">
        <v>3</v>
      </c>
      <c r="Y1088">
        <v>4</v>
      </c>
      <c r="Z1088">
        <v>80</v>
      </c>
      <c r="AA1088">
        <v>0</v>
      </c>
      <c r="AB1088">
        <v>32</v>
      </c>
      <c r="AC1088">
        <v>2</v>
      </c>
      <c r="AD1088">
        <v>3</v>
      </c>
      <c r="AE1088">
        <v>32</v>
      </c>
      <c r="AF1088">
        <v>6</v>
      </c>
      <c r="AG1088">
        <v>13</v>
      </c>
      <c r="AH1088">
        <v>9</v>
      </c>
    </row>
    <row r="1089" spans="1:34" x14ac:dyDescent="0.2">
      <c r="A1089">
        <v>34</v>
      </c>
      <c r="B1089" t="s">
        <v>42</v>
      </c>
      <c r="C1089" t="s">
        <v>35</v>
      </c>
      <c r="D1089" t="s">
        <v>36</v>
      </c>
      <c r="E1089">
        <v>7</v>
      </c>
      <c r="F1089">
        <v>2</v>
      </c>
      <c r="G1089" t="s">
        <v>59</v>
      </c>
      <c r="H1089">
        <v>1</v>
      </c>
      <c r="I1089">
        <v>1541</v>
      </c>
      <c r="J1089">
        <v>2</v>
      </c>
      <c r="K1089" t="s">
        <v>45</v>
      </c>
      <c r="L1089">
        <v>55</v>
      </c>
      <c r="M1089">
        <v>3</v>
      </c>
      <c r="N1089">
        <v>1</v>
      </c>
      <c r="O1089" t="s">
        <v>56</v>
      </c>
      <c r="P1089">
        <v>3</v>
      </c>
      <c r="Q1089" t="s">
        <v>47</v>
      </c>
      <c r="R1089">
        <v>2308</v>
      </c>
      <c r="S1089">
        <v>4944</v>
      </c>
      <c r="T1089">
        <v>0</v>
      </c>
      <c r="U1089" t="s">
        <v>41</v>
      </c>
      <c r="V1089" t="s">
        <v>34</v>
      </c>
      <c r="W1089">
        <v>25</v>
      </c>
      <c r="X1089">
        <v>4</v>
      </c>
      <c r="Y1089">
        <v>2</v>
      </c>
      <c r="Z1089">
        <v>80</v>
      </c>
      <c r="AA1089">
        <v>1</v>
      </c>
      <c r="AB1089">
        <v>12</v>
      </c>
      <c r="AC1089">
        <v>4</v>
      </c>
      <c r="AD1089">
        <v>3</v>
      </c>
      <c r="AE1089">
        <v>11</v>
      </c>
      <c r="AF1089">
        <v>10</v>
      </c>
      <c r="AG1089">
        <v>5</v>
      </c>
      <c r="AH1089">
        <v>7</v>
      </c>
    </row>
    <row r="1090" spans="1:34" x14ac:dyDescent="0.2">
      <c r="A1090">
        <v>42</v>
      </c>
      <c r="B1090" t="s">
        <v>42</v>
      </c>
      <c r="C1090" t="s">
        <v>35</v>
      </c>
      <c r="D1090" t="s">
        <v>44</v>
      </c>
      <c r="E1090">
        <v>2</v>
      </c>
      <c r="F1090">
        <v>3</v>
      </c>
      <c r="G1090" t="s">
        <v>50</v>
      </c>
      <c r="H1090">
        <v>1</v>
      </c>
      <c r="I1090">
        <v>1542</v>
      </c>
      <c r="J1090">
        <v>3</v>
      </c>
      <c r="K1090" t="s">
        <v>45</v>
      </c>
      <c r="L1090">
        <v>68</v>
      </c>
      <c r="M1090">
        <v>2</v>
      </c>
      <c r="N1090">
        <v>1</v>
      </c>
      <c r="O1090" t="s">
        <v>49</v>
      </c>
      <c r="P1090">
        <v>2</v>
      </c>
      <c r="Q1090" t="s">
        <v>47</v>
      </c>
      <c r="R1090">
        <v>4841</v>
      </c>
      <c r="S1090">
        <v>24052</v>
      </c>
      <c r="T1090">
        <v>4</v>
      </c>
      <c r="U1090" t="s">
        <v>41</v>
      </c>
      <c r="V1090" t="s">
        <v>42</v>
      </c>
      <c r="W1090">
        <v>14</v>
      </c>
      <c r="X1090">
        <v>3</v>
      </c>
      <c r="Y1090">
        <v>2</v>
      </c>
      <c r="Z1090">
        <v>80</v>
      </c>
      <c r="AA1090">
        <v>1</v>
      </c>
      <c r="AB1090">
        <v>4</v>
      </c>
      <c r="AC1090">
        <v>3</v>
      </c>
      <c r="AD1090">
        <v>3</v>
      </c>
      <c r="AE1090">
        <v>1</v>
      </c>
      <c r="AF1090">
        <v>0</v>
      </c>
      <c r="AG1090">
        <v>0</v>
      </c>
      <c r="AH1090">
        <v>0</v>
      </c>
    </row>
    <row r="1091" spans="1:34" x14ac:dyDescent="0.2">
      <c r="A1091">
        <v>37</v>
      </c>
      <c r="B1091" t="s">
        <v>42</v>
      </c>
      <c r="C1091" t="s">
        <v>35</v>
      </c>
      <c r="D1091" t="s">
        <v>44</v>
      </c>
      <c r="E1091">
        <v>13</v>
      </c>
      <c r="F1091">
        <v>3</v>
      </c>
      <c r="G1091" t="s">
        <v>50</v>
      </c>
      <c r="H1091">
        <v>1</v>
      </c>
      <c r="I1091">
        <v>1543</v>
      </c>
      <c r="J1091">
        <v>1</v>
      </c>
      <c r="K1091" t="s">
        <v>45</v>
      </c>
      <c r="L1091">
        <v>47</v>
      </c>
      <c r="M1091">
        <v>3</v>
      </c>
      <c r="N1091">
        <v>2</v>
      </c>
      <c r="O1091" t="s">
        <v>46</v>
      </c>
      <c r="P1091">
        <v>4</v>
      </c>
      <c r="Q1091" t="s">
        <v>47</v>
      </c>
      <c r="R1091">
        <v>4285</v>
      </c>
      <c r="S1091">
        <v>3031</v>
      </c>
      <c r="T1091">
        <v>1</v>
      </c>
      <c r="U1091" t="s">
        <v>41</v>
      </c>
      <c r="V1091" t="s">
        <v>42</v>
      </c>
      <c r="W1091">
        <v>17</v>
      </c>
      <c r="X1091">
        <v>3</v>
      </c>
      <c r="Y1091">
        <v>1</v>
      </c>
      <c r="Z1091">
        <v>80</v>
      </c>
      <c r="AA1091">
        <v>0</v>
      </c>
      <c r="AB1091">
        <v>10</v>
      </c>
      <c r="AC1091">
        <v>2</v>
      </c>
      <c r="AD1091">
        <v>3</v>
      </c>
      <c r="AE1091">
        <v>10</v>
      </c>
      <c r="AF1091">
        <v>8</v>
      </c>
      <c r="AG1091">
        <v>3</v>
      </c>
      <c r="AH1091">
        <v>7</v>
      </c>
    </row>
    <row r="1092" spans="1:34" x14ac:dyDescent="0.2">
      <c r="A1092">
        <v>29</v>
      </c>
      <c r="B1092" t="s">
        <v>42</v>
      </c>
      <c r="C1092" t="s">
        <v>35</v>
      </c>
      <c r="D1092" t="s">
        <v>44</v>
      </c>
      <c r="E1092">
        <v>8</v>
      </c>
      <c r="F1092">
        <v>1</v>
      </c>
      <c r="G1092" t="s">
        <v>48</v>
      </c>
      <c r="H1092">
        <v>1</v>
      </c>
      <c r="I1092">
        <v>1544</v>
      </c>
      <c r="J1092">
        <v>3</v>
      </c>
      <c r="K1092" t="s">
        <v>38</v>
      </c>
      <c r="L1092">
        <v>39</v>
      </c>
      <c r="M1092">
        <v>1</v>
      </c>
      <c r="N1092">
        <v>2</v>
      </c>
      <c r="O1092" t="s">
        <v>53</v>
      </c>
      <c r="P1092">
        <v>1</v>
      </c>
      <c r="Q1092" t="s">
        <v>47</v>
      </c>
      <c r="R1092">
        <v>9715</v>
      </c>
      <c r="S1092">
        <v>7288</v>
      </c>
      <c r="T1092">
        <v>3</v>
      </c>
      <c r="U1092" t="s">
        <v>41</v>
      </c>
      <c r="V1092" t="s">
        <v>42</v>
      </c>
      <c r="W1092">
        <v>13</v>
      </c>
      <c r="X1092">
        <v>3</v>
      </c>
      <c r="Y1092">
        <v>3</v>
      </c>
      <c r="Z1092">
        <v>80</v>
      </c>
      <c r="AA1092">
        <v>1</v>
      </c>
      <c r="AB1092">
        <v>9</v>
      </c>
      <c r="AC1092">
        <v>3</v>
      </c>
      <c r="AD1092">
        <v>3</v>
      </c>
      <c r="AE1092">
        <v>7</v>
      </c>
      <c r="AF1092">
        <v>7</v>
      </c>
      <c r="AG1092">
        <v>0</v>
      </c>
      <c r="AH1092">
        <v>7</v>
      </c>
    </row>
    <row r="1093" spans="1:34" x14ac:dyDescent="0.2">
      <c r="A1093">
        <v>33</v>
      </c>
      <c r="B1093" t="s">
        <v>42</v>
      </c>
      <c r="C1093" t="s">
        <v>35</v>
      </c>
      <c r="D1093" t="s">
        <v>44</v>
      </c>
      <c r="E1093">
        <v>25</v>
      </c>
      <c r="F1093">
        <v>3</v>
      </c>
      <c r="G1093" t="s">
        <v>37</v>
      </c>
      <c r="H1093">
        <v>1</v>
      </c>
      <c r="I1093">
        <v>1545</v>
      </c>
      <c r="J1093">
        <v>4</v>
      </c>
      <c r="K1093" t="s">
        <v>45</v>
      </c>
      <c r="L1093">
        <v>44</v>
      </c>
      <c r="M1093">
        <v>2</v>
      </c>
      <c r="N1093">
        <v>2</v>
      </c>
      <c r="O1093" t="s">
        <v>52</v>
      </c>
      <c r="P1093">
        <v>2</v>
      </c>
      <c r="Q1093" t="s">
        <v>40</v>
      </c>
      <c r="R1093">
        <v>4320</v>
      </c>
      <c r="S1093">
        <v>24152</v>
      </c>
      <c r="T1093">
        <v>1</v>
      </c>
      <c r="U1093" t="s">
        <v>41</v>
      </c>
      <c r="V1093" t="s">
        <v>42</v>
      </c>
      <c r="W1093">
        <v>13</v>
      </c>
      <c r="X1093">
        <v>3</v>
      </c>
      <c r="Y1093">
        <v>4</v>
      </c>
      <c r="Z1093">
        <v>80</v>
      </c>
      <c r="AA1093">
        <v>0</v>
      </c>
      <c r="AB1093">
        <v>5</v>
      </c>
      <c r="AC1093">
        <v>2</v>
      </c>
      <c r="AD1093">
        <v>3</v>
      </c>
      <c r="AE1093">
        <v>5</v>
      </c>
      <c r="AF1093">
        <v>3</v>
      </c>
      <c r="AG1093">
        <v>0</v>
      </c>
      <c r="AH1093">
        <v>2</v>
      </c>
    </row>
    <row r="1094" spans="1:34" x14ac:dyDescent="0.2">
      <c r="A1094">
        <v>45</v>
      </c>
      <c r="B1094" t="s">
        <v>42</v>
      </c>
      <c r="C1094" t="s">
        <v>35</v>
      </c>
      <c r="D1094" t="s">
        <v>44</v>
      </c>
      <c r="E1094">
        <v>28</v>
      </c>
      <c r="F1094">
        <v>3</v>
      </c>
      <c r="G1094" t="s">
        <v>59</v>
      </c>
      <c r="H1094">
        <v>1</v>
      </c>
      <c r="I1094">
        <v>1546</v>
      </c>
      <c r="J1094">
        <v>4</v>
      </c>
      <c r="K1094" t="s">
        <v>45</v>
      </c>
      <c r="L1094">
        <v>97</v>
      </c>
      <c r="M1094">
        <v>3</v>
      </c>
      <c r="N1094">
        <v>1</v>
      </c>
      <c r="O1094" t="s">
        <v>46</v>
      </c>
      <c r="P1094">
        <v>4</v>
      </c>
      <c r="Q1094" t="s">
        <v>47</v>
      </c>
      <c r="R1094">
        <v>2132</v>
      </c>
      <c r="S1094">
        <v>4585</v>
      </c>
      <c r="T1094">
        <v>4</v>
      </c>
      <c r="U1094" t="s">
        <v>41</v>
      </c>
      <c r="V1094" t="s">
        <v>42</v>
      </c>
      <c r="W1094">
        <v>20</v>
      </c>
      <c r="X1094">
        <v>4</v>
      </c>
      <c r="Y1094">
        <v>4</v>
      </c>
      <c r="Z1094">
        <v>80</v>
      </c>
      <c r="AA1094">
        <v>1</v>
      </c>
      <c r="AB1094">
        <v>8</v>
      </c>
      <c r="AC1094">
        <v>3</v>
      </c>
      <c r="AD1094">
        <v>3</v>
      </c>
      <c r="AE1094">
        <v>5</v>
      </c>
      <c r="AF1094">
        <v>4</v>
      </c>
      <c r="AG1094">
        <v>0</v>
      </c>
      <c r="AH1094">
        <v>3</v>
      </c>
    </row>
    <row r="1095" spans="1:34" x14ac:dyDescent="0.2">
      <c r="A1095">
        <v>42</v>
      </c>
      <c r="B1095" t="s">
        <v>42</v>
      </c>
      <c r="C1095" t="s">
        <v>43</v>
      </c>
      <c r="D1095" t="s">
        <v>44</v>
      </c>
      <c r="E1095">
        <v>2</v>
      </c>
      <c r="F1095">
        <v>3</v>
      </c>
      <c r="G1095" t="s">
        <v>37</v>
      </c>
      <c r="H1095">
        <v>1</v>
      </c>
      <c r="I1095">
        <v>1547</v>
      </c>
      <c r="J1095">
        <v>4</v>
      </c>
      <c r="K1095" t="s">
        <v>45</v>
      </c>
      <c r="L1095">
        <v>40</v>
      </c>
      <c r="M1095">
        <v>3</v>
      </c>
      <c r="N1095">
        <v>3</v>
      </c>
      <c r="O1095" t="s">
        <v>53</v>
      </c>
      <c r="P1095">
        <v>4</v>
      </c>
      <c r="Q1095" t="s">
        <v>47</v>
      </c>
      <c r="R1095">
        <v>10124</v>
      </c>
      <c r="S1095">
        <v>18611</v>
      </c>
      <c r="T1095">
        <v>2</v>
      </c>
      <c r="U1095" t="s">
        <v>41</v>
      </c>
      <c r="V1095" t="s">
        <v>34</v>
      </c>
      <c r="W1095">
        <v>14</v>
      </c>
      <c r="X1095">
        <v>3</v>
      </c>
      <c r="Y1095">
        <v>3</v>
      </c>
      <c r="Z1095">
        <v>80</v>
      </c>
      <c r="AA1095">
        <v>1</v>
      </c>
      <c r="AB1095">
        <v>24</v>
      </c>
      <c r="AC1095">
        <v>3</v>
      </c>
      <c r="AD1095">
        <v>1</v>
      </c>
      <c r="AE1095">
        <v>20</v>
      </c>
      <c r="AF1095">
        <v>8</v>
      </c>
      <c r="AG1095">
        <v>13</v>
      </c>
      <c r="AH1095">
        <v>9</v>
      </c>
    </row>
    <row r="1096" spans="1:34" x14ac:dyDescent="0.2">
      <c r="A1096">
        <v>40</v>
      </c>
      <c r="B1096" t="s">
        <v>42</v>
      </c>
      <c r="C1096" t="s">
        <v>35</v>
      </c>
      <c r="D1096" t="s">
        <v>36</v>
      </c>
      <c r="E1096">
        <v>9</v>
      </c>
      <c r="F1096">
        <v>2</v>
      </c>
      <c r="G1096" t="s">
        <v>50</v>
      </c>
      <c r="H1096">
        <v>1</v>
      </c>
      <c r="I1096">
        <v>1548</v>
      </c>
      <c r="J1096">
        <v>1</v>
      </c>
      <c r="K1096" t="s">
        <v>45</v>
      </c>
      <c r="L1096">
        <v>47</v>
      </c>
      <c r="M1096">
        <v>3</v>
      </c>
      <c r="N1096">
        <v>2</v>
      </c>
      <c r="O1096" t="s">
        <v>39</v>
      </c>
      <c r="P1096">
        <v>1</v>
      </c>
      <c r="Q1096" t="s">
        <v>47</v>
      </c>
      <c r="R1096">
        <v>5473</v>
      </c>
      <c r="S1096">
        <v>19345</v>
      </c>
      <c r="T1096">
        <v>0</v>
      </c>
      <c r="U1096" t="s">
        <v>41</v>
      </c>
      <c r="V1096" t="s">
        <v>42</v>
      </c>
      <c r="W1096">
        <v>12</v>
      </c>
      <c r="X1096">
        <v>3</v>
      </c>
      <c r="Y1096">
        <v>4</v>
      </c>
      <c r="Z1096">
        <v>80</v>
      </c>
      <c r="AA1096">
        <v>0</v>
      </c>
      <c r="AB1096">
        <v>9</v>
      </c>
      <c r="AC1096">
        <v>5</v>
      </c>
      <c r="AD1096">
        <v>4</v>
      </c>
      <c r="AE1096">
        <v>8</v>
      </c>
      <c r="AF1096">
        <v>4</v>
      </c>
      <c r="AG1096">
        <v>7</v>
      </c>
      <c r="AH1096">
        <v>1</v>
      </c>
    </row>
    <row r="1097" spans="1:34" x14ac:dyDescent="0.2">
      <c r="A1097">
        <v>33</v>
      </c>
      <c r="B1097" t="s">
        <v>42</v>
      </c>
      <c r="C1097" t="s">
        <v>35</v>
      </c>
      <c r="D1097" t="s">
        <v>44</v>
      </c>
      <c r="E1097">
        <v>28</v>
      </c>
      <c r="F1097">
        <v>4</v>
      </c>
      <c r="G1097" t="s">
        <v>37</v>
      </c>
      <c r="H1097">
        <v>1</v>
      </c>
      <c r="I1097">
        <v>1549</v>
      </c>
      <c r="J1097">
        <v>2</v>
      </c>
      <c r="K1097" t="s">
        <v>45</v>
      </c>
      <c r="L1097">
        <v>79</v>
      </c>
      <c r="M1097">
        <v>3</v>
      </c>
      <c r="N1097">
        <v>2</v>
      </c>
      <c r="O1097" t="s">
        <v>49</v>
      </c>
      <c r="P1097">
        <v>3</v>
      </c>
      <c r="Q1097" t="s">
        <v>47</v>
      </c>
      <c r="R1097">
        <v>5207</v>
      </c>
      <c r="S1097">
        <v>22949</v>
      </c>
      <c r="T1097">
        <v>1</v>
      </c>
      <c r="U1097" t="s">
        <v>41</v>
      </c>
      <c r="V1097" t="s">
        <v>34</v>
      </c>
      <c r="W1097">
        <v>12</v>
      </c>
      <c r="X1097">
        <v>3</v>
      </c>
      <c r="Y1097">
        <v>2</v>
      </c>
      <c r="Z1097">
        <v>80</v>
      </c>
      <c r="AA1097">
        <v>1</v>
      </c>
      <c r="AB1097">
        <v>15</v>
      </c>
      <c r="AC1097">
        <v>3</v>
      </c>
      <c r="AD1097">
        <v>3</v>
      </c>
      <c r="AE1097">
        <v>15</v>
      </c>
      <c r="AF1097">
        <v>14</v>
      </c>
      <c r="AG1097">
        <v>5</v>
      </c>
      <c r="AH1097">
        <v>7</v>
      </c>
    </row>
    <row r="1098" spans="1:34" x14ac:dyDescent="0.2">
      <c r="A1098">
        <v>40</v>
      </c>
      <c r="B1098" t="s">
        <v>42</v>
      </c>
      <c r="C1098" t="s">
        <v>35</v>
      </c>
      <c r="D1098" t="s">
        <v>60</v>
      </c>
      <c r="E1098">
        <v>6</v>
      </c>
      <c r="F1098">
        <v>2</v>
      </c>
      <c r="G1098" t="s">
        <v>50</v>
      </c>
      <c r="H1098">
        <v>1</v>
      </c>
      <c r="I1098">
        <v>1550</v>
      </c>
      <c r="J1098">
        <v>3</v>
      </c>
      <c r="K1098" t="s">
        <v>45</v>
      </c>
      <c r="L1098">
        <v>38</v>
      </c>
      <c r="M1098">
        <v>3</v>
      </c>
      <c r="N1098">
        <v>4</v>
      </c>
      <c r="O1098" t="s">
        <v>55</v>
      </c>
      <c r="P1098">
        <v>4</v>
      </c>
      <c r="Q1098" t="s">
        <v>40</v>
      </c>
      <c r="R1098">
        <v>16437</v>
      </c>
      <c r="S1098">
        <v>17381</v>
      </c>
      <c r="T1098">
        <v>1</v>
      </c>
      <c r="U1098" t="s">
        <v>41</v>
      </c>
      <c r="V1098" t="s">
        <v>34</v>
      </c>
      <c r="W1098">
        <v>21</v>
      </c>
      <c r="X1098">
        <v>4</v>
      </c>
      <c r="Y1098">
        <v>4</v>
      </c>
      <c r="Z1098">
        <v>80</v>
      </c>
      <c r="AA1098">
        <v>0</v>
      </c>
      <c r="AB1098">
        <v>21</v>
      </c>
      <c r="AC1098">
        <v>2</v>
      </c>
      <c r="AD1098">
        <v>3</v>
      </c>
      <c r="AE1098">
        <v>21</v>
      </c>
      <c r="AF1098">
        <v>7</v>
      </c>
      <c r="AG1098">
        <v>7</v>
      </c>
      <c r="AH1098">
        <v>7</v>
      </c>
    </row>
    <row r="1099" spans="1:34" x14ac:dyDescent="0.2">
      <c r="A1099">
        <v>24</v>
      </c>
      <c r="B1099" t="s">
        <v>42</v>
      </c>
      <c r="C1099" t="s">
        <v>35</v>
      </c>
      <c r="D1099" t="s">
        <v>44</v>
      </c>
      <c r="E1099">
        <v>21</v>
      </c>
      <c r="F1099">
        <v>2</v>
      </c>
      <c r="G1099" t="s">
        <v>59</v>
      </c>
      <c r="H1099">
        <v>1</v>
      </c>
      <c r="I1099">
        <v>1551</v>
      </c>
      <c r="J1099">
        <v>3</v>
      </c>
      <c r="K1099" t="s">
        <v>45</v>
      </c>
      <c r="L1099">
        <v>57</v>
      </c>
      <c r="M1099">
        <v>2</v>
      </c>
      <c r="N1099">
        <v>1</v>
      </c>
      <c r="O1099" t="s">
        <v>49</v>
      </c>
      <c r="P1099">
        <v>1</v>
      </c>
      <c r="Q1099" t="s">
        <v>51</v>
      </c>
      <c r="R1099">
        <v>2296</v>
      </c>
      <c r="S1099">
        <v>10036</v>
      </c>
      <c r="T1099">
        <v>0</v>
      </c>
      <c r="U1099" t="s">
        <v>41</v>
      </c>
      <c r="V1099" t="s">
        <v>42</v>
      </c>
      <c r="W1099">
        <v>14</v>
      </c>
      <c r="X1099">
        <v>3</v>
      </c>
      <c r="Y1099">
        <v>2</v>
      </c>
      <c r="Z1099">
        <v>80</v>
      </c>
      <c r="AA1099">
        <v>3</v>
      </c>
      <c r="AB1099">
        <v>2</v>
      </c>
      <c r="AC1099">
        <v>3</v>
      </c>
      <c r="AD1099">
        <v>3</v>
      </c>
      <c r="AE1099">
        <v>1</v>
      </c>
      <c r="AF1099">
        <v>1</v>
      </c>
      <c r="AG1099">
        <v>0</v>
      </c>
      <c r="AH1099">
        <v>0</v>
      </c>
    </row>
    <row r="1100" spans="1:34" x14ac:dyDescent="0.2">
      <c r="A1100">
        <v>40</v>
      </c>
      <c r="B1100" t="s">
        <v>42</v>
      </c>
      <c r="C1100" t="s">
        <v>54</v>
      </c>
      <c r="D1100" t="s">
        <v>44</v>
      </c>
      <c r="E1100">
        <v>8</v>
      </c>
      <c r="F1100">
        <v>2</v>
      </c>
      <c r="G1100" t="s">
        <v>37</v>
      </c>
      <c r="H1100">
        <v>1</v>
      </c>
      <c r="I1100">
        <v>1552</v>
      </c>
      <c r="J1100">
        <v>4</v>
      </c>
      <c r="K1100" t="s">
        <v>45</v>
      </c>
      <c r="L1100">
        <v>72</v>
      </c>
      <c r="M1100">
        <v>3</v>
      </c>
      <c r="N1100">
        <v>2</v>
      </c>
      <c r="O1100" t="s">
        <v>53</v>
      </c>
      <c r="P1100">
        <v>4</v>
      </c>
      <c r="Q1100" t="s">
        <v>51</v>
      </c>
      <c r="R1100">
        <v>4069</v>
      </c>
      <c r="S1100">
        <v>8841</v>
      </c>
      <c r="T1100">
        <v>3</v>
      </c>
      <c r="U1100" t="s">
        <v>41</v>
      </c>
      <c r="V1100" t="s">
        <v>34</v>
      </c>
      <c r="W1100">
        <v>18</v>
      </c>
      <c r="X1100">
        <v>3</v>
      </c>
      <c r="Y1100">
        <v>3</v>
      </c>
      <c r="Z1100">
        <v>80</v>
      </c>
      <c r="AA1100">
        <v>0</v>
      </c>
      <c r="AB1100">
        <v>8</v>
      </c>
      <c r="AC1100">
        <v>2</v>
      </c>
      <c r="AD1100">
        <v>3</v>
      </c>
      <c r="AE1100">
        <v>2</v>
      </c>
      <c r="AF1100">
        <v>2</v>
      </c>
      <c r="AG1100">
        <v>2</v>
      </c>
      <c r="AH1100">
        <v>2</v>
      </c>
    </row>
    <row r="1101" spans="1:34" x14ac:dyDescent="0.2">
      <c r="A1101">
        <v>45</v>
      </c>
      <c r="B1101" t="s">
        <v>42</v>
      </c>
      <c r="C1101" t="s">
        <v>35</v>
      </c>
      <c r="D1101" t="s">
        <v>44</v>
      </c>
      <c r="E1101">
        <v>1</v>
      </c>
      <c r="F1101">
        <v>4</v>
      </c>
      <c r="G1101" t="s">
        <v>59</v>
      </c>
      <c r="H1101">
        <v>1</v>
      </c>
      <c r="I1101">
        <v>1553</v>
      </c>
      <c r="J1101">
        <v>1</v>
      </c>
      <c r="K1101" t="s">
        <v>45</v>
      </c>
      <c r="L1101">
        <v>66</v>
      </c>
      <c r="M1101">
        <v>3</v>
      </c>
      <c r="N1101">
        <v>3</v>
      </c>
      <c r="O1101" t="s">
        <v>53</v>
      </c>
      <c r="P1101">
        <v>2</v>
      </c>
      <c r="Q1101" t="s">
        <v>51</v>
      </c>
      <c r="R1101">
        <v>7441</v>
      </c>
      <c r="S1101">
        <v>20933</v>
      </c>
      <c r="T1101">
        <v>1</v>
      </c>
      <c r="U1101" t="s">
        <v>41</v>
      </c>
      <c r="V1101" t="s">
        <v>42</v>
      </c>
      <c r="W1101">
        <v>12</v>
      </c>
      <c r="X1101">
        <v>3</v>
      </c>
      <c r="Y1101">
        <v>1</v>
      </c>
      <c r="Z1101">
        <v>80</v>
      </c>
      <c r="AA1101">
        <v>3</v>
      </c>
      <c r="AB1101">
        <v>10</v>
      </c>
      <c r="AC1101">
        <v>4</v>
      </c>
      <c r="AD1101">
        <v>3</v>
      </c>
      <c r="AE1101">
        <v>10</v>
      </c>
      <c r="AF1101">
        <v>8</v>
      </c>
      <c r="AG1101">
        <v>7</v>
      </c>
      <c r="AH1101">
        <v>7</v>
      </c>
    </row>
    <row r="1102" spans="1:34" x14ac:dyDescent="0.2">
      <c r="A1102">
        <v>35</v>
      </c>
      <c r="B1102" t="s">
        <v>42</v>
      </c>
      <c r="C1102" t="s">
        <v>35</v>
      </c>
      <c r="D1102" t="s">
        <v>36</v>
      </c>
      <c r="E1102">
        <v>28</v>
      </c>
      <c r="F1102">
        <v>4</v>
      </c>
      <c r="G1102" t="s">
        <v>37</v>
      </c>
      <c r="H1102">
        <v>1</v>
      </c>
      <c r="I1102">
        <v>1554</v>
      </c>
      <c r="J1102">
        <v>2</v>
      </c>
      <c r="K1102" t="s">
        <v>38</v>
      </c>
      <c r="L1102">
        <v>98</v>
      </c>
      <c r="M1102">
        <v>2</v>
      </c>
      <c r="N1102">
        <v>1</v>
      </c>
      <c r="O1102" t="s">
        <v>56</v>
      </c>
      <c r="P1102">
        <v>3</v>
      </c>
      <c r="Q1102" t="s">
        <v>47</v>
      </c>
      <c r="R1102">
        <v>2430</v>
      </c>
      <c r="S1102">
        <v>26204</v>
      </c>
      <c r="T1102">
        <v>0</v>
      </c>
      <c r="U1102" t="s">
        <v>41</v>
      </c>
      <c r="V1102" t="s">
        <v>42</v>
      </c>
      <c r="W1102">
        <v>23</v>
      </c>
      <c r="X1102">
        <v>4</v>
      </c>
      <c r="Y1102">
        <v>1</v>
      </c>
      <c r="Z1102">
        <v>80</v>
      </c>
      <c r="AA1102">
        <v>2</v>
      </c>
      <c r="AB1102">
        <v>6</v>
      </c>
      <c r="AC1102">
        <v>5</v>
      </c>
      <c r="AD1102">
        <v>3</v>
      </c>
      <c r="AE1102">
        <v>5</v>
      </c>
      <c r="AF1102">
        <v>3</v>
      </c>
      <c r="AG1102">
        <v>4</v>
      </c>
      <c r="AH1102">
        <v>2</v>
      </c>
    </row>
    <row r="1103" spans="1:34" x14ac:dyDescent="0.2">
      <c r="A1103">
        <v>32</v>
      </c>
      <c r="B1103" t="s">
        <v>42</v>
      </c>
      <c r="C1103" t="s">
        <v>35</v>
      </c>
      <c r="D1103" t="s">
        <v>44</v>
      </c>
      <c r="E1103">
        <v>5</v>
      </c>
      <c r="F1103">
        <v>2</v>
      </c>
      <c r="G1103" t="s">
        <v>37</v>
      </c>
      <c r="H1103">
        <v>1</v>
      </c>
      <c r="I1103">
        <v>1555</v>
      </c>
      <c r="J1103">
        <v>4</v>
      </c>
      <c r="K1103" t="s">
        <v>38</v>
      </c>
      <c r="L1103">
        <v>67</v>
      </c>
      <c r="M1103">
        <v>2</v>
      </c>
      <c r="N1103">
        <v>2</v>
      </c>
      <c r="O1103" t="s">
        <v>46</v>
      </c>
      <c r="P1103">
        <v>2</v>
      </c>
      <c r="Q1103" t="s">
        <v>47</v>
      </c>
      <c r="R1103">
        <v>5878</v>
      </c>
      <c r="S1103">
        <v>15624</v>
      </c>
      <c r="T1103">
        <v>3</v>
      </c>
      <c r="U1103" t="s">
        <v>41</v>
      </c>
      <c r="V1103" t="s">
        <v>42</v>
      </c>
      <c r="W1103">
        <v>12</v>
      </c>
      <c r="X1103">
        <v>3</v>
      </c>
      <c r="Y1103">
        <v>1</v>
      </c>
      <c r="Z1103">
        <v>80</v>
      </c>
      <c r="AA1103">
        <v>1</v>
      </c>
      <c r="AB1103">
        <v>12</v>
      </c>
      <c r="AC1103">
        <v>2</v>
      </c>
      <c r="AD1103">
        <v>3</v>
      </c>
      <c r="AE1103">
        <v>7</v>
      </c>
      <c r="AF1103">
        <v>1</v>
      </c>
      <c r="AG1103">
        <v>2</v>
      </c>
      <c r="AH1103">
        <v>5</v>
      </c>
    </row>
    <row r="1104" spans="1:34" x14ac:dyDescent="0.2">
      <c r="A1104">
        <v>36</v>
      </c>
      <c r="B1104" t="s">
        <v>42</v>
      </c>
      <c r="C1104" t="s">
        <v>35</v>
      </c>
      <c r="D1104" t="s">
        <v>36</v>
      </c>
      <c r="E1104">
        <v>2</v>
      </c>
      <c r="F1104">
        <v>4</v>
      </c>
      <c r="G1104" t="s">
        <v>37</v>
      </c>
      <c r="H1104">
        <v>1</v>
      </c>
      <c r="I1104">
        <v>1556</v>
      </c>
      <c r="J1104">
        <v>3</v>
      </c>
      <c r="K1104" t="s">
        <v>45</v>
      </c>
      <c r="L1104">
        <v>70</v>
      </c>
      <c r="M1104">
        <v>3</v>
      </c>
      <c r="N1104">
        <v>1</v>
      </c>
      <c r="O1104" t="s">
        <v>56</v>
      </c>
      <c r="P1104">
        <v>4</v>
      </c>
      <c r="Q1104" t="s">
        <v>40</v>
      </c>
      <c r="R1104">
        <v>2644</v>
      </c>
      <c r="S1104">
        <v>17001</v>
      </c>
      <c r="T1104">
        <v>3</v>
      </c>
      <c r="U1104" t="s">
        <v>41</v>
      </c>
      <c r="V1104" t="s">
        <v>34</v>
      </c>
      <c r="W1104">
        <v>21</v>
      </c>
      <c r="X1104">
        <v>4</v>
      </c>
      <c r="Y1104">
        <v>4</v>
      </c>
      <c r="Z1104">
        <v>80</v>
      </c>
      <c r="AA1104">
        <v>0</v>
      </c>
      <c r="AB1104">
        <v>7</v>
      </c>
      <c r="AC1104">
        <v>3</v>
      </c>
      <c r="AD1104">
        <v>2</v>
      </c>
      <c r="AE1104">
        <v>3</v>
      </c>
      <c r="AF1104">
        <v>2</v>
      </c>
      <c r="AG1104">
        <v>1</v>
      </c>
      <c r="AH1104">
        <v>2</v>
      </c>
    </row>
    <row r="1105" spans="1:34" x14ac:dyDescent="0.2">
      <c r="A1105">
        <v>48</v>
      </c>
      <c r="B1105" t="s">
        <v>42</v>
      </c>
      <c r="C1105" t="s">
        <v>35</v>
      </c>
      <c r="D1105" t="s">
        <v>36</v>
      </c>
      <c r="E1105">
        <v>16</v>
      </c>
      <c r="F1105">
        <v>4</v>
      </c>
      <c r="G1105" t="s">
        <v>37</v>
      </c>
      <c r="H1105">
        <v>1</v>
      </c>
      <c r="I1105">
        <v>1557</v>
      </c>
      <c r="J1105">
        <v>3</v>
      </c>
      <c r="K1105" t="s">
        <v>38</v>
      </c>
      <c r="L1105">
        <v>96</v>
      </c>
      <c r="M1105">
        <v>3</v>
      </c>
      <c r="N1105">
        <v>2</v>
      </c>
      <c r="O1105" t="s">
        <v>39</v>
      </c>
      <c r="P1105">
        <v>3</v>
      </c>
      <c r="Q1105" t="s">
        <v>51</v>
      </c>
      <c r="R1105">
        <v>6439</v>
      </c>
      <c r="S1105">
        <v>13693</v>
      </c>
      <c r="T1105">
        <v>8</v>
      </c>
      <c r="U1105" t="s">
        <v>41</v>
      </c>
      <c r="V1105" t="s">
        <v>42</v>
      </c>
      <c r="W1105">
        <v>14</v>
      </c>
      <c r="X1105">
        <v>3</v>
      </c>
      <c r="Y1105">
        <v>3</v>
      </c>
      <c r="Z1105">
        <v>80</v>
      </c>
      <c r="AA1105">
        <v>1</v>
      </c>
      <c r="AB1105">
        <v>18</v>
      </c>
      <c r="AC1105">
        <v>2</v>
      </c>
      <c r="AD1105">
        <v>3</v>
      </c>
      <c r="AE1105">
        <v>8</v>
      </c>
      <c r="AF1105">
        <v>7</v>
      </c>
      <c r="AG1105">
        <v>7</v>
      </c>
      <c r="AH1105">
        <v>7</v>
      </c>
    </row>
    <row r="1106" spans="1:34" x14ac:dyDescent="0.2">
      <c r="A1106">
        <v>29</v>
      </c>
      <c r="B1106" t="s">
        <v>42</v>
      </c>
      <c r="C1106" t="s">
        <v>35</v>
      </c>
      <c r="D1106" t="s">
        <v>44</v>
      </c>
      <c r="E1106">
        <v>9</v>
      </c>
      <c r="F1106">
        <v>3</v>
      </c>
      <c r="G1106" t="s">
        <v>37</v>
      </c>
      <c r="H1106">
        <v>1</v>
      </c>
      <c r="I1106">
        <v>1558</v>
      </c>
      <c r="J1106">
        <v>3</v>
      </c>
      <c r="K1106" t="s">
        <v>45</v>
      </c>
      <c r="L1106">
        <v>91</v>
      </c>
      <c r="M1106">
        <v>4</v>
      </c>
      <c r="N1106">
        <v>1</v>
      </c>
      <c r="O1106" t="s">
        <v>46</v>
      </c>
      <c r="P1106">
        <v>3</v>
      </c>
      <c r="Q1106" t="s">
        <v>47</v>
      </c>
      <c r="R1106">
        <v>2451</v>
      </c>
      <c r="S1106">
        <v>22376</v>
      </c>
      <c r="T1106">
        <v>6</v>
      </c>
      <c r="U1106" t="s">
        <v>41</v>
      </c>
      <c r="V1106" t="s">
        <v>42</v>
      </c>
      <c r="W1106">
        <v>18</v>
      </c>
      <c r="X1106">
        <v>3</v>
      </c>
      <c r="Y1106">
        <v>1</v>
      </c>
      <c r="Z1106">
        <v>80</v>
      </c>
      <c r="AA1106">
        <v>2</v>
      </c>
      <c r="AB1106">
        <v>5</v>
      </c>
      <c r="AC1106">
        <v>2</v>
      </c>
      <c r="AD1106">
        <v>2</v>
      </c>
      <c r="AE1106">
        <v>1</v>
      </c>
      <c r="AF1106">
        <v>0</v>
      </c>
      <c r="AG1106">
        <v>0</v>
      </c>
      <c r="AH1106">
        <v>0</v>
      </c>
    </row>
    <row r="1107" spans="1:34" x14ac:dyDescent="0.2">
      <c r="A1107">
        <v>33</v>
      </c>
      <c r="B1107" t="s">
        <v>42</v>
      </c>
      <c r="C1107" t="s">
        <v>35</v>
      </c>
      <c r="D1107" t="s">
        <v>36</v>
      </c>
      <c r="E1107">
        <v>8</v>
      </c>
      <c r="F1107">
        <v>4</v>
      </c>
      <c r="G1107" t="s">
        <v>37</v>
      </c>
      <c r="H1107">
        <v>1</v>
      </c>
      <c r="I1107">
        <v>1560</v>
      </c>
      <c r="J1107">
        <v>1</v>
      </c>
      <c r="K1107" t="s">
        <v>45</v>
      </c>
      <c r="L1107">
        <v>46</v>
      </c>
      <c r="M1107">
        <v>3</v>
      </c>
      <c r="N1107">
        <v>2</v>
      </c>
      <c r="O1107" t="s">
        <v>39</v>
      </c>
      <c r="P1107">
        <v>1</v>
      </c>
      <c r="Q1107" t="s">
        <v>47</v>
      </c>
      <c r="R1107">
        <v>6392</v>
      </c>
      <c r="S1107">
        <v>10589</v>
      </c>
      <c r="T1107">
        <v>2</v>
      </c>
      <c r="U1107" t="s">
        <v>41</v>
      </c>
      <c r="V1107" t="s">
        <v>42</v>
      </c>
      <c r="W1107">
        <v>13</v>
      </c>
      <c r="X1107">
        <v>3</v>
      </c>
      <c r="Y1107">
        <v>4</v>
      </c>
      <c r="Z1107">
        <v>80</v>
      </c>
      <c r="AA1107">
        <v>1</v>
      </c>
      <c r="AB1107">
        <v>8</v>
      </c>
      <c r="AC1107">
        <v>6</v>
      </c>
      <c r="AD1107">
        <v>1</v>
      </c>
      <c r="AE1107">
        <v>2</v>
      </c>
      <c r="AF1107">
        <v>2</v>
      </c>
      <c r="AG1107">
        <v>2</v>
      </c>
      <c r="AH1107">
        <v>2</v>
      </c>
    </row>
    <row r="1108" spans="1:34" x14ac:dyDescent="0.2">
      <c r="A1108">
        <v>30</v>
      </c>
      <c r="B1108" t="s">
        <v>34</v>
      </c>
      <c r="C1108" t="s">
        <v>35</v>
      </c>
      <c r="D1108" t="s">
        <v>36</v>
      </c>
      <c r="E1108">
        <v>1</v>
      </c>
      <c r="F1108">
        <v>3</v>
      </c>
      <c r="G1108" t="s">
        <v>37</v>
      </c>
      <c r="H1108">
        <v>1</v>
      </c>
      <c r="I1108">
        <v>1562</v>
      </c>
      <c r="J1108">
        <v>2</v>
      </c>
      <c r="K1108" t="s">
        <v>45</v>
      </c>
      <c r="L1108">
        <v>64</v>
      </c>
      <c r="M1108">
        <v>2</v>
      </c>
      <c r="N1108">
        <v>2</v>
      </c>
      <c r="O1108" t="s">
        <v>39</v>
      </c>
      <c r="P1108">
        <v>1</v>
      </c>
      <c r="Q1108" t="s">
        <v>47</v>
      </c>
      <c r="R1108">
        <v>9714</v>
      </c>
      <c r="S1108">
        <v>5323</v>
      </c>
      <c r="T1108">
        <v>1</v>
      </c>
      <c r="U1108" t="s">
        <v>41</v>
      </c>
      <c r="V1108" t="s">
        <v>42</v>
      </c>
      <c r="W1108">
        <v>11</v>
      </c>
      <c r="X1108">
        <v>3</v>
      </c>
      <c r="Y1108">
        <v>4</v>
      </c>
      <c r="Z1108">
        <v>80</v>
      </c>
      <c r="AA1108">
        <v>1</v>
      </c>
      <c r="AB1108">
        <v>10</v>
      </c>
      <c r="AC1108">
        <v>4</v>
      </c>
      <c r="AD1108">
        <v>3</v>
      </c>
      <c r="AE1108">
        <v>10</v>
      </c>
      <c r="AF1108">
        <v>8</v>
      </c>
      <c r="AG1108">
        <v>6</v>
      </c>
      <c r="AH1108">
        <v>7</v>
      </c>
    </row>
    <row r="1109" spans="1:34" x14ac:dyDescent="0.2">
      <c r="A1109">
        <v>38</v>
      </c>
      <c r="B1109" t="s">
        <v>42</v>
      </c>
      <c r="C1109" t="s">
        <v>43</v>
      </c>
      <c r="D1109" t="s">
        <v>60</v>
      </c>
      <c r="E1109">
        <v>10</v>
      </c>
      <c r="F1109">
        <v>4</v>
      </c>
      <c r="G1109" t="s">
        <v>60</v>
      </c>
      <c r="H1109">
        <v>1</v>
      </c>
      <c r="I1109">
        <v>1563</v>
      </c>
      <c r="J1109">
        <v>3</v>
      </c>
      <c r="K1109" t="s">
        <v>45</v>
      </c>
      <c r="L1109">
        <v>71</v>
      </c>
      <c r="M1109">
        <v>3</v>
      </c>
      <c r="N1109">
        <v>2</v>
      </c>
      <c r="O1109" t="s">
        <v>60</v>
      </c>
      <c r="P1109">
        <v>3</v>
      </c>
      <c r="Q1109" t="s">
        <v>47</v>
      </c>
      <c r="R1109">
        <v>6077</v>
      </c>
      <c r="S1109">
        <v>14814</v>
      </c>
      <c r="T1109">
        <v>3</v>
      </c>
      <c r="U1109" t="s">
        <v>41</v>
      </c>
      <c r="V1109" t="s">
        <v>42</v>
      </c>
      <c r="W1109">
        <v>11</v>
      </c>
      <c r="X1109">
        <v>3</v>
      </c>
      <c r="Y1109">
        <v>3</v>
      </c>
      <c r="Z1109">
        <v>80</v>
      </c>
      <c r="AA1109">
        <v>0</v>
      </c>
      <c r="AB1109">
        <v>10</v>
      </c>
      <c r="AC1109">
        <v>2</v>
      </c>
      <c r="AD1109">
        <v>3</v>
      </c>
      <c r="AE1109">
        <v>6</v>
      </c>
      <c r="AF1109">
        <v>3</v>
      </c>
      <c r="AG1109">
        <v>1</v>
      </c>
      <c r="AH1109">
        <v>2</v>
      </c>
    </row>
    <row r="1110" spans="1:34" x14ac:dyDescent="0.2">
      <c r="A1110">
        <v>35</v>
      </c>
      <c r="B1110" t="s">
        <v>42</v>
      </c>
      <c r="C1110" t="s">
        <v>35</v>
      </c>
      <c r="D1110" t="s">
        <v>44</v>
      </c>
      <c r="E1110">
        <v>1</v>
      </c>
      <c r="F1110">
        <v>3</v>
      </c>
      <c r="G1110" t="s">
        <v>50</v>
      </c>
      <c r="H1110">
        <v>1</v>
      </c>
      <c r="I1110">
        <v>1564</v>
      </c>
      <c r="J1110">
        <v>4</v>
      </c>
      <c r="K1110" t="s">
        <v>45</v>
      </c>
      <c r="L1110">
        <v>68</v>
      </c>
      <c r="M1110">
        <v>2</v>
      </c>
      <c r="N1110">
        <v>1</v>
      </c>
      <c r="O1110" t="s">
        <v>49</v>
      </c>
      <c r="P1110">
        <v>1</v>
      </c>
      <c r="Q1110" t="s">
        <v>40</v>
      </c>
      <c r="R1110">
        <v>2450</v>
      </c>
      <c r="S1110">
        <v>21731</v>
      </c>
      <c r="T1110">
        <v>1</v>
      </c>
      <c r="U1110" t="s">
        <v>41</v>
      </c>
      <c r="V1110" t="s">
        <v>42</v>
      </c>
      <c r="W1110">
        <v>19</v>
      </c>
      <c r="X1110">
        <v>3</v>
      </c>
      <c r="Y1110">
        <v>2</v>
      </c>
      <c r="Z1110">
        <v>80</v>
      </c>
      <c r="AA1110">
        <v>0</v>
      </c>
      <c r="AB1110">
        <v>3</v>
      </c>
      <c r="AC1110">
        <v>3</v>
      </c>
      <c r="AD1110">
        <v>3</v>
      </c>
      <c r="AE1110">
        <v>3</v>
      </c>
      <c r="AF1110">
        <v>0</v>
      </c>
      <c r="AG1110">
        <v>1</v>
      </c>
      <c r="AH1110">
        <v>2</v>
      </c>
    </row>
    <row r="1111" spans="1:34" x14ac:dyDescent="0.2">
      <c r="A1111">
        <v>30</v>
      </c>
      <c r="B1111" t="s">
        <v>42</v>
      </c>
      <c r="C1111" t="s">
        <v>35</v>
      </c>
      <c r="D1111" t="s">
        <v>36</v>
      </c>
      <c r="E1111">
        <v>29</v>
      </c>
      <c r="F1111">
        <v>4</v>
      </c>
      <c r="G1111" t="s">
        <v>59</v>
      </c>
      <c r="H1111">
        <v>1</v>
      </c>
      <c r="I1111">
        <v>1568</v>
      </c>
      <c r="J1111">
        <v>3</v>
      </c>
      <c r="K1111" t="s">
        <v>45</v>
      </c>
      <c r="L1111">
        <v>33</v>
      </c>
      <c r="M1111">
        <v>3</v>
      </c>
      <c r="N1111">
        <v>3</v>
      </c>
      <c r="O1111" t="s">
        <v>39</v>
      </c>
      <c r="P1111">
        <v>2</v>
      </c>
      <c r="Q1111" t="s">
        <v>47</v>
      </c>
      <c r="R1111">
        <v>9250</v>
      </c>
      <c r="S1111">
        <v>17799</v>
      </c>
      <c r="T1111">
        <v>3</v>
      </c>
      <c r="U1111" t="s">
        <v>41</v>
      </c>
      <c r="V1111" t="s">
        <v>42</v>
      </c>
      <c r="W1111">
        <v>12</v>
      </c>
      <c r="X1111">
        <v>3</v>
      </c>
      <c r="Y1111">
        <v>2</v>
      </c>
      <c r="Z1111">
        <v>80</v>
      </c>
      <c r="AA1111">
        <v>1</v>
      </c>
      <c r="AB1111">
        <v>9</v>
      </c>
      <c r="AC1111">
        <v>3</v>
      </c>
      <c r="AD1111">
        <v>3</v>
      </c>
      <c r="AE1111">
        <v>4</v>
      </c>
      <c r="AF1111">
        <v>2</v>
      </c>
      <c r="AG1111">
        <v>1</v>
      </c>
      <c r="AH1111">
        <v>3</v>
      </c>
    </row>
    <row r="1112" spans="1:34" x14ac:dyDescent="0.2">
      <c r="A1112">
        <v>35</v>
      </c>
      <c r="B1112" t="s">
        <v>34</v>
      </c>
      <c r="C1112" t="s">
        <v>35</v>
      </c>
      <c r="D1112" t="s">
        <v>44</v>
      </c>
      <c r="E1112">
        <v>2</v>
      </c>
      <c r="F1112">
        <v>3</v>
      </c>
      <c r="G1112" t="s">
        <v>37</v>
      </c>
      <c r="H1112">
        <v>1</v>
      </c>
      <c r="I1112">
        <v>1569</v>
      </c>
      <c r="J1112">
        <v>1</v>
      </c>
      <c r="K1112" t="s">
        <v>38</v>
      </c>
      <c r="L1112">
        <v>69</v>
      </c>
      <c r="M1112">
        <v>3</v>
      </c>
      <c r="N1112">
        <v>1</v>
      </c>
      <c r="O1112" t="s">
        <v>49</v>
      </c>
      <c r="P1112">
        <v>1</v>
      </c>
      <c r="Q1112" t="s">
        <v>51</v>
      </c>
      <c r="R1112">
        <v>2074</v>
      </c>
      <c r="S1112">
        <v>26619</v>
      </c>
      <c r="T1112">
        <v>1</v>
      </c>
      <c r="U1112" t="s">
        <v>41</v>
      </c>
      <c r="V1112" t="s">
        <v>34</v>
      </c>
      <c r="W1112">
        <v>12</v>
      </c>
      <c r="X1112">
        <v>3</v>
      </c>
      <c r="Y1112">
        <v>4</v>
      </c>
      <c r="Z1112">
        <v>80</v>
      </c>
      <c r="AA1112">
        <v>1</v>
      </c>
      <c r="AB1112">
        <v>1</v>
      </c>
      <c r="AC1112">
        <v>2</v>
      </c>
      <c r="AD1112">
        <v>3</v>
      </c>
      <c r="AE1112">
        <v>1</v>
      </c>
      <c r="AF1112">
        <v>0</v>
      </c>
      <c r="AG1112">
        <v>0</v>
      </c>
      <c r="AH1112">
        <v>0</v>
      </c>
    </row>
    <row r="1113" spans="1:34" x14ac:dyDescent="0.2">
      <c r="A1113">
        <v>53</v>
      </c>
      <c r="B1113" t="s">
        <v>34</v>
      </c>
      <c r="C1113" t="s">
        <v>35</v>
      </c>
      <c r="D1113" t="s">
        <v>44</v>
      </c>
      <c r="E1113">
        <v>2</v>
      </c>
      <c r="F1113">
        <v>5</v>
      </c>
      <c r="G1113" t="s">
        <v>59</v>
      </c>
      <c r="H1113">
        <v>1</v>
      </c>
      <c r="I1113">
        <v>1572</v>
      </c>
      <c r="J1113">
        <v>3</v>
      </c>
      <c r="K1113" t="s">
        <v>38</v>
      </c>
      <c r="L1113">
        <v>78</v>
      </c>
      <c r="M1113">
        <v>2</v>
      </c>
      <c r="N1113">
        <v>3</v>
      </c>
      <c r="O1113" t="s">
        <v>52</v>
      </c>
      <c r="P1113">
        <v>4</v>
      </c>
      <c r="Q1113" t="s">
        <v>47</v>
      </c>
      <c r="R1113">
        <v>10169</v>
      </c>
      <c r="S1113">
        <v>14618</v>
      </c>
      <c r="T1113">
        <v>0</v>
      </c>
      <c r="U1113" t="s">
        <v>41</v>
      </c>
      <c r="V1113" t="s">
        <v>42</v>
      </c>
      <c r="W1113">
        <v>16</v>
      </c>
      <c r="X1113">
        <v>3</v>
      </c>
      <c r="Y1113">
        <v>2</v>
      </c>
      <c r="Z1113">
        <v>80</v>
      </c>
      <c r="AA1113">
        <v>1</v>
      </c>
      <c r="AB1113">
        <v>34</v>
      </c>
      <c r="AC1113">
        <v>4</v>
      </c>
      <c r="AD1113">
        <v>3</v>
      </c>
      <c r="AE1113">
        <v>33</v>
      </c>
      <c r="AF1113">
        <v>7</v>
      </c>
      <c r="AG1113">
        <v>1</v>
      </c>
      <c r="AH1113">
        <v>9</v>
      </c>
    </row>
    <row r="1114" spans="1:34" x14ac:dyDescent="0.2">
      <c r="A1114">
        <v>38</v>
      </c>
      <c r="B1114" t="s">
        <v>34</v>
      </c>
      <c r="C1114" t="s">
        <v>35</v>
      </c>
      <c r="D1114" t="s">
        <v>44</v>
      </c>
      <c r="E1114">
        <v>2</v>
      </c>
      <c r="F1114">
        <v>3</v>
      </c>
      <c r="G1114" t="s">
        <v>50</v>
      </c>
      <c r="H1114">
        <v>1</v>
      </c>
      <c r="I1114">
        <v>1573</v>
      </c>
      <c r="J1114">
        <v>3</v>
      </c>
      <c r="K1114" t="s">
        <v>45</v>
      </c>
      <c r="L1114">
        <v>81</v>
      </c>
      <c r="M1114">
        <v>3</v>
      </c>
      <c r="N1114">
        <v>2</v>
      </c>
      <c r="O1114" t="s">
        <v>52</v>
      </c>
      <c r="P1114">
        <v>2</v>
      </c>
      <c r="Q1114" t="s">
        <v>47</v>
      </c>
      <c r="R1114">
        <v>4855</v>
      </c>
      <c r="S1114">
        <v>7653</v>
      </c>
      <c r="T1114">
        <v>4</v>
      </c>
      <c r="U1114" t="s">
        <v>41</v>
      </c>
      <c r="V1114" t="s">
        <v>42</v>
      </c>
      <c r="W1114">
        <v>11</v>
      </c>
      <c r="X1114">
        <v>3</v>
      </c>
      <c r="Y1114">
        <v>1</v>
      </c>
      <c r="Z1114">
        <v>80</v>
      </c>
      <c r="AA1114">
        <v>2</v>
      </c>
      <c r="AB1114">
        <v>7</v>
      </c>
      <c r="AC1114">
        <v>2</v>
      </c>
      <c r="AD1114">
        <v>3</v>
      </c>
      <c r="AE1114">
        <v>5</v>
      </c>
      <c r="AF1114">
        <v>2</v>
      </c>
      <c r="AG1114">
        <v>1</v>
      </c>
      <c r="AH1114">
        <v>4</v>
      </c>
    </row>
    <row r="1115" spans="1:34" x14ac:dyDescent="0.2">
      <c r="A1115">
        <v>32</v>
      </c>
      <c r="B1115" t="s">
        <v>42</v>
      </c>
      <c r="C1115" t="s">
        <v>54</v>
      </c>
      <c r="D1115" t="s">
        <v>44</v>
      </c>
      <c r="E1115">
        <v>1</v>
      </c>
      <c r="F1115">
        <v>4</v>
      </c>
      <c r="G1115" t="s">
        <v>59</v>
      </c>
      <c r="H1115">
        <v>1</v>
      </c>
      <c r="I1115">
        <v>1574</v>
      </c>
      <c r="J1115">
        <v>4</v>
      </c>
      <c r="K1115" t="s">
        <v>45</v>
      </c>
      <c r="L1115">
        <v>62</v>
      </c>
      <c r="M1115">
        <v>3</v>
      </c>
      <c r="N1115">
        <v>2</v>
      </c>
      <c r="O1115" t="s">
        <v>46</v>
      </c>
      <c r="P1115">
        <v>1</v>
      </c>
      <c r="Q1115" t="s">
        <v>47</v>
      </c>
      <c r="R1115">
        <v>4087</v>
      </c>
      <c r="S1115">
        <v>25174</v>
      </c>
      <c r="T1115">
        <v>4</v>
      </c>
      <c r="U1115" t="s">
        <v>41</v>
      </c>
      <c r="V1115" t="s">
        <v>42</v>
      </c>
      <c r="W1115">
        <v>14</v>
      </c>
      <c r="X1115">
        <v>3</v>
      </c>
      <c r="Y1115">
        <v>2</v>
      </c>
      <c r="Z1115">
        <v>80</v>
      </c>
      <c r="AA1115">
        <v>1</v>
      </c>
      <c r="AB1115">
        <v>9</v>
      </c>
      <c r="AC1115">
        <v>3</v>
      </c>
      <c r="AD1115">
        <v>2</v>
      </c>
      <c r="AE1115">
        <v>6</v>
      </c>
      <c r="AF1115">
        <v>5</v>
      </c>
      <c r="AG1115">
        <v>1</v>
      </c>
      <c r="AH1115">
        <v>2</v>
      </c>
    </row>
    <row r="1116" spans="1:34" x14ac:dyDescent="0.2">
      <c r="A1116">
        <v>48</v>
      </c>
      <c r="B1116" t="s">
        <v>42</v>
      </c>
      <c r="C1116" t="s">
        <v>35</v>
      </c>
      <c r="D1116" t="s">
        <v>44</v>
      </c>
      <c r="E1116">
        <v>15</v>
      </c>
      <c r="F1116">
        <v>4</v>
      </c>
      <c r="G1116" t="s">
        <v>48</v>
      </c>
      <c r="H1116">
        <v>1</v>
      </c>
      <c r="I1116">
        <v>1576</v>
      </c>
      <c r="J1116">
        <v>3</v>
      </c>
      <c r="K1116" t="s">
        <v>38</v>
      </c>
      <c r="L1116">
        <v>65</v>
      </c>
      <c r="M1116">
        <v>3</v>
      </c>
      <c r="N1116">
        <v>1</v>
      </c>
      <c r="O1116" t="s">
        <v>46</v>
      </c>
      <c r="P1116">
        <v>1</v>
      </c>
      <c r="Q1116" t="s">
        <v>47</v>
      </c>
      <c r="R1116">
        <v>2367</v>
      </c>
      <c r="S1116">
        <v>16530</v>
      </c>
      <c r="T1116">
        <v>8</v>
      </c>
      <c r="U1116" t="s">
        <v>41</v>
      </c>
      <c r="V1116" t="s">
        <v>42</v>
      </c>
      <c r="W1116">
        <v>12</v>
      </c>
      <c r="X1116">
        <v>3</v>
      </c>
      <c r="Y1116">
        <v>4</v>
      </c>
      <c r="Z1116">
        <v>80</v>
      </c>
      <c r="AA1116">
        <v>1</v>
      </c>
      <c r="AB1116">
        <v>10</v>
      </c>
      <c r="AC1116">
        <v>3</v>
      </c>
      <c r="AD1116">
        <v>2</v>
      </c>
      <c r="AE1116">
        <v>8</v>
      </c>
      <c r="AF1116">
        <v>2</v>
      </c>
      <c r="AG1116">
        <v>7</v>
      </c>
      <c r="AH1116">
        <v>6</v>
      </c>
    </row>
    <row r="1117" spans="1:34" x14ac:dyDescent="0.2">
      <c r="A1117">
        <v>34</v>
      </c>
      <c r="B1117" t="s">
        <v>42</v>
      </c>
      <c r="C1117" t="s">
        <v>35</v>
      </c>
      <c r="D1117" t="s">
        <v>44</v>
      </c>
      <c r="E1117">
        <v>7</v>
      </c>
      <c r="F1117">
        <v>4</v>
      </c>
      <c r="G1117" t="s">
        <v>50</v>
      </c>
      <c r="H1117">
        <v>1</v>
      </c>
      <c r="I1117">
        <v>1577</v>
      </c>
      <c r="J1117">
        <v>1</v>
      </c>
      <c r="K1117" t="s">
        <v>45</v>
      </c>
      <c r="L1117">
        <v>35</v>
      </c>
      <c r="M1117">
        <v>3</v>
      </c>
      <c r="N1117">
        <v>1</v>
      </c>
      <c r="O1117" t="s">
        <v>46</v>
      </c>
      <c r="P1117">
        <v>4</v>
      </c>
      <c r="Q1117" t="s">
        <v>40</v>
      </c>
      <c r="R1117">
        <v>2972</v>
      </c>
      <c r="S1117">
        <v>22061</v>
      </c>
      <c r="T1117">
        <v>1</v>
      </c>
      <c r="U1117" t="s">
        <v>41</v>
      </c>
      <c r="V1117" t="s">
        <v>42</v>
      </c>
      <c r="W1117">
        <v>13</v>
      </c>
      <c r="X1117">
        <v>3</v>
      </c>
      <c r="Y1117">
        <v>3</v>
      </c>
      <c r="Z1117">
        <v>80</v>
      </c>
      <c r="AA1117">
        <v>0</v>
      </c>
      <c r="AB1117">
        <v>1</v>
      </c>
      <c r="AC1117">
        <v>4</v>
      </c>
      <c r="AD1117">
        <v>1</v>
      </c>
      <c r="AE1117">
        <v>1</v>
      </c>
      <c r="AF1117">
        <v>0</v>
      </c>
      <c r="AG1117">
        <v>0</v>
      </c>
      <c r="AH1117">
        <v>0</v>
      </c>
    </row>
    <row r="1118" spans="1:34" x14ac:dyDescent="0.2">
      <c r="A1118">
        <v>55</v>
      </c>
      <c r="B1118" t="s">
        <v>42</v>
      </c>
      <c r="C1118" t="s">
        <v>35</v>
      </c>
      <c r="D1118" t="s">
        <v>36</v>
      </c>
      <c r="E1118">
        <v>26</v>
      </c>
      <c r="F1118">
        <v>5</v>
      </c>
      <c r="G1118" t="s">
        <v>58</v>
      </c>
      <c r="H1118">
        <v>1</v>
      </c>
      <c r="I1118">
        <v>1578</v>
      </c>
      <c r="J1118">
        <v>3</v>
      </c>
      <c r="K1118" t="s">
        <v>45</v>
      </c>
      <c r="L1118">
        <v>60</v>
      </c>
      <c r="M1118">
        <v>2</v>
      </c>
      <c r="N1118">
        <v>5</v>
      </c>
      <c r="O1118" t="s">
        <v>55</v>
      </c>
      <c r="P1118">
        <v>4</v>
      </c>
      <c r="Q1118" t="s">
        <v>47</v>
      </c>
      <c r="R1118">
        <v>19586</v>
      </c>
      <c r="S1118">
        <v>23037</v>
      </c>
      <c r="T1118">
        <v>1</v>
      </c>
      <c r="U1118" t="s">
        <v>41</v>
      </c>
      <c r="V1118" t="s">
        <v>42</v>
      </c>
      <c r="W1118">
        <v>21</v>
      </c>
      <c r="X1118">
        <v>4</v>
      </c>
      <c r="Y1118">
        <v>3</v>
      </c>
      <c r="Z1118">
        <v>80</v>
      </c>
      <c r="AA1118">
        <v>1</v>
      </c>
      <c r="AB1118">
        <v>36</v>
      </c>
      <c r="AC1118">
        <v>3</v>
      </c>
      <c r="AD1118">
        <v>3</v>
      </c>
      <c r="AE1118">
        <v>36</v>
      </c>
      <c r="AF1118">
        <v>6</v>
      </c>
      <c r="AG1118">
        <v>2</v>
      </c>
      <c r="AH1118">
        <v>13</v>
      </c>
    </row>
    <row r="1119" spans="1:34" x14ac:dyDescent="0.2">
      <c r="A1119">
        <v>34</v>
      </c>
      <c r="B1119" t="s">
        <v>42</v>
      </c>
      <c r="C1119" t="s">
        <v>35</v>
      </c>
      <c r="D1119" t="s">
        <v>44</v>
      </c>
      <c r="E1119">
        <v>1</v>
      </c>
      <c r="F1119">
        <v>4</v>
      </c>
      <c r="G1119" t="s">
        <v>37</v>
      </c>
      <c r="H1119">
        <v>1</v>
      </c>
      <c r="I1119">
        <v>1580</v>
      </c>
      <c r="J1119">
        <v>2</v>
      </c>
      <c r="K1119" t="s">
        <v>45</v>
      </c>
      <c r="L1119">
        <v>45</v>
      </c>
      <c r="M1119">
        <v>3</v>
      </c>
      <c r="N1119">
        <v>2</v>
      </c>
      <c r="O1119" t="s">
        <v>46</v>
      </c>
      <c r="P1119">
        <v>4</v>
      </c>
      <c r="Q1119" t="s">
        <v>47</v>
      </c>
      <c r="R1119">
        <v>5484</v>
      </c>
      <c r="S1119">
        <v>13008</v>
      </c>
      <c r="T1119">
        <v>9</v>
      </c>
      <c r="U1119" t="s">
        <v>41</v>
      </c>
      <c r="V1119" t="s">
        <v>42</v>
      </c>
      <c r="W1119">
        <v>17</v>
      </c>
      <c r="X1119">
        <v>3</v>
      </c>
      <c r="Y1119">
        <v>2</v>
      </c>
      <c r="Z1119">
        <v>80</v>
      </c>
      <c r="AA1119">
        <v>1</v>
      </c>
      <c r="AB1119">
        <v>9</v>
      </c>
      <c r="AC1119">
        <v>3</v>
      </c>
      <c r="AD1119">
        <v>2</v>
      </c>
      <c r="AE1119">
        <v>2</v>
      </c>
      <c r="AF1119">
        <v>2</v>
      </c>
      <c r="AG1119">
        <v>2</v>
      </c>
      <c r="AH1119">
        <v>1</v>
      </c>
    </row>
    <row r="1120" spans="1:34" x14ac:dyDescent="0.2">
      <c r="A1120">
        <v>26</v>
      </c>
      <c r="B1120" t="s">
        <v>42</v>
      </c>
      <c r="C1120" t="s">
        <v>35</v>
      </c>
      <c r="D1120" t="s">
        <v>44</v>
      </c>
      <c r="E1120">
        <v>3</v>
      </c>
      <c r="F1120">
        <v>3</v>
      </c>
      <c r="G1120" t="s">
        <v>37</v>
      </c>
      <c r="H1120">
        <v>1</v>
      </c>
      <c r="I1120">
        <v>1581</v>
      </c>
      <c r="J1120">
        <v>1</v>
      </c>
      <c r="K1120" t="s">
        <v>38</v>
      </c>
      <c r="L1120">
        <v>89</v>
      </c>
      <c r="M1120">
        <v>3</v>
      </c>
      <c r="N1120">
        <v>1</v>
      </c>
      <c r="O1120" t="s">
        <v>46</v>
      </c>
      <c r="P1120">
        <v>4</v>
      </c>
      <c r="Q1120" t="s">
        <v>47</v>
      </c>
      <c r="R1120">
        <v>2061</v>
      </c>
      <c r="S1120">
        <v>11133</v>
      </c>
      <c r="T1120">
        <v>1</v>
      </c>
      <c r="U1120" t="s">
        <v>41</v>
      </c>
      <c r="V1120" t="s">
        <v>42</v>
      </c>
      <c r="W1120">
        <v>21</v>
      </c>
      <c r="X1120">
        <v>4</v>
      </c>
      <c r="Y1120">
        <v>1</v>
      </c>
      <c r="Z1120">
        <v>80</v>
      </c>
      <c r="AA1120">
        <v>0</v>
      </c>
      <c r="AB1120">
        <v>1</v>
      </c>
      <c r="AC1120">
        <v>5</v>
      </c>
      <c r="AD1120">
        <v>3</v>
      </c>
      <c r="AE1120">
        <v>1</v>
      </c>
      <c r="AF1120">
        <v>0</v>
      </c>
      <c r="AG1120">
        <v>0</v>
      </c>
      <c r="AH1120">
        <v>0</v>
      </c>
    </row>
    <row r="1121" spans="1:34" x14ac:dyDescent="0.2">
      <c r="A1121">
        <v>38</v>
      </c>
      <c r="B1121" t="s">
        <v>42</v>
      </c>
      <c r="C1121" t="s">
        <v>35</v>
      </c>
      <c r="D1121" t="s">
        <v>36</v>
      </c>
      <c r="E1121">
        <v>14</v>
      </c>
      <c r="F1121">
        <v>3</v>
      </c>
      <c r="G1121" t="s">
        <v>37</v>
      </c>
      <c r="H1121">
        <v>1</v>
      </c>
      <c r="I1121">
        <v>1582</v>
      </c>
      <c r="J1121">
        <v>3</v>
      </c>
      <c r="K1121" t="s">
        <v>45</v>
      </c>
      <c r="L1121">
        <v>80</v>
      </c>
      <c r="M1121">
        <v>3</v>
      </c>
      <c r="N1121">
        <v>2</v>
      </c>
      <c r="O1121" t="s">
        <v>39</v>
      </c>
      <c r="P1121">
        <v>2</v>
      </c>
      <c r="Q1121" t="s">
        <v>47</v>
      </c>
      <c r="R1121">
        <v>9924</v>
      </c>
      <c r="S1121">
        <v>12355</v>
      </c>
      <c r="T1121">
        <v>0</v>
      </c>
      <c r="U1121" t="s">
        <v>41</v>
      </c>
      <c r="V1121" t="s">
        <v>42</v>
      </c>
      <c r="W1121">
        <v>11</v>
      </c>
      <c r="X1121">
        <v>3</v>
      </c>
      <c r="Y1121">
        <v>4</v>
      </c>
      <c r="Z1121">
        <v>80</v>
      </c>
      <c r="AA1121">
        <v>1</v>
      </c>
      <c r="AB1121">
        <v>10</v>
      </c>
      <c r="AC1121">
        <v>3</v>
      </c>
      <c r="AD1121">
        <v>3</v>
      </c>
      <c r="AE1121">
        <v>9</v>
      </c>
      <c r="AF1121">
        <v>8</v>
      </c>
      <c r="AG1121">
        <v>7</v>
      </c>
      <c r="AH1121">
        <v>7</v>
      </c>
    </row>
    <row r="1122" spans="1:34" x14ac:dyDescent="0.2">
      <c r="A1122">
        <v>38</v>
      </c>
      <c r="B1122" t="s">
        <v>42</v>
      </c>
      <c r="C1122" t="s">
        <v>35</v>
      </c>
      <c r="D1122" t="s">
        <v>36</v>
      </c>
      <c r="E1122">
        <v>16</v>
      </c>
      <c r="F1122">
        <v>3</v>
      </c>
      <c r="G1122" t="s">
        <v>37</v>
      </c>
      <c r="H1122">
        <v>1</v>
      </c>
      <c r="I1122">
        <v>1583</v>
      </c>
      <c r="J1122">
        <v>2</v>
      </c>
      <c r="K1122" t="s">
        <v>38</v>
      </c>
      <c r="L1122">
        <v>90</v>
      </c>
      <c r="M1122">
        <v>3</v>
      </c>
      <c r="N1122">
        <v>2</v>
      </c>
      <c r="O1122" t="s">
        <v>39</v>
      </c>
      <c r="P1122">
        <v>2</v>
      </c>
      <c r="Q1122" t="s">
        <v>40</v>
      </c>
      <c r="R1122">
        <v>4198</v>
      </c>
      <c r="S1122">
        <v>16379</v>
      </c>
      <c r="T1122">
        <v>2</v>
      </c>
      <c r="U1122" t="s">
        <v>41</v>
      </c>
      <c r="V1122" t="s">
        <v>42</v>
      </c>
      <c r="W1122">
        <v>12</v>
      </c>
      <c r="X1122">
        <v>3</v>
      </c>
      <c r="Y1122">
        <v>2</v>
      </c>
      <c r="Z1122">
        <v>80</v>
      </c>
      <c r="AA1122">
        <v>0</v>
      </c>
      <c r="AB1122">
        <v>8</v>
      </c>
      <c r="AC1122">
        <v>5</v>
      </c>
      <c r="AD1122">
        <v>4</v>
      </c>
      <c r="AE1122">
        <v>3</v>
      </c>
      <c r="AF1122">
        <v>2</v>
      </c>
      <c r="AG1122">
        <v>1</v>
      </c>
      <c r="AH1122">
        <v>2</v>
      </c>
    </row>
    <row r="1123" spans="1:34" x14ac:dyDescent="0.2">
      <c r="A1123">
        <v>36</v>
      </c>
      <c r="B1123" t="s">
        <v>42</v>
      </c>
      <c r="C1123" t="s">
        <v>35</v>
      </c>
      <c r="D1123" t="s">
        <v>36</v>
      </c>
      <c r="E1123">
        <v>1</v>
      </c>
      <c r="F1123">
        <v>4</v>
      </c>
      <c r="G1123" t="s">
        <v>37</v>
      </c>
      <c r="H1123">
        <v>1</v>
      </c>
      <c r="I1123">
        <v>1585</v>
      </c>
      <c r="J1123">
        <v>2</v>
      </c>
      <c r="K1123" t="s">
        <v>38</v>
      </c>
      <c r="L1123">
        <v>73</v>
      </c>
      <c r="M1123">
        <v>3</v>
      </c>
      <c r="N1123">
        <v>2</v>
      </c>
      <c r="O1123" t="s">
        <v>39</v>
      </c>
      <c r="P1123">
        <v>3</v>
      </c>
      <c r="Q1123" t="s">
        <v>40</v>
      </c>
      <c r="R1123">
        <v>6815</v>
      </c>
      <c r="S1123">
        <v>21447</v>
      </c>
      <c r="T1123">
        <v>6</v>
      </c>
      <c r="U1123" t="s">
        <v>41</v>
      </c>
      <c r="V1123" t="s">
        <v>42</v>
      </c>
      <c r="W1123">
        <v>13</v>
      </c>
      <c r="X1123">
        <v>3</v>
      </c>
      <c r="Y1123">
        <v>1</v>
      </c>
      <c r="Z1123">
        <v>80</v>
      </c>
      <c r="AA1123">
        <v>0</v>
      </c>
      <c r="AB1123">
        <v>15</v>
      </c>
      <c r="AC1123">
        <v>5</v>
      </c>
      <c r="AD1123">
        <v>3</v>
      </c>
      <c r="AE1123">
        <v>1</v>
      </c>
      <c r="AF1123">
        <v>0</v>
      </c>
      <c r="AG1123">
        <v>0</v>
      </c>
      <c r="AH1123">
        <v>0</v>
      </c>
    </row>
    <row r="1124" spans="1:34" x14ac:dyDescent="0.2">
      <c r="A1124">
        <v>29</v>
      </c>
      <c r="B1124" t="s">
        <v>42</v>
      </c>
      <c r="C1124" t="s">
        <v>35</v>
      </c>
      <c r="D1124" t="s">
        <v>44</v>
      </c>
      <c r="E1124">
        <v>3</v>
      </c>
      <c r="F1124">
        <v>1</v>
      </c>
      <c r="G1124" t="s">
        <v>50</v>
      </c>
      <c r="H1124">
        <v>1</v>
      </c>
      <c r="I1124">
        <v>1586</v>
      </c>
      <c r="J1124">
        <v>2</v>
      </c>
      <c r="K1124" t="s">
        <v>45</v>
      </c>
      <c r="L1124">
        <v>87</v>
      </c>
      <c r="M1124">
        <v>3</v>
      </c>
      <c r="N1124">
        <v>1</v>
      </c>
      <c r="O1124" t="s">
        <v>49</v>
      </c>
      <c r="P1124">
        <v>1</v>
      </c>
      <c r="Q1124" t="s">
        <v>40</v>
      </c>
      <c r="R1124">
        <v>4723</v>
      </c>
      <c r="S1124">
        <v>16213</v>
      </c>
      <c r="T1124">
        <v>1</v>
      </c>
      <c r="U1124" t="s">
        <v>41</v>
      </c>
      <c r="V1124" t="s">
        <v>34</v>
      </c>
      <c r="W1124">
        <v>18</v>
      </c>
      <c r="X1124">
        <v>3</v>
      </c>
      <c r="Y1124">
        <v>4</v>
      </c>
      <c r="Z1124">
        <v>80</v>
      </c>
      <c r="AA1124">
        <v>0</v>
      </c>
      <c r="AB1124">
        <v>10</v>
      </c>
      <c r="AC1124">
        <v>3</v>
      </c>
      <c r="AD1124">
        <v>3</v>
      </c>
      <c r="AE1124">
        <v>10</v>
      </c>
      <c r="AF1124">
        <v>9</v>
      </c>
      <c r="AG1124">
        <v>1</v>
      </c>
      <c r="AH1124">
        <v>5</v>
      </c>
    </row>
    <row r="1125" spans="1:34" x14ac:dyDescent="0.2">
      <c r="A1125">
        <v>35</v>
      </c>
      <c r="B1125" t="s">
        <v>42</v>
      </c>
      <c r="C1125" t="s">
        <v>35</v>
      </c>
      <c r="D1125" t="s">
        <v>44</v>
      </c>
      <c r="E1125">
        <v>10</v>
      </c>
      <c r="F1125">
        <v>4</v>
      </c>
      <c r="G1125" t="s">
        <v>50</v>
      </c>
      <c r="H1125">
        <v>1</v>
      </c>
      <c r="I1125">
        <v>1587</v>
      </c>
      <c r="J1125">
        <v>1</v>
      </c>
      <c r="K1125" t="s">
        <v>38</v>
      </c>
      <c r="L1125">
        <v>51</v>
      </c>
      <c r="M1125">
        <v>3</v>
      </c>
      <c r="N1125">
        <v>2</v>
      </c>
      <c r="O1125" t="s">
        <v>53</v>
      </c>
      <c r="P1125">
        <v>3</v>
      </c>
      <c r="Q1125" t="s">
        <v>40</v>
      </c>
      <c r="R1125">
        <v>6142</v>
      </c>
      <c r="S1125">
        <v>4223</v>
      </c>
      <c r="T1125">
        <v>3</v>
      </c>
      <c r="U1125" t="s">
        <v>41</v>
      </c>
      <c r="V1125" t="s">
        <v>34</v>
      </c>
      <c r="W1125">
        <v>16</v>
      </c>
      <c r="X1125">
        <v>3</v>
      </c>
      <c r="Y1125">
        <v>3</v>
      </c>
      <c r="Z1125">
        <v>80</v>
      </c>
      <c r="AA1125">
        <v>0</v>
      </c>
      <c r="AB1125">
        <v>10</v>
      </c>
      <c r="AC1125">
        <v>4</v>
      </c>
      <c r="AD1125">
        <v>3</v>
      </c>
      <c r="AE1125">
        <v>5</v>
      </c>
      <c r="AF1125">
        <v>2</v>
      </c>
      <c r="AG1125">
        <v>0</v>
      </c>
      <c r="AH1125">
        <v>4</v>
      </c>
    </row>
    <row r="1126" spans="1:34" x14ac:dyDescent="0.2">
      <c r="A1126">
        <v>39</v>
      </c>
      <c r="B1126" t="s">
        <v>42</v>
      </c>
      <c r="C1126" t="s">
        <v>35</v>
      </c>
      <c r="D1126" t="s">
        <v>36</v>
      </c>
      <c r="E1126">
        <v>6</v>
      </c>
      <c r="F1126">
        <v>3</v>
      </c>
      <c r="G1126" t="s">
        <v>50</v>
      </c>
      <c r="H1126">
        <v>1</v>
      </c>
      <c r="I1126">
        <v>1588</v>
      </c>
      <c r="J1126">
        <v>4</v>
      </c>
      <c r="K1126" t="s">
        <v>45</v>
      </c>
      <c r="L1126">
        <v>38</v>
      </c>
      <c r="M1126">
        <v>4</v>
      </c>
      <c r="N1126">
        <v>3</v>
      </c>
      <c r="O1126" t="s">
        <v>39</v>
      </c>
      <c r="P1126">
        <v>3</v>
      </c>
      <c r="Q1126" t="s">
        <v>47</v>
      </c>
      <c r="R1126">
        <v>8237</v>
      </c>
      <c r="S1126">
        <v>4658</v>
      </c>
      <c r="T1126">
        <v>2</v>
      </c>
      <c r="U1126" t="s">
        <v>41</v>
      </c>
      <c r="V1126" t="s">
        <v>42</v>
      </c>
      <c r="W1126">
        <v>11</v>
      </c>
      <c r="X1126">
        <v>3</v>
      </c>
      <c r="Y1126">
        <v>1</v>
      </c>
      <c r="Z1126">
        <v>80</v>
      </c>
      <c r="AA1126">
        <v>1</v>
      </c>
      <c r="AB1126">
        <v>11</v>
      </c>
      <c r="AC1126">
        <v>3</v>
      </c>
      <c r="AD1126">
        <v>3</v>
      </c>
      <c r="AE1126">
        <v>7</v>
      </c>
      <c r="AF1126">
        <v>6</v>
      </c>
      <c r="AG1126">
        <v>7</v>
      </c>
      <c r="AH1126">
        <v>6</v>
      </c>
    </row>
    <row r="1127" spans="1:34" x14ac:dyDescent="0.2">
      <c r="A1127">
        <v>29</v>
      </c>
      <c r="B1127" t="s">
        <v>42</v>
      </c>
      <c r="C1127" t="s">
        <v>43</v>
      </c>
      <c r="D1127" t="s">
        <v>44</v>
      </c>
      <c r="E1127">
        <v>2</v>
      </c>
      <c r="F1127">
        <v>1</v>
      </c>
      <c r="G1127" t="s">
        <v>37</v>
      </c>
      <c r="H1127">
        <v>1</v>
      </c>
      <c r="I1127">
        <v>1590</v>
      </c>
      <c r="J1127">
        <v>1</v>
      </c>
      <c r="K1127" t="s">
        <v>45</v>
      </c>
      <c r="L1127">
        <v>87</v>
      </c>
      <c r="M1127">
        <v>3</v>
      </c>
      <c r="N1127">
        <v>2</v>
      </c>
      <c r="O1127" t="s">
        <v>53</v>
      </c>
      <c r="P1127">
        <v>4</v>
      </c>
      <c r="Q1127" t="s">
        <v>51</v>
      </c>
      <c r="R1127">
        <v>8853</v>
      </c>
      <c r="S1127">
        <v>24483</v>
      </c>
      <c r="T1127">
        <v>1</v>
      </c>
      <c r="U1127" t="s">
        <v>41</v>
      </c>
      <c r="V1127" t="s">
        <v>42</v>
      </c>
      <c r="W1127">
        <v>19</v>
      </c>
      <c r="X1127">
        <v>3</v>
      </c>
      <c r="Y1127">
        <v>4</v>
      </c>
      <c r="Z1127">
        <v>80</v>
      </c>
      <c r="AA1127">
        <v>1</v>
      </c>
      <c r="AB1127">
        <v>6</v>
      </c>
      <c r="AC1127">
        <v>0</v>
      </c>
      <c r="AD1127">
        <v>4</v>
      </c>
      <c r="AE1127">
        <v>6</v>
      </c>
      <c r="AF1127">
        <v>4</v>
      </c>
      <c r="AG1127">
        <v>1</v>
      </c>
      <c r="AH1127">
        <v>3</v>
      </c>
    </row>
    <row r="1128" spans="1:34" x14ac:dyDescent="0.2">
      <c r="A1128">
        <v>50</v>
      </c>
      <c r="B1128" t="s">
        <v>42</v>
      </c>
      <c r="C1128" t="s">
        <v>35</v>
      </c>
      <c r="D1128" t="s">
        <v>36</v>
      </c>
      <c r="E1128">
        <v>9</v>
      </c>
      <c r="F1128">
        <v>3</v>
      </c>
      <c r="G1128" t="s">
        <v>58</v>
      </c>
      <c r="H1128">
        <v>1</v>
      </c>
      <c r="I1128">
        <v>1591</v>
      </c>
      <c r="J1128">
        <v>3</v>
      </c>
      <c r="K1128" t="s">
        <v>45</v>
      </c>
      <c r="L1128">
        <v>59</v>
      </c>
      <c r="M1128">
        <v>3</v>
      </c>
      <c r="N1128">
        <v>5</v>
      </c>
      <c r="O1128" t="s">
        <v>55</v>
      </c>
      <c r="P1128">
        <v>3</v>
      </c>
      <c r="Q1128" t="s">
        <v>47</v>
      </c>
      <c r="R1128">
        <v>19331</v>
      </c>
      <c r="S1128">
        <v>19519</v>
      </c>
      <c r="T1128">
        <v>4</v>
      </c>
      <c r="U1128" t="s">
        <v>41</v>
      </c>
      <c r="V1128" t="s">
        <v>34</v>
      </c>
      <c r="W1128">
        <v>16</v>
      </c>
      <c r="X1128">
        <v>3</v>
      </c>
      <c r="Y1128">
        <v>3</v>
      </c>
      <c r="Z1128">
        <v>80</v>
      </c>
      <c r="AA1128">
        <v>1</v>
      </c>
      <c r="AB1128">
        <v>27</v>
      </c>
      <c r="AC1128">
        <v>2</v>
      </c>
      <c r="AD1128">
        <v>3</v>
      </c>
      <c r="AE1128">
        <v>1</v>
      </c>
      <c r="AF1128">
        <v>0</v>
      </c>
      <c r="AG1128">
        <v>0</v>
      </c>
      <c r="AH1128">
        <v>0</v>
      </c>
    </row>
    <row r="1129" spans="1:34" x14ac:dyDescent="0.2">
      <c r="A1129">
        <v>23</v>
      </c>
      <c r="B1129" t="s">
        <v>42</v>
      </c>
      <c r="C1129" t="s">
        <v>35</v>
      </c>
      <c r="D1129" t="s">
        <v>44</v>
      </c>
      <c r="E1129">
        <v>10</v>
      </c>
      <c r="F1129">
        <v>3</v>
      </c>
      <c r="G1129" t="s">
        <v>59</v>
      </c>
      <c r="H1129">
        <v>1</v>
      </c>
      <c r="I1129">
        <v>1592</v>
      </c>
      <c r="J1129">
        <v>4</v>
      </c>
      <c r="K1129" t="s">
        <v>45</v>
      </c>
      <c r="L1129">
        <v>45</v>
      </c>
      <c r="M1129">
        <v>4</v>
      </c>
      <c r="N1129">
        <v>1</v>
      </c>
      <c r="O1129" t="s">
        <v>46</v>
      </c>
      <c r="P1129">
        <v>3</v>
      </c>
      <c r="Q1129" t="s">
        <v>47</v>
      </c>
      <c r="R1129">
        <v>2073</v>
      </c>
      <c r="S1129">
        <v>12826</v>
      </c>
      <c r="T1129">
        <v>2</v>
      </c>
      <c r="U1129" t="s">
        <v>41</v>
      </c>
      <c r="V1129" t="s">
        <v>42</v>
      </c>
      <c r="W1129">
        <v>16</v>
      </c>
      <c r="X1129">
        <v>3</v>
      </c>
      <c r="Y1129">
        <v>4</v>
      </c>
      <c r="Z1129">
        <v>80</v>
      </c>
      <c r="AA1129">
        <v>1</v>
      </c>
      <c r="AB1129">
        <v>4</v>
      </c>
      <c r="AC1129">
        <v>2</v>
      </c>
      <c r="AD1129">
        <v>3</v>
      </c>
      <c r="AE1129">
        <v>2</v>
      </c>
      <c r="AF1129">
        <v>2</v>
      </c>
      <c r="AG1129">
        <v>2</v>
      </c>
      <c r="AH1129">
        <v>2</v>
      </c>
    </row>
    <row r="1130" spans="1:34" x14ac:dyDescent="0.2">
      <c r="A1130">
        <v>36</v>
      </c>
      <c r="B1130" t="s">
        <v>42</v>
      </c>
      <c r="C1130" t="s">
        <v>43</v>
      </c>
      <c r="D1130" t="s">
        <v>44</v>
      </c>
      <c r="E1130">
        <v>6</v>
      </c>
      <c r="F1130">
        <v>4</v>
      </c>
      <c r="G1130" t="s">
        <v>37</v>
      </c>
      <c r="H1130">
        <v>1</v>
      </c>
      <c r="I1130">
        <v>1594</v>
      </c>
      <c r="J1130">
        <v>1</v>
      </c>
      <c r="K1130" t="s">
        <v>45</v>
      </c>
      <c r="L1130">
        <v>80</v>
      </c>
      <c r="M1130">
        <v>4</v>
      </c>
      <c r="N1130">
        <v>2</v>
      </c>
      <c r="O1130" t="s">
        <v>49</v>
      </c>
      <c r="P1130">
        <v>1</v>
      </c>
      <c r="Q1130" t="s">
        <v>47</v>
      </c>
      <c r="R1130">
        <v>5562</v>
      </c>
      <c r="S1130">
        <v>19711</v>
      </c>
      <c r="T1130">
        <v>3</v>
      </c>
      <c r="U1130" t="s">
        <v>41</v>
      </c>
      <c r="V1130" t="s">
        <v>34</v>
      </c>
      <c r="W1130">
        <v>13</v>
      </c>
      <c r="X1130">
        <v>3</v>
      </c>
      <c r="Y1130">
        <v>4</v>
      </c>
      <c r="Z1130">
        <v>80</v>
      </c>
      <c r="AA1130">
        <v>1</v>
      </c>
      <c r="AB1130">
        <v>9</v>
      </c>
      <c r="AC1130">
        <v>3</v>
      </c>
      <c r="AD1130">
        <v>3</v>
      </c>
      <c r="AE1130">
        <v>3</v>
      </c>
      <c r="AF1130">
        <v>2</v>
      </c>
      <c r="AG1130">
        <v>0</v>
      </c>
      <c r="AH1130">
        <v>2</v>
      </c>
    </row>
    <row r="1131" spans="1:34" x14ac:dyDescent="0.2">
      <c r="A1131">
        <v>42</v>
      </c>
      <c r="B1131" t="s">
        <v>42</v>
      </c>
      <c r="C1131" t="s">
        <v>35</v>
      </c>
      <c r="D1131" t="s">
        <v>44</v>
      </c>
      <c r="E1131">
        <v>9</v>
      </c>
      <c r="F1131">
        <v>2</v>
      </c>
      <c r="G1131" t="s">
        <v>48</v>
      </c>
      <c r="H1131">
        <v>1</v>
      </c>
      <c r="I1131">
        <v>1595</v>
      </c>
      <c r="J1131">
        <v>4</v>
      </c>
      <c r="K1131" t="s">
        <v>45</v>
      </c>
      <c r="L1131">
        <v>93</v>
      </c>
      <c r="M1131">
        <v>2</v>
      </c>
      <c r="N1131">
        <v>5</v>
      </c>
      <c r="O1131" t="s">
        <v>55</v>
      </c>
      <c r="P1131">
        <v>4</v>
      </c>
      <c r="Q1131" t="s">
        <v>40</v>
      </c>
      <c r="R1131">
        <v>19613</v>
      </c>
      <c r="S1131">
        <v>26362</v>
      </c>
      <c r="T1131">
        <v>8</v>
      </c>
      <c r="U1131" t="s">
        <v>41</v>
      </c>
      <c r="V1131" t="s">
        <v>42</v>
      </c>
      <c r="W1131">
        <v>22</v>
      </c>
      <c r="X1131">
        <v>4</v>
      </c>
      <c r="Y1131">
        <v>4</v>
      </c>
      <c r="Z1131">
        <v>80</v>
      </c>
      <c r="AA1131">
        <v>0</v>
      </c>
      <c r="AB1131">
        <v>24</v>
      </c>
      <c r="AC1131">
        <v>2</v>
      </c>
      <c r="AD1131">
        <v>3</v>
      </c>
      <c r="AE1131">
        <v>1</v>
      </c>
      <c r="AF1131">
        <v>0</v>
      </c>
      <c r="AG1131">
        <v>0</v>
      </c>
      <c r="AH1131">
        <v>1</v>
      </c>
    </row>
    <row r="1132" spans="1:34" x14ac:dyDescent="0.2">
      <c r="A1132">
        <v>35</v>
      </c>
      <c r="B1132" t="s">
        <v>42</v>
      </c>
      <c r="C1132" t="s">
        <v>35</v>
      </c>
      <c r="D1132" t="s">
        <v>44</v>
      </c>
      <c r="E1132">
        <v>28</v>
      </c>
      <c r="F1132">
        <v>3</v>
      </c>
      <c r="G1132" t="s">
        <v>37</v>
      </c>
      <c r="H1132">
        <v>1</v>
      </c>
      <c r="I1132">
        <v>1596</v>
      </c>
      <c r="J1132">
        <v>2</v>
      </c>
      <c r="K1132" t="s">
        <v>45</v>
      </c>
      <c r="L1132">
        <v>46</v>
      </c>
      <c r="M1132">
        <v>4</v>
      </c>
      <c r="N1132">
        <v>2</v>
      </c>
      <c r="O1132" t="s">
        <v>49</v>
      </c>
      <c r="P1132">
        <v>3</v>
      </c>
      <c r="Q1132" t="s">
        <v>47</v>
      </c>
      <c r="R1132">
        <v>3407</v>
      </c>
      <c r="S1132">
        <v>25348</v>
      </c>
      <c r="T1132">
        <v>1</v>
      </c>
      <c r="U1132" t="s">
        <v>41</v>
      </c>
      <c r="V1132" t="s">
        <v>42</v>
      </c>
      <c r="W1132">
        <v>17</v>
      </c>
      <c r="X1132">
        <v>3</v>
      </c>
      <c r="Y1132">
        <v>4</v>
      </c>
      <c r="Z1132">
        <v>80</v>
      </c>
      <c r="AA1132">
        <v>2</v>
      </c>
      <c r="AB1132">
        <v>10</v>
      </c>
      <c r="AC1132">
        <v>3</v>
      </c>
      <c r="AD1132">
        <v>2</v>
      </c>
      <c r="AE1132">
        <v>10</v>
      </c>
      <c r="AF1132">
        <v>9</v>
      </c>
      <c r="AG1132">
        <v>6</v>
      </c>
      <c r="AH1132">
        <v>8</v>
      </c>
    </row>
    <row r="1133" spans="1:34" x14ac:dyDescent="0.2">
      <c r="A1133">
        <v>34</v>
      </c>
      <c r="B1133" t="s">
        <v>42</v>
      </c>
      <c r="C1133" t="s">
        <v>43</v>
      </c>
      <c r="D1133" t="s">
        <v>44</v>
      </c>
      <c r="E1133">
        <v>10</v>
      </c>
      <c r="F1133">
        <v>4</v>
      </c>
      <c r="G1133" t="s">
        <v>59</v>
      </c>
      <c r="H1133">
        <v>1</v>
      </c>
      <c r="I1133">
        <v>1597</v>
      </c>
      <c r="J1133">
        <v>4</v>
      </c>
      <c r="K1133" t="s">
        <v>45</v>
      </c>
      <c r="L1133">
        <v>92</v>
      </c>
      <c r="M1133">
        <v>2</v>
      </c>
      <c r="N1133">
        <v>2</v>
      </c>
      <c r="O1133" t="s">
        <v>53</v>
      </c>
      <c r="P1133">
        <v>3</v>
      </c>
      <c r="Q1133" t="s">
        <v>47</v>
      </c>
      <c r="R1133">
        <v>5063</v>
      </c>
      <c r="S1133">
        <v>15332</v>
      </c>
      <c r="T1133">
        <v>1</v>
      </c>
      <c r="U1133" t="s">
        <v>41</v>
      </c>
      <c r="V1133" t="s">
        <v>42</v>
      </c>
      <c r="W1133">
        <v>14</v>
      </c>
      <c r="X1133">
        <v>3</v>
      </c>
      <c r="Y1133">
        <v>2</v>
      </c>
      <c r="Z1133">
        <v>80</v>
      </c>
      <c r="AA1133">
        <v>1</v>
      </c>
      <c r="AB1133">
        <v>8</v>
      </c>
      <c r="AC1133">
        <v>3</v>
      </c>
      <c r="AD1133">
        <v>2</v>
      </c>
      <c r="AE1133">
        <v>8</v>
      </c>
      <c r="AF1133">
        <v>2</v>
      </c>
      <c r="AG1133">
        <v>7</v>
      </c>
      <c r="AH1133">
        <v>7</v>
      </c>
    </row>
    <row r="1134" spans="1:34" x14ac:dyDescent="0.2">
      <c r="A1134">
        <v>40</v>
      </c>
      <c r="B1134" t="s">
        <v>42</v>
      </c>
      <c r="C1134" t="s">
        <v>35</v>
      </c>
      <c r="D1134" t="s">
        <v>36</v>
      </c>
      <c r="E1134">
        <v>14</v>
      </c>
      <c r="F1134">
        <v>2</v>
      </c>
      <c r="G1134" t="s">
        <v>37</v>
      </c>
      <c r="H1134">
        <v>1</v>
      </c>
      <c r="I1134">
        <v>1598</v>
      </c>
      <c r="J1134">
        <v>4</v>
      </c>
      <c r="K1134" t="s">
        <v>38</v>
      </c>
      <c r="L1134">
        <v>84</v>
      </c>
      <c r="M1134">
        <v>3</v>
      </c>
      <c r="N1134">
        <v>2</v>
      </c>
      <c r="O1134" t="s">
        <v>39</v>
      </c>
      <c r="P1134">
        <v>1</v>
      </c>
      <c r="Q1134" t="s">
        <v>47</v>
      </c>
      <c r="R1134">
        <v>4639</v>
      </c>
      <c r="S1134">
        <v>11262</v>
      </c>
      <c r="T1134">
        <v>1</v>
      </c>
      <c r="U1134" t="s">
        <v>41</v>
      </c>
      <c r="V1134" t="s">
        <v>42</v>
      </c>
      <c r="W1134">
        <v>15</v>
      </c>
      <c r="X1134">
        <v>3</v>
      </c>
      <c r="Y1134">
        <v>3</v>
      </c>
      <c r="Z1134">
        <v>80</v>
      </c>
      <c r="AA1134">
        <v>1</v>
      </c>
      <c r="AB1134">
        <v>5</v>
      </c>
      <c r="AC1134">
        <v>2</v>
      </c>
      <c r="AD1134">
        <v>3</v>
      </c>
      <c r="AE1134">
        <v>5</v>
      </c>
      <c r="AF1134">
        <v>4</v>
      </c>
      <c r="AG1134">
        <v>1</v>
      </c>
      <c r="AH1134">
        <v>2</v>
      </c>
    </row>
    <row r="1135" spans="1:34" x14ac:dyDescent="0.2">
      <c r="A1135">
        <v>43</v>
      </c>
      <c r="B1135" t="s">
        <v>42</v>
      </c>
      <c r="C1135" t="s">
        <v>35</v>
      </c>
      <c r="D1135" t="s">
        <v>44</v>
      </c>
      <c r="E1135">
        <v>27</v>
      </c>
      <c r="F1135">
        <v>3</v>
      </c>
      <c r="G1135" t="s">
        <v>59</v>
      </c>
      <c r="H1135">
        <v>1</v>
      </c>
      <c r="I1135">
        <v>1599</v>
      </c>
      <c r="J1135">
        <v>4</v>
      </c>
      <c r="K1135" t="s">
        <v>45</v>
      </c>
      <c r="L1135">
        <v>87</v>
      </c>
      <c r="M1135">
        <v>4</v>
      </c>
      <c r="N1135">
        <v>1</v>
      </c>
      <c r="O1135" t="s">
        <v>49</v>
      </c>
      <c r="P1135">
        <v>2</v>
      </c>
      <c r="Q1135" t="s">
        <v>51</v>
      </c>
      <c r="R1135">
        <v>4876</v>
      </c>
      <c r="S1135">
        <v>5855</v>
      </c>
      <c r="T1135">
        <v>5</v>
      </c>
      <c r="U1135" t="s">
        <v>41</v>
      </c>
      <c r="V1135" t="s">
        <v>42</v>
      </c>
      <c r="W1135">
        <v>12</v>
      </c>
      <c r="X1135">
        <v>3</v>
      </c>
      <c r="Y1135">
        <v>3</v>
      </c>
      <c r="Z1135">
        <v>80</v>
      </c>
      <c r="AA1135">
        <v>1</v>
      </c>
      <c r="AB1135">
        <v>8</v>
      </c>
      <c r="AC1135">
        <v>0</v>
      </c>
      <c r="AD1135">
        <v>3</v>
      </c>
      <c r="AE1135">
        <v>6</v>
      </c>
      <c r="AF1135">
        <v>4</v>
      </c>
      <c r="AG1135">
        <v>0</v>
      </c>
      <c r="AH1135">
        <v>2</v>
      </c>
    </row>
    <row r="1136" spans="1:34" x14ac:dyDescent="0.2">
      <c r="A1136">
        <v>35</v>
      </c>
      <c r="B1136" t="s">
        <v>42</v>
      </c>
      <c r="C1136" t="s">
        <v>35</v>
      </c>
      <c r="D1136" t="s">
        <v>44</v>
      </c>
      <c r="E1136">
        <v>7</v>
      </c>
      <c r="F1136">
        <v>2</v>
      </c>
      <c r="G1136" t="s">
        <v>37</v>
      </c>
      <c r="H1136">
        <v>1</v>
      </c>
      <c r="I1136">
        <v>1601</v>
      </c>
      <c r="J1136">
        <v>3</v>
      </c>
      <c r="K1136" t="s">
        <v>45</v>
      </c>
      <c r="L1136">
        <v>63</v>
      </c>
      <c r="M1136">
        <v>2</v>
      </c>
      <c r="N1136">
        <v>1</v>
      </c>
      <c r="O1136" t="s">
        <v>49</v>
      </c>
      <c r="P1136">
        <v>4</v>
      </c>
      <c r="Q1136" t="s">
        <v>47</v>
      </c>
      <c r="R1136">
        <v>2690</v>
      </c>
      <c r="S1136">
        <v>7713</v>
      </c>
      <c r="T1136">
        <v>1</v>
      </c>
      <c r="U1136" t="s">
        <v>41</v>
      </c>
      <c r="V1136" t="s">
        <v>42</v>
      </c>
      <c r="W1136">
        <v>18</v>
      </c>
      <c r="X1136">
        <v>3</v>
      </c>
      <c r="Y1136">
        <v>4</v>
      </c>
      <c r="Z1136">
        <v>80</v>
      </c>
      <c r="AA1136">
        <v>1</v>
      </c>
      <c r="AB1136">
        <v>1</v>
      </c>
      <c r="AC1136">
        <v>5</v>
      </c>
      <c r="AD1136">
        <v>2</v>
      </c>
      <c r="AE1136">
        <v>1</v>
      </c>
      <c r="AF1136">
        <v>0</v>
      </c>
      <c r="AG1136">
        <v>0</v>
      </c>
      <c r="AH1136">
        <v>1</v>
      </c>
    </row>
    <row r="1137" spans="1:34" x14ac:dyDescent="0.2">
      <c r="A1137">
        <v>46</v>
      </c>
      <c r="B1137" t="s">
        <v>42</v>
      </c>
      <c r="C1137" t="s">
        <v>35</v>
      </c>
      <c r="D1137" t="s">
        <v>36</v>
      </c>
      <c r="E1137">
        <v>1</v>
      </c>
      <c r="F1137">
        <v>4</v>
      </c>
      <c r="G1137" t="s">
        <v>37</v>
      </c>
      <c r="H1137">
        <v>1</v>
      </c>
      <c r="I1137">
        <v>1602</v>
      </c>
      <c r="J1137">
        <v>4</v>
      </c>
      <c r="K1137" t="s">
        <v>45</v>
      </c>
      <c r="L1137">
        <v>56</v>
      </c>
      <c r="M1137">
        <v>4</v>
      </c>
      <c r="N1137">
        <v>4</v>
      </c>
      <c r="O1137" t="s">
        <v>55</v>
      </c>
      <c r="P1137">
        <v>1</v>
      </c>
      <c r="Q1137" t="s">
        <v>40</v>
      </c>
      <c r="R1137">
        <v>17567</v>
      </c>
      <c r="S1137">
        <v>3156</v>
      </c>
      <c r="T1137">
        <v>1</v>
      </c>
      <c r="U1137" t="s">
        <v>41</v>
      </c>
      <c r="V1137" t="s">
        <v>42</v>
      </c>
      <c r="W1137">
        <v>15</v>
      </c>
      <c r="X1137">
        <v>3</v>
      </c>
      <c r="Y1137">
        <v>2</v>
      </c>
      <c r="Z1137">
        <v>80</v>
      </c>
      <c r="AA1137">
        <v>0</v>
      </c>
      <c r="AB1137">
        <v>27</v>
      </c>
      <c r="AC1137">
        <v>5</v>
      </c>
      <c r="AD1137">
        <v>1</v>
      </c>
      <c r="AE1137">
        <v>26</v>
      </c>
      <c r="AF1137">
        <v>0</v>
      </c>
      <c r="AG1137">
        <v>0</v>
      </c>
      <c r="AH1137">
        <v>12</v>
      </c>
    </row>
    <row r="1138" spans="1:34" x14ac:dyDescent="0.2">
      <c r="A1138">
        <v>28</v>
      </c>
      <c r="B1138" t="s">
        <v>34</v>
      </c>
      <c r="C1138" t="s">
        <v>35</v>
      </c>
      <c r="D1138" t="s">
        <v>44</v>
      </c>
      <c r="E1138">
        <v>24</v>
      </c>
      <c r="F1138">
        <v>3</v>
      </c>
      <c r="G1138" t="s">
        <v>50</v>
      </c>
      <c r="H1138">
        <v>1</v>
      </c>
      <c r="I1138">
        <v>1604</v>
      </c>
      <c r="J1138">
        <v>3</v>
      </c>
      <c r="K1138" t="s">
        <v>45</v>
      </c>
      <c r="L1138">
        <v>51</v>
      </c>
      <c r="M1138">
        <v>3</v>
      </c>
      <c r="N1138">
        <v>1</v>
      </c>
      <c r="O1138" t="s">
        <v>49</v>
      </c>
      <c r="P1138">
        <v>2</v>
      </c>
      <c r="Q1138" t="s">
        <v>47</v>
      </c>
      <c r="R1138">
        <v>2408</v>
      </c>
      <c r="S1138">
        <v>7324</v>
      </c>
      <c r="T1138">
        <v>1</v>
      </c>
      <c r="U1138" t="s">
        <v>41</v>
      </c>
      <c r="V1138" t="s">
        <v>34</v>
      </c>
      <c r="W1138">
        <v>17</v>
      </c>
      <c r="X1138">
        <v>3</v>
      </c>
      <c r="Y1138">
        <v>3</v>
      </c>
      <c r="Z1138">
        <v>80</v>
      </c>
      <c r="AA1138">
        <v>3</v>
      </c>
      <c r="AB1138">
        <v>1</v>
      </c>
      <c r="AC1138">
        <v>3</v>
      </c>
      <c r="AD1138">
        <v>3</v>
      </c>
      <c r="AE1138">
        <v>1</v>
      </c>
      <c r="AF1138">
        <v>1</v>
      </c>
      <c r="AG1138">
        <v>0</v>
      </c>
      <c r="AH1138">
        <v>0</v>
      </c>
    </row>
    <row r="1139" spans="1:34" x14ac:dyDescent="0.2">
      <c r="A1139">
        <v>22</v>
      </c>
      <c r="B1139" t="s">
        <v>42</v>
      </c>
      <c r="C1139" t="s">
        <v>54</v>
      </c>
      <c r="D1139" t="s">
        <v>44</v>
      </c>
      <c r="E1139">
        <v>26</v>
      </c>
      <c r="F1139">
        <v>2</v>
      </c>
      <c r="G1139" t="s">
        <v>48</v>
      </c>
      <c r="H1139">
        <v>1</v>
      </c>
      <c r="I1139">
        <v>1605</v>
      </c>
      <c r="J1139">
        <v>2</v>
      </c>
      <c r="K1139" t="s">
        <v>38</v>
      </c>
      <c r="L1139">
        <v>85</v>
      </c>
      <c r="M1139">
        <v>2</v>
      </c>
      <c r="N1139">
        <v>1</v>
      </c>
      <c r="O1139" t="s">
        <v>46</v>
      </c>
      <c r="P1139">
        <v>3</v>
      </c>
      <c r="Q1139" t="s">
        <v>47</v>
      </c>
      <c r="R1139">
        <v>2814</v>
      </c>
      <c r="S1139">
        <v>10293</v>
      </c>
      <c r="T1139">
        <v>1</v>
      </c>
      <c r="U1139" t="s">
        <v>41</v>
      </c>
      <c r="V1139" t="s">
        <v>34</v>
      </c>
      <c r="W1139">
        <v>14</v>
      </c>
      <c r="X1139">
        <v>3</v>
      </c>
      <c r="Y1139">
        <v>2</v>
      </c>
      <c r="Z1139">
        <v>80</v>
      </c>
      <c r="AA1139">
        <v>0</v>
      </c>
      <c r="AB1139">
        <v>4</v>
      </c>
      <c r="AC1139">
        <v>2</v>
      </c>
      <c r="AD1139">
        <v>2</v>
      </c>
      <c r="AE1139">
        <v>4</v>
      </c>
      <c r="AF1139">
        <v>2</v>
      </c>
      <c r="AG1139">
        <v>1</v>
      </c>
      <c r="AH1139">
        <v>3</v>
      </c>
    </row>
    <row r="1140" spans="1:34" x14ac:dyDescent="0.2">
      <c r="A1140">
        <v>50</v>
      </c>
      <c r="B1140" t="s">
        <v>42</v>
      </c>
      <c r="C1140" t="s">
        <v>43</v>
      </c>
      <c r="D1140" t="s">
        <v>44</v>
      </c>
      <c r="E1140">
        <v>20</v>
      </c>
      <c r="F1140">
        <v>5</v>
      </c>
      <c r="G1140" t="s">
        <v>50</v>
      </c>
      <c r="H1140">
        <v>1</v>
      </c>
      <c r="I1140">
        <v>1606</v>
      </c>
      <c r="J1140">
        <v>2</v>
      </c>
      <c r="K1140" t="s">
        <v>45</v>
      </c>
      <c r="L1140">
        <v>41</v>
      </c>
      <c r="M1140">
        <v>3</v>
      </c>
      <c r="N1140">
        <v>4</v>
      </c>
      <c r="O1140" t="s">
        <v>53</v>
      </c>
      <c r="P1140">
        <v>3</v>
      </c>
      <c r="Q1140" t="s">
        <v>47</v>
      </c>
      <c r="R1140">
        <v>11245</v>
      </c>
      <c r="S1140">
        <v>20689</v>
      </c>
      <c r="T1140">
        <v>2</v>
      </c>
      <c r="U1140" t="s">
        <v>41</v>
      </c>
      <c r="V1140" t="s">
        <v>34</v>
      </c>
      <c r="W1140">
        <v>15</v>
      </c>
      <c r="X1140">
        <v>3</v>
      </c>
      <c r="Y1140">
        <v>3</v>
      </c>
      <c r="Z1140">
        <v>80</v>
      </c>
      <c r="AA1140">
        <v>1</v>
      </c>
      <c r="AB1140">
        <v>32</v>
      </c>
      <c r="AC1140">
        <v>3</v>
      </c>
      <c r="AD1140">
        <v>3</v>
      </c>
      <c r="AE1140">
        <v>30</v>
      </c>
      <c r="AF1140">
        <v>8</v>
      </c>
      <c r="AG1140">
        <v>12</v>
      </c>
      <c r="AH1140">
        <v>13</v>
      </c>
    </row>
    <row r="1141" spans="1:34" x14ac:dyDescent="0.2">
      <c r="A1141">
        <v>32</v>
      </c>
      <c r="B1141" t="s">
        <v>42</v>
      </c>
      <c r="C1141" t="s">
        <v>35</v>
      </c>
      <c r="D1141" t="s">
        <v>44</v>
      </c>
      <c r="E1141">
        <v>5</v>
      </c>
      <c r="F1141">
        <v>4</v>
      </c>
      <c r="G1141" t="s">
        <v>48</v>
      </c>
      <c r="H1141">
        <v>1</v>
      </c>
      <c r="I1141">
        <v>1607</v>
      </c>
      <c r="J1141">
        <v>2</v>
      </c>
      <c r="K1141" t="s">
        <v>38</v>
      </c>
      <c r="L1141">
        <v>35</v>
      </c>
      <c r="M1141">
        <v>4</v>
      </c>
      <c r="N1141">
        <v>1</v>
      </c>
      <c r="O1141" t="s">
        <v>46</v>
      </c>
      <c r="P1141">
        <v>4</v>
      </c>
      <c r="Q1141" t="s">
        <v>47</v>
      </c>
      <c r="R1141">
        <v>3312</v>
      </c>
      <c r="S1141">
        <v>18783</v>
      </c>
      <c r="T1141">
        <v>3</v>
      </c>
      <c r="U1141" t="s">
        <v>41</v>
      </c>
      <c r="V1141" t="s">
        <v>42</v>
      </c>
      <c r="W1141">
        <v>17</v>
      </c>
      <c r="X1141">
        <v>3</v>
      </c>
      <c r="Y1141">
        <v>4</v>
      </c>
      <c r="Z1141">
        <v>80</v>
      </c>
      <c r="AA1141">
        <v>2</v>
      </c>
      <c r="AB1141">
        <v>6</v>
      </c>
      <c r="AC1141">
        <v>3</v>
      </c>
      <c r="AD1141">
        <v>3</v>
      </c>
      <c r="AE1141">
        <v>3</v>
      </c>
      <c r="AF1141">
        <v>2</v>
      </c>
      <c r="AG1141">
        <v>0</v>
      </c>
      <c r="AH1141">
        <v>2</v>
      </c>
    </row>
    <row r="1142" spans="1:34" x14ac:dyDescent="0.2">
      <c r="A1142">
        <v>44</v>
      </c>
      <c r="B1142" t="s">
        <v>42</v>
      </c>
      <c r="C1142" t="s">
        <v>35</v>
      </c>
      <c r="D1142" t="s">
        <v>44</v>
      </c>
      <c r="E1142">
        <v>7</v>
      </c>
      <c r="F1142">
        <v>3</v>
      </c>
      <c r="G1142" t="s">
        <v>50</v>
      </c>
      <c r="H1142">
        <v>1</v>
      </c>
      <c r="I1142">
        <v>1608</v>
      </c>
      <c r="J1142">
        <v>2</v>
      </c>
      <c r="K1142" t="s">
        <v>38</v>
      </c>
      <c r="L1142">
        <v>31</v>
      </c>
      <c r="M1142">
        <v>3</v>
      </c>
      <c r="N1142">
        <v>5</v>
      </c>
      <c r="O1142" t="s">
        <v>57</v>
      </c>
      <c r="P1142">
        <v>4</v>
      </c>
      <c r="Q1142" t="s">
        <v>51</v>
      </c>
      <c r="R1142">
        <v>19049</v>
      </c>
      <c r="S1142">
        <v>3549</v>
      </c>
      <c r="T1142">
        <v>0</v>
      </c>
      <c r="U1142" t="s">
        <v>41</v>
      </c>
      <c r="V1142" t="s">
        <v>34</v>
      </c>
      <c r="W1142">
        <v>14</v>
      </c>
      <c r="X1142">
        <v>3</v>
      </c>
      <c r="Y1142">
        <v>4</v>
      </c>
      <c r="Z1142">
        <v>80</v>
      </c>
      <c r="AA1142">
        <v>1</v>
      </c>
      <c r="AB1142">
        <v>23</v>
      </c>
      <c r="AC1142">
        <v>4</v>
      </c>
      <c r="AD1142">
        <v>2</v>
      </c>
      <c r="AE1142">
        <v>22</v>
      </c>
      <c r="AF1142">
        <v>7</v>
      </c>
      <c r="AG1142">
        <v>1</v>
      </c>
      <c r="AH1142">
        <v>10</v>
      </c>
    </row>
    <row r="1143" spans="1:34" x14ac:dyDescent="0.2">
      <c r="A1143">
        <v>30</v>
      </c>
      <c r="B1143" t="s">
        <v>42</v>
      </c>
      <c r="C1143" t="s">
        <v>35</v>
      </c>
      <c r="D1143" t="s">
        <v>44</v>
      </c>
      <c r="E1143">
        <v>7</v>
      </c>
      <c r="F1143">
        <v>3</v>
      </c>
      <c r="G1143" t="s">
        <v>50</v>
      </c>
      <c r="H1143">
        <v>1</v>
      </c>
      <c r="I1143">
        <v>1609</v>
      </c>
      <c r="J1143">
        <v>2</v>
      </c>
      <c r="K1143" t="s">
        <v>45</v>
      </c>
      <c r="L1143">
        <v>48</v>
      </c>
      <c r="M1143">
        <v>2</v>
      </c>
      <c r="N1143">
        <v>1</v>
      </c>
      <c r="O1143" t="s">
        <v>46</v>
      </c>
      <c r="P1143">
        <v>2</v>
      </c>
      <c r="Q1143" t="s">
        <v>47</v>
      </c>
      <c r="R1143">
        <v>2141</v>
      </c>
      <c r="S1143">
        <v>5348</v>
      </c>
      <c r="T1143">
        <v>1</v>
      </c>
      <c r="U1143" t="s">
        <v>41</v>
      </c>
      <c r="V1143" t="s">
        <v>42</v>
      </c>
      <c r="W1143">
        <v>12</v>
      </c>
      <c r="X1143">
        <v>3</v>
      </c>
      <c r="Y1143">
        <v>2</v>
      </c>
      <c r="Z1143">
        <v>80</v>
      </c>
      <c r="AA1143">
        <v>1</v>
      </c>
      <c r="AB1143">
        <v>6</v>
      </c>
      <c r="AC1143">
        <v>3</v>
      </c>
      <c r="AD1143">
        <v>2</v>
      </c>
      <c r="AE1143">
        <v>6</v>
      </c>
      <c r="AF1143">
        <v>4</v>
      </c>
      <c r="AG1143">
        <v>1</v>
      </c>
      <c r="AH1143">
        <v>1</v>
      </c>
    </row>
    <row r="1144" spans="1:34" x14ac:dyDescent="0.2">
      <c r="A1144">
        <v>45</v>
      </c>
      <c r="B1144" t="s">
        <v>42</v>
      </c>
      <c r="C1144" t="s">
        <v>35</v>
      </c>
      <c r="D1144" t="s">
        <v>44</v>
      </c>
      <c r="E1144">
        <v>5</v>
      </c>
      <c r="F1144">
        <v>5</v>
      </c>
      <c r="G1144" t="s">
        <v>50</v>
      </c>
      <c r="H1144">
        <v>1</v>
      </c>
      <c r="I1144">
        <v>1611</v>
      </c>
      <c r="J1144">
        <v>3</v>
      </c>
      <c r="K1144" t="s">
        <v>38</v>
      </c>
      <c r="L1144">
        <v>50</v>
      </c>
      <c r="M1144">
        <v>1</v>
      </c>
      <c r="N1144">
        <v>2</v>
      </c>
      <c r="O1144" t="s">
        <v>49</v>
      </c>
      <c r="P1144">
        <v>1</v>
      </c>
      <c r="Q1144" t="s">
        <v>40</v>
      </c>
      <c r="R1144">
        <v>5769</v>
      </c>
      <c r="S1144">
        <v>23447</v>
      </c>
      <c r="T1144">
        <v>1</v>
      </c>
      <c r="U1144" t="s">
        <v>41</v>
      </c>
      <c r="V1144" t="s">
        <v>34</v>
      </c>
      <c r="W1144">
        <v>14</v>
      </c>
      <c r="X1144">
        <v>3</v>
      </c>
      <c r="Y1144">
        <v>1</v>
      </c>
      <c r="Z1144">
        <v>80</v>
      </c>
      <c r="AA1144">
        <v>0</v>
      </c>
      <c r="AB1144">
        <v>10</v>
      </c>
      <c r="AC1144">
        <v>3</v>
      </c>
      <c r="AD1144">
        <v>3</v>
      </c>
      <c r="AE1144">
        <v>10</v>
      </c>
      <c r="AF1144">
        <v>7</v>
      </c>
      <c r="AG1144">
        <v>1</v>
      </c>
      <c r="AH1144">
        <v>4</v>
      </c>
    </row>
    <row r="1145" spans="1:34" x14ac:dyDescent="0.2">
      <c r="A1145">
        <v>45</v>
      </c>
      <c r="B1145" t="s">
        <v>42</v>
      </c>
      <c r="C1145" t="s">
        <v>54</v>
      </c>
      <c r="D1145" t="s">
        <v>36</v>
      </c>
      <c r="E1145">
        <v>26</v>
      </c>
      <c r="F1145">
        <v>3</v>
      </c>
      <c r="G1145" t="s">
        <v>58</v>
      </c>
      <c r="H1145">
        <v>1</v>
      </c>
      <c r="I1145">
        <v>1612</v>
      </c>
      <c r="J1145">
        <v>1</v>
      </c>
      <c r="K1145" t="s">
        <v>45</v>
      </c>
      <c r="L1145">
        <v>52</v>
      </c>
      <c r="M1145">
        <v>2</v>
      </c>
      <c r="N1145">
        <v>2</v>
      </c>
      <c r="O1145" t="s">
        <v>39</v>
      </c>
      <c r="P1145">
        <v>1</v>
      </c>
      <c r="Q1145" t="s">
        <v>47</v>
      </c>
      <c r="R1145">
        <v>4385</v>
      </c>
      <c r="S1145">
        <v>24162</v>
      </c>
      <c r="T1145">
        <v>1</v>
      </c>
      <c r="U1145" t="s">
        <v>41</v>
      </c>
      <c r="V1145" t="s">
        <v>42</v>
      </c>
      <c r="W1145">
        <v>15</v>
      </c>
      <c r="X1145">
        <v>3</v>
      </c>
      <c r="Y1145">
        <v>1</v>
      </c>
      <c r="Z1145">
        <v>80</v>
      </c>
      <c r="AA1145">
        <v>1</v>
      </c>
      <c r="AB1145">
        <v>10</v>
      </c>
      <c r="AC1145">
        <v>2</v>
      </c>
      <c r="AD1145">
        <v>3</v>
      </c>
      <c r="AE1145">
        <v>10</v>
      </c>
      <c r="AF1145">
        <v>7</v>
      </c>
      <c r="AG1145">
        <v>4</v>
      </c>
      <c r="AH1145">
        <v>5</v>
      </c>
    </row>
    <row r="1146" spans="1:34" x14ac:dyDescent="0.2">
      <c r="A1146">
        <v>31</v>
      </c>
      <c r="B1146" t="s">
        <v>42</v>
      </c>
      <c r="C1146" t="s">
        <v>43</v>
      </c>
      <c r="D1146" t="s">
        <v>36</v>
      </c>
      <c r="E1146">
        <v>2</v>
      </c>
      <c r="F1146">
        <v>4</v>
      </c>
      <c r="G1146" t="s">
        <v>48</v>
      </c>
      <c r="H1146">
        <v>1</v>
      </c>
      <c r="I1146">
        <v>1613</v>
      </c>
      <c r="J1146">
        <v>4</v>
      </c>
      <c r="K1146" t="s">
        <v>45</v>
      </c>
      <c r="L1146">
        <v>54</v>
      </c>
      <c r="M1146">
        <v>3</v>
      </c>
      <c r="N1146">
        <v>2</v>
      </c>
      <c r="O1146" t="s">
        <v>39</v>
      </c>
      <c r="P1146">
        <v>1</v>
      </c>
      <c r="Q1146" t="s">
        <v>40</v>
      </c>
      <c r="R1146">
        <v>5332</v>
      </c>
      <c r="S1146">
        <v>21602</v>
      </c>
      <c r="T1146">
        <v>7</v>
      </c>
      <c r="U1146" t="s">
        <v>41</v>
      </c>
      <c r="V1146" t="s">
        <v>42</v>
      </c>
      <c r="W1146">
        <v>13</v>
      </c>
      <c r="X1146">
        <v>3</v>
      </c>
      <c r="Y1146">
        <v>4</v>
      </c>
      <c r="Z1146">
        <v>80</v>
      </c>
      <c r="AA1146">
        <v>0</v>
      </c>
      <c r="AB1146">
        <v>10</v>
      </c>
      <c r="AC1146">
        <v>3</v>
      </c>
      <c r="AD1146">
        <v>3</v>
      </c>
      <c r="AE1146">
        <v>5</v>
      </c>
      <c r="AF1146">
        <v>2</v>
      </c>
      <c r="AG1146">
        <v>0</v>
      </c>
      <c r="AH1146">
        <v>3</v>
      </c>
    </row>
    <row r="1147" spans="1:34" x14ac:dyDescent="0.2">
      <c r="A1147">
        <v>36</v>
      </c>
      <c r="B1147" t="s">
        <v>42</v>
      </c>
      <c r="C1147" t="s">
        <v>35</v>
      </c>
      <c r="D1147" t="s">
        <v>44</v>
      </c>
      <c r="E1147">
        <v>12</v>
      </c>
      <c r="F1147">
        <v>4</v>
      </c>
      <c r="G1147" t="s">
        <v>37</v>
      </c>
      <c r="H1147">
        <v>1</v>
      </c>
      <c r="I1147">
        <v>1614</v>
      </c>
      <c r="J1147">
        <v>3</v>
      </c>
      <c r="K1147" t="s">
        <v>38</v>
      </c>
      <c r="L1147">
        <v>76</v>
      </c>
      <c r="M1147">
        <v>3</v>
      </c>
      <c r="N1147">
        <v>2</v>
      </c>
      <c r="O1147" t="s">
        <v>52</v>
      </c>
      <c r="P1147">
        <v>3</v>
      </c>
      <c r="Q1147" t="s">
        <v>47</v>
      </c>
      <c r="R1147">
        <v>4663</v>
      </c>
      <c r="S1147">
        <v>12421</v>
      </c>
      <c r="T1147">
        <v>9</v>
      </c>
      <c r="U1147" t="s">
        <v>41</v>
      </c>
      <c r="V1147" t="s">
        <v>34</v>
      </c>
      <c r="W1147">
        <v>12</v>
      </c>
      <c r="X1147">
        <v>3</v>
      </c>
      <c r="Y1147">
        <v>2</v>
      </c>
      <c r="Z1147">
        <v>80</v>
      </c>
      <c r="AA1147">
        <v>2</v>
      </c>
      <c r="AB1147">
        <v>7</v>
      </c>
      <c r="AC1147">
        <v>2</v>
      </c>
      <c r="AD1147">
        <v>3</v>
      </c>
      <c r="AE1147">
        <v>3</v>
      </c>
      <c r="AF1147">
        <v>2</v>
      </c>
      <c r="AG1147">
        <v>1</v>
      </c>
      <c r="AH1147">
        <v>1</v>
      </c>
    </row>
    <row r="1148" spans="1:34" x14ac:dyDescent="0.2">
      <c r="A1148">
        <v>34</v>
      </c>
      <c r="B1148" t="s">
        <v>42</v>
      </c>
      <c r="C1148" t="s">
        <v>43</v>
      </c>
      <c r="D1148" t="s">
        <v>44</v>
      </c>
      <c r="E1148">
        <v>10</v>
      </c>
      <c r="F1148">
        <v>4</v>
      </c>
      <c r="G1148" t="s">
        <v>37</v>
      </c>
      <c r="H1148">
        <v>1</v>
      </c>
      <c r="I1148">
        <v>1615</v>
      </c>
      <c r="J1148">
        <v>3</v>
      </c>
      <c r="K1148" t="s">
        <v>45</v>
      </c>
      <c r="L1148">
        <v>42</v>
      </c>
      <c r="M1148">
        <v>4</v>
      </c>
      <c r="N1148">
        <v>2</v>
      </c>
      <c r="O1148" t="s">
        <v>52</v>
      </c>
      <c r="P1148">
        <v>4</v>
      </c>
      <c r="Q1148" t="s">
        <v>51</v>
      </c>
      <c r="R1148">
        <v>4724</v>
      </c>
      <c r="S1148">
        <v>17000</v>
      </c>
      <c r="T1148">
        <v>1</v>
      </c>
      <c r="U1148" t="s">
        <v>41</v>
      </c>
      <c r="V1148" t="s">
        <v>42</v>
      </c>
      <c r="W1148">
        <v>13</v>
      </c>
      <c r="X1148">
        <v>3</v>
      </c>
      <c r="Y1148">
        <v>1</v>
      </c>
      <c r="Z1148">
        <v>80</v>
      </c>
      <c r="AA1148">
        <v>1</v>
      </c>
      <c r="AB1148">
        <v>9</v>
      </c>
      <c r="AC1148">
        <v>3</v>
      </c>
      <c r="AD1148">
        <v>3</v>
      </c>
      <c r="AE1148">
        <v>9</v>
      </c>
      <c r="AF1148">
        <v>7</v>
      </c>
      <c r="AG1148">
        <v>7</v>
      </c>
      <c r="AH1148">
        <v>2</v>
      </c>
    </row>
    <row r="1149" spans="1:34" x14ac:dyDescent="0.2">
      <c r="A1149">
        <v>49</v>
      </c>
      <c r="B1149" t="s">
        <v>42</v>
      </c>
      <c r="C1149" t="s">
        <v>35</v>
      </c>
      <c r="D1149" t="s">
        <v>44</v>
      </c>
      <c r="E1149">
        <v>25</v>
      </c>
      <c r="F1149">
        <v>4</v>
      </c>
      <c r="G1149" t="s">
        <v>37</v>
      </c>
      <c r="H1149">
        <v>1</v>
      </c>
      <c r="I1149">
        <v>1617</v>
      </c>
      <c r="J1149">
        <v>3</v>
      </c>
      <c r="K1149" t="s">
        <v>38</v>
      </c>
      <c r="L1149">
        <v>84</v>
      </c>
      <c r="M1149">
        <v>3</v>
      </c>
      <c r="N1149">
        <v>1</v>
      </c>
      <c r="O1149" t="s">
        <v>49</v>
      </c>
      <c r="P1149">
        <v>1</v>
      </c>
      <c r="Q1149" t="s">
        <v>47</v>
      </c>
      <c r="R1149">
        <v>3211</v>
      </c>
      <c r="S1149">
        <v>22102</v>
      </c>
      <c r="T1149">
        <v>1</v>
      </c>
      <c r="U1149" t="s">
        <v>41</v>
      </c>
      <c r="V1149" t="s">
        <v>42</v>
      </c>
      <c r="W1149">
        <v>14</v>
      </c>
      <c r="X1149">
        <v>3</v>
      </c>
      <c r="Y1149">
        <v>4</v>
      </c>
      <c r="Z1149">
        <v>80</v>
      </c>
      <c r="AA1149">
        <v>1</v>
      </c>
      <c r="AB1149">
        <v>10</v>
      </c>
      <c r="AC1149">
        <v>3</v>
      </c>
      <c r="AD1149">
        <v>2</v>
      </c>
      <c r="AE1149">
        <v>9</v>
      </c>
      <c r="AF1149">
        <v>6</v>
      </c>
      <c r="AG1149">
        <v>1</v>
      </c>
      <c r="AH1149">
        <v>4</v>
      </c>
    </row>
    <row r="1150" spans="1:34" x14ac:dyDescent="0.2">
      <c r="A1150">
        <v>39</v>
      </c>
      <c r="B1150" t="s">
        <v>42</v>
      </c>
      <c r="C1150" t="s">
        <v>35</v>
      </c>
      <c r="D1150" t="s">
        <v>44</v>
      </c>
      <c r="E1150">
        <v>10</v>
      </c>
      <c r="F1150">
        <v>5</v>
      </c>
      <c r="G1150" t="s">
        <v>50</v>
      </c>
      <c r="H1150">
        <v>1</v>
      </c>
      <c r="I1150">
        <v>1618</v>
      </c>
      <c r="J1150">
        <v>2</v>
      </c>
      <c r="K1150" t="s">
        <v>45</v>
      </c>
      <c r="L1150">
        <v>76</v>
      </c>
      <c r="M1150">
        <v>3</v>
      </c>
      <c r="N1150">
        <v>2</v>
      </c>
      <c r="O1150" t="s">
        <v>52</v>
      </c>
      <c r="P1150">
        <v>1</v>
      </c>
      <c r="Q1150" t="s">
        <v>47</v>
      </c>
      <c r="R1150">
        <v>5377</v>
      </c>
      <c r="S1150">
        <v>3835</v>
      </c>
      <c r="T1150">
        <v>2</v>
      </c>
      <c r="U1150" t="s">
        <v>41</v>
      </c>
      <c r="V1150" t="s">
        <v>42</v>
      </c>
      <c r="W1150">
        <v>13</v>
      </c>
      <c r="X1150">
        <v>3</v>
      </c>
      <c r="Y1150">
        <v>4</v>
      </c>
      <c r="Z1150">
        <v>80</v>
      </c>
      <c r="AA1150">
        <v>3</v>
      </c>
      <c r="AB1150">
        <v>10</v>
      </c>
      <c r="AC1150">
        <v>3</v>
      </c>
      <c r="AD1150">
        <v>3</v>
      </c>
      <c r="AE1150">
        <v>7</v>
      </c>
      <c r="AF1150">
        <v>7</v>
      </c>
      <c r="AG1150">
        <v>7</v>
      </c>
      <c r="AH1150">
        <v>7</v>
      </c>
    </row>
    <row r="1151" spans="1:34" x14ac:dyDescent="0.2">
      <c r="A1151">
        <v>27</v>
      </c>
      <c r="B1151" t="s">
        <v>42</v>
      </c>
      <c r="C1151" t="s">
        <v>35</v>
      </c>
      <c r="D1151" t="s">
        <v>44</v>
      </c>
      <c r="E1151">
        <v>19</v>
      </c>
      <c r="F1151">
        <v>3</v>
      </c>
      <c r="G1151" t="s">
        <v>48</v>
      </c>
      <c r="H1151">
        <v>1</v>
      </c>
      <c r="I1151">
        <v>1619</v>
      </c>
      <c r="J1151">
        <v>4</v>
      </c>
      <c r="K1151" t="s">
        <v>45</v>
      </c>
      <c r="L1151">
        <v>67</v>
      </c>
      <c r="M1151">
        <v>2</v>
      </c>
      <c r="N1151">
        <v>1</v>
      </c>
      <c r="O1151" t="s">
        <v>49</v>
      </c>
      <c r="P1151">
        <v>1</v>
      </c>
      <c r="Q1151" t="s">
        <v>51</v>
      </c>
      <c r="R1151">
        <v>4066</v>
      </c>
      <c r="S1151">
        <v>16290</v>
      </c>
      <c r="T1151">
        <v>1</v>
      </c>
      <c r="U1151" t="s">
        <v>41</v>
      </c>
      <c r="V1151" t="s">
        <v>42</v>
      </c>
      <c r="W1151">
        <v>11</v>
      </c>
      <c r="X1151">
        <v>3</v>
      </c>
      <c r="Y1151">
        <v>1</v>
      </c>
      <c r="Z1151">
        <v>80</v>
      </c>
      <c r="AA1151">
        <v>2</v>
      </c>
      <c r="AB1151">
        <v>7</v>
      </c>
      <c r="AC1151">
        <v>3</v>
      </c>
      <c r="AD1151">
        <v>3</v>
      </c>
      <c r="AE1151">
        <v>7</v>
      </c>
      <c r="AF1151">
        <v>7</v>
      </c>
      <c r="AG1151">
        <v>0</v>
      </c>
      <c r="AH1151">
        <v>7</v>
      </c>
    </row>
    <row r="1152" spans="1:34" x14ac:dyDescent="0.2">
      <c r="A1152">
        <v>35</v>
      </c>
      <c r="B1152" t="s">
        <v>42</v>
      </c>
      <c r="C1152" t="s">
        <v>35</v>
      </c>
      <c r="D1152" t="s">
        <v>44</v>
      </c>
      <c r="E1152">
        <v>18</v>
      </c>
      <c r="F1152">
        <v>5</v>
      </c>
      <c r="G1152" t="s">
        <v>37</v>
      </c>
      <c r="H1152">
        <v>1</v>
      </c>
      <c r="I1152">
        <v>1621</v>
      </c>
      <c r="J1152">
        <v>2</v>
      </c>
      <c r="K1152" t="s">
        <v>45</v>
      </c>
      <c r="L1152">
        <v>48</v>
      </c>
      <c r="M1152">
        <v>4</v>
      </c>
      <c r="N1152">
        <v>2</v>
      </c>
      <c r="O1152" t="s">
        <v>46</v>
      </c>
      <c r="P1152">
        <v>1</v>
      </c>
      <c r="Q1152" t="s">
        <v>47</v>
      </c>
      <c r="R1152">
        <v>5208</v>
      </c>
      <c r="S1152">
        <v>26312</v>
      </c>
      <c r="T1152">
        <v>1</v>
      </c>
      <c r="U1152" t="s">
        <v>41</v>
      </c>
      <c r="V1152" t="s">
        <v>42</v>
      </c>
      <c r="W1152">
        <v>11</v>
      </c>
      <c r="X1152">
        <v>3</v>
      </c>
      <c r="Y1152">
        <v>4</v>
      </c>
      <c r="Z1152">
        <v>80</v>
      </c>
      <c r="AA1152">
        <v>0</v>
      </c>
      <c r="AB1152">
        <v>16</v>
      </c>
      <c r="AC1152">
        <v>2</v>
      </c>
      <c r="AD1152">
        <v>3</v>
      </c>
      <c r="AE1152">
        <v>16</v>
      </c>
      <c r="AF1152">
        <v>15</v>
      </c>
      <c r="AG1152">
        <v>1</v>
      </c>
      <c r="AH1152">
        <v>10</v>
      </c>
    </row>
    <row r="1153" spans="1:34" x14ac:dyDescent="0.2">
      <c r="A1153">
        <v>28</v>
      </c>
      <c r="B1153" t="s">
        <v>42</v>
      </c>
      <c r="C1153" t="s">
        <v>35</v>
      </c>
      <c r="D1153" t="s">
        <v>44</v>
      </c>
      <c r="E1153">
        <v>27</v>
      </c>
      <c r="F1153">
        <v>3</v>
      </c>
      <c r="G1153" t="s">
        <v>50</v>
      </c>
      <c r="H1153">
        <v>1</v>
      </c>
      <c r="I1153">
        <v>1622</v>
      </c>
      <c r="J1153">
        <v>2</v>
      </c>
      <c r="K1153" t="s">
        <v>38</v>
      </c>
      <c r="L1153">
        <v>39</v>
      </c>
      <c r="M1153">
        <v>1</v>
      </c>
      <c r="N1153">
        <v>2</v>
      </c>
      <c r="O1153" t="s">
        <v>52</v>
      </c>
      <c r="P1153">
        <v>1</v>
      </c>
      <c r="Q1153" t="s">
        <v>51</v>
      </c>
      <c r="R1153">
        <v>4877</v>
      </c>
      <c r="S1153">
        <v>20460</v>
      </c>
      <c r="T1153">
        <v>0</v>
      </c>
      <c r="U1153" t="s">
        <v>41</v>
      </c>
      <c r="V1153" t="s">
        <v>42</v>
      </c>
      <c r="W1153">
        <v>21</v>
      </c>
      <c r="X1153">
        <v>4</v>
      </c>
      <c r="Y1153">
        <v>2</v>
      </c>
      <c r="Z1153">
        <v>80</v>
      </c>
      <c r="AA1153">
        <v>1</v>
      </c>
      <c r="AB1153">
        <v>6</v>
      </c>
      <c r="AC1153">
        <v>5</v>
      </c>
      <c r="AD1153">
        <v>2</v>
      </c>
      <c r="AE1153">
        <v>5</v>
      </c>
      <c r="AF1153">
        <v>3</v>
      </c>
      <c r="AG1153">
        <v>0</v>
      </c>
      <c r="AH1153">
        <v>0</v>
      </c>
    </row>
    <row r="1154" spans="1:34" x14ac:dyDescent="0.2">
      <c r="A1154">
        <v>21</v>
      </c>
      <c r="B1154" t="s">
        <v>42</v>
      </c>
      <c r="C1154" t="s">
        <v>35</v>
      </c>
      <c r="D1154" t="s">
        <v>44</v>
      </c>
      <c r="E1154">
        <v>5</v>
      </c>
      <c r="F1154">
        <v>1</v>
      </c>
      <c r="G1154" t="s">
        <v>50</v>
      </c>
      <c r="H1154">
        <v>1</v>
      </c>
      <c r="I1154">
        <v>1623</v>
      </c>
      <c r="J1154">
        <v>3</v>
      </c>
      <c r="K1154" t="s">
        <v>45</v>
      </c>
      <c r="L1154">
        <v>97</v>
      </c>
      <c r="M1154">
        <v>3</v>
      </c>
      <c r="N1154">
        <v>1</v>
      </c>
      <c r="O1154" t="s">
        <v>46</v>
      </c>
      <c r="P1154">
        <v>4</v>
      </c>
      <c r="Q1154" t="s">
        <v>40</v>
      </c>
      <c r="R1154">
        <v>3117</v>
      </c>
      <c r="S1154">
        <v>26009</v>
      </c>
      <c r="T1154">
        <v>1</v>
      </c>
      <c r="U1154" t="s">
        <v>41</v>
      </c>
      <c r="V1154" t="s">
        <v>42</v>
      </c>
      <c r="W1154">
        <v>18</v>
      </c>
      <c r="X1154">
        <v>3</v>
      </c>
      <c r="Y1154">
        <v>3</v>
      </c>
      <c r="Z1154">
        <v>80</v>
      </c>
      <c r="AA1154">
        <v>0</v>
      </c>
      <c r="AB1154">
        <v>3</v>
      </c>
      <c r="AC1154">
        <v>2</v>
      </c>
      <c r="AD1154">
        <v>3</v>
      </c>
      <c r="AE1154">
        <v>2</v>
      </c>
      <c r="AF1154">
        <v>2</v>
      </c>
      <c r="AG1154">
        <v>2</v>
      </c>
      <c r="AH1154">
        <v>2</v>
      </c>
    </row>
    <row r="1155" spans="1:34" x14ac:dyDescent="0.2">
      <c r="A1155">
        <v>18</v>
      </c>
      <c r="B1155" t="s">
        <v>34</v>
      </c>
      <c r="C1155" t="s">
        <v>43</v>
      </c>
      <c r="D1155" t="s">
        <v>36</v>
      </c>
      <c r="E1155">
        <v>3</v>
      </c>
      <c r="F1155">
        <v>2</v>
      </c>
      <c r="G1155" t="s">
        <v>50</v>
      </c>
      <c r="H1155">
        <v>1</v>
      </c>
      <c r="I1155">
        <v>1624</v>
      </c>
      <c r="J1155">
        <v>2</v>
      </c>
      <c r="K1155" t="s">
        <v>38</v>
      </c>
      <c r="L1155">
        <v>70</v>
      </c>
      <c r="M1155">
        <v>3</v>
      </c>
      <c r="N1155">
        <v>1</v>
      </c>
      <c r="O1155" t="s">
        <v>56</v>
      </c>
      <c r="P1155">
        <v>4</v>
      </c>
      <c r="Q1155" t="s">
        <v>40</v>
      </c>
      <c r="R1155">
        <v>1569</v>
      </c>
      <c r="S1155">
        <v>18420</v>
      </c>
      <c r="T1155">
        <v>1</v>
      </c>
      <c r="U1155" t="s">
        <v>41</v>
      </c>
      <c r="V1155" t="s">
        <v>34</v>
      </c>
      <c r="W1155">
        <v>12</v>
      </c>
      <c r="X1155">
        <v>3</v>
      </c>
      <c r="Y1155">
        <v>3</v>
      </c>
      <c r="Z1155">
        <v>80</v>
      </c>
      <c r="AA1155">
        <v>0</v>
      </c>
      <c r="AB1155">
        <v>0</v>
      </c>
      <c r="AC1155">
        <v>2</v>
      </c>
      <c r="AD1155">
        <v>4</v>
      </c>
      <c r="AE1155">
        <v>0</v>
      </c>
      <c r="AF1155">
        <v>0</v>
      </c>
      <c r="AG1155">
        <v>0</v>
      </c>
      <c r="AH1155">
        <v>0</v>
      </c>
    </row>
    <row r="1156" spans="1:34" x14ac:dyDescent="0.2">
      <c r="A1156">
        <v>47</v>
      </c>
      <c r="B1156" t="s">
        <v>42</v>
      </c>
      <c r="C1156" t="s">
        <v>35</v>
      </c>
      <c r="D1156" t="s">
        <v>60</v>
      </c>
      <c r="E1156">
        <v>26</v>
      </c>
      <c r="F1156">
        <v>4</v>
      </c>
      <c r="G1156" t="s">
        <v>37</v>
      </c>
      <c r="H1156">
        <v>1</v>
      </c>
      <c r="I1156">
        <v>1625</v>
      </c>
      <c r="J1156">
        <v>4</v>
      </c>
      <c r="K1156" t="s">
        <v>38</v>
      </c>
      <c r="L1156">
        <v>98</v>
      </c>
      <c r="M1156">
        <v>3</v>
      </c>
      <c r="N1156">
        <v>5</v>
      </c>
      <c r="O1156" t="s">
        <v>55</v>
      </c>
      <c r="P1156">
        <v>3</v>
      </c>
      <c r="Q1156" t="s">
        <v>47</v>
      </c>
      <c r="R1156">
        <v>19658</v>
      </c>
      <c r="S1156">
        <v>5220</v>
      </c>
      <c r="T1156">
        <v>3</v>
      </c>
      <c r="U1156" t="s">
        <v>41</v>
      </c>
      <c r="V1156" t="s">
        <v>42</v>
      </c>
      <c r="W1156">
        <v>11</v>
      </c>
      <c r="X1156">
        <v>3</v>
      </c>
      <c r="Y1156">
        <v>3</v>
      </c>
      <c r="Z1156">
        <v>80</v>
      </c>
      <c r="AA1156">
        <v>1</v>
      </c>
      <c r="AB1156">
        <v>27</v>
      </c>
      <c r="AC1156">
        <v>2</v>
      </c>
      <c r="AD1156">
        <v>3</v>
      </c>
      <c r="AE1156">
        <v>5</v>
      </c>
      <c r="AF1156">
        <v>2</v>
      </c>
      <c r="AG1156">
        <v>1</v>
      </c>
      <c r="AH1156">
        <v>0</v>
      </c>
    </row>
    <row r="1157" spans="1:34" x14ac:dyDescent="0.2">
      <c r="A1157">
        <v>39</v>
      </c>
      <c r="B1157" t="s">
        <v>42</v>
      </c>
      <c r="C1157" t="s">
        <v>35</v>
      </c>
      <c r="D1157" t="s">
        <v>44</v>
      </c>
      <c r="E1157">
        <v>3</v>
      </c>
      <c r="F1157">
        <v>2</v>
      </c>
      <c r="G1157" t="s">
        <v>50</v>
      </c>
      <c r="H1157">
        <v>1</v>
      </c>
      <c r="I1157">
        <v>1627</v>
      </c>
      <c r="J1157">
        <v>3</v>
      </c>
      <c r="K1157" t="s">
        <v>45</v>
      </c>
      <c r="L1157">
        <v>76</v>
      </c>
      <c r="M1157">
        <v>2</v>
      </c>
      <c r="N1157">
        <v>2</v>
      </c>
      <c r="O1157" t="s">
        <v>49</v>
      </c>
      <c r="P1157">
        <v>3</v>
      </c>
      <c r="Q1157" t="s">
        <v>51</v>
      </c>
      <c r="R1157">
        <v>3069</v>
      </c>
      <c r="S1157">
        <v>10302</v>
      </c>
      <c r="T1157">
        <v>0</v>
      </c>
      <c r="U1157" t="s">
        <v>41</v>
      </c>
      <c r="V1157" t="s">
        <v>42</v>
      </c>
      <c r="W1157">
        <v>15</v>
      </c>
      <c r="X1157">
        <v>3</v>
      </c>
      <c r="Y1157">
        <v>4</v>
      </c>
      <c r="Z1157">
        <v>80</v>
      </c>
      <c r="AA1157">
        <v>1</v>
      </c>
      <c r="AB1157">
        <v>11</v>
      </c>
      <c r="AC1157">
        <v>3</v>
      </c>
      <c r="AD1157">
        <v>3</v>
      </c>
      <c r="AE1157">
        <v>10</v>
      </c>
      <c r="AF1157">
        <v>8</v>
      </c>
      <c r="AG1157">
        <v>0</v>
      </c>
      <c r="AH1157">
        <v>7</v>
      </c>
    </row>
    <row r="1158" spans="1:34" x14ac:dyDescent="0.2">
      <c r="A1158">
        <v>40</v>
      </c>
      <c r="B1158" t="s">
        <v>42</v>
      </c>
      <c r="C1158" t="s">
        <v>35</v>
      </c>
      <c r="D1158" t="s">
        <v>44</v>
      </c>
      <c r="E1158">
        <v>15</v>
      </c>
      <c r="F1158">
        <v>3</v>
      </c>
      <c r="G1158" t="s">
        <v>37</v>
      </c>
      <c r="H1158">
        <v>1</v>
      </c>
      <c r="I1158">
        <v>1628</v>
      </c>
      <c r="J1158">
        <v>1</v>
      </c>
      <c r="K1158" t="s">
        <v>38</v>
      </c>
      <c r="L1158">
        <v>80</v>
      </c>
      <c r="M1158">
        <v>2</v>
      </c>
      <c r="N1158">
        <v>3</v>
      </c>
      <c r="O1158" t="s">
        <v>52</v>
      </c>
      <c r="P1158">
        <v>3</v>
      </c>
      <c r="Q1158" t="s">
        <v>47</v>
      </c>
      <c r="R1158">
        <v>10435</v>
      </c>
      <c r="S1158">
        <v>25800</v>
      </c>
      <c r="T1158">
        <v>1</v>
      </c>
      <c r="U1158" t="s">
        <v>41</v>
      </c>
      <c r="V1158" t="s">
        <v>42</v>
      </c>
      <c r="W1158">
        <v>13</v>
      </c>
      <c r="X1158">
        <v>3</v>
      </c>
      <c r="Y1158">
        <v>4</v>
      </c>
      <c r="Z1158">
        <v>80</v>
      </c>
      <c r="AA1158">
        <v>2</v>
      </c>
      <c r="AB1158">
        <v>18</v>
      </c>
      <c r="AC1158">
        <v>2</v>
      </c>
      <c r="AD1158">
        <v>3</v>
      </c>
      <c r="AE1158">
        <v>18</v>
      </c>
      <c r="AF1158">
        <v>15</v>
      </c>
      <c r="AG1158">
        <v>14</v>
      </c>
      <c r="AH1158">
        <v>12</v>
      </c>
    </row>
    <row r="1159" spans="1:34" x14ac:dyDescent="0.2">
      <c r="A1159">
        <v>35</v>
      </c>
      <c r="B1159" t="s">
        <v>42</v>
      </c>
      <c r="C1159" t="s">
        <v>54</v>
      </c>
      <c r="D1159" t="s">
        <v>44</v>
      </c>
      <c r="E1159">
        <v>8</v>
      </c>
      <c r="F1159">
        <v>4</v>
      </c>
      <c r="G1159" t="s">
        <v>37</v>
      </c>
      <c r="H1159">
        <v>1</v>
      </c>
      <c r="I1159">
        <v>1630</v>
      </c>
      <c r="J1159">
        <v>3</v>
      </c>
      <c r="K1159" t="s">
        <v>38</v>
      </c>
      <c r="L1159">
        <v>52</v>
      </c>
      <c r="M1159">
        <v>3</v>
      </c>
      <c r="N1159">
        <v>2</v>
      </c>
      <c r="O1159" t="s">
        <v>53</v>
      </c>
      <c r="P1159">
        <v>3</v>
      </c>
      <c r="Q1159" t="s">
        <v>47</v>
      </c>
      <c r="R1159">
        <v>4148</v>
      </c>
      <c r="S1159">
        <v>12250</v>
      </c>
      <c r="T1159">
        <v>1</v>
      </c>
      <c r="U1159" t="s">
        <v>41</v>
      </c>
      <c r="V1159" t="s">
        <v>42</v>
      </c>
      <c r="W1159">
        <v>12</v>
      </c>
      <c r="X1159">
        <v>3</v>
      </c>
      <c r="Y1159">
        <v>4</v>
      </c>
      <c r="Z1159">
        <v>80</v>
      </c>
      <c r="AA1159">
        <v>1</v>
      </c>
      <c r="AB1159">
        <v>15</v>
      </c>
      <c r="AC1159">
        <v>5</v>
      </c>
      <c r="AD1159">
        <v>3</v>
      </c>
      <c r="AE1159">
        <v>14</v>
      </c>
      <c r="AF1159">
        <v>11</v>
      </c>
      <c r="AG1159">
        <v>2</v>
      </c>
      <c r="AH1159">
        <v>9</v>
      </c>
    </row>
    <row r="1160" spans="1:34" x14ac:dyDescent="0.2">
      <c r="A1160">
        <v>37</v>
      </c>
      <c r="B1160" t="s">
        <v>42</v>
      </c>
      <c r="C1160" t="s">
        <v>35</v>
      </c>
      <c r="D1160" t="s">
        <v>44</v>
      </c>
      <c r="E1160">
        <v>19</v>
      </c>
      <c r="F1160">
        <v>3</v>
      </c>
      <c r="G1160" t="s">
        <v>37</v>
      </c>
      <c r="H1160">
        <v>1</v>
      </c>
      <c r="I1160">
        <v>1631</v>
      </c>
      <c r="J1160">
        <v>3</v>
      </c>
      <c r="K1160" t="s">
        <v>45</v>
      </c>
      <c r="L1160">
        <v>85</v>
      </c>
      <c r="M1160">
        <v>3</v>
      </c>
      <c r="N1160">
        <v>2</v>
      </c>
      <c r="O1160" t="s">
        <v>52</v>
      </c>
      <c r="P1160">
        <v>3</v>
      </c>
      <c r="Q1160" t="s">
        <v>47</v>
      </c>
      <c r="R1160">
        <v>5768</v>
      </c>
      <c r="S1160">
        <v>26493</v>
      </c>
      <c r="T1160">
        <v>3</v>
      </c>
      <c r="U1160" t="s">
        <v>41</v>
      </c>
      <c r="V1160" t="s">
        <v>42</v>
      </c>
      <c r="W1160">
        <v>17</v>
      </c>
      <c r="X1160">
        <v>3</v>
      </c>
      <c r="Y1160">
        <v>1</v>
      </c>
      <c r="Z1160">
        <v>80</v>
      </c>
      <c r="AA1160">
        <v>3</v>
      </c>
      <c r="AB1160">
        <v>9</v>
      </c>
      <c r="AC1160">
        <v>2</v>
      </c>
      <c r="AD1160">
        <v>2</v>
      </c>
      <c r="AE1160">
        <v>4</v>
      </c>
      <c r="AF1160">
        <v>3</v>
      </c>
      <c r="AG1160">
        <v>0</v>
      </c>
      <c r="AH1160">
        <v>2</v>
      </c>
    </row>
    <row r="1161" spans="1:34" x14ac:dyDescent="0.2">
      <c r="A1161">
        <v>39</v>
      </c>
      <c r="B1161" t="s">
        <v>42</v>
      </c>
      <c r="C1161" t="s">
        <v>43</v>
      </c>
      <c r="D1161" t="s">
        <v>44</v>
      </c>
      <c r="E1161">
        <v>4</v>
      </c>
      <c r="F1161">
        <v>3</v>
      </c>
      <c r="G1161" t="s">
        <v>50</v>
      </c>
      <c r="H1161">
        <v>1</v>
      </c>
      <c r="I1161">
        <v>1633</v>
      </c>
      <c r="J1161">
        <v>1</v>
      </c>
      <c r="K1161" t="s">
        <v>38</v>
      </c>
      <c r="L1161">
        <v>81</v>
      </c>
      <c r="M1161">
        <v>3</v>
      </c>
      <c r="N1161">
        <v>2</v>
      </c>
      <c r="O1161" t="s">
        <v>52</v>
      </c>
      <c r="P1161">
        <v>3</v>
      </c>
      <c r="Q1161" t="s">
        <v>40</v>
      </c>
      <c r="R1161">
        <v>5042</v>
      </c>
      <c r="S1161">
        <v>3140</v>
      </c>
      <c r="T1161">
        <v>0</v>
      </c>
      <c r="U1161" t="s">
        <v>41</v>
      </c>
      <c r="V1161" t="s">
        <v>42</v>
      </c>
      <c r="W1161">
        <v>13</v>
      </c>
      <c r="X1161">
        <v>3</v>
      </c>
      <c r="Y1161">
        <v>4</v>
      </c>
      <c r="Z1161">
        <v>80</v>
      </c>
      <c r="AA1161">
        <v>0</v>
      </c>
      <c r="AB1161">
        <v>10</v>
      </c>
      <c r="AC1161">
        <v>2</v>
      </c>
      <c r="AD1161">
        <v>1</v>
      </c>
      <c r="AE1161">
        <v>9</v>
      </c>
      <c r="AF1161">
        <v>2</v>
      </c>
      <c r="AG1161">
        <v>3</v>
      </c>
      <c r="AH1161">
        <v>8</v>
      </c>
    </row>
    <row r="1162" spans="1:34" x14ac:dyDescent="0.2">
      <c r="A1162">
        <v>45</v>
      </c>
      <c r="B1162" t="s">
        <v>42</v>
      </c>
      <c r="C1162" t="s">
        <v>35</v>
      </c>
      <c r="D1162" t="s">
        <v>44</v>
      </c>
      <c r="E1162">
        <v>2</v>
      </c>
      <c r="F1162">
        <v>2</v>
      </c>
      <c r="G1162" t="s">
        <v>48</v>
      </c>
      <c r="H1162">
        <v>1</v>
      </c>
      <c r="I1162">
        <v>1635</v>
      </c>
      <c r="J1162">
        <v>4</v>
      </c>
      <c r="K1162" t="s">
        <v>38</v>
      </c>
      <c r="L1162">
        <v>59</v>
      </c>
      <c r="M1162">
        <v>2</v>
      </c>
      <c r="N1162">
        <v>2</v>
      </c>
      <c r="O1162" t="s">
        <v>52</v>
      </c>
      <c r="P1162">
        <v>4</v>
      </c>
      <c r="Q1162" t="s">
        <v>51</v>
      </c>
      <c r="R1162">
        <v>5770</v>
      </c>
      <c r="S1162">
        <v>5388</v>
      </c>
      <c r="T1162">
        <v>1</v>
      </c>
      <c r="U1162" t="s">
        <v>41</v>
      </c>
      <c r="V1162" t="s">
        <v>42</v>
      </c>
      <c r="W1162">
        <v>19</v>
      </c>
      <c r="X1162">
        <v>3</v>
      </c>
      <c r="Y1162">
        <v>1</v>
      </c>
      <c r="Z1162">
        <v>80</v>
      </c>
      <c r="AA1162">
        <v>2</v>
      </c>
      <c r="AB1162">
        <v>10</v>
      </c>
      <c r="AC1162">
        <v>3</v>
      </c>
      <c r="AD1162">
        <v>3</v>
      </c>
      <c r="AE1162">
        <v>10</v>
      </c>
      <c r="AF1162">
        <v>7</v>
      </c>
      <c r="AG1162">
        <v>3</v>
      </c>
      <c r="AH1162">
        <v>9</v>
      </c>
    </row>
    <row r="1163" spans="1:34" x14ac:dyDescent="0.2">
      <c r="A1163">
        <v>38</v>
      </c>
      <c r="B1163" t="s">
        <v>42</v>
      </c>
      <c r="C1163" t="s">
        <v>35</v>
      </c>
      <c r="D1163" t="s">
        <v>44</v>
      </c>
      <c r="E1163">
        <v>2</v>
      </c>
      <c r="F1163">
        <v>2</v>
      </c>
      <c r="G1163" t="s">
        <v>50</v>
      </c>
      <c r="H1163">
        <v>1</v>
      </c>
      <c r="I1163">
        <v>1638</v>
      </c>
      <c r="J1163">
        <v>4</v>
      </c>
      <c r="K1163" t="s">
        <v>38</v>
      </c>
      <c r="L1163">
        <v>54</v>
      </c>
      <c r="M1163">
        <v>2</v>
      </c>
      <c r="N1163">
        <v>3</v>
      </c>
      <c r="O1163" t="s">
        <v>52</v>
      </c>
      <c r="P1163">
        <v>3</v>
      </c>
      <c r="Q1163" t="s">
        <v>47</v>
      </c>
      <c r="R1163">
        <v>7756</v>
      </c>
      <c r="S1163">
        <v>14199</v>
      </c>
      <c r="T1163">
        <v>3</v>
      </c>
      <c r="U1163" t="s">
        <v>41</v>
      </c>
      <c r="V1163" t="s">
        <v>34</v>
      </c>
      <c r="W1163">
        <v>19</v>
      </c>
      <c r="X1163">
        <v>3</v>
      </c>
      <c r="Y1163">
        <v>4</v>
      </c>
      <c r="Z1163">
        <v>80</v>
      </c>
      <c r="AA1163">
        <v>1</v>
      </c>
      <c r="AB1163">
        <v>10</v>
      </c>
      <c r="AC1163">
        <v>6</v>
      </c>
      <c r="AD1163">
        <v>4</v>
      </c>
      <c r="AE1163">
        <v>5</v>
      </c>
      <c r="AF1163">
        <v>4</v>
      </c>
      <c r="AG1163">
        <v>0</v>
      </c>
      <c r="AH1163">
        <v>2</v>
      </c>
    </row>
    <row r="1164" spans="1:34" x14ac:dyDescent="0.2">
      <c r="A1164">
        <v>35</v>
      </c>
      <c r="B1164" t="s">
        <v>34</v>
      </c>
      <c r="C1164" t="s">
        <v>35</v>
      </c>
      <c r="D1164" t="s">
        <v>36</v>
      </c>
      <c r="E1164">
        <v>10</v>
      </c>
      <c r="F1164">
        <v>3</v>
      </c>
      <c r="G1164" t="s">
        <v>50</v>
      </c>
      <c r="H1164">
        <v>1</v>
      </c>
      <c r="I1164">
        <v>1639</v>
      </c>
      <c r="J1164">
        <v>4</v>
      </c>
      <c r="K1164" t="s">
        <v>45</v>
      </c>
      <c r="L1164">
        <v>55</v>
      </c>
      <c r="M1164">
        <v>2</v>
      </c>
      <c r="N1164">
        <v>3</v>
      </c>
      <c r="O1164" t="s">
        <v>39</v>
      </c>
      <c r="P1164">
        <v>1</v>
      </c>
      <c r="Q1164" t="s">
        <v>47</v>
      </c>
      <c r="R1164">
        <v>10306</v>
      </c>
      <c r="S1164">
        <v>21530</v>
      </c>
      <c r="T1164">
        <v>9</v>
      </c>
      <c r="U1164" t="s">
        <v>41</v>
      </c>
      <c r="V1164" t="s">
        <v>42</v>
      </c>
      <c r="W1164">
        <v>17</v>
      </c>
      <c r="X1164">
        <v>3</v>
      </c>
      <c r="Y1164">
        <v>3</v>
      </c>
      <c r="Z1164">
        <v>80</v>
      </c>
      <c r="AA1164">
        <v>0</v>
      </c>
      <c r="AB1164">
        <v>15</v>
      </c>
      <c r="AC1164">
        <v>3</v>
      </c>
      <c r="AD1164">
        <v>3</v>
      </c>
      <c r="AE1164">
        <v>13</v>
      </c>
      <c r="AF1164">
        <v>12</v>
      </c>
      <c r="AG1164">
        <v>6</v>
      </c>
      <c r="AH1164">
        <v>0</v>
      </c>
    </row>
    <row r="1165" spans="1:34" x14ac:dyDescent="0.2">
      <c r="A1165">
        <v>37</v>
      </c>
      <c r="B1165" t="s">
        <v>42</v>
      </c>
      <c r="C1165" t="s">
        <v>35</v>
      </c>
      <c r="D1165" t="s">
        <v>44</v>
      </c>
      <c r="E1165">
        <v>10</v>
      </c>
      <c r="F1165">
        <v>3</v>
      </c>
      <c r="G1165" t="s">
        <v>50</v>
      </c>
      <c r="H1165">
        <v>1</v>
      </c>
      <c r="I1165">
        <v>1640</v>
      </c>
      <c r="J1165">
        <v>2</v>
      </c>
      <c r="K1165" t="s">
        <v>38</v>
      </c>
      <c r="L1165">
        <v>71</v>
      </c>
      <c r="M1165">
        <v>3</v>
      </c>
      <c r="N1165">
        <v>1</v>
      </c>
      <c r="O1165" t="s">
        <v>46</v>
      </c>
      <c r="P1165">
        <v>2</v>
      </c>
      <c r="Q1165" t="s">
        <v>47</v>
      </c>
      <c r="R1165">
        <v>3936</v>
      </c>
      <c r="S1165">
        <v>9953</v>
      </c>
      <c r="T1165">
        <v>1</v>
      </c>
      <c r="U1165" t="s">
        <v>41</v>
      </c>
      <c r="V1165" t="s">
        <v>42</v>
      </c>
      <c r="W1165">
        <v>11</v>
      </c>
      <c r="X1165">
        <v>3</v>
      </c>
      <c r="Y1165">
        <v>1</v>
      </c>
      <c r="Z1165">
        <v>80</v>
      </c>
      <c r="AA1165">
        <v>1</v>
      </c>
      <c r="AB1165">
        <v>8</v>
      </c>
      <c r="AC1165">
        <v>2</v>
      </c>
      <c r="AD1165">
        <v>1</v>
      </c>
      <c r="AE1165">
        <v>8</v>
      </c>
      <c r="AF1165">
        <v>4</v>
      </c>
      <c r="AG1165">
        <v>7</v>
      </c>
      <c r="AH1165">
        <v>7</v>
      </c>
    </row>
    <row r="1166" spans="1:34" x14ac:dyDescent="0.2">
      <c r="A1166">
        <v>40</v>
      </c>
      <c r="B1166" t="s">
        <v>42</v>
      </c>
      <c r="C1166" t="s">
        <v>35</v>
      </c>
      <c r="D1166" t="s">
        <v>44</v>
      </c>
      <c r="E1166">
        <v>16</v>
      </c>
      <c r="F1166">
        <v>3</v>
      </c>
      <c r="G1166" t="s">
        <v>37</v>
      </c>
      <c r="H1166">
        <v>1</v>
      </c>
      <c r="I1166">
        <v>1641</v>
      </c>
      <c r="J1166">
        <v>3</v>
      </c>
      <c r="K1166" t="s">
        <v>38</v>
      </c>
      <c r="L1166">
        <v>84</v>
      </c>
      <c r="M1166">
        <v>3</v>
      </c>
      <c r="N1166">
        <v>3</v>
      </c>
      <c r="O1166" t="s">
        <v>52</v>
      </c>
      <c r="P1166">
        <v>4</v>
      </c>
      <c r="Q1166" t="s">
        <v>40</v>
      </c>
      <c r="R1166">
        <v>7945</v>
      </c>
      <c r="S1166">
        <v>19948</v>
      </c>
      <c r="T1166">
        <v>6</v>
      </c>
      <c r="U1166" t="s">
        <v>41</v>
      </c>
      <c r="V1166" t="s">
        <v>34</v>
      </c>
      <c r="W1166">
        <v>15</v>
      </c>
      <c r="X1166">
        <v>3</v>
      </c>
      <c r="Y1166">
        <v>4</v>
      </c>
      <c r="Z1166">
        <v>80</v>
      </c>
      <c r="AA1166">
        <v>0</v>
      </c>
      <c r="AB1166">
        <v>18</v>
      </c>
      <c r="AC1166">
        <v>2</v>
      </c>
      <c r="AD1166">
        <v>2</v>
      </c>
      <c r="AE1166">
        <v>4</v>
      </c>
      <c r="AF1166">
        <v>2</v>
      </c>
      <c r="AG1166">
        <v>3</v>
      </c>
      <c r="AH1166">
        <v>3</v>
      </c>
    </row>
    <row r="1167" spans="1:34" x14ac:dyDescent="0.2">
      <c r="A1167">
        <v>44</v>
      </c>
      <c r="B1167" t="s">
        <v>42</v>
      </c>
      <c r="C1167" t="s">
        <v>43</v>
      </c>
      <c r="D1167" t="s">
        <v>60</v>
      </c>
      <c r="E1167">
        <v>1</v>
      </c>
      <c r="F1167">
        <v>5</v>
      </c>
      <c r="G1167" t="s">
        <v>60</v>
      </c>
      <c r="H1167">
        <v>1</v>
      </c>
      <c r="I1167">
        <v>1642</v>
      </c>
      <c r="J1167">
        <v>1</v>
      </c>
      <c r="K1167" t="s">
        <v>45</v>
      </c>
      <c r="L1167">
        <v>37</v>
      </c>
      <c r="M1167">
        <v>3</v>
      </c>
      <c r="N1167">
        <v>2</v>
      </c>
      <c r="O1167" t="s">
        <v>60</v>
      </c>
      <c r="P1167">
        <v>4</v>
      </c>
      <c r="Q1167" t="s">
        <v>47</v>
      </c>
      <c r="R1167">
        <v>5743</v>
      </c>
      <c r="S1167">
        <v>10503</v>
      </c>
      <c r="T1167">
        <v>4</v>
      </c>
      <c r="U1167" t="s">
        <v>41</v>
      </c>
      <c r="V1167" t="s">
        <v>34</v>
      </c>
      <c r="W1167">
        <v>11</v>
      </c>
      <c r="X1167">
        <v>3</v>
      </c>
      <c r="Y1167">
        <v>3</v>
      </c>
      <c r="Z1167">
        <v>80</v>
      </c>
      <c r="AA1167">
        <v>0</v>
      </c>
      <c r="AB1167">
        <v>14</v>
      </c>
      <c r="AC1167">
        <v>3</v>
      </c>
      <c r="AD1167">
        <v>3</v>
      </c>
      <c r="AE1167">
        <v>10</v>
      </c>
      <c r="AF1167">
        <v>7</v>
      </c>
      <c r="AG1167">
        <v>0</v>
      </c>
      <c r="AH1167">
        <v>2</v>
      </c>
    </row>
    <row r="1168" spans="1:34" x14ac:dyDescent="0.2">
      <c r="A1168">
        <v>48</v>
      </c>
      <c r="B1168" t="s">
        <v>42</v>
      </c>
      <c r="C1168" t="s">
        <v>43</v>
      </c>
      <c r="D1168" t="s">
        <v>44</v>
      </c>
      <c r="E1168">
        <v>4</v>
      </c>
      <c r="F1168">
        <v>5</v>
      </c>
      <c r="G1168" t="s">
        <v>50</v>
      </c>
      <c r="H1168">
        <v>1</v>
      </c>
      <c r="I1168">
        <v>1644</v>
      </c>
      <c r="J1168">
        <v>3</v>
      </c>
      <c r="K1168" t="s">
        <v>45</v>
      </c>
      <c r="L1168">
        <v>89</v>
      </c>
      <c r="M1168">
        <v>2</v>
      </c>
      <c r="N1168">
        <v>4</v>
      </c>
      <c r="O1168" t="s">
        <v>55</v>
      </c>
      <c r="P1168">
        <v>4</v>
      </c>
      <c r="Q1168" t="s">
        <v>47</v>
      </c>
      <c r="R1168">
        <v>15202</v>
      </c>
      <c r="S1168">
        <v>5602</v>
      </c>
      <c r="T1168">
        <v>2</v>
      </c>
      <c r="U1168" t="s">
        <v>41</v>
      </c>
      <c r="V1168" t="s">
        <v>42</v>
      </c>
      <c r="W1168">
        <v>25</v>
      </c>
      <c r="X1168">
        <v>4</v>
      </c>
      <c r="Y1168">
        <v>2</v>
      </c>
      <c r="Z1168">
        <v>80</v>
      </c>
      <c r="AA1168">
        <v>1</v>
      </c>
      <c r="AB1168">
        <v>23</v>
      </c>
      <c r="AC1168">
        <v>3</v>
      </c>
      <c r="AD1168">
        <v>3</v>
      </c>
      <c r="AE1168">
        <v>2</v>
      </c>
      <c r="AF1168">
        <v>2</v>
      </c>
      <c r="AG1168">
        <v>2</v>
      </c>
      <c r="AH1168">
        <v>2</v>
      </c>
    </row>
    <row r="1169" spans="1:34" x14ac:dyDescent="0.2">
      <c r="A1169">
        <v>35</v>
      </c>
      <c r="B1169" t="s">
        <v>34</v>
      </c>
      <c r="C1169" t="s">
        <v>35</v>
      </c>
      <c r="D1169" t="s">
        <v>36</v>
      </c>
      <c r="E1169">
        <v>15</v>
      </c>
      <c r="F1169">
        <v>2</v>
      </c>
      <c r="G1169" t="s">
        <v>50</v>
      </c>
      <c r="H1169">
        <v>1</v>
      </c>
      <c r="I1169">
        <v>1645</v>
      </c>
      <c r="J1169">
        <v>1</v>
      </c>
      <c r="K1169" t="s">
        <v>45</v>
      </c>
      <c r="L1169">
        <v>59</v>
      </c>
      <c r="M1169">
        <v>1</v>
      </c>
      <c r="N1169">
        <v>2</v>
      </c>
      <c r="O1169" t="s">
        <v>39</v>
      </c>
      <c r="P1169">
        <v>4</v>
      </c>
      <c r="Q1169" t="s">
        <v>51</v>
      </c>
      <c r="R1169">
        <v>5440</v>
      </c>
      <c r="S1169">
        <v>22098</v>
      </c>
      <c r="T1169">
        <v>6</v>
      </c>
      <c r="U1169" t="s">
        <v>41</v>
      </c>
      <c r="V1169" t="s">
        <v>34</v>
      </c>
      <c r="W1169">
        <v>14</v>
      </c>
      <c r="X1169">
        <v>3</v>
      </c>
      <c r="Y1169">
        <v>4</v>
      </c>
      <c r="Z1169">
        <v>80</v>
      </c>
      <c r="AA1169">
        <v>2</v>
      </c>
      <c r="AB1169">
        <v>7</v>
      </c>
      <c r="AC1169">
        <v>2</v>
      </c>
      <c r="AD1169">
        <v>2</v>
      </c>
      <c r="AE1169">
        <v>2</v>
      </c>
      <c r="AF1169">
        <v>2</v>
      </c>
      <c r="AG1169">
        <v>2</v>
      </c>
      <c r="AH1169">
        <v>2</v>
      </c>
    </row>
    <row r="1170" spans="1:34" x14ac:dyDescent="0.2">
      <c r="A1170">
        <v>24</v>
      </c>
      <c r="B1170" t="s">
        <v>42</v>
      </c>
      <c r="C1170" t="s">
        <v>43</v>
      </c>
      <c r="D1170" t="s">
        <v>44</v>
      </c>
      <c r="E1170">
        <v>2</v>
      </c>
      <c r="F1170">
        <v>1</v>
      </c>
      <c r="G1170" t="s">
        <v>59</v>
      </c>
      <c r="H1170">
        <v>1</v>
      </c>
      <c r="I1170">
        <v>1646</v>
      </c>
      <c r="J1170">
        <v>1</v>
      </c>
      <c r="K1170" t="s">
        <v>38</v>
      </c>
      <c r="L1170">
        <v>32</v>
      </c>
      <c r="M1170">
        <v>3</v>
      </c>
      <c r="N1170">
        <v>1</v>
      </c>
      <c r="O1170" t="s">
        <v>46</v>
      </c>
      <c r="P1170">
        <v>4</v>
      </c>
      <c r="Q1170" t="s">
        <v>40</v>
      </c>
      <c r="R1170">
        <v>3760</v>
      </c>
      <c r="S1170">
        <v>17218</v>
      </c>
      <c r="T1170">
        <v>1</v>
      </c>
      <c r="U1170" t="s">
        <v>41</v>
      </c>
      <c r="V1170" t="s">
        <v>34</v>
      </c>
      <c r="W1170">
        <v>13</v>
      </c>
      <c r="X1170">
        <v>3</v>
      </c>
      <c r="Y1170">
        <v>3</v>
      </c>
      <c r="Z1170">
        <v>80</v>
      </c>
      <c r="AA1170">
        <v>0</v>
      </c>
      <c r="AB1170">
        <v>6</v>
      </c>
      <c r="AC1170">
        <v>2</v>
      </c>
      <c r="AD1170">
        <v>3</v>
      </c>
      <c r="AE1170">
        <v>6</v>
      </c>
      <c r="AF1170">
        <v>3</v>
      </c>
      <c r="AG1170">
        <v>1</v>
      </c>
      <c r="AH1170">
        <v>3</v>
      </c>
    </row>
    <row r="1171" spans="1:34" x14ac:dyDescent="0.2">
      <c r="A1171">
        <v>27</v>
      </c>
      <c r="B1171" t="s">
        <v>42</v>
      </c>
      <c r="C1171" t="s">
        <v>35</v>
      </c>
      <c r="D1171" t="s">
        <v>44</v>
      </c>
      <c r="E1171">
        <v>8</v>
      </c>
      <c r="F1171">
        <v>3</v>
      </c>
      <c r="G1171" t="s">
        <v>50</v>
      </c>
      <c r="H1171">
        <v>1</v>
      </c>
      <c r="I1171">
        <v>1647</v>
      </c>
      <c r="J1171">
        <v>2</v>
      </c>
      <c r="K1171" t="s">
        <v>38</v>
      </c>
      <c r="L1171">
        <v>86</v>
      </c>
      <c r="M1171">
        <v>4</v>
      </c>
      <c r="N1171">
        <v>1</v>
      </c>
      <c r="O1171" t="s">
        <v>46</v>
      </c>
      <c r="P1171">
        <v>3</v>
      </c>
      <c r="Q1171" t="s">
        <v>47</v>
      </c>
      <c r="R1171">
        <v>3517</v>
      </c>
      <c r="S1171">
        <v>22490</v>
      </c>
      <c r="T1171">
        <v>7</v>
      </c>
      <c r="U1171" t="s">
        <v>41</v>
      </c>
      <c r="V1171" t="s">
        <v>42</v>
      </c>
      <c r="W1171">
        <v>17</v>
      </c>
      <c r="X1171">
        <v>3</v>
      </c>
      <c r="Y1171">
        <v>1</v>
      </c>
      <c r="Z1171">
        <v>80</v>
      </c>
      <c r="AA1171">
        <v>0</v>
      </c>
      <c r="AB1171">
        <v>5</v>
      </c>
      <c r="AC1171">
        <v>0</v>
      </c>
      <c r="AD1171">
        <v>3</v>
      </c>
      <c r="AE1171">
        <v>3</v>
      </c>
      <c r="AF1171">
        <v>2</v>
      </c>
      <c r="AG1171">
        <v>0</v>
      </c>
      <c r="AH1171">
        <v>2</v>
      </c>
    </row>
    <row r="1172" spans="1:34" x14ac:dyDescent="0.2">
      <c r="A1172">
        <v>27</v>
      </c>
      <c r="B1172" t="s">
        <v>42</v>
      </c>
      <c r="C1172" t="s">
        <v>43</v>
      </c>
      <c r="D1172" t="s">
        <v>44</v>
      </c>
      <c r="E1172">
        <v>2</v>
      </c>
      <c r="F1172">
        <v>3</v>
      </c>
      <c r="G1172" t="s">
        <v>50</v>
      </c>
      <c r="H1172">
        <v>1</v>
      </c>
      <c r="I1172">
        <v>1648</v>
      </c>
      <c r="J1172">
        <v>4</v>
      </c>
      <c r="K1172" t="s">
        <v>45</v>
      </c>
      <c r="L1172">
        <v>87</v>
      </c>
      <c r="M1172">
        <v>3</v>
      </c>
      <c r="N1172">
        <v>1</v>
      </c>
      <c r="O1172" t="s">
        <v>46</v>
      </c>
      <c r="P1172">
        <v>4</v>
      </c>
      <c r="Q1172" t="s">
        <v>40</v>
      </c>
      <c r="R1172">
        <v>2580</v>
      </c>
      <c r="S1172">
        <v>6297</v>
      </c>
      <c r="T1172">
        <v>2</v>
      </c>
      <c r="U1172" t="s">
        <v>41</v>
      </c>
      <c r="V1172" t="s">
        <v>42</v>
      </c>
      <c r="W1172">
        <v>13</v>
      </c>
      <c r="X1172">
        <v>3</v>
      </c>
      <c r="Y1172">
        <v>3</v>
      </c>
      <c r="Z1172">
        <v>80</v>
      </c>
      <c r="AA1172">
        <v>0</v>
      </c>
      <c r="AB1172">
        <v>6</v>
      </c>
      <c r="AC1172">
        <v>0</v>
      </c>
      <c r="AD1172">
        <v>2</v>
      </c>
      <c r="AE1172">
        <v>4</v>
      </c>
      <c r="AF1172">
        <v>2</v>
      </c>
      <c r="AG1172">
        <v>1</v>
      </c>
      <c r="AH1172">
        <v>2</v>
      </c>
    </row>
    <row r="1173" spans="1:34" x14ac:dyDescent="0.2">
      <c r="A1173">
        <v>40</v>
      </c>
      <c r="B1173" t="s">
        <v>34</v>
      </c>
      <c r="C1173" t="s">
        <v>35</v>
      </c>
      <c r="D1173" t="s">
        <v>44</v>
      </c>
      <c r="E1173">
        <v>7</v>
      </c>
      <c r="F1173">
        <v>3</v>
      </c>
      <c r="G1173" t="s">
        <v>37</v>
      </c>
      <c r="H1173">
        <v>1</v>
      </c>
      <c r="I1173">
        <v>1649</v>
      </c>
      <c r="J1173">
        <v>1</v>
      </c>
      <c r="K1173" t="s">
        <v>45</v>
      </c>
      <c r="L1173">
        <v>73</v>
      </c>
      <c r="M1173">
        <v>3</v>
      </c>
      <c r="N1173">
        <v>1</v>
      </c>
      <c r="O1173" t="s">
        <v>49</v>
      </c>
      <c r="P1173">
        <v>1</v>
      </c>
      <c r="Q1173" t="s">
        <v>40</v>
      </c>
      <c r="R1173">
        <v>2166</v>
      </c>
      <c r="S1173">
        <v>3339</v>
      </c>
      <c r="T1173">
        <v>3</v>
      </c>
      <c r="U1173" t="s">
        <v>41</v>
      </c>
      <c r="V1173" t="s">
        <v>34</v>
      </c>
      <c r="W1173">
        <v>14</v>
      </c>
      <c r="X1173">
        <v>3</v>
      </c>
      <c r="Y1173">
        <v>2</v>
      </c>
      <c r="Z1173">
        <v>80</v>
      </c>
      <c r="AA1173">
        <v>0</v>
      </c>
      <c r="AB1173">
        <v>10</v>
      </c>
      <c r="AC1173">
        <v>3</v>
      </c>
      <c r="AD1173">
        <v>1</v>
      </c>
      <c r="AE1173">
        <v>4</v>
      </c>
      <c r="AF1173">
        <v>2</v>
      </c>
      <c r="AG1173">
        <v>0</v>
      </c>
      <c r="AH1173">
        <v>3</v>
      </c>
    </row>
    <row r="1174" spans="1:34" x14ac:dyDescent="0.2">
      <c r="A1174">
        <v>29</v>
      </c>
      <c r="B1174" t="s">
        <v>42</v>
      </c>
      <c r="C1174" t="s">
        <v>35</v>
      </c>
      <c r="D1174" t="s">
        <v>36</v>
      </c>
      <c r="E1174">
        <v>10</v>
      </c>
      <c r="F1174">
        <v>3</v>
      </c>
      <c r="G1174" t="s">
        <v>50</v>
      </c>
      <c r="H1174">
        <v>1</v>
      </c>
      <c r="I1174">
        <v>1650</v>
      </c>
      <c r="J1174">
        <v>3</v>
      </c>
      <c r="K1174" t="s">
        <v>45</v>
      </c>
      <c r="L1174">
        <v>42</v>
      </c>
      <c r="M1174">
        <v>2</v>
      </c>
      <c r="N1174">
        <v>2</v>
      </c>
      <c r="O1174" t="s">
        <v>39</v>
      </c>
      <c r="P1174">
        <v>3</v>
      </c>
      <c r="Q1174" t="s">
        <v>40</v>
      </c>
      <c r="R1174">
        <v>5869</v>
      </c>
      <c r="S1174">
        <v>23413</v>
      </c>
      <c r="T1174">
        <v>9</v>
      </c>
      <c r="U1174" t="s">
        <v>41</v>
      </c>
      <c r="V1174" t="s">
        <v>42</v>
      </c>
      <c r="W1174">
        <v>11</v>
      </c>
      <c r="X1174">
        <v>3</v>
      </c>
      <c r="Y1174">
        <v>3</v>
      </c>
      <c r="Z1174">
        <v>80</v>
      </c>
      <c r="AA1174">
        <v>0</v>
      </c>
      <c r="AB1174">
        <v>8</v>
      </c>
      <c r="AC1174">
        <v>2</v>
      </c>
      <c r="AD1174">
        <v>3</v>
      </c>
      <c r="AE1174">
        <v>5</v>
      </c>
      <c r="AF1174">
        <v>2</v>
      </c>
      <c r="AG1174">
        <v>1</v>
      </c>
      <c r="AH1174">
        <v>4</v>
      </c>
    </row>
    <row r="1175" spans="1:34" x14ac:dyDescent="0.2">
      <c r="A1175">
        <v>36</v>
      </c>
      <c r="B1175" t="s">
        <v>42</v>
      </c>
      <c r="C1175" t="s">
        <v>35</v>
      </c>
      <c r="D1175" t="s">
        <v>44</v>
      </c>
      <c r="E1175">
        <v>5</v>
      </c>
      <c r="F1175">
        <v>4</v>
      </c>
      <c r="G1175" t="s">
        <v>37</v>
      </c>
      <c r="H1175">
        <v>1</v>
      </c>
      <c r="I1175">
        <v>1651</v>
      </c>
      <c r="J1175">
        <v>2</v>
      </c>
      <c r="K1175" t="s">
        <v>38</v>
      </c>
      <c r="L1175">
        <v>42</v>
      </c>
      <c r="M1175">
        <v>3</v>
      </c>
      <c r="N1175">
        <v>3</v>
      </c>
      <c r="O1175" t="s">
        <v>53</v>
      </c>
      <c r="P1175">
        <v>1</v>
      </c>
      <c r="Q1175" t="s">
        <v>47</v>
      </c>
      <c r="R1175">
        <v>8008</v>
      </c>
      <c r="S1175">
        <v>22792</v>
      </c>
      <c r="T1175">
        <v>4</v>
      </c>
      <c r="U1175" t="s">
        <v>41</v>
      </c>
      <c r="V1175" t="s">
        <v>42</v>
      </c>
      <c r="W1175">
        <v>12</v>
      </c>
      <c r="X1175">
        <v>3</v>
      </c>
      <c r="Y1175">
        <v>3</v>
      </c>
      <c r="Z1175">
        <v>80</v>
      </c>
      <c r="AA1175">
        <v>2</v>
      </c>
      <c r="AB1175">
        <v>9</v>
      </c>
      <c r="AC1175">
        <v>6</v>
      </c>
      <c r="AD1175">
        <v>3</v>
      </c>
      <c r="AE1175">
        <v>3</v>
      </c>
      <c r="AF1175">
        <v>2</v>
      </c>
      <c r="AG1175">
        <v>0</v>
      </c>
      <c r="AH1175">
        <v>2</v>
      </c>
    </row>
    <row r="1176" spans="1:34" x14ac:dyDescent="0.2">
      <c r="A1176">
        <v>25</v>
      </c>
      <c r="B1176" t="s">
        <v>42</v>
      </c>
      <c r="C1176" t="s">
        <v>43</v>
      </c>
      <c r="D1176" t="s">
        <v>44</v>
      </c>
      <c r="E1176">
        <v>2</v>
      </c>
      <c r="F1176">
        <v>1</v>
      </c>
      <c r="G1176" t="s">
        <v>37</v>
      </c>
      <c r="H1176">
        <v>1</v>
      </c>
      <c r="I1176">
        <v>1653</v>
      </c>
      <c r="J1176">
        <v>4</v>
      </c>
      <c r="K1176" t="s">
        <v>45</v>
      </c>
      <c r="L1176">
        <v>77</v>
      </c>
      <c r="M1176">
        <v>4</v>
      </c>
      <c r="N1176">
        <v>2</v>
      </c>
      <c r="O1176" t="s">
        <v>52</v>
      </c>
      <c r="P1176">
        <v>3</v>
      </c>
      <c r="Q1176" t="s">
        <v>51</v>
      </c>
      <c r="R1176">
        <v>5206</v>
      </c>
      <c r="S1176">
        <v>4973</v>
      </c>
      <c r="T1176">
        <v>1</v>
      </c>
      <c r="U1176" t="s">
        <v>41</v>
      </c>
      <c r="V1176" t="s">
        <v>42</v>
      </c>
      <c r="W1176">
        <v>17</v>
      </c>
      <c r="X1176">
        <v>3</v>
      </c>
      <c r="Y1176">
        <v>3</v>
      </c>
      <c r="Z1176">
        <v>80</v>
      </c>
      <c r="AA1176">
        <v>2</v>
      </c>
      <c r="AB1176">
        <v>7</v>
      </c>
      <c r="AC1176">
        <v>6</v>
      </c>
      <c r="AD1176">
        <v>3</v>
      </c>
      <c r="AE1176">
        <v>7</v>
      </c>
      <c r="AF1176">
        <v>7</v>
      </c>
      <c r="AG1176">
        <v>0</v>
      </c>
      <c r="AH1176">
        <v>7</v>
      </c>
    </row>
    <row r="1177" spans="1:34" x14ac:dyDescent="0.2">
      <c r="A1177">
        <v>39</v>
      </c>
      <c r="B1177" t="s">
        <v>42</v>
      </c>
      <c r="C1177" t="s">
        <v>35</v>
      </c>
      <c r="D1177" t="s">
        <v>44</v>
      </c>
      <c r="E1177">
        <v>12</v>
      </c>
      <c r="F1177">
        <v>3</v>
      </c>
      <c r="G1177" t="s">
        <v>50</v>
      </c>
      <c r="H1177">
        <v>1</v>
      </c>
      <c r="I1177">
        <v>1654</v>
      </c>
      <c r="J1177">
        <v>4</v>
      </c>
      <c r="K1177" t="s">
        <v>45</v>
      </c>
      <c r="L1177">
        <v>66</v>
      </c>
      <c r="M1177">
        <v>3</v>
      </c>
      <c r="N1177">
        <v>2</v>
      </c>
      <c r="O1177" t="s">
        <v>52</v>
      </c>
      <c r="P1177">
        <v>2</v>
      </c>
      <c r="Q1177" t="s">
        <v>47</v>
      </c>
      <c r="R1177">
        <v>5295</v>
      </c>
      <c r="S1177">
        <v>7693</v>
      </c>
      <c r="T1177">
        <v>4</v>
      </c>
      <c r="U1177" t="s">
        <v>41</v>
      </c>
      <c r="V1177" t="s">
        <v>42</v>
      </c>
      <c r="W1177">
        <v>21</v>
      </c>
      <c r="X1177">
        <v>4</v>
      </c>
      <c r="Y1177">
        <v>3</v>
      </c>
      <c r="Z1177">
        <v>80</v>
      </c>
      <c r="AA1177">
        <v>0</v>
      </c>
      <c r="AB1177">
        <v>7</v>
      </c>
      <c r="AC1177">
        <v>3</v>
      </c>
      <c r="AD1177">
        <v>3</v>
      </c>
      <c r="AE1177">
        <v>5</v>
      </c>
      <c r="AF1177">
        <v>4</v>
      </c>
      <c r="AG1177">
        <v>1</v>
      </c>
      <c r="AH1177">
        <v>0</v>
      </c>
    </row>
    <row r="1178" spans="1:34" x14ac:dyDescent="0.2">
      <c r="A1178">
        <v>49</v>
      </c>
      <c r="B1178" t="s">
        <v>42</v>
      </c>
      <c r="C1178" t="s">
        <v>35</v>
      </c>
      <c r="D1178" t="s">
        <v>44</v>
      </c>
      <c r="E1178">
        <v>22</v>
      </c>
      <c r="F1178">
        <v>4</v>
      </c>
      <c r="G1178" t="s">
        <v>48</v>
      </c>
      <c r="H1178">
        <v>1</v>
      </c>
      <c r="I1178">
        <v>1655</v>
      </c>
      <c r="J1178">
        <v>1</v>
      </c>
      <c r="K1178" t="s">
        <v>38</v>
      </c>
      <c r="L1178">
        <v>72</v>
      </c>
      <c r="M1178">
        <v>3</v>
      </c>
      <c r="N1178">
        <v>4</v>
      </c>
      <c r="O1178" t="s">
        <v>57</v>
      </c>
      <c r="P1178">
        <v>2</v>
      </c>
      <c r="Q1178" t="s">
        <v>47</v>
      </c>
      <c r="R1178">
        <v>16413</v>
      </c>
      <c r="S1178">
        <v>3498</v>
      </c>
      <c r="T1178">
        <v>3</v>
      </c>
      <c r="U1178" t="s">
        <v>41</v>
      </c>
      <c r="V1178" t="s">
        <v>42</v>
      </c>
      <c r="W1178">
        <v>16</v>
      </c>
      <c r="X1178">
        <v>3</v>
      </c>
      <c r="Y1178">
        <v>2</v>
      </c>
      <c r="Z1178">
        <v>80</v>
      </c>
      <c r="AA1178">
        <v>2</v>
      </c>
      <c r="AB1178">
        <v>27</v>
      </c>
      <c r="AC1178">
        <v>2</v>
      </c>
      <c r="AD1178">
        <v>3</v>
      </c>
      <c r="AE1178">
        <v>4</v>
      </c>
      <c r="AF1178">
        <v>2</v>
      </c>
      <c r="AG1178">
        <v>1</v>
      </c>
      <c r="AH1178">
        <v>2</v>
      </c>
    </row>
    <row r="1179" spans="1:34" x14ac:dyDescent="0.2">
      <c r="A1179">
        <v>50</v>
      </c>
      <c r="B1179" t="s">
        <v>42</v>
      </c>
      <c r="C1179" t="s">
        <v>35</v>
      </c>
      <c r="D1179" t="s">
        <v>44</v>
      </c>
      <c r="E1179">
        <v>17</v>
      </c>
      <c r="F1179">
        <v>5</v>
      </c>
      <c r="G1179" t="s">
        <v>37</v>
      </c>
      <c r="H1179">
        <v>1</v>
      </c>
      <c r="I1179">
        <v>1656</v>
      </c>
      <c r="J1179">
        <v>4</v>
      </c>
      <c r="K1179" t="s">
        <v>38</v>
      </c>
      <c r="L1179">
        <v>50</v>
      </c>
      <c r="M1179">
        <v>2</v>
      </c>
      <c r="N1179">
        <v>3</v>
      </c>
      <c r="O1179" t="s">
        <v>57</v>
      </c>
      <c r="P1179">
        <v>1</v>
      </c>
      <c r="Q1179" t="s">
        <v>51</v>
      </c>
      <c r="R1179">
        <v>13269</v>
      </c>
      <c r="S1179">
        <v>21981</v>
      </c>
      <c r="T1179">
        <v>5</v>
      </c>
      <c r="U1179" t="s">
        <v>41</v>
      </c>
      <c r="V1179" t="s">
        <v>42</v>
      </c>
      <c r="W1179">
        <v>15</v>
      </c>
      <c r="X1179">
        <v>3</v>
      </c>
      <c r="Y1179">
        <v>3</v>
      </c>
      <c r="Z1179">
        <v>80</v>
      </c>
      <c r="AA1179">
        <v>3</v>
      </c>
      <c r="AB1179">
        <v>19</v>
      </c>
      <c r="AC1179">
        <v>3</v>
      </c>
      <c r="AD1179">
        <v>3</v>
      </c>
      <c r="AE1179">
        <v>14</v>
      </c>
      <c r="AF1179">
        <v>11</v>
      </c>
      <c r="AG1179">
        <v>1</v>
      </c>
      <c r="AH1179">
        <v>11</v>
      </c>
    </row>
    <row r="1180" spans="1:34" x14ac:dyDescent="0.2">
      <c r="A1180">
        <v>20</v>
      </c>
      <c r="B1180" t="s">
        <v>42</v>
      </c>
      <c r="C1180" t="s">
        <v>35</v>
      </c>
      <c r="D1180" t="s">
        <v>36</v>
      </c>
      <c r="E1180">
        <v>2</v>
      </c>
      <c r="F1180">
        <v>3</v>
      </c>
      <c r="G1180" t="s">
        <v>50</v>
      </c>
      <c r="H1180">
        <v>1</v>
      </c>
      <c r="I1180">
        <v>1657</v>
      </c>
      <c r="J1180">
        <v>3</v>
      </c>
      <c r="K1180" t="s">
        <v>38</v>
      </c>
      <c r="L1180">
        <v>31</v>
      </c>
      <c r="M1180">
        <v>3</v>
      </c>
      <c r="N1180">
        <v>1</v>
      </c>
      <c r="O1180" t="s">
        <v>56</v>
      </c>
      <c r="P1180">
        <v>3</v>
      </c>
      <c r="Q1180" t="s">
        <v>40</v>
      </c>
      <c r="R1180">
        <v>2783</v>
      </c>
      <c r="S1180">
        <v>13251</v>
      </c>
      <c r="T1180">
        <v>1</v>
      </c>
      <c r="U1180" t="s">
        <v>41</v>
      </c>
      <c r="V1180" t="s">
        <v>42</v>
      </c>
      <c r="W1180">
        <v>19</v>
      </c>
      <c r="X1180">
        <v>3</v>
      </c>
      <c r="Y1180">
        <v>1</v>
      </c>
      <c r="Z1180">
        <v>80</v>
      </c>
      <c r="AA1180">
        <v>0</v>
      </c>
      <c r="AB1180">
        <v>2</v>
      </c>
      <c r="AC1180">
        <v>3</v>
      </c>
      <c r="AD1180">
        <v>3</v>
      </c>
      <c r="AE1180">
        <v>2</v>
      </c>
      <c r="AF1180">
        <v>2</v>
      </c>
      <c r="AG1180">
        <v>2</v>
      </c>
      <c r="AH1180">
        <v>2</v>
      </c>
    </row>
    <row r="1181" spans="1:34" x14ac:dyDescent="0.2">
      <c r="A1181">
        <v>34</v>
      </c>
      <c r="B1181" t="s">
        <v>42</v>
      </c>
      <c r="C1181" t="s">
        <v>35</v>
      </c>
      <c r="D1181" t="s">
        <v>44</v>
      </c>
      <c r="E1181">
        <v>3</v>
      </c>
      <c r="F1181">
        <v>3</v>
      </c>
      <c r="G1181" t="s">
        <v>37</v>
      </c>
      <c r="H1181">
        <v>1</v>
      </c>
      <c r="I1181">
        <v>1658</v>
      </c>
      <c r="J1181">
        <v>4</v>
      </c>
      <c r="K1181" t="s">
        <v>38</v>
      </c>
      <c r="L1181">
        <v>66</v>
      </c>
      <c r="M1181">
        <v>3</v>
      </c>
      <c r="N1181">
        <v>2</v>
      </c>
      <c r="O1181" t="s">
        <v>46</v>
      </c>
      <c r="P1181">
        <v>2</v>
      </c>
      <c r="Q1181" t="s">
        <v>51</v>
      </c>
      <c r="R1181">
        <v>5433</v>
      </c>
      <c r="S1181">
        <v>19332</v>
      </c>
      <c r="T1181">
        <v>1</v>
      </c>
      <c r="U1181" t="s">
        <v>41</v>
      </c>
      <c r="V1181" t="s">
        <v>42</v>
      </c>
      <c r="W1181">
        <v>12</v>
      </c>
      <c r="X1181">
        <v>3</v>
      </c>
      <c r="Y1181">
        <v>3</v>
      </c>
      <c r="Z1181">
        <v>80</v>
      </c>
      <c r="AA1181">
        <v>1</v>
      </c>
      <c r="AB1181">
        <v>11</v>
      </c>
      <c r="AC1181">
        <v>2</v>
      </c>
      <c r="AD1181">
        <v>3</v>
      </c>
      <c r="AE1181">
        <v>11</v>
      </c>
      <c r="AF1181">
        <v>8</v>
      </c>
      <c r="AG1181">
        <v>7</v>
      </c>
      <c r="AH1181">
        <v>9</v>
      </c>
    </row>
    <row r="1182" spans="1:34" x14ac:dyDescent="0.2">
      <c r="A1182">
        <v>36</v>
      </c>
      <c r="B1182" t="s">
        <v>42</v>
      </c>
      <c r="C1182" t="s">
        <v>35</v>
      </c>
      <c r="D1182" t="s">
        <v>44</v>
      </c>
      <c r="E1182">
        <v>7</v>
      </c>
      <c r="F1182">
        <v>3</v>
      </c>
      <c r="G1182" t="s">
        <v>37</v>
      </c>
      <c r="H1182">
        <v>1</v>
      </c>
      <c r="I1182">
        <v>1659</v>
      </c>
      <c r="J1182">
        <v>1</v>
      </c>
      <c r="K1182" t="s">
        <v>45</v>
      </c>
      <c r="L1182">
        <v>77</v>
      </c>
      <c r="M1182">
        <v>3</v>
      </c>
      <c r="N1182">
        <v>1</v>
      </c>
      <c r="O1182" t="s">
        <v>49</v>
      </c>
      <c r="P1182">
        <v>2</v>
      </c>
      <c r="Q1182" t="s">
        <v>40</v>
      </c>
      <c r="R1182">
        <v>2013</v>
      </c>
      <c r="S1182">
        <v>10950</v>
      </c>
      <c r="T1182">
        <v>2</v>
      </c>
      <c r="U1182" t="s">
        <v>41</v>
      </c>
      <c r="V1182" t="s">
        <v>42</v>
      </c>
      <c r="W1182">
        <v>11</v>
      </c>
      <c r="X1182">
        <v>3</v>
      </c>
      <c r="Y1182">
        <v>3</v>
      </c>
      <c r="Z1182">
        <v>80</v>
      </c>
      <c r="AA1182">
        <v>0</v>
      </c>
      <c r="AB1182">
        <v>15</v>
      </c>
      <c r="AC1182">
        <v>4</v>
      </c>
      <c r="AD1182">
        <v>3</v>
      </c>
      <c r="AE1182">
        <v>4</v>
      </c>
      <c r="AF1182">
        <v>3</v>
      </c>
      <c r="AG1182">
        <v>1</v>
      </c>
      <c r="AH1182">
        <v>3</v>
      </c>
    </row>
    <row r="1183" spans="1:34" x14ac:dyDescent="0.2">
      <c r="A1183">
        <v>49</v>
      </c>
      <c r="B1183" t="s">
        <v>42</v>
      </c>
      <c r="C1183" t="s">
        <v>35</v>
      </c>
      <c r="D1183" t="s">
        <v>44</v>
      </c>
      <c r="E1183">
        <v>6</v>
      </c>
      <c r="F1183">
        <v>1</v>
      </c>
      <c r="G1183" t="s">
        <v>37</v>
      </c>
      <c r="H1183">
        <v>1</v>
      </c>
      <c r="I1183">
        <v>1661</v>
      </c>
      <c r="J1183">
        <v>3</v>
      </c>
      <c r="K1183" t="s">
        <v>38</v>
      </c>
      <c r="L1183">
        <v>41</v>
      </c>
      <c r="M1183">
        <v>2</v>
      </c>
      <c r="N1183">
        <v>4</v>
      </c>
      <c r="O1183" t="s">
        <v>53</v>
      </c>
      <c r="P1183">
        <v>3</v>
      </c>
      <c r="Q1183" t="s">
        <v>47</v>
      </c>
      <c r="R1183">
        <v>13966</v>
      </c>
      <c r="S1183">
        <v>11652</v>
      </c>
      <c r="T1183">
        <v>2</v>
      </c>
      <c r="U1183" t="s">
        <v>41</v>
      </c>
      <c r="V1183" t="s">
        <v>34</v>
      </c>
      <c r="W1183">
        <v>19</v>
      </c>
      <c r="X1183">
        <v>3</v>
      </c>
      <c r="Y1183">
        <v>2</v>
      </c>
      <c r="Z1183">
        <v>80</v>
      </c>
      <c r="AA1183">
        <v>1</v>
      </c>
      <c r="AB1183">
        <v>30</v>
      </c>
      <c r="AC1183">
        <v>3</v>
      </c>
      <c r="AD1183">
        <v>3</v>
      </c>
      <c r="AE1183">
        <v>15</v>
      </c>
      <c r="AF1183">
        <v>11</v>
      </c>
      <c r="AG1183">
        <v>2</v>
      </c>
      <c r="AH1183">
        <v>12</v>
      </c>
    </row>
    <row r="1184" spans="1:34" x14ac:dyDescent="0.2">
      <c r="A1184">
        <v>36</v>
      </c>
      <c r="B1184" t="s">
        <v>42</v>
      </c>
      <c r="C1184" t="s">
        <v>54</v>
      </c>
      <c r="D1184" t="s">
        <v>44</v>
      </c>
      <c r="E1184">
        <v>1</v>
      </c>
      <c r="F1184">
        <v>4</v>
      </c>
      <c r="G1184" t="s">
        <v>50</v>
      </c>
      <c r="H1184">
        <v>1</v>
      </c>
      <c r="I1184">
        <v>1662</v>
      </c>
      <c r="J1184">
        <v>4</v>
      </c>
      <c r="K1184" t="s">
        <v>38</v>
      </c>
      <c r="L1184">
        <v>33</v>
      </c>
      <c r="M1184">
        <v>2</v>
      </c>
      <c r="N1184">
        <v>2</v>
      </c>
      <c r="O1184" t="s">
        <v>52</v>
      </c>
      <c r="P1184">
        <v>3</v>
      </c>
      <c r="Q1184" t="s">
        <v>47</v>
      </c>
      <c r="R1184">
        <v>4374</v>
      </c>
      <c r="S1184">
        <v>15411</v>
      </c>
      <c r="T1184">
        <v>0</v>
      </c>
      <c r="U1184" t="s">
        <v>41</v>
      </c>
      <c r="V1184" t="s">
        <v>42</v>
      </c>
      <c r="W1184">
        <v>15</v>
      </c>
      <c r="X1184">
        <v>3</v>
      </c>
      <c r="Y1184">
        <v>3</v>
      </c>
      <c r="Z1184">
        <v>80</v>
      </c>
      <c r="AA1184">
        <v>0</v>
      </c>
      <c r="AB1184">
        <v>4</v>
      </c>
      <c r="AC1184">
        <v>6</v>
      </c>
      <c r="AD1184">
        <v>3</v>
      </c>
      <c r="AE1184">
        <v>3</v>
      </c>
      <c r="AF1184">
        <v>2</v>
      </c>
      <c r="AG1184">
        <v>1</v>
      </c>
      <c r="AH1184">
        <v>2</v>
      </c>
    </row>
    <row r="1185" spans="1:34" x14ac:dyDescent="0.2">
      <c r="A1185">
        <v>36</v>
      </c>
      <c r="B1185" t="s">
        <v>42</v>
      </c>
      <c r="C1185" t="s">
        <v>35</v>
      </c>
      <c r="D1185" t="s">
        <v>44</v>
      </c>
      <c r="E1185">
        <v>3</v>
      </c>
      <c r="F1185">
        <v>2</v>
      </c>
      <c r="G1185" t="s">
        <v>37</v>
      </c>
      <c r="H1185">
        <v>1</v>
      </c>
      <c r="I1185">
        <v>1664</v>
      </c>
      <c r="J1185">
        <v>4</v>
      </c>
      <c r="K1185" t="s">
        <v>45</v>
      </c>
      <c r="L1185">
        <v>79</v>
      </c>
      <c r="M1185">
        <v>4</v>
      </c>
      <c r="N1185">
        <v>2</v>
      </c>
      <c r="O1185" t="s">
        <v>53</v>
      </c>
      <c r="P1185">
        <v>1</v>
      </c>
      <c r="Q1185" t="s">
        <v>51</v>
      </c>
      <c r="R1185">
        <v>6842</v>
      </c>
      <c r="S1185">
        <v>26308</v>
      </c>
      <c r="T1185">
        <v>6</v>
      </c>
      <c r="U1185" t="s">
        <v>41</v>
      </c>
      <c r="V1185" t="s">
        <v>42</v>
      </c>
      <c r="W1185">
        <v>20</v>
      </c>
      <c r="X1185">
        <v>4</v>
      </c>
      <c r="Y1185">
        <v>1</v>
      </c>
      <c r="Z1185">
        <v>80</v>
      </c>
      <c r="AA1185">
        <v>1</v>
      </c>
      <c r="AB1185">
        <v>13</v>
      </c>
      <c r="AC1185">
        <v>3</v>
      </c>
      <c r="AD1185">
        <v>3</v>
      </c>
      <c r="AE1185">
        <v>5</v>
      </c>
      <c r="AF1185">
        <v>4</v>
      </c>
      <c r="AG1185">
        <v>0</v>
      </c>
      <c r="AH1185">
        <v>4</v>
      </c>
    </row>
    <row r="1186" spans="1:34" x14ac:dyDescent="0.2">
      <c r="A1186">
        <v>54</v>
      </c>
      <c r="B1186" t="s">
        <v>42</v>
      </c>
      <c r="C1186" t="s">
        <v>35</v>
      </c>
      <c r="D1186" t="s">
        <v>44</v>
      </c>
      <c r="E1186">
        <v>22</v>
      </c>
      <c r="F1186">
        <v>5</v>
      </c>
      <c r="G1186" t="s">
        <v>50</v>
      </c>
      <c r="H1186">
        <v>1</v>
      </c>
      <c r="I1186">
        <v>1665</v>
      </c>
      <c r="J1186">
        <v>2</v>
      </c>
      <c r="K1186" t="s">
        <v>38</v>
      </c>
      <c r="L1186">
        <v>91</v>
      </c>
      <c r="M1186">
        <v>3</v>
      </c>
      <c r="N1186">
        <v>4</v>
      </c>
      <c r="O1186" t="s">
        <v>55</v>
      </c>
      <c r="P1186">
        <v>3</v>
      </c>
      <c r="Q1186" t="s">
        <v>47</v>
      </c>
      <c r="R1186">
        <v>17426</v>
      </c>
      <c r="S1186">
        <v>18685</v>
      </c>
      <c r="T1186">
        <v>3</v>
      </c>
      <c r="U1186" t="s">
        <v>41</v>
      </c>
      <c r="V1186" t="s">
        <v>42</v>
      </c>
      <c r="W1186">
        <v>25</v>
      </c>
      <c r="X1186">
        <v>4</v>
      </c>
      <c r="Y1186">
        <v>3</v>
      </c>
      <c r="Z1186">
        <v>80</v>
      </c>
      <c r="AA1186">
        <v>1</v>
      </c>
      <c r="AB1186">
        <v>36</v>
      </c>
      <c r="AC1186">
        <v>6</v>
      </c>
      <c r="AD1186">
        <v>3</v>
      </c>
      <c r="AE1186">
        <v>10</v>
      </c>
      <c r="AF1186">
        <v>8</v>
      </c>
      <c r="AG1186">
        <v>4</v>
      </c>
      <c r="AH1186">
        <v>7</v>
      </c>
    </row>
    <row r="1187" spans="1:34" x14ac:dyDescent="0.2">
      <c r="A1187">
        <v>43</v>
      </c>
      <c r="B1187" t="s">
        <v>42</v>
      </c>
      <c r="C1187" t="s">
        <v>35</v>
      </c>
      <c r="D1187" t="s">
        <v>44</v>
      </c>
      <c r="E1187">
        <v>15</v>
      </c>
      <c r="F1187">
        <v>2</v>
      </c>
      <c r="G1187" t="s">
        <v>37</v>
      </c>
      <c r="H1187">
        <v>1</v>
      </c>
      <c r="I1187">
        <v>1666</v>
      </c>
      <c r="J1187">
        <v>3</v>
      </c>
      <c r="K1187" t="s">
        <v>45</v>
      </c>
      <c r="L1187">
        <v>65</v>
      </c>
      <c r="M1187">
        <v>2</v>
      </c>
      <c r="N1187">
        <v>4</v>
      </c>
      <c r="O1187" t="s">
        <v>57</v>
      </c>
      <c r="P1187">
        <v>3</v>
      </c>
      <c r="Q1187" t="s">
        <v>47</v>
      </c>
      <c r="R1187">
        <v>17603</v>
      </c>
      <c r="S1187">
        <v>3525</v>
      </c>
      <c r="T1187">
        <v>1</v>
      </c>
      <c r="U1187" t="s">
        <v>41</v>
      </c>
      <c r="V1187" t="s">
        <v>42</v>
      </c>
      <c r="W1187">
        <v>24</v>
      </c>
      <c r="X1187">
        <v>4</v>
      </c>
      <c r="Y1187">
        <v>1</v>
      </c>
      <c r="Z1187">
        <v>80</v>
      </c>
      <c r="AA1187">
        <v>1</v>
      </c>
      <c r="AB1187">
        <v>14</v>
      </c>
      <c r="AC1187">
        <v>3</v>
      </c>
      <c r="AD1187">
        <v>3</v>
      </c>
      <c r="AE1187">
        <v>14</v>
      </c>
      <c r="AF1187">
        <v>10</v>
      </c>
      <c r="AG1187">
        <v>6</v>
      </c>
      <c r="AH1187">
        <v>11</v>
      </c>
    </row>
    <row r="1188" spans="1:34" x14ac:dyDescent="0.2">
      <c r="A1188">
        <v>35</v>
      </c>
      <c r="B1188" t="s">
        <v>34</v>
      </c>
      <c r="C1188" t="s">
        <v>43</v>
      </c>
      <c r="D1188" t="s">
        <v>36</v>
      </c>
      <c r="E1188">
        <v>12</v>
      </c>
      <c r="F1188">
        <v>4</v>
      </c>
      <c r="G1188" t="s">
        <v>48</v>
      </c>
      <c r="H1188">
        <v>1</v>
      </c>
      <c r="I1188">
        <v>1667</v>
      </c>
      <c r="J1188">
        <v>4</v>
      </c>
      <c r="K1188" t="s">
        <v>45</v>
      </c>
      <c r="L1188">
        <v>36</v>
      </c>
      <c r="M1188">
        <v>3</v>
      </c>
      <c r="N1188">
        <v>2</v>
      </c>
      <c r="O1188" t="s">
        <v>39</v>
      </c>
      <c r="P1188">
        <v>4</v>
      </c>
      <c r="Q1188" t="s">
        <v>40</v>
      </c>
      <c r="R1188">
        <v>4581</v>
      </c>
      <c r="S1188">
        <v>10414</v>
      </c>
      <c r="T1188">
        <v>3</v>
      </c>
      <c r="U1188" t="s">
        <v>41</v>
      </c>
      <c r="V1188" t="s">
        <v>34</v>
      </c>
      <c r="W1188">
        <v>24</v>
      </c>
      <c r="X1188">
        <v>4</v>
      </c>
      <c r="Y1188">
        <v>1</v>
      </c>
      <c r="Z1188">
        <v>80</v>
      </c>
      <c r="AA1188">
        <v>0</v>
      </c>
      <c r="AB1188">
        <v>13</v>
      </c>
      <c r="AC1188">
        <v>2</v>
      </c>
      <c r="AD1188">
        <v>4</v>
      </c>
      <c r="AE1188">
        <v>11</v>
      </c>
      <c r="AF1188">
        <v>9</v>
      </c>
      <c r="AG1188">
        <v>6</v>
      </c>
      <c r="AH1188">
        <v>7</v>
      </c>
    </row>
    <row r="1189" spans="1:34" x14ac:dyDescent="0.2">
      <c r="A1189">
        <v>38</v>
      </c>
      <c r="B1189" t="s">
        <v>42</v>
      </c>
      <c r="C1189" t="s">
        <v>43</v>
      </c>
      <c r="D1189" t="s">
        <v>44</v>
      </c>
      <c r="E1189">
        <v>1</v>
      </c>
      <c r="F1189">
        <v>3</v>
      </c>
      <c r="G1189" t="s">
        <v>37</v>
      </c>
      <c r="H1189">
        <v>1</v>
      </c>
      <c r="I1189">
        <v>1668</v>
      </c>
      <c r="J1189">
        <v>4</v>
      </c>
      <c r="K1189" t="s">
        <v>45</v>
      </c>
      <c r="L1189">
        <v>90</v>
      </c>
      <c r="M1189">
        <v>3</v>
      </c>
      <c r="N1189">
        <v>2</v>
      </c>
      <c r="O1189" t="s">
        <v>46</v>
      </c>
      <c r="P1189">
        <v>4</v>
      </c>
      <c r="Q1189" t="s">
        <v>47</v>
      </c>
      <c r="R1189">
        <v>4735</v>
      </c>
      <c r="S1189">
        <v>9867</v>
      </c>
      <c r="T1189">
        <v>7</v>
      </c>
      <c r="U1189" t="s">
        <v>41</v>
      </c>
      <c r="V1189" t="s">
        <v>42</v>
      </c>
      <c r="W1189">
        <v>15</v>
      </c>
      <c r="X1189">
        <v>3</v>
      </c>
      <c r="Y1189">
        <v>4</v>
      </c>
      <c r="Z1189">
        <v>80</v>
      </c>
      <c r="AA1189">
        <v>2</v>
      </c>
      <c r="AB1189">
        <v>19</v>
      </c>
      <c r="AC1189">
        <v>4</v>
      </c>
      <c r="AD1189">
        <v>4</v>
      </c>
      <c r="AE1189">
        <v>13</v>
      </c>
      <c r="AF1189">
        <v>11</v>
      </c>
      <c r="AG1189">
        <v>2</v>
      </c>
      <c r="AH1189">
        <v>9</v>
      </c>
    </row>
    <row r="1190" spans="1:34" x14ac:dyDescent="0.2">
      <c r="A1190">
        <v>29</v>
      </c>
      <c r="B1190" t="s">
        <v>42</v>
      </c>
      <c r="C1190" t="s">
        <v>35</v>
      </c>
      <c r="D1190" t="s">
        <v>36</v>
      </c>
      <c r="E1190">
        <v>5</v>
      </c>
      <c r="F1190">
        <v>3</v>
      </c>
      <c r="G1190" t="s">
        <v>50</v>
      </c>
      <c r="H1190">
        <v>1</v>
      </c>
      <c r="I1190">
        <v>1669</v>
      </c>
      <c r="J1190">
        <v>1</v>
      </c>
      <c r="K1190" t="s">
        <v>45</v>
      </c>
      <c r="L1190">
        <v>43</v>
      </c>
      <c r="M1190">
        <v>2</v>
      </c>
      <c r="N1190">
        <v>2</v>
      </c>
      <c r="O1190" t="s">
        <v>39</v>
      </c>
      <c r="P1190">
        <v>2</v>
      </c>
      <c r="Q1190" t="s">
        <v>51</v>
      </c>
      <c r="R1190">
        <v>4187</v>
      </c>
      <c r="S1190">
        <v>3356</v>
      </c>
      <c r="T1190">
        <v>1</v>
      </c>
      <c r="U1190" t="s">
        <v>41</v>
      </c>
      <c r="V1190" t="s">
        <v>34</v>
      </c>
      <c r="W1190">
        <v>13</v>
      </c>
      <c r="X1190">
        <v>3</v>
      </c>
      <c r="Y1190">
        <v>2</v>
      </c>
      <c r="Z1190">
        <v>80</v>
      </c>
      <c r="AA1190">
        <v>1</v>
      </c>
      <c r="AB1190">
        <v>10</v>
      </c>
      <c r="AC1190">
        <v>3</v>
      </c>
      <c r="AD1190">
        <v>2</v>
      </c>
      <c r="AE1190">
        <v>10</v>
      </c>
      <c r="AF1190">
        <v>0</v>
      </c>
      <c r="AG1190">
        <v>0</v>
      </c>
      <c r="AH1190">
        <v>9</v>
      </c>
    </row>
    <row r="1191" spans="1:34" x14ac:dyDescent="0.2">
      <c r="A1191">
        <v>33</v>
      </c>
      <c r="B1191" t="s">
        <v>42</v>
      </c>
      <c r="C1191" t="s">
        <v>35</v>
      </c>
      <c r="D1191" t="s">
        <v>36</v>
      </c>
      <c r="E1191">
        <v>2</v>
      </c>
      <c r="F1191">
        <v>4</v>
      </c>
      <c r="G1191" t="s">
        <v>50</v>
      </c>
      <c r="H1191">
        <v>1</v>
      </c>
      <c r="I1191">
        <v>1670</v>
      </c>
      <c r="J1191">
        <v>4</v>
      </c>
      <c r="K1191" t="s">
        <v>45</v>
      </c>
      <c r="L1191">
        <v>93</v>
      </c>
      <c r="M1191">
        <v>3</v>
      </c>
      <c r="N1191">
        <v>2</v>
      </c>
      <c r="O1191" t="s">
        <v>39</v>
      </c>
      <c r="P1191">
        <v>4</v>
      </c>
      <c r="Q1191" t="s">
        <v>51</v>
      </c>
      <c r="R1191">
        <v>5505</v>
      </c>
      <c r="S1191">
        <v>3921</v>
      </c>
      <c r="T1191">
        <v>1</v>
      </c>
      <c r="U1191" t="s">
        <v>41</v>
      </c>
      <c r="V1191" t="s">
        <v>42</v>
      </c>
      <c r="W1191">
        <v>14</v>
      </c>
      <c r="X1191">
        <v>3</v>
      </c>
      <c r="Y1191">
        <v>3</v>
      </c>
      <c r="Z1191">
        <v>80</v>
      </c>
      <c r="AA1191">
        <v>2</v>
      </c>
      <c r="AB1191">
        <v>6</v>
      </c>
      <c r="AC1191">
        <v>5</v>
      </c>
      <c r="AD1191">
        <v>3</v>
      </c>
      <c r="AE1191">
        <v>6</v>
      </c>
      <c r="AF1191">
        <v>2</v>
      </c>
      <c r="AG1191">
        <v>0</v>
      </c>
      <c r="AH1191">
        <v>4</v>
      </c>
    </row>
    <row r="1192" spans="1:34" x14ac:dyDescent="0.2">
      <c r="A1192">
        <v>32</v>
      </c>
      <c r="B1192" t="s">
        <v>42</v>
      </c>
      <c r="C1192" t="s">
        <v>35</v>
      </c>
      <c r="D1192" t="s">
        <v>44</v>
      </c>
      <c r="E1192">
        <v>2</v>
      </c>
      <c r="F1192">
        <v>3</v>
      </c>
      <c r="G1192" t="s">
        <v>50</v>
      </c>
      <c r="H1192">
        <v>1</v>
      </c>
      <c r="I1192">
        <v>1671</v>
      </c>
      <c r="J1192">
        <v>4</v>
      </c>
      <c r="K1192" t="s">
        <v>45</v>
      </c>
      <c r="L1192">
        <v>45</v>
      </c>
      <c r="M1192">
        <v>3</v>
      </c>
      <c r="N1192">
        <v>2</v>
      </c>
      <c r="O1192" t="s">
        <v>46</v>
      </c>
      <c r="P1192">
        <v>2</v>
      </c>
      <c r="Q1192" t="s">
        <v>51</v>
      </c>
      <c r="R1192">
        <v>5470</v>
      </c>
      <c r="S1192">
        <v>25518</v>
      </c>
      <c r="T1192">
        <v>0</v>
      </c>
      <c r="U1192" t="s">
        <v>41</v>
      </c>
      <c r="V1192" t="s">
        <v>42</v>
      </c>
      <c r="W1192">
        <v>13</v>
      </c>
      <c r="X1192">
        <v>3</v>
      </c>
      <c r="Y1192">
        <v>3</v>
      </c>
      <c r="Z1192">
        <v>80</v>
      </c>
      <c r="AA1192">
        <v>2</v>
      </c>
      <c r="AB1192">
        <v>10</v>
      </c>
      <c r="AC1192">
        <v>4</v>
      </c>
      <c r="AD1192">
        <v>2</v>
      </c>
      <c r="AE1192">
        <v>9</v>
      </c>
      <c r="AF1192">
        <v>5</v>
      </c>
      <c r="AG1192">
        <v>1</v>
      </c>
      <c r="AH1192">
        <v>6</v>
      </c>
    </row>
    <row r="1193" spans="1:34" x14ac:dyDescent="0.2">
      <c r="A1193">
        <v>31</v>
      </c>
      <c r="B1193" t="s">
        <v>42</v>
      </c>
      <c r="C1193" t="s">
        <v>35</v>
      </c>
      <c r="D1193" t="s">
        <v>36</v>
      </c>
      <c r="E1193">
        <v>5</v>
      </c>
      <c r="F1193">
        <v>4</v>
      </c>
      <c r="G1193" t="s">
        <v>37</v>
      </c>
      <c r="H1193">
        <v>1</v>
      </c>
      <c r="I1193">
        <v>1673</v>
      </c>
      <c r="J1193">
        <v>1</v>
      </c>
      <c r="K1193" t="s">
        <v>38</v>
      </c>
      <c r="L1193">
        <v>67</v>
      </c>
      <c r="M1193">
        <v>3</v>
      </c>
      <c r="N1193">
        <v>2</v>
      </c>
      <c r="O1193" t="s">
        <v>39</v>
      </c>
      <c r="P1193">
        <v>4</v>
      </c>
      <c r="Q1193" t="s">
        <v>47</v>
      </c>
      <c r="R1193">
        <v>5476</v>
      </c>
      <c r="S1193">
        <v>22589</v>
      </c>
      <c r="T1193">
        <v>1</v>
      </c>
      <c r="U1193" t="s">
        <v>41</v>
      </c>
      <c r="V1193" t="s">
        <v>42</v>
      </c>
      <c r="W1193">
        <v>11</v>
      </c>
      <c r="X1193">
        <v>3</v>
      </c>
      <c r="Y1193">
        <v>1</v>
      </c>
      <c r="Z1193">
        <v>80</v>
      </c>
      <c r="AA1193">
        <v>2</v>
      </c>
      <c r="AB1193">
        <v>10</v>
      </c>
      <c r="AC1193">
        <v>2</v>
      </c>
      <c r="AD1193">
        <v>3</v>
      </c>
      <c r="AE1193">
        <v>10</v>
      </c>
      <c r="AF1193">
        <v>0</v>
      </c>
      <c r="AG1193">
        <v>0</v>
      </c>
      <c r="AH1193">
        <v>2</v>
      </c>
    </row>
    <row r="1194" spans="1:34" x14ac:dyDescent="0.2">
      <c r="A1194">
        <v>49</v>
      </c>
      <c r="B1194" t="s">
        <v>42</v>
      </c>
      <c r="C1194" t="s">
        <v>35</v>
      </c>
      <c r="D1194" t="s">
        <v>44</v>
      </c>
      <c r="E1194">
        <v>16</v>
      </c>
      <c r="F1194">
        <v>3</v>
      </c>
      <c r="G1194" t="s">
        <v>50</v>
      </c>
      <c r="H1194">
        <v>1</v>
      </c>
      <c r="I1194">
        <v>1674</v>
      </c>
      <c r="J1194">
        <v>4</v>
      </c>
      <c r="K1194" t="s">
        <v>38</v>
      </c>
      <c r="L1194">
        <v>74</v>
      </c>
      <c r="M1194">
        <v>3</v>
      </c>
      <c r="N1194">
        <v>1</v>
      </c>
      <c r="O1194" t="s">
        <v>49</v>
      </c>
      <c r="P1194">
        <v>1</v>
      </c>
      <c r="Q1194" t="s">
        <v>51</v>
      </c>
      <c r="R1194">
        <v>2587</v>
      </c>
      <c r="S1194">
        <v>24941</v>
      </c>
      <c r="T1194">
        <v>4</v>
      </c>
      <c r="U1194" t="s">
        <v>41</v>
      </c>
      <c r="V1194" t="s">
        <v>34</v>
      </c>
      <c r="W1194">
        <v>16</v>
      </c>
      <c r="X1194">
        <v>3</v>
      </c>
      <c r="Y1194">
        <v>2</v>
      </c>
      <c r="Z1194">
        <v>80</v>
      </c>
      <c r="AA1194">
        <v>1</v>
      </c>
      <c r="AB1194">
        <v>17</v>
      </c>
      <c r="AC1194">
        <v>2</v>
      </c>
      <c r="AD1194">
        <v>2</v>
      </c>
      <c r="AE1194">
        <v>2</v>
      </c>
      <c r="AF1194">
        <v>2</v>
      </c>
      <c r="AG1194">
        <v>2</v>
      </c>
      <c r="AH1194">
        <v>2</v>
      </c>
    </row>
    <row r="1195" spans="1:34" x14ac:dyDescent="0.2">
      <c r="A1195">
        <v>38</v>
      </c>
      <c r="B1195" t="s">
        <v>42</v>
      </c>
      <c r="C1195" t="s">
        <v>43</v>
      </c>
      <c r="D1195" t="s">
        <v>44</v>
      </c>
      <c r="E1195">
        <v>2</v>
      </c>
      <c r="F1195">
        <v>3</v>
      </c>
      <c r="G1195" t="s">
        <v>50</v>
      </c>
      <c r="H1195">
        <v>1</v>
      </c>
      <c r="I1195">
        <v>1675</v>
      </c>
      <c r="J1195">
        <v>4</v>
      </c>
      <c r="K1195" t="s">
        <v>38</v>
      </c>
      <c r="L1195">
        <v>42</v>
      </c>
      <c r="M1195">
        <v>2</v>
      </c>
      <c r="N1195">
        <v>1</v>
      </c>
      <c r="O1195" t="s">
        <v>49</v>
      </c>
      <c r="P1195">
        <v>2</v>
      </c>
      <c r="Q1195" t="s">
        <v>40</v>
      </c>
      <c r="R1195">
        <v>2440</v>
      </c>
      <c r="S1195">
        <v>23826</v>
      </c>
      <c r="T1195">
        <v>1</v>
      </c>
      <c r="U1195" t="s">
        <v>41</v>
      </c>
      <c r="V1195" t="s">
        <v>42</v>
      </c>
      <c r="W1195">
        <v>22</v>
      </c>
      <c r="X1195">
        <v>4</v>
      </c>
      <c r="Y1195">
        <v>2</v>
      </c>
      <c r="Z1195">
        <v>80</v>
      </c>
      <c r="AA1195">
        <v>0</v>
      </c>
      <c r="AB1195">
        <v>4</v>
      </c>
      <c r="AC1195">
        <v>3</v>
      </c>
      <c r="AD1195">
        <v>3</v>
      </c>
      <c r="AE1195">
        <v>4</v>
      </c>
      <c r="AF1195">
        <v>3</v>
      </c>
      <c r="AG1195">
        <v>3</v>
      </c>
      <c r="AH1195">
        <v>3</v>
      </c>
    </row>
    <row r="1196" spans="1:34" x14ac:dyDescent="0.2">
      <c r="A1196">
        <v>47</v>
      </c>
      <c r="B1196" t="s">
        <v>42</v>
      </c>
      <c r="C1196" t="s">
        <v>35</v>
      </c>
      <c r="D1196" t="s">
        <v>36</v>
      </c>
      <c r="E1196">
        <v>2</v>
      </c>
      <c r="F1196">
        <v>4</v>
      </c>
      <c r="G1196" t="s">
        <v>37</v>
      </c>
      <c r="H1196">
        <v>1</v>
      </c>
      <c r="I1196">
        <v>1676</v>
      </c>
      <c r="J1196">
        <v>2</v>
      </c>
      <c r="K1196" t="s">
        <v>38</v>
      </c>
      <c r="L1196">
        <v>47</v>
      </c>
      <c r="M1196">
        <v>4</v>
      </c>
      <c r="N1196">
        <v>4</v>
      </c>
      <c r="O1196" t="s">
        <v>55</v>
      </c>
      <c r="P1196">
        <v>2</v>
      </c>
      <c r="Q1196" t="s">
        <v>51</v>
      </c>
      <c r="R1196">
        <v>15972</v>
      </c>
      <c r="S1196">
        <v>21086</v>
      </c>
      <c r="T1196">
        <v>6</v>
      </c>
      <c r="U1196" t="s">
        <v>41</v>
      </c>
      <c r="V1196" t="s">
        <v>42</v>
      </c>
      <c r="W1196">
        <v>14</v>
      </c>
      <c r="X1196">
        <v>3</v>
      </c>
      <c r="Y1196">
        <v>3</v>
      </c>
      <c r="Z1196">
        <v>80</v>
      </c>
      <c r="AA1196">
        <v>3</v>
      </c>
      <c r="AB1196">
        <v>29</v>
      </c>
      <c r="AC1196">
        <v>2</v>
      </c>
      <c r="AD1196">
        <v>3</v>
      </c>
      <c r="AE1196">
        <v>3</v>
      </c>
      <c r="AF1196">
        <v>2</v>
      </c>
      <c r="AG1196">
        <v>1</v>
      </c>
      <c r="AH1196">
        <v>2</v>
      </c>
    </row>
    <row r="1197" spans="1:34" x14ac:dyDescent="0.2">
      <c r="A1197">
        <v>49</v>
      </c>
      <c r="B1197" t="s">
        <v>42</v>
      </c>
      <c r="C1197" t="s">
        <v>35</v>
      </c>
      <c r="D1197" t="s">
        <v>44</v>
      </c>
      <c r="E1197">
        <v>1</v>
      </c>
      <c r="F1197">
        <v>3</v>
      </c>
      <c r="G1197" t="s">
        <v>37</v>
      </c>
      <c r="H1197">
        <v>1</v>
      </c>
      <c r="I1197">
        <v>1677</v>
      </c>
      <c r="J1197">
        <v>3</v>
      </c>
      <c r="K1197" t="s">
        <v>45</v>
      </c>
      <c r="L1197">
        <v>36</v>
      </c>
      <c r="M1197">
        <v>3</v>
      </c>
      <c r="N1197">
        <v>4</v>
      </c>
      <c r="O1197" t="s">
        <v>55</v>
      </c>
      <c r="P1197">
        <v>3</v>
      </c>
      <c r="Q1197" t="s">
        <v>40</v>
      </c>
      <c r="R1197">
        <v>15379</v>
      </c>
      <c r="S1197">
        <v>22384</v>
      </c>
      <c r="T1197">
        <v>4</v>
      </c>
      <c r="U1197" t="s">
        <v>41</v>
      </c>
      <c r="V1197" t="s">
        <v>42</v>
      </c>
      <c r="W1197">
        <v>14</v>
      </c>
      <c r="X1197">
        <v>3</v>
      </c>
      <c r="Y1197">
        <v>1</v>
      </c>
      <c r="Z1197">
        <v>80</v>
      </c>
      <c r="AA1197">
        <v>0</v>
      </c>
      <c r="AB1197">
        <v>23</v>
      </c>
      <c r="AC1197">
        <v>2</v>
      </c>
      <c r="AD1197">
        <v>3</v>
      </c>
      <c r="AE1197">
        <v>8</v>
      </c>
      <c r="AF1197">
        <v>7</v>
      </c>
      <c r="AG1197">
        <v>0</v>
      </c>
      <c r="AH1197">
        <v>0</v>
      </c>
    </row>
    <row r="1198" spans="1:34" x14ac:dyDescent="0.2">
      <c r="A1198">
        <v>41</v>
      </c>
      <c r="B1198" t="s">
        <v>42</v>
      </c>
      <c r="C1198" t="s">
        <v>35</v>
      </c>
      <c r="D1198" t="s">
        <v>36</v>
      </c>
      <c r="E1198">
        <v>23</v>
      </c>
      <c r="F1198">
        <v>2</v>
      </c>
      <c r="G1198" t="s">
        <v>37</v>
      </c>
      <c r="H1198">
        <v>1</v>
      </c>
      <c r="I1198">
        <v>1678</v>
      </c>
      <c r="J1198">
        <v>4</v>
      </c>
      <c r="K1198" t="s">
        <v>45</v>
      </c>
      <c r="L1198">
        <v>80</v>
      </c>
      <c r="M1198">
        <v>3</v>
      </c>
      <c r="N1198">
        <v>3</v>
      </c>
      <c r="O1198" t="s">
        <v>39</v>
      </c>
      <c r="P1198">
        <v>3</v>
      </c>
      <c r="Q1198" t="s">
        <v>40</v>
      </c>
      <c r="R1198">
        <v>7082</v>
      </c>
      <c r="S1198">
        <v>11591</v>
      </c>
      <c r="T1198">
        <v>3</v>
      </c>
      <c r="U1198" t="s">
        <v>41</v>
      </c>
      <c r="V1198" t="s">
        <v>34</v>
      </c>
      <c r="W1198">
        <v>16</v>
      </c>
      <c r="X1198">
        <v>3</v>
      </c>
      <c r="Y1198">
        <v>4</v>
      </c>
      <c r="Z1198">
        <v>80</v>
      </c>
      <c r="AA1198">
        <v>0</v>
      </c>
      <c r="AB1198">
        <v>21</v>
      </c>
      <c r="AC1198">
        <v>2</v>
      </c>
      <c r="AD1198">
        <v>3</v>
      </c>
      <c r="AE1198">
        <v>2</v>
      </c>
      <c r="AF1198">
        <v>0</v>
      </c>
      <c r="AG1198">
        <v>0</v>
      </c>
      <c r="AH1198">
        <v>2</v>
      </c>
    </row>
    <row r="1199" spans="1:34" x14ac:dyDescent="0.2">
      <c r="A1199">
        <v>20</v>
      </c>
      <c r="B1199" t="s">
        <v>42</v>
      </c>
      <c r="C1199" t="s">
        <v>35</v>
      </c>
      <c r="D1199" t="s">
        <v>36</v>
      </c>
      <c r="E1199">
        <v>9</v>
      </c>
      <c r="F1199">
        <v>1</v>
      </c>
      <c r="G1199" t="s">
        <v>37</v>
      </c>
      <c r="H1199">
        <v>1</v>
      </c>
      <c r="I1199">
        <v>1680</v>
      </c>
      <c r="J1199">
        <v>4</v>
      </c>
      <c r="K1199" t="s">
        <v>45</v>
      </c>
      <c r="L1199">
        <v>54</v>
      </c>
      <c r="M1199">
        <v>3</v>
      </c>
      <c r="N1199">
        <v>1</v>
      </c>
      <c r="O1199" t="s">
        <v>56</v>
      </c>
      <c r="P1199">
        <v>1</v>
      </c>
      <c r="Q1199" t="s">
        <v>40</v>
      </c>
      <c r="R1199">
        <v>2728</v>
      </c>
      <c r="S1199">
        <v>21082</v>
      </c>
      <c r="T1199">
        <v>1</v>
      </c>
      <c r="U1199" t="s">
        <v>41</v>
      </c>
      <c r="V1199" t="s">
        <v>42</v>
      </c>
      <c r="W1199">
        <v>11</v>
      </c>
      <c r="X1199">
        <v>3</v>
      </c>
      <c r="Y1199">
        <v>1</v>
      </c>
      <c r="Z1199">
        <v>80</v>
      </c>
      <c r="AA1199">
        <v>0</v>
      </c>
      <c r="AB1199">
        <v>2</v>
      </c>
      <c r="AC1199">
        <v>3</v>
      </c>
      <c r="AD1199">
        <v>3</v>
      </c>
      <c r="AE1199">
        <v>2</v>
      </c>
      <c r="AF1199">
        <v>2</v>
      </c>
      <c r="AG1199">
        <v>0</v>
      </c>
      <c r="AH1199">
        <v>2</v>
      </c>
    </row>
    <row r="1200" spans="1:34" x14ac:dyDescent="0.2">
      <c r="A1200">
        <v>33</v>
      </c>
      <c r="B1200" t="s">
        <v>42</v>
      </c>
      <c r="C1200" t="s">
        <v>54</v>
      </c>
      <c r="D1200" t="s">
        <v>36</v>
      </c>
      <c r="E1200">
        <v>16</v>
      </c>
      <c r="F1200">
        <v>3</v>
      </c>
      <c r="G1200" t="s">
        <v>37</v>
      </c>
      <c r="H1200">
        <v>1</v>
      </c>
      <c r="I1200">
        <v>1681</v>
      </c>
      <c r="J1200">
        <v>3</v>
      </c>
      <c r="K1200" t="s">
        <v>38</v>
      </c>
      <c r="L1200">
        <v>36</v>
      </c>
      <c r="M1200">
        <v>3</v>
      </c>
      <c r="N1200">
        <v>2</v>
      </c>
      <c r="O1200" t="s">
        <v>39</v>
      </c>
      <c r="P1200">
        <v>4</v>
      </c>
      <c r="Q1200" t="s">
        <v>51</v>
      </c>
      <c r="R1200">
        <v>5368</v>
      </c>
      <c r="S1200">
        <v>16130</v>
      </c>
      <c r="T1200">
        <v>1</v>
      </c>
      <c r="U1200" t="s">
        <v>41</v>
      </c>
      <c r="V1200" t="s">
        <v>34</v>
      </c>
      <c r="W1200">
        <v>25</v>
      </c>
      <c r="X1200">
        <v>4</v>
      </c>
      <c r="Y1200">
        <v>3</v>
      </c>
      <c r="Z1200">
        <v>80</v>
      </c>
      <c r="AA1200">
        <v>1</v>
      </c>
      <c r="AB1200">
        <v>7</v>
      </c>
      <c r="AC1200">
        <v>2</v>
      </c>
      <c r="AD1200">
        <v>3</v>
      </c>
      <c r="AE1200">
        <v>6</v>
      </c>
      <c r="AF1200">
        <v>5</v>
      </c>
      <c r="AG1200">
        <v>1</v>
      </c>
      <c r="AH1200">
        <v>2</v>
      </c>
    </row>
    <row r="1201" spans="1:34" x14ac:dyDescent="0.2">
      <c r="A1201">
        <v>36</v>
      </c>
      <c r="B1201" t="s">
        <v>42</v>
      </c>
      <c r="C1201" t="s">
        <v>35</v>
      </c>
      <c r="D1201" t="s">
        <v>44</v>
      </c>
      <c r="E1201">
        <v>26</v>
      </c>
      <c r="F1201">
        <v>4</v>
      </c>
      <c r="G1201" t="s">
        <v>37</v>
      </c>
      <c r="H1201">
        <v>1</v>
      </c>
      <c r="I1201">
        <v>1682</v>
      </c>
      <c r="J1201">
        <v>1</v>
      </c>
      <c r="K1201" t="s">
        <v>45</v>
      </c>
      <c r="L1201">
        <v>80</v>
      </c>
      <c r="M1201">
        <v>3</v>
      </c>
      <c r="N1201">
        <v>2</v>
      </c>
      <c r="O1201" t="s">
        <v>53</v>
      </c>
      <c r="P1201">
        <v>3</v>
      </c>
      <c r="Q1201" t="s">
        <v>47</v>
      </c>
      <c r="R1201">
        <v>5347</v>
      </c>
      <c r="S1201">
        <v>7419</v>
      </c>
      <c r="T1201">
        <v>6</v>
      </c>
      <c r="U1201" t="s">
        <v>41</v>
      </c>
      <c r="V1201" t="s">
        <v>42</v>
      </c>
      <c r="W1201">
        <v>14</v>
      </c>
      <c r="X1201">
        <v>3</v>
      </c>
      <c r="Y1201">
        <v>2</v>
      </c>
      <c r="Z1201">
        <v>80</v>
      </c>
      <c r="AA1201">
        <v>2</v>
      </c>
      <c r="AB1201">
        <v>10</v>
      </c>
      <c r="AC1201">
        <v>2</v>
      </c>
      <c r="AD1201">
        <v>2</v>
      </c>
      <c r="AE1201">
        <v>3</v>
      </c>
      <c r="AF1201">
        <v>2</v>
      </c>
      <c r="AG1201">
        <v>0</v>
      </c>
      <c r="AH1201">
        <v>2</v>
      </c>
    </row>
    <row r="1202" spans="1:34" x14ac:dyDescent="0.2">
      <c r="A1202">
        <v>44</v>
      </c>
      <c r="B1202" t="s">
        <v>42</v>
      </c>
      <c r="C1202" t="s">
        <v>35</v>
      </c>
      <c r="D1202" t="s">
        <v>60</v>
      </c>
      <c r="E1202">
        <v>1</v>
      </c>
      <c r="F1202">
        <v>3</v>
      </c>
      <c r="G1202" t="s">
        <v>37</v>
      </c>
      <c r="H1202">
        <v>1</v>
      </c>
      <c r="I1202">
        <v>1683</v>
      </c>
      <c r="J1202">
        <v>3</v>
      </c>
      <c r="K1202" t="s">
        <v>38</v>
      </c>
      <c r="L1202">
        <v>44</v>
      </c>
      <c r="M1202">
        <v>3</v>
      </c>
      <c r="N1202">
        <v>1</v>
      </c>
      <c r="O1202" t="s">
        <v>60</v>
      </c>
      <c r="P1202">
        <v>4</v>
      </c>
      <c r="Q1202" t="s">
        <v>51</v>
      </c>
      <c r="R1202">
        <v>3195</v>
      </c>
      <c r="S1202">
        <v>4167</v>
      </c>
      <c r="T1202">
        <v>4</v>
      </c>
      <c r="U1202" t="s">
        <v>41</v>
      </c>
      <c r="V1202" t="s">
        <v>34</v>
      </c>
      <c r="W1202">
        <v>18</v>
      </c>
      <c r="X1202">
        <v>3</v>
      </c>
      <c r="Y1202">
        <v>1</v>
      </c>
      <c r="Z1202">
        <v>80</v>
      </c>
      <c r="AA1202">
        <v>3</v>
      </c>
      <c r="AB1202">
        <v>8</v>
      </c>
      <c r="AC1202">
        <v>2</v>
      </c>
      <c r="AD1202">
        <v>3</v>
      </c>
      <c r="AE1202">
        <v>2</v>
      </c>
      <c r="AF1202">
        <v>2</v>
      </c>
      <c r="AG1202">
        <v>2</v>
      </c>
      <c r="AH1202">
        <v>2</v>
      </c>
    </row>
    <row r="1203" spans="1:34" x14ac:dyDescent="0.2">
      <c r="A1203">
        <v>23</v>
      </c>
      <c r="B1203" t="s">
        <v>34</v>
      </c>
      <c r="C1203" t="s">
        <v>35</v>
      </c>
      <c r="D1203" t="s">
        <v>44</v>
      </c>
      <c r="E1203">
        <v>8</v>
      </c>
      <c r="F1203">
        <v>1</v>
      </c>
      <c r="G1203" t="s">
        <v>50</v>
      </c>
      <c r="H1203">
        <v>1</v>
      </c>
      <c r="I1203">
        <v>1684</v>
      </c>
      <c r="J1203">
        <v>4</v>
      </c>
      <c r="K1203" t="s">
        <v>45</v>
      </c>
      <c r="L1203">
        <v>93</v>
      </c>
      <c r="M1203">
        <v>2</v>
      </c>
      <c r="N1203">
        <v>1</v>
      </c>
      <c r="O1203" t="s">
        <v>49</v>
      </c>
      <c r="P1203">
        <v>3</v>
      </c>
      <c r="Q1203" t="s">
        <v>40</v>
      </c>
      <c r="R1203">
        <v>3989</v>
      </c>
      <c r="S1203">
        <v>20586</v>
      </c>
      <c r="T1203">
        <v>1</v>
      </c>
      <c r="U1203" t="s">
        <v>41</v>
      </c>
      <c r="V1203" t="s">
        <v>34</v>
      </c>
      <c r="W1203">
        <v>11</v>
      </c>
      <c r="X1203">
        <v>3</v>
      </c>
      <c r="Y1203">
        <v>1</v>
      </c>
      <c r="Z1203">
        <v>80</v>
      </c>
      <c r="AA1203">
        <v>0</v>
      </c>
      <c r="AB1203">
        <v>5</v>
      </c>
      <c r="AC1203">
        <v>2</v>
      </c>
      <c r="AD1203">
        <v>3</v>
      </c>
      <c r="AE1203">
        <v>5</v>
      </c>
      <c r="AF1203">
        <v>4</v>
      </c>
      <c r="AG1203">
        <v>1</v>
      </c>
      <c r="AH1203">
        <v>2</v>
      </c>
    </row>
    <row r="1204" spans="1:34" x14ac:dyDescent="0.2">
      <c r="A1204">
        <v>38</v>
      </c>
      <c r="B1204" t="s">
        <v>42</v>
      </c>
      <c r="C1204" t="s">
        <v>35</v>
      </c>
      <c r="D1204" t="s">
        <v>44</v>
      </c>
      <c r="E1204">
        <v>4</v>
      </c>
      <c r="F1204">
        <v>2</v>
      </c>
      <c r="G1204" t="s">
        <v>50</v>
      </c>
      <c r="H1204">
        <v>1</v>
      </c>
      <c r="I1204">
        <v>1687</v>
      </c>
      <c r="J1204">
        <v>4</v>
      </c>
      <c r="K1204" t="s">
        <v>38</v>
      </c>
      <c r="L1204">
        <v>87</v>
      </c>
      <c r="M1204">
        <v>3</v>
      </c>
      <c r="N1204">
        <v>1</v>
      </c>
      <c r="O1204" t="s">
        <v>49</v>
      </c>
      <c r="P1204">
        <v>3</v>
      </c>
      <c r="Q1204" t="s">
        <v>47</v>
      </c>
      <c r="R1204">
        <v>3306</v>
      </c>
      <c r="S1204">
        <v>26176</v>
      </c>
      <c r="T1204">
        <v>7</v>
      </c>
      <c r="U1204" t="s">
        <v>41</v>
      </c>
      <c r="V1204" t="s">
        <v>42</v>
      </c>
      <c r="W1204">
        <v>19</v>
      </c>
      <c r="X1204">
        <v>3</v>
      </c>
      <c r="Y1204">
        <v>4</v>
      </c>
      <c r="Z1204">
        <v>80</v>
      </c>
      <c r="AA1204">
        <v>1</v>
      </c>
      <c r="AB1204">
        <v>7</v>
      </c>
      <c r="AC1204">
        <v>5</v>
      </c>
      <c r="AD1204">
        <v>2</v>
      </c>
      <c r="AE1204">
        <v>0</v>
      </c>
      <c r="AF1204">
        <v>0</v>
      </c>
      <c r="AG1204">
        <v>0</v>
      </c>
      <c r="AH1204">
        <v>0</v>
      </c>
    </row>
    <row r="1205" spans="1:34" x14ac:dyDescent="0.2">
      <c r="A1205">
        <v>53</v>
      </c>
      <c r="B1205" t="s">
        <v>42</v>
      </c>
      <c r="C1205" t="s">
        <v>35</v>
      </c>
      <c r="D1205" t="s">
        <v>44</v>
      </c>
      <c r="E1205">
        <v>24</v>
      </c>
      <c r="F1205">
        <v>4</v>
      </c>
      <c r="G1205" t="s">
        <v>50</v>
      </c>
      <c r="H1205">
        <v>1</v>
      </c>
      <c r="I1205">
        <v>1689</v>
      </c>
      <c r="J1205">
        <v>2</v>
      </c>
      <c r="K1205" t="s">
        <v>45</v>
      </c>
      <c r="L1205">
        <v>48</v>
      </c>
      <c r="M1205">
        <v>4</v>
      </c>
      <c r="N1205">
        <v>3</v>
      </c>
      <c r="O1205" t="s">
        <v>53</v>
      </c>
      <c r="P1205">
        <v>4</v>
      </c>
      <c r="Q1205" t="s">
        <v>47</v>
      </c>
      <c r="R1205">
        <v>7005</v>
      </c>
      <c r="S1205">
        <v>3458</v>
      </c>
      <c r="T1205">
        <v>3</v>
      </c>
      <c r="U1205" t="s">
        <v>41</v>
      </c>
      <c r="V1205" t="s">
        <v>42</v>
      </c>
      <c r="W1205">
        <v>15</v>
      </c>
      <c r="X1205">
        <v>3</v>
      </c>
      <c r="Y1205">
        <v>3</v>
      </c>
      <c r="Z1205">
        <v>80</v>
      </c>
      <c r="AA1205">
        <v>0</v>
      </c>
      <c r="AB1205">
        <v>11</v>
      </c>
      <c r="AC1205">
        <v>2</v>
      </c>
      <c r="AD1205">
        <v>3</v>
      </c>
      <c r="AE1205">
        <v>4</v>
      </c>
      <c r="AF1205">
        <v>3</v>
      </c>
      <c r="AG1205">
        <v>1</v>
      </c>
      <c r="AH1205">
        <v>2</v>
      </c>
    </row>
    <row r="1206" spans="1:34" x14ac:dyDescent="0.2">
      <c r="A1206">
        <v>48</v>
      </c>
      <c r="B1206" t="s">
        <v>34</v>
      </c>
      <c r="C1206" t="s">
        <v>43</v>
      </c>
      <c r="D1206" t="s">
        <v>36</v>
      </c>
      <c r="E1206">
        <v>7</v>
      </c>
      <c r="F1206">
        <v>2</v>
      </c>
      <c r="G1206" t="s">
        <v>50</v>
      </c>
      <c r="H1206">
        <v>1</v>
      </c>
      <c r="I1206">
        <v>1691</v>
      </c>
      <c r="J1206">
        <v>4</v>
      </c>
      <c r="K1206" t="s">
        <v>38</v>
      </c>
      <c r="L1206">
        <v>95</v>
      </c>
      <c r="M1206">
        <v>3</v>
      </c>
      <c r="N1206">
        <v>1</v>
      </c>
      <c r="O1206" t="s">
        <v>56</v>
      </c>
      <c r="P1206">
        <v>3</v>
      </c>
      <c r="Q1206" t="s">
        <v>47</v>
      </c>
      <c r="R1206">
        <v>2655</v>
      </c>
      <c r="S1206">
        <v>11740</v>
      </c>
      <c r="T1206">
        <v>2</v>
      </c>
      <c r="U1206" t="s">
        <v>41</v>
      </c>
      <c r="V1206" t="s">
        <v>34</v>
      </c>
      <c r="W1206">
        <v>11</v>
      </c>
      <c r="X1206">
        <v>3</v>
      </c>
      <c r="Y1206">
        <v>3</v>
      </c>
      <c r="Z1206">
        <v>80</v>
      </c>
      <c r="AA1206">
        <v>2</v>
      </c>
      <c r="AB1206">
        <v>19</v>
      </c>
      <c r="AC1206">
        <v>3</v>
      </c>
      <c r="AD1206">
        <v>3</v>
      </c>
      <c r="AE1206">
        <v>9</v>
      </c>
      <c r="AF1206">
        <v>7</v>
      </c>
      <c r="AG1206">
        <v>7</v>
      </c>
      <c r="AH1206">
        <v>7</v>
      </c>
    </row>
    <row r="1207" spans="1:34" x14ac:dyDescent="0.2">
      <c r="A1207">
        <v>32</v>
      </c>
      <c r="B1207" t="s">
        <v>34</v>
      </c>
      <c r="C1207" t="s">
        <v>35</v>
      </c>
      <c r="D1207" t="s">
        <v>44</v>
      </c>
      <c r="E1207">
        <v>2</v>
      </c>
      <c r="F1207">
        <v>4</v>
      </c>
      <c r="G1207" t="s">
        <v>37</v>
      </c>
      <c r="H1207">
        <v>1</v>
      </c>
      <c r="I1207">
        <v>1692</v>
      </c>
      <c r="J1207">
        <v>4</v>
      </c>
      <c r="K1207" t="s">
        <v>45</v>
      </c>
      <c r="L1207">
        <v>95</v>
      </c>
      <c r="M1207">
        <v>3</v>
      </c>
      <c r="N1207">
        <v>1</v>
      </c>
      <c r="O1207" t="s">
        <v>49</v>
      </c>
      <c r="P1207">
        <v>2</v>
      </c>
      <c r="Q1207" t="s">
        <v>40</v>
      </c>
      <c r="R1207">
        <v>1393</v>
      </c>
      <c r="S1207">
        <v>24852</v>
      </c>
      <c r="T1207">
        <v>1</v>
      </c>
      <c r="U1207" t="s">
        <v>41</v>
      </c>
      <c r="V1207" t="s">
        <v>42</v>
      </c>
      <c r="W1207">
        <v>12</v>
      </c>
      <c r="X1207">
        <v>3</v>
      </c>
      <c r="Y1207">
        <v>1</v>
      </c>
      <c r="Z1207">
        <v>80</v>
      </c>
      <c r="AA1207">
        <v>0</v>
      </c>
      <c r="AB1207">
        <v>1</v>
      </c>
      <c r="AC1207">
        <v>2</v>
      </c>
      <c r="AD1207">
        <v>3</v>
      </c>
      <c r="AE1207">
        <v>1</v>
      </c>
      <c r="AF1207">
        <v>0</v>
      </c>
      <c r="AG1207">
        <v>0</v>
      </c>
      <c r="AH1207">
        <v>0</v>
      </c>
    </row>
    <row r="1208" spans="1:34" x14ac:dyDescent="0.2">
      <c r="A1208">
        <v>26</v>
      </c>
      <c r="B1208" t="s">
        <v>42</v>
      </c>
      <c r="C1208" t="s">
        <v>54</v>
      </c>
      <c r="D1208" t="s">
        <v>44</v>
      </c>
      <c r="E1208">
        <v>7</v>
      </c>
      <c r="F1208">
        <v>3</v>
      </c>
      <c r="G1208" t="s">
        <v>50</v>
      </c>
      <c r="H1208">
        <v>1</v>
      </c>
      <c r="I1208">
        <v>1693</v>
      </c>
      <c r="J1208">
        <v>4</v>
      </c>
      <c r="K1208" t="s">
        <v>45</v>
      </c>
      <c r="L1208">
        <v>76</v>
      </c>
      <c r="M1208">
        <v>3</v>
      </c>
      <c r="N1208">
        <v>1</v>
      </c>
      <c r="O1208" t="s">
        <v>49</v>
      </c>
      <c r="P1208">
        <v>4</v>
      </c>
      <c r="Q1208" t="s">
        <v>40</v>
      </c>
      <c r="R1208">
        <v>2570</v>
      </c>
      <c r="S1208">
        <v>11925</v>
      </c>
      <c r="T1208">
        <v>1</v>
      </c>
      <c r="U1208" t="s">
        <v>41</v>
      </c>
      <c r="V1208" t="s">
        <v>42</v>
      </c>
      <c r="W1208">
        <v>20</v>
      </c>
      <c r="X1208">
        <v>4</v>
      </c>
      <c r="Y1208">
        <v>3</v>
      </c>
      <c r="Z1208">
        <v>80</v>
      </c>
      <c r="AA1208">
        <v>0</v>
      </c>
      <c r="AB1208">
        <v>7</v>
      </c>
      <c r="AC1208">
        <v>5</v>
      </c>
      <c r="AD1208">
        <v>3</v>
      </c>
      <c r="AE1208">
        <v>7</v>
      </c>
      <c r="AF1208">
        <v>7</v>
      </c>
      <c r="AG1208">
        <v>5</v>
      </c>
      <c r="AH1208">
        <v>7</v>
      </c>
    </row>
    <row r="1209" spans="1:34" x14ac:dyDescent="0.2">
      <c r="A1209">
        <v>55</v>
      </c>
      <c r="B1209" t="s">
        <v>42</v>
      </c>
      <c r="C1209" t="s">
        <v>35</v>
      </c>
      <c r="D1209" t="s">
        <v>44</v>
      </c>
      <c r="E1209">
        <v>22</v>
      </c>
      <c r="F1209">
        <v>3</v>
      </c>
      <c r="G1209" t="s">
        <v>59</v>
      </c>
      <c r="H1209">
        <v>1</v>
      </c>
      <c r="I1209">
        <v>1694</v>
      </c>
      <c r="J1209">
        <v>1</v>
      </c>
      <c r="K1209" t="s">
        <v>45</v>
      </c>
      <c r="L1209">
        <v>94</v>
      </c>
      <c r="M1209">
        <v>2</v>
      </c>
      <c r="N1209">
        <v>1</v>
      </c>
      <c r="O1209" t="s">
        <v>46</v>
      </c>
      <c r="P1209">
        <v>2</v>
      </c>
      <c r="Q1209" t="s">
        <v>51</v>
      </c>
      <c r="R1209">
        <v>3537</v>
      </c>
      <c r="S1209">
        <v>23737</v>
      </c>
      <c r="T1209">
        <v>5</v>
      </c>
      <c r="U1209" t="s">
        <v>41</v>
      </c>
      <c r="V1209" t="s">
        <v>42</v>
      </c>
      <c r="W1209">
        <v>12</v>
      </c>
      <c r="X1209">
        <v>3</v>
      </c>
      <c r="Y1209">
        <v>4</v>
      </c>
      <c r="Z1209">
        <v>80</v>
      </c>
      <c r="AA1209">
        <v>1</v>
      </c>
      <c r="AB1209">
        <v>8</v>
      </c>
      <c r="AC1209">
        <v>1</v>
      </c>
      <c r="AD1209">
        <v>3</v>
      </c>
      <c r="AE1209">
        <v>4</v>
      </c>
      <c r="AF1209">
        <v>2</v>
      </c>
      <c r="AG1209">
        <v>1</v>
      </c>
      <c r="AH1209">
        <v>2</v>
      </c>
    </row>
    <row r="1210" spans="1:34" x14ac:dyDescent="0.2">
      <c r="A1210">
        <v>34</v>
      </c>
      <c r="B1210" t="s">
        <v>42</v>
      </c>
      <c r="C1210" t="s">
        <v>35</v>
      </c>
      <c r="D1210" t="s">
        <v>44</v>
      </c>
      <c r="E1210">
        <v>5</v>
      </c>
      <c r="F1210">
        <v>2</v>
      </c>
      <c r="G1210" t="s">
        <v>50</v>
      </c>
      <c r="H1210">
        <v>1</v>
      </c>
      <c r="I1210">
        <v>1696</v>
      </c>
      <c r="J1210">
        <v>2</v>
      </c>
      <c r="K1210" t="s">
        <v>45</v>
      </c>
      <c r="L1210">
        <v>57</v>
      </c>
      <c r="M1210">
        <v>2</v>
      </c>
      <c r="N1210">
        <v>2</v>
      </c>
      <c r="O1210" t="s">
        <v>49</v>
      </c>
      <c r="P1210">
        <v>4</v>
      </c>
      <c r="Q1210" t="s">
        <v>47</v>
      </c>
      <c r="R1210">
        <v>3986</v>
      </c>
      <c r="S1210">
        <v>11912</v>
      </c>
      <c r="T1210">
        <v>1</v>
      </c>
      <c r="U1210" t="s">
        <v>41</v>
      </c>
      <c r="V1210" t="s">
        <v>42</v>
      </c>
      <c r="W1210">
        <v>14</v>
      </c>
      <c r="X1210">
        <v>3</v>
      </c>
      <c r="Y1210">
        <v>3</v>
      </c>
      <c r="Z1210">
        <v>80</v>
      </c>
      <c r="AA1210">
        <v>1</v>
      </c>
      <c r="AB1210">
        <v>15</v>
      </c>
      <c r="AC1210">
        <v>3</v>
      </c>
      <c r="AD1210">
        <v>4</v>
      </c>
      <c r="AE1210">
        <v>15</v>
      </c>
      <c r="AF1210">
        <v>10</v>
      </c>
      <c r="AG1210">
        <v>4</v>
      </c>
      <c r="AH1210">
        <v>13</v>
      </c>
    </row>
    <row r="1211" spans="1:34" x14ac:dyDescent="0.2">
      <c r="A1211">
        <v>60</v>
      </c>
      <c r="B1211" t="s">
        <v>42</v>
      </c>
      <c r="C1211" t="s">
        <v>35</v>
      </c>
      <c r="D1211" t="s">
        <v>44</v>
      </c>
      <c r="E1211">
        <v>1</v>
      </c>
      <c r="F1211">
        <v>4</v>
      </c>
      <c r="G1211" t="s">
        <v>50</v>
      </c>
      <c r="H1211">
        <v>1</v>
      </c>
      <c r="I1211">
        <v>1697</v>
      </c>
      <c r="J1211">
        <v>3</v>
      </c>
      <c r="K1211" t="s">
        <v>45</v>
      </c>
      <c r="L1211">
        <v>92</v>
      </c>
      <c r="M1211">
        <v>1</v>
      </c>
      <c r="N1211">
        <v>3</v>
      </c>
      <c r="O1211" t="s">
        <v>53</v>
      </c>
      <c r="P1211">
        <v>4</v>
      </c>
      <c r="Q1211" t="s">
        <v>51</v>
      </c>
      <c r="R1211">
        <v>10883</v>
      </c>
      <c r="S1211">
        <v>20467</v>
      </c>
      <c r="T1211">
        <v>3</v>
      </c>
      <c r="U1211" t="s">
        <v>41</v>
      </c>
      <c r="V1211" t="s">
        <v>42</v>
      </c>
      <c r="W1211">
        <v>20</v>
      </c>
      <c r="X1211">
        <v>4</v>
      </c>
      <c r="Y1211">
        <v>3</v>
      </c>
      <c r="Z1211">
        <v>80</v>
      </c>
      <c r="AA1211">
        <v>1</v>
      </c>
      <c r="AB1211">
        <v>19</v>
      </c>
      <c r="AC1211">
        <v>2</v>
      </c>
      <c r="AD1211">
        <v>4</v>
      </c>
      <c r="AE1211">
        <v>1</v>
      </c>
      <c r="AF1211">
        <v>0</v>
      </c>
      <c r="AG1211">
        <v>0</v>
      </c>
      <c r="AH1211">
        <v>0</v>
      </c>
    </row>
    <row r="1212" spans="1:34" x14ac:dyDescent="0.2">
      <c r="A1212">
        <v>33</v>
      </c>
      <c r="B1212" t="s">
        <v>42</v>
      </c>
      <c r="C1212" t="s">
        <v>35</v>
      </c>
      <c r="D1212" t="s">
        <v>44</v>
      </c>
      <c r="E1212">
        <v>21</v>
      </c>
      <c r="F1212">
        <v>3</v>
      </c>
      <c r="G1212" t="s">
        <v>50</v>
      </c>
      <c r="H1212">
        <v>1</v>
      </c>
      <c r="I1212">
        <v>1698</v>
      </c>
      <c r="J1212">
        <v>2</v>
      </c>
      <c r="K1212" t="s">
        <v>45</v>
      </c>
      <c r="L1212">
        <v>79</v>
      </c>
      <c r="M1212">
        <v>4</v>
      </c>
      <c r="N1212">
        <v>1</v>
      </c>
      <c r="O1212" t="s">
        <v>49</v>
      </c>
      <c r="P1212">
        <v>2</v>
      </c>
      <c r="Q1212" t="s">
        <v>47</v>
      </c>
      <c r="R1212">
        <v>2028</v>
      </c>
      <c r="S1212">
        <v>13637</v>
      </c>
      <c r="T1212">
        <v>1</v>
      </c>
      <c r="U1212" t="s">
        <v>41</v>
      </c>
      <c r="V1212" t="s">
        <v>42</v>
      </c>
      <c r="W1212">
        <v>18</v>
      </c>
      <c r="X1212">
        <v>3</v>
      </c>
      <c r="Y1212">
        <v>4</v>
      </c>
      <c r="Z1212">
        <v>80</v>
      </c>
      <c r="AA1212">
        <v>3</v>
      </c>
      <c r="AB1212">
        <v>14</v>
      </c>
      <c r="AC1212">
        <v>6</v>
      </c>
      <c r="AD1212">
        <v>3</v>
      </c>
      <c r="AE1212">
        <v>14</v>
      </c>
      <c r="AF1212">
        <v>11</v>
      </c>
      <c r="AG1212">
        <v>2</v>
      </c>
      <c r="AH1212">
        <v>13</v>
      </c>
    </row>
    <row r="1213" spans="1:34" x14ac:dyDescent="0.2">
      <c r="A1213">
        <v>37</v>
      </c>
      <c r="B1213" t="s">
        <v>42</v>
      </c>
      <c r="C1213" t="s">
        <v>43</v>
      </c>
      <c r="D1213" t="s">
        <v>36</v>
      </c>
      <c r="E1213">
        <v>1</v>
      </c>
      <c r="F1213">
        <v>4</v>
      </c>
      <c r="G1213" t="s">
        <v>50</v>
      </c>
      <c r="H1213">
        <v>1</v>
      </c>
      <c r="I1213">
        <v>1700</v>
      </c>
      <c r="J1213">
        <v>3</v>
      </c>
      <c r="K1213" t="s">
        <v>45</v>
      </c>
      <c r="L1213">
        <v>31</v>
      </c>
      <c r="M1213">
        <v>1</v>
      </c>
      <c r="N1213">
        <v>2</v>
      </c>
      <c r="O1213" t="s">
        <v>39</v>
      </c>
      <c r="P1213">
        <v>4</v>
      </c>
      <c r="Q1213" t="s">
        <v>51</v>
      </c>
      <c r="R1213">
        <v>9525</v>
      </c>
      <c r="S1213">
        <v>7677</v>
      </c>
      <c r="T1213">
        <v>1</v>
      </c>
      <c r="U1213" t="s">
        <v>41</v>
      </c>
      <c r="V1213" t="s">
        <v>42</v>
      </c>
      <c r="W1213">
        <v>14</v>
      </c>
      <c r="X1213">
        <v>3</v>
      </c>
      <c r="Y1213">
        <v>3</v>
      </c>
      <c r="Z1213">
        <v>80</v>
      </c>
      <c r="AA1213">
        <v>2</v>
      </c>
      <c r="AB1213">
        <v>6</v>
      </c>
      <c r="AC1213">
        <v>2</v>
      </c>
      <c r="AD1213">
        <v>2</v>
      </c>
      <c r="AE1213">
        <v>6</v>
      </c>
      <c r="AF1213">
        <v>3</v>
      </c>
      <c r="AG1213">
        <v>1</v>
      </c>
      <c r="AH1213">
        <v>3</v>
      </c>
    </row>
    <row r="1214" spans="1:34" x14ac:dyDescent="0.2">
      <c r="A1214">
        <v>34</v>
      </c>
      <c r="B1214" t="s">
        <v>42</v>
      </c>
      <c r="C1214" t="s">
        <v>35</v>
      </c>
      <c r="D1214" t="s">
        <v>44</v>
      </c>
      <c r="E1214">
        <v>19</v>
      </c>
      <c r="F1214">
        <v>3</v>
      </c>
      <c r="G1214" t="s">
        <v>37</v>
      </c>
      <c r="H1214">
        <v>1</v>
      </c>
      <c r="I1214">
        <v>1701</v>
      </c>
      <c r="J1214">
        <v>2</v>
      </c>
      <c r="K1214" t="s">
        <v>38</v>
      </c>
      <c r="L1214">
        <v>35</v>
      </c>
      <c r="M1214">
        <v>2</v>
      </c>
      <c r="N1214">
        <v>1</v>
      </c>
      <c r="O1214" t="s">
        <v>46</v>
      </c>
      <c r="P1214">
        <v>4</v>
      </c>
      <c r="Q1214" t="s">
        <v>47</v>
      </c>
      <c r="R1214">
        <v>2929</v>
      </c>
      <c r="S1214">
        <v>20338</v>
      </c>
      <c r="T1214">
        <v>1</v>
      </c>
      <c r="U1214" t="s">
        <v>41</v>
      </c>
      <c r="V1214" t="s">
        <v>42</v>
      </c>
      <c r="W1214">
        <v>12</v>
      </c>
      <c r="X1214">
        <v>3</v>
      </c>
      <c r="Y1214">
        <v>2</v>
      </c>
      <c r="Z1214">
        <v>80</v>
      </c>
      <c r="AA1214">
        <v>0</v>
      </c>
      <c r="AB1214">
        <v>10</v>
      </c>
      <c r="AC1214">
        <v>3</v>
      </c>
      <c r="AD1214">
        <v>3</v>
      </c>
      <c r="AE1214">
        <v>10</v>
      </c>
      <c r="AF1214">
        <v>9</v>
      </c>
      <c r="AG1214">
        <v>8</v>
      </c>
      <c r="AH1214">
        <v>7</v>
      </c>
    </row>
    <row r="1215" spans="1:34" x14ac:dyDescent="0.2">
      <c r="A1215">
        <v>23</v>
      </c>
      <c r="B1215" t="s">
        <v>34</v>
      </c>
      <c r="C1215" t="s">
        <v>35</v>
      </c>
      <c r="D1215" t="s">
        <v>36</v>
      </c>
      <c r="E1215">
        <v>7</v>
      </c>
      <c r="F1215">
        <v>3</v>
      </c>
      <c r="G1215" t="s">
        <v>37</v>
      </c>
      <c r="H1215">
        <v>1</v>
      </c>
      <c r="I1215">
        <v>1702</v>
      </c>
      <c r="J1215">
        <v>3</v>
      </c>
      <c r="K1215" t="s">
        <v>45</v>
      </c>
      <c r="L1215">
        <v>99</v>
      </c>
      <c r="M1215">
        <v>3</v>
      </c>
      <c r="N1215">
        <v>1</v>
      </c>
      <c r="O1215" t="s">
        <v>56</v>
      </c>
      <c r="P1215">
        <v>4</v>
      </c>
      <c r="Q1215" t="s">
        <v>51</v>
      </c>
      <c r="R1215">
        <v>2275</v>
      </c>
      <c r="S1215">
        <v>25103</v>
      </c>
      <c r="T1215">
        <v>1</v>
      </c>
      <c r="U1215" t="s">
        <v>41</v>
      </c>
      <c r="V1215" t="s">
        <v>34</v>
      </c>
      <c r="W1215">
        <v>21</v>
      </c>
      <c r="X1215">
        <v>4</v>
      </c>
      <c r="Y1215">
        <v>2</v>
      </c>
      <c r="Z1215">
        <v>80</v>
      </c>
      <c r="AA1215">
        <v>1</v>
      </c>
      <c r="AB1215">
        <v>3</v>
      </c>
      <c r="AC1215">
        <v>2</v>
      </c>
      <c r="AD1215">
        <v>3</v>
      </c>
      <c r="AE1215">
        <v>3</v>
      </c>
      <c r="AF1215">
        <v>2</v>
      </c>
      <c r="AG1215">
        <v>0</v>
      </c>
      <c r="AH1215">
        <v>2</v>
      </c>
    </row>
    <row r="1216" spans="1:34" x14ac:dyDescent="0.2">
      <c r="A1216">
        <v>44</v>
      </c>
      <c r="B1216" t="s">
        <v>42</v>
      </c>
      <c r="C1216" t="s">
        <v>35</v>
      </c>
      <c r="D1216" t="s">
        <v>44</v>
      </c>
      <c r="E1216">
        <v>2</v>
      </c>
      <c r="F1216">
        <v>3</v>
      </c>
      <c r="G1216" t="s">
        <v>37</v>
      </c>
      <c r="H1216">
        <v>1</v>
      </c>
      <c r="I1216">
        <v>1703</v>
      </c>
      <c r="J1216">
        <v>3</v>
      </c>
      <c r="K1216" t="s">
        <v>38</v>
      </c>
      <c r="L1216">
        <v>96</v>
      </c>
      <c r="M1216">
        <v>4</v>
      </c>
      <c r="N1216">
        <v>3</v>
      </c>
      <c r="O1216" t="s">
        <v>53</v>
      </c>
      <c r="P1216">
        <v>4</v>
      </c>
      <c r="Q1216" t="s">
        <v>47</v>
      </c>
      <c r="R1216">
        <v>7879</v>
      </c>
      <c r="S1216">
        <v>14810</v>
      </c>
      <c r="T1216">
        <v>1</v>
      </c>
      <c r="U1216" t="s">
        <v>41</v>
      </c>
      <c r="V1216" t="s">
        <v>34</v>
      </c>
      <c r="W1216">
        <v>19</v>
      </c>
      <c r="X1216">
        <v>3</v>
      </c>
      <c r="Y1216">
        <v>2</v>
      </c>
      <c r="Z1216">
        <v>80</v>
      </c>
      <c r="AA1216">
        <v>1</v>
      </c>
      <c r="AB1216">
        <v>9</v>
      </c>
      <c r="AC1216">
        <v>2</v>
      </c>
      <c r="AD1216">
        <v>3</v>
      </c>
      <c r="AE1216">
        <v>8</v>
      </c>
      <c r="AF1216">
        <v>7</v>
      </c>
      <c r="AG1216">
        <v>6</v>
      </c>
      <c r="AH1216">
        <v>7</v>
      </c>
    </row>
    <row r="1217" spans="1:34" x14ac:dyDescent="0.2">
      <c r="A1217">
        <v>35</v>
      </c>
      <c r="B1217" t="s">
        <v>42</v>
      </c>
      <c r="C1217" t="s">
        <v>43</v>
      </c>
      <c r="D1217" t="s">
        <v>44</v>
      </c>
      <c r="E1217">
        <v>2</v>
      </c>
      <c r="F1217">
        <v>4</v>
      </c>
      <c r="G1217" t="s">
        <v>50</v>
      </c>
      <c r="H1217">
        <v>1</v>
      </c>
      <c r="I1217">
        <v>1704</v>
      </c>
      <c r="J1217">
        <v>1</v>
      </c>
      <c r="K1217" t="s">
        <v>45</v>
      </c>
      <c r="L1217">
        <v>79</v>
      </c>
      <c r="M1217">
        <v>2</v>
      </c>
      <c r="N1217">
        <v>1</v>
      </c>
      <c r="O1217" t="s">
        <v>46</v>
      </c>
      <c r="P1217">
        <v>4</v>
      </c>
      <c r="Q1217" t="s">
        <v>40</v>
      </c>
      <c r="R1217">
        <v>4930</v>
      </c>
      <c r="S1217">
        <v>13970</v>
      </c>
      <c r="T1217">
        <v>0</v>
      </c>
      <c r="U1217" t="s">
        <v>41</v>
      </c>
      <c r="V1217" t="s">
        <v>34</v>
      </c>
      <c r="W1217">
        <v>14</v>
      </c>
      <c r="X1217">
        <v>3</v>
      </c>
      <c r="Y1217">
        <v>3</v>
      </c>
      <c r="Z1217">
        <v>80</v>
      </c>
      <c r="AA1217">
        <v>0</v>
      </c>
      <c r="AB1217">
        <v>6</v>
      </c>
      <c r="AC1217">
        <v>2</v>
      </c>
      <c r="AD1217">
        <v>4</v>
      </c>
      <c r="AE1217">
        <v>5</v>
      </c>
      <c r="AF1217">
        <v>4</v>
      </c>
      <c r="AG1217">
        <v>1</v>
      </c>
      <c r="AH1217">
        <v>4</v>
      </c>
    </row>
    <row r="1218" spans="1:34" x14ac:dyDescent="0.2">
      <c r="A1218">
        <v>43</v>
      </c>
      <c r="B1218" t="s">
        <v>42</v>
      </c>
      <c r="C1218" t="s">
        <v>35</v>
      </c>
      <c r="D1218" t="s">
        <v>36</v>
      </c>
      <c r="E1218">
        <v>2</v>
      </c>
      <c r="F1218">
        <v>3</v>
      </c>
      <c r="G1218" t="s">
        <v>50</v>
      </c>
      <c r="H1218">
        <v>1</v>
      </c>
      <c r="I1218">
        <v>1706</v>
      </c>
      <c r="J1218">
        <v>4</v>
      </c>
      <c r="K1218" t="s">
        <v>45</v>
      </c>
      <c r="L1218">
        <v>73</v>
      </c>
      <c r="M1218">
        <v>3</v>
      </c>
      <c r="N1218">
        <v>2</v>
      </c>
      <c r="O1218" t="s">
        <v>39</v>
      </c>
      <c r="P1218">
        <v>4</v>
      </c>
      <c r="Q1218" t="s">
        <v>47</v>
      </c>
      <c r="R1218">
        <v>7847</v>
      </c>
      <c r="S1218">
        <v>6069</v>
      </c>
      <c r="T1218">
        <v>1</v>
      </c>
      <c r="U1218" t="s">
        <v>41</v>
      </c>
      <c r="V1218" t="s">
        <v>34</v>
      </c>
      <c r="W1218">
        <v>17</v>
      </c>
      <c r="X1218">
        <v>3</v>
      </c>
      <c r="Y1218">
        <v>1</v>
      </c>
      <c r="Z1218">
        <v>80</v>
      </c>
      <c r="AA1218">
        <v>1</v>
      </c>
      <c r="AB1218">
        <v>10</v>
      </c>
      <c r="AC1218">
        <v>3</v>
      </c>
      <c r="AD1218">
        <v>3</v>
      </c>
      <c r="AE1218">
        <v>10</v>
      </c>
      <c r="AF1218">
        <v>9</v>
      </c>
      <c r="AG1218">
        <v>8</v>
      </c>
      <c r="AH1218">
        <v>8</v>
      </c>
    </row>
    <row r="1219" spans="1:34" x14ac:dyDescent="0.2">
      <c r="A1219">
        <v>24</v>
      </c>
      <c r="B1219" t="s">
        <v>42</v>
      </c>
      <c r="C1219" t="s">
        <v>35</v>
      </c>
      <c r="D1219" t="s">
        <v>44</v>
      </c>
      <c r="E1219">
        <v>9</v>
      </c>
      <c r="F1219">
        <v>3</v>
      </c>
      <c r="G1219" t="s">
        <v>50</v>
      </c>
      <c r="H1219">
        <v>1</v>
      </c>
      <c r="I1219">
        <v>1707</v>
      </c>
      <c r="J1219">
        <v>3</v>
      </c>
      <c r="K1219" t="s">
        <v>45</v>
      </c>
      <c r="L1219">
        <v>62</v>
      </c>
      <c r="M1219">
        <v>4</v>
      </c>
      <c r="N1219">
        <v>1</v>
      </c>
      <c r="O1219" t="s">
        <v>46</v>
      </c>
      <c r="P1219">
        <v>3</v>
      </c>
      <c r="Q1219" t="s">
        <v>47</v>
      </c>
      <c r="R1219">
        <v>4401</v>
      </c>
      <c r="S1219">
        <v>17616</v>
      </c>
      <c r="T1219">
        <v>1</v>
      </c>
      <c r="U1219" t="s">
        <v>41</v>
      </c>
      <c r="V1219" t="s">
        <v>42</v>
      </c>
      <c r="W1219">
        <v>16</v>
      </c>
      <c r="X1219">
        <v>3</v>
      </c>
      <c r="Y1219">
        <v>4</v>
      </c>
      <c r="Z1219">
        <v>80</v>
      </c>
      <c r="AA1219">
        <v>1</v>
      </c>
      <c r="AB1219">
        <v>5</v>
      </c>
      <c r="AC1219">
        <v>1</v>
      </c>
      <c r="AD1219">
        <v>3</v>
      </c>
      <c r="AE1219">
        <v>5</v>
      </c>
      <c r="AF1219">
        <v>3</v>
      </c>
      <c r="AG1219">
        <v>0</v>
      </c>
      <c r="AH1219">
        <v>4</v>
      </c>
    </row>
    <row r="1220" spans="1:34" x14ac:dyDescent="0.2">
      <c r="A1220">
        <v>41</v>
      </c>
      <c r="B1220" t="s">
        <v>42</v>
      </c>
      <c r="C1220" t="s">
        <v>35</v>
      </c>
      <c r="D1220" t="s">
        <v>36</v>
      </c>
      <c r="E1220">
        <v>6</v>
      </c>
      <c r="F1220">
        <v>3</v>
      </c>
      <c r="G1220" t="s">
        <v>58</v>
      </c>
      <c r="H1220">
        <v>1</v>
      </c>
      <c r="I1220">
        <v>1708</v>
      </c>
      <c r="J1220">
        <v>4</v>
      </c>
      <c r="K1220" t="s">
        <v>45</v>
      </c>
      <c r="L1220">
        <v>35</v>
      </c>
      <c r="M1220">
        <v>3</v>
      </c>
      <c r="N1220">
        <v>3</v>
      </c>
      <c r="O1220" t="s">
        <v>39</v>
      </c>
      <c r="P1220">
        <v>3</v>
      </c>
      <c r="Q1220" t="s">
        <v>40</v>
      </c>
      <c r="R1220">
        <v>9241</v>
      </c>
      <c r="S1220">
        <v>15869</v>
      </c>
      <c r="T1220">
        <v>1</v>
      </c>
      <c r="U1220" t="s">
        <v>41</v>
      </c>
      <c r="V1220" t="s">
        <v>42</v>
      </c>
      <c r="W1220">
        <v>12</v>
      </c>
      <c r="X1220">
        <v>3</v>
      </c>
      <c r="Y1220">
        <v>2</v>
      </c>
      <c r="Z1220">
        <v>80</v>
      </c>
      <c r="AA1220">
        <v>0</v>
      </c>
      <c r="AB1220">
        <v>10</v>
      </c>
      <c r="AC1220">
        <v>3</v>
      </c>
      <c r="AD1220">
        <v>3</v>
      </c>
      <c r="AE1220">
        <v>10</v>
      </c>
      <c r="AF1220">
        <v>8</v>
      </c>
      <c r="AG1220">
        <v>8</v>
      </c>
      <c r="AH1220">
        <v>7</v>
      </c>
    </row>
    <row r="1221" spans="1:34" x14ac:dyDescent="0.2">
      <c r="A1221">
        <v>29</v>
      </c>
      <c r="B1221" t="s">
        <v>42</v>
      </c>
      <c r="C1221" t="s">
        <v>35</v>
      </c>
      <c r="D1221" t="s">
        <v>44</v>
      </c>
      <c r="E1221">
        <v>9</v>
      </c>
      <c r="F1221">
        <v>4</v>
      </c>
      <c r="G1221" t="s">
        <v>50</v>
      </c>
      <c r="H1221">
        <v>1</v>
      </c>
      <c r="I1221">
        <v>1709</v>
      </c>
      <c r="J1221">
        <v>4</v>
      </c>
      <c r="K1221" t="s">
        <v>38</v>
      </c>
      <c r="L1221">
        <v>43</v>
      </c>
      <c r="M1221">
        <v>3</v>
      </c>
      <c r="N1221">
        <v>1</v>
      </c>
      <c r="O1221" t="s">
        <v>49</v>
      </c>
      <c r="P1221">
        <v>3</v>
      </c>
      <c r="Q1221" t="s">
        <v>47</v>
      </c>
      <c r="R1221">
        <v>2974</v>
      </c>
      <c r="S1221">
        <v>25412</v>
      </c>
      <c r="T1221">
        <v>9</v>
      </c>
      <c r="U1221" t="s">
        <v>41</v>
      </c>
      <c r="V1221" t="s">
        <v>42</v>
      </c>
      <c r="W1221">
        <v>17</v>
      </c>
      <c r="X1221">
        <v>3</v>
      </c>
      <c r="Y1221">
        <v>3</v>
      </c>
      <c r="Z1221">
        <v>80</v>
      </c>
      <c r="AA1221">
        <v>1</v>
      </c>
      <c r="AB1221">
        <v>9</v>
      </c>
      <c r="AC1221">
        <v>2</v>
      </c>
      <c r="AD1221">
        <v>3</v>
      </c>
      <c r="AE1221">
        <v>5</v>
      </c>
      <c r="AF1221">
        <v>3</v>
      </c>
      <c r="AG1221">
        <v>1</v>
      </c>
      <c r="AH1221">
        <v>2</v>
      </c>
    </row>
    <row r="1222" spans="1:34" x14ac:dyDescent="0.2">
      <c r="A1222">
        <v>36</v>
      </c>
      <c r="B1222" t="s">
        <v>42</v>
      </c>
      <c r="C1222" t="s">
        <v>35</v>
      </c>
      <c r="D1222" t="s">
        <v>36</v>
      </c>
      <c r="E1222">
        <v>2</v>
      </c>
      <c r="F1222">
        <v>4</v>
      </c>
      <c r="G1222" t="s">
        <v>37</v>
      </c>
      <c r="H1222">
        <v>1</v>
      </c>
      <c r="I1222">
        <v>1710</v>
      </c>
      <c r="J1222">
        <v>3</v>
      </c>
      <c r="K1222" t="s">
        <v>38</v>
      </c>
      <c r="L1222">
        <v>51</v>
      </c>
      <c r="M1222">
        <v>3</v>
      </c>
      <c r="N1222">
        <v>2</v>
      </c>
      <c r="O1222" t="s">
        <v>56</v>
      </c>
      <c r="P1222">
        <v>4</v>
      </c>
      <c r="Q1222" t="s">
        <v>40</v>
      </c>
      <c r="R1222">
        <v>4502</v>
      </c>
      <c r="S1222">
        <v>7439</v>
      </c>
      <c r="T1222">
        <v>3</v>
      </c>
      <c r="U1222" t="s">
        <v>41</v>
      </c>
      <c r="V1222" t="s">
        <v>42</v>
      </c>
      <c r="W1222">
        <v>15</v>
      </c>
      <c r="X1222">
        <v>3</v>
      </c>
      <c r="Y1222">
        <v>3</v>
      </c>
      <c r="Z1222">
        <v>80</v>
      </c>
      <c r="AA1222">
        <v>0</v>
      </c>
      <c r="AB1222">
        <v>17</v>
      </c>
      <c r="AC1222">
        <v>2</v>
      </c>
      <c r="AD1222">
        <v>2</v>
      </c>
      <c r="AE1222">
        <v>13</v>
      </c>
      <c r="AF1222">
        <v>7</v>
      </c>
      <c r="AG1222">
        <v>6</v>
      </c>
      <c r="AH1222">
        <v>7</v>
      </c>
    </row>
    <row r="1223" spans="1:34" x14ac:dyDescent="0.2">
      <c r="A1223">
        <v>45</v>
      </c>
      <c r="B1223" t="s">
        <v>42</v>
      </c>
      <c r="C1223" t="s">
        <v>54</v>
      </c>
      <c r="D1223" t="s">
        <v>44</v>
      </c>
      <c r="E1223">
        <v>1</v>
      </c>
      <c r="F1223">
        <v>1</v>
      </c>
      <c r="G1223" t="s">
        <v>37</v>
      </c>
      <c r="H1223">
        <v>1</v>
      </c>
      <c r="I1223">
        <v>1712</v>
      </c>
      <c r="J1223">
        <v>3</v>
      </c>
      <c r="K1223" t="s">
        <v>45</v>
      </c>
      <c r="L1223">
        <v>74</v>
      </c>
      <c r="M1223">
        <v>2</v>
      </c>
      <c r="N1223">
        <v>3</v>
      </c>
      <c r="O1223" t="s">
        <v>53</v>
      </c>
      <c r="P1223">
        <v>3</v>
      </c>
      <c r="Q1223" t="s">
        <v>47</v>
      </c>
      <c r="R1223">
        <v>10748</v>
      </c>
      <c r="S1223">
        <v>3395</v>
      </c>
      <c r="T1223">
        <v>3</v>
      </c>
      <c r="U1223" t="s">
        <v>41</v>
      </c>
      <c r="V1223" t="s">
        <v>42</v>
      </c>
      <c r="W1223">
        <v>23</v>
      </c>
      <c r="X1223">
        <v>4</v>
      </c>
      <c r="Y1223">
        <v>4</v>
      </c>
      <c r="Z1223">
        <v>80</v>
      </c>
      <c r="AA1223">
        <v>1</v>
      </c>
      <c r="AB1223">
        <v>25</v>
      </c>
      <c r="AC1223">
        <v>3</v>
      </c>
      <c r="AD1223">
        <v>2</v>
      </c>
      <c r="AE1223">
        <v>23</v>
      </c>
      <c r="AF1223">
        <v>15</v>
      </c>
      <c r="AG1223">
        <v>14</v>
      </c>
      <c r="AH1223">
        <v>4</v>
      </c>
    </row>
    <row r="1224" spans="1:34" x14ac:dyDescent="0.2">
      <c r="A1224">
        <v>24</v>
      </c>
      <c r="B1224" t="s">
        <v>34</v>
      </c>
      <c r="C1224" t="s">
        <v>35</v>
      </c>
      <c r="D1224" t="s">
        <v>60</v>
      </c>
      <c r="E1224">
        <v>22</v>
      </c>
      <c r="F1224">
        <v>1</v>
      </c>
      <c r="G1224" t="s">
        <v>60</v>
      </c>
      <c r="H1224">
        <v>1</v>
      </c>
      <c r="I1224">
        <v>1714</v>
      </c>
      <c r="J1224">
        <v>4</v>
      </c>
      <c r="K1224" t="s">
        <v>45</v>
      </c>
      <c r="L1224">
        <v>58</v>
      </c>
      <c r="M1224">
        <v>1</v>
      </c>
      <c r="N1224">
        <v>1</v>
      </c>
      <c r="O1224" t="s">
        <v>60</v>
      </c>
      <c r="P1224">
        <v>3</v>
      </c>
      <c r="Q1224" t="s">
        <v>47</v>
      </c>
      <c r="R1224">
        <v>1555</v>
      </c>
      <c r="S1224">
        <v>11585</v>
      </c>
      <c r="T1224">
        <v>1</v>
      </c>
      <c r="U1224" t="s">
        <v>41</v>
      </c>
      <c r="V1224" t="s">
        <v>42</v>
      </c>
      <c r="W1224">
        <v>11</v>
      </c>
      <c r="X1224">
        <v>3</v>
      </c>
      <c r="Y1224">
        <v>3</v>
      </c>
      <c r="Z1224">
        <v>80</v>
      </c>
      <c r="AA1224">
        <v>1</v>
      </c>
      <c r="AB1224">
        <v>1</v>
      </c>
      <c r="AC1224">
        <v>2</v>
      </c>
      <c r="AD1224">
        <v>3</v>
      </c>
      <c r="AE1224">
        <v>1</v>
      </c>
      <c r="AF1224">
        <v>0</v>
      </c>
      <c r="AG1224">
        <v>0</v>
      </c>
      <c r="AH1224">
        <v>0</v>
      </c>
    </row>
    <row r="1225" spans="1:34" x14ac:dyDescent="0.2">
      <c r="A1225">
        <v>47</v>
      </c>
      <c r="B1225" t="s">
        <v>34</v>
      </c>
      <c r="C1225" t="s">
        <v>43</v>
      </c>
      <c r="D1225" t="s">
        <v>36</v>
      </c>
      <c r="E1225">
        <v>9</v>
      </c>
      <c r="F1225">
        <v>3</v>
      </c>
      <c r="G1225" t="s">
        <v>37</v>
      </c>
      <c r="H1225">
        <v>1</v>
      </c>
      <c r="I1225">
        <v>1716</v>
      </c>
      <c r="J1225">
        <v>3</v>
      </c>
      <c r="K1225" t="s">
        <v>45</v>
      </c>
      <c r="L1225">
        <v>82</v>
      </c>
      <c r="M1225">
        <v>1</v>
      </c>
      <c r="N1225">
        <v>4</v>
      </c>
      <c r="O1225" t="s">
        <v>39</v>
      </c>
      <c r="P1225">
        <v>3</v>
      </c>
      <c r="Q1225" t="s">
        <v>47</v>
      </c>
      <c r="R1225">
        <v>12936</v>
      </c>
      <c r="S1225">
        <v>24164</v>
      </c>
      <c r="T1225">
        <v>7</v>
      </c>
      <c r="U1225" t="s">
        <v>41</v>
      </c>
      <c r="V1225" t="s">
        <v>42</v>
      </c>
      <c r="W1225">
        <v>11</v>
      </c>
      <c r="X1225">
        <v>3</v>
      </c>
      <c r="Y1225">
        <v>3</v>
      </c>
      <c r="Z1225">
        <v>80</v>
      </c>
      <c r="AA1225">
        <v>0</v>
      </c>
      <c r="AB1225">
        <v>25</v>
      </c>
      <c r="AC1225">
        <v>3</v>
      </c>
      <c r="AD1225">
        <v>1</v>
      </c>
      <c r="AE1225">
        <v>23</v>
      </c>
      <c r="AF1225">
        <v>5</v>
      </c>
      <c r="AG1225">
        <v>14</v>
      </c>
      <c r="AH1225">
        <v>10</v>
      </c>
    </row>
    <row r="1226" spans="1:34" x14ac:dyDescent="0.2">
      <c r="A1226">
        <v>26</v>
      </c>
      <c r="B1226" t="s">
        <v>42</v>
      </c>
      <c r="C1226" t="s">
        <v>35</v>
      </c>
      <c r="D1226" t="s">
        <v>44</v>
      </c>
      <c r="E1226">
        <v>17</v>
      </c>
      <c r="F1226">
        <v>4</v>
      </c>
      <c r="G1226" t="s">
        <v>50</v>
      </c>
      <c r="H1226">
        <v>1</v>
      </c>
      <c r="I1226">
        <v>1718</v>
      </c>
      <c r="J1226">
        <v>4</v>
      </c>
      <c r="K1226" t="s">
        <v>45</v>
      </c>
      <c r="L1226">
        <v>62</v>
      </c>
      <c r="M1226">
        <v>1</v>
      </c>
      <c r="N1226">
        <v>1</v>
      </c>
      <c r="O1226" t="s">
        <v>49</v>
      </c>
      <c r="P1226">
        <v>3</v>
      </c>
      <c r="Q1226" t="s">
        <v>47</v>
      </c>
      <c r="R1226">
        <v>2305</v>
      </c>
      <c r="S1226">
        <v>6217</v>
      </c>
      <c r="T1226">
        <v>1</v>
      </c>
      <c r="U1226" t="s">
        <v>41</v>
      </c>
      <c r="V1226" t="s">
        <v>42</v>
      </c>
      <c r="W1226">
        <v>15</v>
      </c>
      <c r="X1226">
        <v>3</v>
      </c>
      <c r="Y1226">
        <v>3</v>
      </c>
      <c r="Z1226">
        <v>80</v>
      </c>
      <c r="AA1226">
        <v>3</v>
      </c>
      <c r="AB1226">
        <v>3</v>
      </c>
      <c r="AC1226">
        <v>3</v>
      </c>
      <c r="AD1226">
        <v>4</v>
      </c>
      <c r="AE1226">
        <v>3</v>
      </c>
      <c r="AF1226">
        <v>2</v>
      </c>
      <c r="AG1226">
        <v>0</v>
      </c>
      <c r="AH1226">
        <v>2</v>
      </c>
    </row>
    <row r="1227" spans="1:34" x14ac:dyDescent="0.2">
      <c r="A1227">
        <v>45</v>
      </c>
      <c r="B1227" t="s">
        <v>42</v>
      </c>
      <c r="C1227" t="s">
        <v>35</v>
      </c>
      <c r="D1227" t="s">
        <v>44</v>
      </c>
      <c r="E1227">
        <v>28</v>
      </c>
      <c r="F1227">
        <v>2</v>
      </c>
      <c r="G1227" t="s">
        <v>59</v>
      </c>
      <c r="H1227">
        <v>1</v>
      </c>
      <c r="I1227">
        <v>1719</v>
      </c>
      <c r="J1227">
        <v>4</v>
      </c>
      <c r="K1227" t="s">
        <v>38</v>
      </c>
      <c r="L1227">
        <v>48</v>
      </c>
      <c r="M1227">
        <v>2</v>
      </c>
      <c r="N1227">
        <v>4</v>
      </c>
      <c r="O1227" t="s">
        <v>57</v>
      </c>
      <c r="P1227">
        <v>2</v>
      </c>
      <c r="Q1227" t="s">
        <v>40</v>
      </c>
      <c r="R1227">
        <v>16704</v>
      </c>
      <c r="S1227">
        <v>17119</v>
      </c>
      <c r="T1227">
        <v>1</v>
      </c>
      <c r="U1227" t="s">
        <v>41</v>
      </c>
      <c r="V1227" t="s">
        <v>42</v>
      </c>
      <c r="W1227">
        <v>11</v>
      </c>
      <c r="X1227">
        <v>3</v>
      </c>
      <c r="Y1227">
        <v>3</v>
      </c>
      <c r="Z1227">
        <v>80</v>
      </c>
      <c r="AA1227">
        <v>0</v>
      </c>
      <c r="AB1227">
        <v>21</v>
      </c>
      <c r="AC1227">
        <v>2</v>
      </c>
      <c r="AD1227">
        <v>3</v>
      </c>
      <c r="AE1227">
        <v>21</v>
      </c>
      <c r="AF1227">
        <v>6</v>
      </c>
      <c r="AG1227">
        <v>8</v>
      </c>
      <c r="AH1227">
        <v>6</v>
      </c>
    </row>
    <row r="1228" spans="1:34" x14ac:dyDescent="0.2">
      <c r="A1228">
        <v>32</v>
      </c>
      <c r="B1228" t="s">
        <v>42</v>
      </c>
      <c r="C1228" t="s">
        <v>43</v>
      </c>
      <c r="D1228" t="s">
        <v>44</v>
      </c>
      <c r="E1228">
        <v>10</v>
      </c>
      <c r="F1228">
        <v>3</v>
      </c>
      <c r="G1228" t="s">
        <v>37</v>
      </c>
      <c r="H1228">
        <v>1</v>
      </c>
      <c r="I1228">
        <v>1720</v>
      </c>
      <c r="J1228">
        <v>1</v>
      </c>
      <c r="K1228" t="s">
        <v>45</v>
      </c>
      <c r="L1228">
        <v>56</v>
      </c>
      <c r="M1228">
        <v>3</v>
      </c>
      <c r="N1228">
        <v>1</v>
      </c>
      <c r="O1228" t="s">
        <v>46</v>
      </c>
      <c r="P1228">
        <v>3</v>
      </c>
      <c r="Q1228" t="s">
        <v>47</v>
      </c>
      <c r="R1228">
        <v>3433</v>
      </c>
      <c r="S1228">
        <v>17360</v>
      </c>
      <c r="T1228">
        <v>6</v>
      </c>
      <c r="U1228" t="s">
        <v>41</v>
      </c>
      <c r="V1228" t="s">
        <v>42</v>
      </c>
      <c r="W1228">
        <v>13</v>
      </c>
      <c r="X1228">
        <v>3</v>
      </c>
      <c r="Y1228">
        <v>1</v>
      </c>
      <c r="Z1228">
        <v>80</v>
      </c>
      <c r="AA1228">
        <v>1</v>
      </c>
      <c r="AB1228">
        <v>10</v>
      </c>
      <c r="AC1228">
        <v>3</v>
      </c>
      <c r="AD1228">
        <v>2</v>
      </c>
      <c r="AE1228">
        <v>5</v>
      </c>
      <c r="AF1228">
        <v>2</v>
      </c>
      <c r="AG1228">
        <v>1</v>
      </c>
      <c r="AH1228">
        <v>3</v>
      </c>
    </row>
    <row r="1229" spans="1:34" x14ac:dyDescent="0.2">
      <c r="A1229">
        <v>31</v>
      </c>
      <c r="B1229" t="s">
        <v>42</v>
      </c>
      <c r="C1229" t="s">
        <v>35</v>
      </c>
      <c r="D1229" t="s">
        <v>44</v>
      </c>
      <c r="E1229">
        <v>2</v>
      </c>
      <c r="F1229">
        <v>4</v>
      </c>
      <c r="G1229" t="s">
        <v>37</v>
      </c>
      <c r="H1229">
        <v>1</v>
      </c>
      <c r="I1229">
        <v>1721</v>
      </c>
      <c r="J1229">
        <v>2</v>
      </c>
      <c r="K1229" t="s">
        <v>45</v>
      </c>
      <c r="L1229">
        <v>69</v>
      </c>
      <c r="M1229">
        <v>3</v>
      </c>
      <c r="N1229">
        <v>1</v>
      </c>
      <c r="O1229" t="s">
        <v>49</v>
      </c>
      <c r="P1229">
        <v>3</v>
      </c>
      <c r="Q1229" t="s">
        <v>47</v>
      </c>
      <c r="R1229">
        <v>3477</v>
      </c>
      <c r="S1229">
        <v>18103</v>
      </c>
      <c r="T1229">
        <v>1</v>
      </c>
      <c r="U1229" t="s">
        <v>41</v>
      </c>
      <c r="V1229" t="s">
        <v>42</v>
      </c>
      <c r="W1229">
        <v>14</v>
      </c>
      <c r="X1229">
        <v>3</v>
      </c>
      <c r="Y1229">
        <v>4</v>
      </c>
      <c r="Z1229">
        <v>80</v>
      </c>
      <c r="AA1229">
        <v>1</v>
      </c>
      <c r="AB1229">
        <v>6</v>
      </c>
      <c r="AC1229">
        <v>2</v>
      </c>
      <c r="AD1229">
        <v>4</v>
      </c>
      <c r="AE1229">
        <v>5</v>
      </c>
      <c r="AF1229">
        <v>2</v>
      </c>
      <c r="AG1229">
        <v>0</v>
      </c>
      <c r="AH1229">
        <v>3</v>
      </c>
    </row>
    <row r="1230" spans="1:34" x14ac:dyDescent="0.2">
      <c r="A1230">
        <v>41</v>
      </c>
      <c r="B1230" t="s">
        <v>42</v>
      </c>
      <c r="C1230" t="s">
        <v>54</v>
      </c>
      <c r="D1230" t="s">
        <v>60</v>
      </c>
      <c r="E1230">
        <v>4</v>
      </c>
      <c r="F1230">
        <v>3</v>
      </c>
      <c r="G1230" t="s">
        <v>60</v>
      </c>
      <c r="H1230">
        <v>1</v>
      </c>
      <c r="I1230">
        <v>1722</v>
      </c>
      <c r="J1230">
        <v>3</v>
      </c>
      <c r="K1230" t="s">
        <v>45</v>
      </c>
      <c r="L1230">
        <v>60</v>
      </c>
      <c r="M1230">
        <v>1</v>
      </c>
      <c r="N1230">
        <v>2</v>
      </c>
      <c r="O1230" t="s">
        <v>60</v>
      </c>
      <c r="P1230">
        <v>2</v>
      </c>
      <c r="Q1230" t="s">
        <v>47</v>
      </c>
      <c r="R1230">
        <v>6430</v>
      </c>
      <c r="S1230">
        <v>20794</v>
      </c>
      <c r="T1230">
        <v>6</v>
      </c>
      <c r="U1230" t="s">
        <v>41</v>
      </c>
      <c r="V1230" t="s">
        <v>42</v>
      </c>
      <c r="W1230">
        <v>19</v>
      </c>
      <c r="X1230">
        <v>3</v>
      </c>
      <c r="Y1230">
        <v>2</v>
      </c>
      <c r="Z1230">
        <v>80</v>
      </c>
      <c r="AA1230">
        <v>1</v>
      </c>
      <c r="AB1230">
        <v>10</v>
      </c>
      <c r="AC1230">
        <v>4</v>
      </c>
      <c r="AD1230">
        <v>3</v>
      </c>
      <c r="AE1230">
        <v>3</v>
      </c>
      <c r="AF1230">
        <v>2</v>
      </c>
      <c r="AG1230">
        <v>1</v>
      </c>
      <c r="AH1230">
        <v>2</v>
      </c>
    </row>
    <row r="1231" spans="1:34" x14ac:dyDescent="0.2">
      <c r="A1231">
        <v>40</v>
      </c>
      <c r="B1231" t="s">
        <v>42</v>
      </c>
      <c r="C1231" t="s">
        <v>35</v>
      </c>
      <c r="D1231" t="s">
        <v>44</v>
      </c>
      <c r="E1231">
        <v>8</v>
      </c>
      <c r="F1231">
        <v>2</v>
      </c>
      <c r="G1231" t="s">
        <v>37</v>
      </c>
      <c r="H1231">
        <v>1</v>
      </c>
      <c r="I1231">
        <v>1724</v>
      </c>
      <c r="J1231">
        <v>2</v>
      </c>
      <c r="K1231" t="s">
        <v>38</v>
      </c>
      <c r="L1231">
        <v>92</v>
      </c>
      <c r="M1231">
        <v>3</v>
      </c>
      <c r="N1231">
        <v>2</v>
      </c>
      <c r="O1231" t="s">
        <v>52</v>
      </c>
      <c r="P1231">
        <v>1</v>
      </c>
      <c r="Q1231" t="s">
        <v>47</v>
      </c>
      <c r="R1231">
        <v>6516</v>
      </c>
      <c r="S1231">
        <v>5041</v>
      </c>
      <c r="T1231">
        <v>2</v>
      </c>
      <c r="U1231" t="s">
        <v>41</v>
      </c>
      <c r="V1231" t="s">
        <v>34</v>
      </c>
      <c r="W1231">
        <v>16</v>
      </c>
      <c r="X1231">
        <v>3</v>
      </c>
      <c r="Y1231">
        <v>2</v>
      </c>
      <c r="Z1231">
        <v>80</v>
      </c>
      <c r="AA1231">
        <v>1</v>
      </c>
      <c r="AB1231">
        <v>18</v>
      </c>
      <c r="AC1231">
        <v>3</v>
      </c>
      <c r="AD1231">
        <v>3</v>
      </c>
      <c r="AE1231">
        <v>1</v>
      </c>
      <c r="AF1231">
        <v>0</v>
      </c>
      <c r="AG1231">
        <v>0</v>
      </c>
      <c r="AH1231">
        <v>0</v>
      </c>
    </row>
    <row r="1232" spans="1:34" x14ac:dyDescent="0.2">
      <c r="A1232">
        <v>24</v>
      </c>
      <c r="B1232" t="s">
        <v>42</v>
      </c>
      <c r="C1232" t="s">
        <v>35</v>
      </c>
      <c r="D1232" t="s">
        <v>44</v>
      </c>
      <c r="E1232">
        <v>29</v>
      </c>
      <c r="F1232">
        <v>1</v>
      </c>
      <c r="G1232" t="s">
        <v>50</v>
      </c>
      <c r="H1232">
        <v>1</v>
      </c>
      <c r="I1232">
        <v>1725</v>
      </c>
      <c r="J1232">
        <v>2</v>
      </c>
      <c r="K1232" t="s">
        <v>45</v>
      </c>
      <c r="L1232">
        <v>91</v>
      </c>
      <c r="M1232">
        <v>3</v>
      </c>
      <c r="N1232">
        <v>1</v>
      </c>
      <c r="O1232" t="s">
        <v>49</v>
      </c>
      <c r="P1232">
        <v>1</v>
      </c>
      <c r="Q1232" t="s">
        <v>51</v>
      </c>
      <c r="R1232">
        <v>3907</v>
      </c>
      <c r="S1232">
        <v>3622</v>
      </c>
      <c r="T1232">
        <v>1</v>
      </c>
      <c r="U1232" t="s">
        <v>41</v>
      </c>
      <c r="V1232" t="s">
        <v>42</v>
      </c>
      <c r="W1232">
        <v>13</v>
      </c>
      <c r="X1232">
        <v>3</v>
      </c>
      <c r="Y1232">
        <v>2</v>
      </c>
      <c r="Z1232">
        <v>80</v>
      </c>
      <c r="AA1232">
        <v>3</v>
      </c>
      <c r="AB1232">
        <v>6</v>
      </c>
      <c r="AC1232">
        <v>2</v>
      </c>
      <c r="AD1232">
        <v>4</v>
      </c>
      <c r="AE1232">
        <v>6</v>
      </c>
      <c r="AF1232">
        <v>2</v>
      </c>
      <c r="AG1232">
        <v>1</v>
      </c>
      <c r="AH1232">
        <v>2</v>
      </c>
    </row>
    <row r="1233" spans="1:34" x14ac:dyDescent="0.2">
      <c r="A1233">
        <v>46</v>
      </c>
      <c r="B1233" t="s">
        <v>42</v>
      </c>
      <c r="C1233" t="s">
        <v>35</v>
      </c>
      <c r="D1233" t="s">
        <v>44</v>
      </c>
      <c r="E1233">
        <v>13</v>
      </c>
      <c r="F1233">
        <v>4</v>
      </c>
      <c r="G1233" t="s">
        <v>37</v>
      </c>
      <c r="H1233">
        <v>1</v>
      </c>
      <c r="I1233">
        <v>1727</v>
      </c>
      <c r="J1233">
        <v>3</v>
      </c>
      <c r="K1233" t="s">
        <v>45</v>
      </c>
      <c r="L1233">
        <v>34</v>
      </c>
      <c r="M1233">
        <v>3</v>
      </c>
      <c r="N1233">
        <v>2</v>
      </c>
      <c r="O1233" t="s">
        <v>53</v>
      </c>
      <c r="P1233">
        <v>2</v>
      </c>
      <c r="Q1233" t="s">
        <v>40</v>
      </c>
      <c r="R1233">
        <v>5562</v>
      </c>
      <c r="S1233">
        <v>9697</v>
      </c>
      <c r="T1233">
        <v>6</v>
      </c>
      <c r="U1233" t="s">
        <v>41</v>
      </c>
      <c r="V1233" t="s">
        <v>42</v>
      </c>
      <c r="W1233">
        <v>14</v>
      </c>
      <c r="X1233">
        <v>3</v>
      </c>
      <c r="Y1233">
        <v>4</v>
      </c>
      <c r="Z1233">
        <v>80</v>
      </c>
      <c r="AA1233">
        <v>0</v>
      </c>
      <c r="AB1233">
        <v>19</v>
      </c>
      <c r="AC1233">
        <v>3</v>
      </c>
      <c r="AD1233">
        <v>3</v>
      </c>
      <c r="AE1233">
        <v>10</v>
      </c>
      <c r="AF1233">
        <v>7</v>
      </c>
      <c r="AG1233">
        <v>0</v>
      </c>
      <c r="AH1233">
        <v>9</v>
      </c>
    </row>
    <row r="1234" spans="1:34" x14ac:dyDescent="0.2">
      <c r="A1234">
        <v>35</v>
      </c>
      <c r="B1234" t="s">
        <v>42</v>
      </c>
      <c r="C1234" t="s">
        <v>35</v>
      </c>
      <c r="D1234" t="s">
        <v>44</v>
      </c>
      <c r="E1234">
        <v>27</v>
      </c>
      <c r="F1234">
        <v>4</v>
      </c>
      <c r="G1234" t="s">
        <v>37</v>
      </c>
      <c r="H1234">
        <v>1</v>
      </c>
      <c r="I1234">
        <v>1728</v>
      </c>
      <c r="J1234">
        <v>4</v>
      </c>
      <c r="K1234" t="s">
        <v>45</v>
      </c>
      <c r="L1234">
        <v>49</v>
      </c>
      <c r="M1234">
        <v>3</v>
      </c>
      <c r="N1234">
        <v>2</v>
      </c>
      <c r="O1234" t="s">
        <v>52</v>
      </c>
      <c r="P1234">
        <v>3</v>
      </c>
      <c r="Q1234" t="s">
        <v>47</v>
      </c>
      <c r="R1234">
        <v>6883</v>
      </c>
      <c r="S1234">
        <v>5151</v>
      </c>
      <c r="T1234">
        <v>2</v>
      </c>
      <c r="U1234" t="s">
        <v>41</v>
      </c>
      <c r="V1234" t="s">
        <v>42</v>
      </c>
      <c r="W1234">
        <v>16</v>
      </c>
      <c r="X1234">
        <v>3</v>
      </c>
      <c r="Y1234">
        <v>2</v>
      </c>
      <c r="Z1234">
        <v>80</v>
      </c>
      <c r="AA1234">
        <v>1</v>
      </c>
      <c r="AB1234">
        <v>17</v>
      </c>
      <c r="AC1234">
        <v>3</v>
      </c>
      <c r="AD1234">
        <v>3</v>
      </c>
      <c r="AE1234">
        <v>7</v>
      </c>
      <c r="AF1234">
        <v>7</v>
      </c>
      <c r="AG1234">
        <v>0</v>
      </c>
      <c r="AH1234">
        <v>7</v>
      </c>
    </row>
    <row r="1235" spans="1:34" x14ac:dyDescent="0.2">
      <c r="A1235">
        <v>30</v>
      </c>
      <c r="B1235" t="s">
        <v>42</v>
      </c>
      <c r="C1235" t="s">
        <v>35</v>
      </c>
      <c r="D1235" t="s">
        <v>44</v>
      </c>
      <c r="E1235">
        <v>16</v>
      </c>
      <c r="F1235">
        <v>1</v>
      </c>
      <c r="G1235" t="s">
        <v>37</v>
      </c>
      <c r="H1235">
        <v>1</v>
      </c>
      <c r="I1235">
        <v>1729</v>
      </c>
      <c r="J1235">
        <v>2</v>
      </c>
      <c r="K1235" t="s">
        <v>45</v>
      </c>
      <c r="L1235">
        <v>33</v>
      </c>
      <c r="M1235">
        <v>3</v>
      </c>
      <c r="N1235">
        <v>1</v>
      </c>
      <c r="O1235" t="s">
        <v>46</v>
      </c>
      <c r="P1235">
        <v>4</v>
      </c>
      <c r="Q1235" t="s">
        <v>47</v>
      </c>
      <c r="R1235">
        <v>2862</v>
      </c>
      <c r="S1235">
        <v>3811</v>
      </c>
      <c r="T1235">
        <v>1</v>
      </c>
      <c r="U1235" t="s">
        <v>41</v>
      </c>
      <c r="V1235" t="s">
        <v>42</v>
      </c>
      <c r="W1235">
        <v>12</v>
      </c>
      <c r="X1235">
        <v>3</v>
      </c>
      <c r="Y1235">
        <v>2</v>
      </c>
      <c r="Z1235">
        <v>80</v>
      </c>
      <c r="AA1235">
        <v>1</v>
      </c>
      <c r="AB1235">
        <v>10</v>
      </c>
      <c r="AC1235">
        <v>2</v>
      </c>
      <c r="AD1235">
        <v>2</v>
      </c>
      <c r="AE1235">
        <v>10</v>
      </c>
      <c r="AF1235">
        <v>0</v>
      </c>
      <c r="AG1235">
        <v>0</v>
      </c>
      <c r="AH1235">
        <v>8</v>
      </c>
    </row>
    <row r="1236" spans="1:34" x14ac:dyDescent="0.2">
      <c r="A1236">
        <v>47</v>
      </c>
      <c r="B1236" t="s">
        <v>42</v>
      </c>
      <c r="C1236" t="s">
        <v>54</v>
      </c>
      <c r="D1236" t="s">
        <v>36</v>
      </c>
      <c r="E1236">
        <v>2</v>
      </c>
      <c r="F1236">
        <v>4</v>
      </c>
      <c r="G1236" t="s">
        <v>58</v>
      </c>
      <c r="H1236">
        <v>1</v>
      </c>
      <c r="I1236">
        <v>1731</v>
      </c>
      <c r="J1236">
        <v>3</v>
      </c>
      <c r="K1236" t="s">
        <v>45</v>
      </c>
      <c r="L1236">
        <v>87</v>
      </c>
      <c r="M1236">
        <v>3</v>
      </c>
      <c r="N1236">
        <v>2</v>
      </c>
      <c r="O1236" t="s">
        <v>39</v>
      </c>
      <c r="P1236">
        <v>2</v>
      </c>
      <c r="Q1236" t="s">
        <v>47</v>
      </c>
      <c r="R1236">
        <v>4978</v>
      </c>
      <c r="S1236">
        <v>3536</v>
      </c>
      <c r="T1236">
        <v>7</v>
      </c>
      <c r="U1236" t="s">
        <v>41</v>
      </c>
      <c r="V1236" t="s">
        <v>42</v>
      </c>
      <c r="W1236">
        <v>11</v>
      </c>
      <c r="X1236">
        <v>3</v>
      </c>
      <c r="Y1236">
        <v>4</v>
      </c>
      <c r="Z1236">
        <v>80</v>
      </c>
      <c r="AA1236">
        <v>1</v>
      </c>
      <c r="AB1236">
        <v>4</v>
      </c>
      <c r="AC1236">
        <v>3</v>
      </c>
      <c r="AD1236">
        <v>1</v>
      </c>
      <c r="AE1236">
        <v>1</v>
      </c>
      <c r="AF1236">
        <v>0</v>
      </c>
      <c r="AG1236">
        <v>0</v>
      </c>
      <c r="AH1236">
        <v>0</v>
      </c>
    </row>
    <row r="1237" spans="1:34" x14ac:dyDescent="0.2">
      <c r="A1237">
        <v>46</v>
      </c>
      <c r="B1237" t="s">
        <v>42</v>
      </c>
      <c r="C1237" t="s">
        <v>35</v>
      </c>
      <c r="D1237" t="s">
        <v>36</v>
      </c>
      <c r="E1237">
        <v>2</v>
      </c>
      <c r="F1237">
        <v>3</v>
      </c>
      <c r="G1237" t="s">
        <v>37</v>
      </c>
      <c r="H1237">
        <v>1</v>
      </c>
      <c r="I1237">
        <v>1732</v>
      </c>
      <c r="J1237">
        <v>3</v>
      </c>
      <c r="K1237" t="s">
        <v>45</v>
      </c>
      <c r="L1237">
        <v>74</v>
      </c>
      <c r="M1237">
        <v>3</v>
      </c>
      <c r="N1237">
        <v>3</v>
      </c>
      <c r="O1237" t="s">
        <v>39</v>
      </c>
      <c r="P1237">
        <v>4</v>
      </c>
      <c r="Q1237" t="s">
        <v>51</v>
      </c>
      <c r="R1237">
        <v>10368</v>
      </c>
      <c r="S1237">
        <v>5596</v>
      </c>
      <c r="T1237">
        <v>4</v>
      </c>
      <c r="U1237" t="s">
        <v>41</v>
      </c>
      <c r="V1237" t="s">
        <v>34</v>
      </c>
      <c r="W1237">
        <v>12</v>
      </c>
      <c r="X1237">
        <v>3</v>
      </c>
      <c r="Y1237">
        <v>2</v>
      </c>
      <c r="Z1237">
        <v>80</v>
      </c>
      <c r="AA1237">
        <v>1</v>
      </c>
      <c r="AB1237">
        <v>13</v>
      </c>
      <c r="AC1237">
        <v>5</v>
      </c>
      <c r="AD1237">
        <v>2</v>
      </c>
      <c r="AE1237">
        <v>10</v>
      </c>
      <c r="AF1237">
        <v>6</v>
      </c>
      <c r="AG1237">
        <v>0</v>
      </c>
      <c r="AH1237">
        <v>3</v>
      </c>
    </row>
    <row r="1238" spans="1:34" x14ac:dyDescent="0.2">
      <c r="A1238">
        <v>36</v>
      </c>
      <c r="B1238" t="s">
        <v>34</v>
      </c>
      <c r="C1238" t="s">
        <v>35</v>
      </c>
      <c r="D1238" t="s">
        <v>36</v>
      </c>
      <c r="E1238">
        <v>13</v>
      </c>
      <c r="F1238">
        <v>5</v>
      </c>
      <c r="G1238" t="s">
        <v>58</v>
      </c>
      <c r="H1238">
        <v>1</v>
      </c>
      <c r="I1238">
        <v>1733</v>
      </c>
      <c r="J1238">
        <v>2</v>
      </c>
      <c r="K1238" t="s">
        <v>45</v>
      </c>
      <c r="L1238">
        <v>96</v>
      </c>
      <c r="M1238">
        <v>2</v>
      </c>
      <c r="N1238">
        <v>2</v>
      </c>
      <c r="O1238" t="s">
        <v>39</v>
      </c>
      <c r="P1238">
        <v>1</v>
      </c>
      <c r="Q1238" t="s">
        <v>51</v>
      </c>
      <c r="R1238">
        <v>6134</v>
      </c>
      <c r="S1238">
        <v>8658</v>
      </c>
      <c r="T1238">
        <v>5</v>
      </c>
      <c r="U1238" t="s">
        <v>41</v>
      </c>
      <c r="V1238" t="s">
        <v>34</v>
      </c>
      <c r="W1238">
        <v>13</v>
      </c>
      <c r="X1238">
        <v>3</v>
      </c>
      <c r="Y1238">
        <v>2</v>
      </c>
      <c r="Z1238">
        <v>80</v>
      </c>
      <c r="AA1238">
        <v>3</v>
      </c>
      <c r="AB1238">
        <v>16</v>
      </c>
      <c r="AC1238">
        <v>3</v>
      </c>
      <c r="AD1238">
        <v>3</v>
      </c>
      <c r="AE1238">
        <v>2</v>
      </c>
      <c r="AF1238">
        <v>2</v>
      </c>
      <c r="AG1238">
        <v>2</v>
      </c>
      <c r="AH1238">
        <v>2</v>
      </c>
    </row>
    <row r="1239" spans="1:34" x14ac:dyDescent="0.2">
      <c r="A1239">
        <v>32</v>
      </c>
      <c r="B1239" t="s">
        <v>34</v>
      </c>
      <c r="C1239" t="s">
        <v>35</v>
      </c>
      <c r="D1239" t="s">
        <v>36</v>
      </c>
      <c r="E1239">
        <v>1</v>
      </c>
      <c r="F1239">
        <v>2</v>
      </c>
      <c r="G1239" t="s">
        <v>37</v>
      </c>
      <c r="H1239">
        <v>1</v>
      </c>
      <c r="I1239">
        <v>1734</v>
      </c>
      <c r="J1239">
        <v>1</v>
      </c>
      <c r="K1239" t="s">
        <v>45</v>
      </c>
      <c r="L1239">
        <v>34</v>
      </c>
      <c r="M1239">
        <v>1</v>
      </c>
      <c r="N1239">
        <v>2</v>
      </c>
      <c r="O1239" t="s">
        <v>39</v>
      </c>
      <c r="P1239">
        <v>2</v>
      </c>
      <c r="Q1239" t="s">
        <v>40</v>
      </c>
      <c r="R1239">
        <v>6735</v>
      </c>
      <c r="S1239">
        <v>12147</v>
      </c>
      <c r="T1239">
        <v>6</v>
      </c>
      <c r="U1239" t="s">
        <v>41</v>
      </c>
      <c r="V1239" t="s">
        <v>42</v>
      </c>
      <c r="W1239">
        <v>15</v>
      </c>
      <c r="X1239">
        <v>3</v>
      </c>
      <c r="Y1239">
        <v>2</v>
      </c>
      <c r="Z1239">
        <v>80</v>
      </c>
      <c r="AA1239">
        <v>0</v>
      </c>
      <c r="AB1239">
        <v>10</v>
      </c>
      <c r="AC1239">
        <v>2</v>
      </c>
      <c r="AD1239">
        <v>3</v>
      </c>
      <c r="AE1239">
        <v>0</v>
      </c>
      <c r="AF1239">
        <v>0</v>
      </c>
      <c r="AG1239">
        <v>0</v>
      </c>
      <c r="AH1239">
        <v>0</v>
      </c>
    </row>
    <row r="1240" spans="1:34" x14ac:dyDescent="0.2">
      <c r="A1240">
        <v>23</v>
      </c>
      <c r="B1240" t="s">
        <v>42</v>
      </c>
      <c r="C1240" t="s">
        <v>35</v>
      </c>
      <c r="D1240" t="s">
        <v>44</v>
      </c>
      <c r="E1240">
        <v>4</v>
      </c>
      <c r="F1240">
        <v>1</v>
      </c>
      <c r="G1240" t="s">
        <v>50</v>
      </c>
      <c r="H1240">
        <v>1</v>
      </c>
      <c r="I1240">
        <v>1735</v>
      </c>
      <c r="J1240">
        <v>3</v>
      </c>
      <c r="K1240" t="s">
        <v>38</v>
      </c>
      <c r="L1240">
        <v>51</v>
      </c>
      <c r="M1240">
        <v>3</v>
      </c>
      <c r="N1240">
        <v>1</v>
      </c>
      <c r="O1240" t="s">
        <v>49</v>
      </c>
      <c r="P1240">
        <v>2</v>
      </c>
      <c r="Q1240" t="s">
        <v>40</v>
      </c>
      <c r="R1240">
        <v>3295</v>
      </c>
      <c r="S1240">
        <v>12862</v>
      </c>
      <c r="T1240">
        <v>1</v>
      </c>
      <c r="U1240" t="s">
        <v>41</v>
      </c>
      <c r="V1240" t="s">
        <v>42</v>
      </c>
      <c r="W1240">
        <v>13</v>
      </c>
      <c r="X1240">
        <v>3</v>
      </c>
      <c r="Y1240">
        <v>3</v>
      </c>
      <c r="Z1240">
        <v>80</v>
      </c>
      <c r="AA1240">
        <v>0</v>
      </c>
      <c r="AB1240">
        <v>3</v>
      </c>
      <c r="AC1240">
        <v>3</v>
      </c>
      <c r="AD1240">
        <v>1</v>
      </c>
      <c r="AE1240">
        <v>3</v>
      </c>
      <c r="AF1240">
        <v>2</v>
      </c>
      <c r="AG1240">
        <v>1</v>
      </c>
      <c r="AH1240">
        <v>2</v>
      </c>
    </row>
    <row r="1241" spans="1:34" x14ac:dyDescent="0.2">
      <c r="A1241">
        <v>31</v>
      </c>
      <c r="B1241" t="s">
        <v>42</v>
      </c>
      <c r="C1241" t="s">
        <v>43</v>
      </c>
      <c r="D1241" t="s">
        <v>44</v>
      </c>
      <c r="E1241">
        <v>24</v>
      </c>
      <c r="F1241">
        <v>1</v>
      </c>
      <c r="G1241" t="s">
        <v>59</v>
      </c>
      <c r="H1241">
        <v>1</v>
      </c>
      <c r="I1241">
        <v>1736</v>
      </c>
      <c r="J1241">
        <v>4</v>
      </c>
      <c r="K1241" t="s">
        <v>38</v>
      </c>
      <c r="L1241">
        <v>30</v>
      </c>
      <c r="M1241">
        <v>3</v>
      </c>
      <c r="N1241">
        <v>2</v>
      </c>
      <c r="O1241" t="s">
        <v>52</v>
      </c>
      <c r="P1241">
        <v>4</v>
      </c>
      <c r="Q1241" t="s">
        <v>40</v>
      </c>
      <c r="R1241">
        <v>5238</v>
      </c>
      <c r="S1241">
        <v>6670</v>
      </c>
      <c r="T1241">
        <v>2</v>
      </c>
      <c r="U1241" t="s">
        <v>41</v>
      </c>
      <c r="V1241" t="s">
        <v>42</v>
      </c>
      <c r="W1241">
        <v>20</v>
      </c>
      <c r="X1241">
        <v>4</v>
      </c>
      <c r="Y1241">
        <v>4</v>
      </c>
      <c r="Z1241">
        <v>80</v>
      </c>
      <c r="AA1241">
        <v>0</v>
      </c>
      <c r="AB1241">
        <v>9</v>
      </c>
      <c r="AC1241">
        <v>3</v>
      </c>
      <c r="AD1241">
        <v>2</v>
      </c>
      <c r="AE1241">
        <v>5</v>
      </c>
      <c r="AF1241">
        <v>4</v>
      </c>
      <c r="AG1241">
        <v>1</v>
      </c>
      <c r="AH1241">
        <v>4</v>
      </c>
    </row>
    <row r="1242" spans="1:34" x14ac:dyDescent="0.2">
      <c r="A1242">
        <v>39</v>
      </c>
      <c r="B1242" t="s">
        <v>42</v>
      </c>
      <c r="C1242" t="s">
        <v>54</v>
      </c>
      <c r="D1242" t="s">
        <v>44</v>
      </c>
      <c r="E1242">
        <v>1</v>
      </c>
      <c r="F1242">
        <v>3</v>
      </c>
      <c r="G1242" t="s">
        <v>37</v>
      </c>
      <c r="H1242">
        <v>1</v>
      </c>
      <c r="I1242">
        <v>1737</v>
      </c>
      <c r="J1242">
        <v>4</v>
      </c>
      <c r="K1242" t="s">
        <v>45</v>
      </c>
      <c r="L1242">
        <v>77</v>
      </c>
      <c r="M1242">
        <v>3</v>
      </c>
      <c r="N1242">
        <v>2</v>
      </c>
      <c r="O1242" t="s">
        <v>49</v>
      </c>
      <c r="P1242">
        <v>4</v>
      </c>
      <c r="Q1242" t="s">
        <v>47</v>
      </c>
      <c r="R1242">
        <v>6472</v>
      </c>
      <c r="S1242">
        <v>8989</v>
      </c>
      <c r="T1242">
        <v>1</v>
      </c>
      <c r="U1242" t="s">
        <v>41</v>
      </c>
      <c r="V1242" t="s">
        <v>34</v>
      </c>
      <c r="W1242">
        <v>15</v>
      </c>
      <c r="X1242">
        <v>3</v>
      </c>
      <c r="Y1242">
        <v>4</v>
      </c>
      <c r="Z1242">
        <v>80</v>
      </c>
      <c r="AA1242">
        <v>1</v>
      </c>
      <c r="AB1242">
        <v>9</v>
      </c>
      <c r="AC1242">
        <v>2</v>
      </c>
      <c r="AD1242">
        <v>3</v>
      </c>
      <c r="AE1242">
        <v>9</v>
      </c>
      <c r="AF1242">
        <v>8</v>
      </c>
      <c r="AG1242">
        <v>5</v>
      </c>
      <c r="AH1242">
        <v>8</v>
      </c>
    </row>
    <row r="1243" spans="1:34" x14ac:dyDescent="0.2">
      <c r="A1243">
        <v>32</v>
      </c>
      <c r="B1243" t="s">
        <v>42</v>
      </c>
      <c r="C1243" t="s">
        <v>35</v>
      </c>
      <c r="D1243" t="s">
        <v>36</v>
      </c>
      <c r="E1243">
        <v>19</v>
      </c>
      <c r="F1243">
        <v>3</v>
      </c>
      <c r="G1243" t="s">
        <v>37</v>
      </c>
      <c r="H1243">
        <v>1</v>
      </c>
      <c r="I1243">
        <v>1739</v>
      </c>
      <c r="J1243">
        <v>4</v>
      </c>
      <c r="K1243" t="s">
        <v>45</v>
      </c>
      <c r="L1243">
        <v>80</v>
      </c>
      <c r="M1243">
        <v>1</v>
      </c>
      <c r="N1243">
        <v>3</v>
      </c>
      <c r="O1243" t="s">
        <v>39</v>
      </c>
      <c r="P1243">
        <v>3</v>
      </c>
      <c r="Q1243" t="s">
        <v>47</v>
      </c>
      <c r="R1243">
        <v>9610</v>
      </c>
      <c r="S1243">
        <v>3840</v>
      </c>
      <c r="T1243">
        <v>3</v>
      </c>
      <c r="U1243" t="s">
        <v>41</v>
      </c>
      <c r="V1243" t="s">
        <v>42</v>
      </c>
      <c r="W1243">
        <v>13</v>
      </c>
      <c r="X1243">
        <v>3</v>
      </c>
      <c r="Y1243">
        <v>3</v>
      </c>
      <c r="Z1243">
        <v>80</v>
      </c>
      <c r="AA1243">
        <v>1</v>
      </c>
      <c r="AB1243">
        <v>10</v>
      </c>
      <c r="AC1243">
        <v>2</v>
      </c>
      <c r="AD1243">
        <v>1</v>
      </c>
      <c r="AE1243">
        <v>4</v>
      </c>
      <c r="AF1243">
        <v>3</v>
      </c>
      <c r="AG1243">
        <v>0</v>
      </c>
      <c r="AH1243">
        <v>2</v>
      </c>
    </row>
    <row r="1244" spans="1:34" x14ac:dyDescent="0.2">
      <c r="A1244">
        <v>40</v>
      </c>
      <c r="B1244" t="s">
        <v>42</v>
      </c>
      <c r="C1244" t="s">
        <v>35</v>
      </c>
      <c r="D1244" t="s">
        <v>36</v>
      </c>
      <c r="E1244">
        <v>7</v>
      </c>
      <c r="F1244">
        <v>4</v>
      </c>
      <c r="G1244" t="s">
        <v>50</v>
      </c>
      <c r="H1244">
        <v>1</v>
      </c>
      <c r="I1244">
        <v>1740</v>
      </c>
      <c r="J1244">
        <v>2</v>
      </c>
      <c r="K1244" t="s">
        <v>45</v>
      </c>
      <c r="L1244">
        <v>88</v>
      </c>
      <c r="M1244">
        <v>3</v>
      </c>
      <c r="N1244">
        <v>5</v>
      </c>
      <c r="O1244" t="s">
        <v>55</v>
      </c>
      <c r="P1244">
        <v>2</v>
      </c>
      <c r="Q1244" t="s">
        <v>40</v>
      </c>
      <c r="R1244">
        <v>19833</v>
      </c>
      <c r="S1244">
        <v>4349</v>
      </c>
      <c r="T1244">
        <v>1</v>
      </c>
      <c r="U1244" t="s">
        <v>41</v>
      </c>
      <c r="V1244" t="s">
        <v>42</v>
      </c>
      <c r="W1244">
        <v>14</v>
      </c>
      <c r="X1244">
        <v>3</v>
      </c>
      <c r="Y1244">
        <v>2</v>
      </c>
      <c r="Z1244">
        <v>80</v>
      </c>
      <c r="AA1244">
        <v>0</v>
      </c>
      <c r="AB1244">
        <v>21</v>
      </c>
      <c r="AC1244">
        <v>3</v>
      </c>
      <c r="AD1244">
        <v>2</v>
      </c>
      <c r="AE1244">
        <v>21</v>
      </c>
      <c r="AF1244">
        <v>8</v>
      </c>
      <c r="AG1244">
        <v>12</v>
      </c>
      <c r="AH1244">
        <v>8</v>
      </c>
    </row>
    <row r="1245" spans="1:34" x14ac:dyDescent="0.2">
      <c r="A1245">
        <v>45</v>
      </c>
      <c r="B1245" t="s">
        <v>42</v>
      </c>
      <c r="C1245" t="s">
        <v>35</v>
      </c>
      <c r="D1245" t="s">
        <v>60</v>
      </c>
      <c r="E1245">
        <v>4</v>
      </c>
      <c r="F1245">
        <v>3</v>
      </c>
      <c r="G1245" t="s">
        <v>37</v>
      </c>
      <c r="H1245">
        <v>1</v>
      </c>
      <c r="I1245">
        <v>1744</v>
      </c>
      <c r="J1245">
        <v>3</v>
      </c>
      <c r="K1245" t="s">
        <v>38</v>
      </c>
      <c r="L1245">
        <v>56</v>
      </c>
      <c r="M1245">
        <v>1</v>
      </c>
      <c r="N1245">
        <v>3</v>
      </c>
      <c r="O1245" t="s">
        <v>60</v>
      </c>
      <c r="P1245">
        <v>3</v>
      </c>
      <c r="Q1245" t="s">
        <v>47</v>
      </c>
      <c r="R1245">
        <v>9756</v>
      </c>
      <c r="S1245">
        <v>6595</v>
      </c>
      <c r="T1245">
        <v>4</v>
      </c>
      <c r="U1245" t="s">
        <v>41</v>
      </c>
      <c r="V1245" t="s">
        <v>42</v>
      </c>
      <c r="W1245">
        <v>21</v>
      </c>
      <c r="X1245">
        <v>4</v>
      </c>
      <c r="Y1245">
        <v>3</v>
      </c>
      <c r="Z1245">
        <v>80</v>
      </c>
      <c r="AA1245">
        <v>2</v>
      </c>
      <c r="AB1245">
        <v>9</v>
      </c>
      <c r="AC1245">
        <v>2</v>
      </c>
      <c r="AD1245">
        <v>4</v>
      </c>
      <c r="AE1245">
        <v>5</v>
      </c>
      <c r="AF1245">
        <v>0</v>
      </c>
      <c r="AG1245">
        <v>0</v>
      </c>
      <c r="AH1245">
        <v>3</v>
      </c>
    </row>
    <row r="1246" spans="1:34" x14ac:dyDescent="0.2">
      <c r="A1246">
        <v>30</v>
      </c>
      <c r="B1246" t="s">
        <v>42</v>
      </c>
      <c r="C1246" t="s">
        <v>43</v>
      </c>
      <c r="D1246" t="s">
        <v>44</v>
      </c>
      <c r="E1246">
        <v>2</v>
      </c>
      <c r="F1246">
        <v>4</v>
      </c>
      <c r="G1246" t="s">
        <v>59</v>
      </c>
      <c r="H1246">
        <v>1</v>
      </c>
      <c r="I1246">
        <v>1745</v>
      </c>
      <c r="J1246">
        <v>4</v>
      </c>
      <c r="K1246" t="s">
        <v>38</v>
      </c>
      <c r="L1246">
        <v>78</v>
      </c>
      <c r="M1246">
        <v>2</v>
      </c>
      <c r="N1246">
        <v>1</v>
      </c>
      <c r="O1246" t="s">
        <v>46</v>
      </c>
      <c r="P1246">
        <v>1</v>
      </c>
      <c r="Q1246" t="s">
        <v>40</v>
      </c>
      <c r="R1246">
        <v>4968</v>
      </c>
      <c r="S1246">
        <v>26427</v>
      </c>
      <c r="T1246">
        <v>0</v>
      </c>
      <c r="U1246" t="s">
        <v>41</v>
      </c>
      <c r="V1246" t="s">
        <v>42</v>
      </c>
      <c r="W1246">
        <v>16</v>
      </c>
      <c r="X1246">
        <v>3</v>
      </c>
      <c r="Y1246">
        <v>4</v>
      </c>
      <c r="Z1246">
        <v>80</v>
      </c>
      <c r="AA1246">
        <v>0</v>
      </c>
      <c r="AB1246">
        <v>10</v>
      </c>
      <c r="AC1246">
        <v>2</v>
      </c>
      <c r="AD1246">
        <v>3</v>
      </c>
      <c r="AE1246">
        <v>9</v>
      </c>
      <c r="AF1246">
        <v>7</v>
      </c>
      <c r="AG1246">
        <v>0</v>
      </c>
      <c r="AH1246">
        <v>7</v>
      </c>
    </row>
    <row r="1247" spans="1:34" x14ac:dyDescent="0.2">
      <c r="A1247">
        <v>24</v>
      </c>
      <c r="B1247" t="s">
        <v>42</v>
      </c>
      <c r="C1247" t="s">
        <v>43</v>
      </c>
      <c r="D1247" t="s">
        <v>60</v>
      </c>
      <c r="E1247">
        <v>10</v>
      </c>
      <c r="F1247">
        <v>3</v>
      </c>
      <c r="G1247" t="s">
        <v>50</v>
      </c>
      <c r="H1247">
        <v>1</v>
      </c>
      <c r="I1247">
        <v>1746</v>
      </c>
      <c r="J1247">
        <v>1</v>
      </c>
      <c r="K1247" t="s">
        <v>45</v>
      </c>
      <c r="L1247">
        <v>59</v>
      </c>
      <c r="M1247">
        <v>3</v>
      </c>
      <c r="N1247">
        <v>1</v>
      </c>
      <c r="O1247" t="s">
        <v>60</v>
      </c>
      <c r="P1247">
        <v>4</v>
      </c>
      <c r="Q1247" t="s">
        <v>47</v>
      </c>
      <c r="R1247">
        <v>2145</v>
      </c>
      <c r="S1247">
        <v>2097</v>
      </c>
      <c r="T1247">
        <v>0</v>
      </c>
      <c r="U1247" t="s">
        <v>41</v>
      </c>
      <c r="V1247" t="s">
        <v>42</v>
      </c>
      <c r="W1247">
        <v>14</v>
      </c>
      <c r="X1247">
        <v>3</v>
      </c>
      <c r="Y1247">
        <v>4</v>
      </c>
      <c r="Z1247">
        <v>80</v>
      </c>
      <c r="AA1247">
        <v>1</v>
      </c>
      <c r="AB1247">
        <v>3</v>
      </c>
      <c r="AC1247">
        <v>2</v>
      </c>
      <c r="AD1247">
        <v>3</v>
      </c>
      <c r="AE1247">
        <v>2</v>
      </c>
      <c r="AF1247">
        <v>2</v>
      </c>
      <c r="AG1247">
        <v>2</v>
      </c>
      <c r="AH1247">
        <v>1</v>
      </c>
    </row>
    <row r="1248" spans="1:34" x14ac:dyDescent="0.2">
      <c r="A1248">
        <v>30</v>
      </c>
      <c r="B1248" t="s">
        <v>34</v>
      </c>
      <c r="C1248" t="s">
        <v>43</v>
      </c>
      <c r="D1248" t="s">
        <v>60</v>
      </c>
      <c r="E1248">
        <v>8</v>
      </c>
      <c r="F1248">
        <v>3</v>
      </c>
      <c r="G1248" t="s">
        <v>60</v>
      </c>
      <c r="H1248">
        <v>1</v>
      </c>
      <c r="I1248">
        <v>1747</v>
      </c>
      <c r="J1248">
        <v>3</v>
      </c>
      <c r="K1248" t="s">
        <v>38</v>
      </c>
      <c r="L1248">
        <v>66</v>
      </c>
      <c r="M1248">
        <v>2</v>
      </c>
      <c r="N1248">
        <v>1</v>
      </c>
      <c r="O1248" t="s">
        <v>60</v>
      </c>
      <c r="P1248">
        <v>4</v>
      </c>
      <c r="Q1248" t="s">
        <v>51</v>
      </c>
      <c r="R1248">
        <v>2180</v>
      </c>
      <c r="S1248">
        <v>9732</v>
      </c>
      <c r="T1248">
        <v>6</v>
      </c>
      <c r="U1248" t="s">
        <v>41</v>
      </c>
      <c r="V1248" t="s">
        <v>42</v>
      </c>
      <c r="W1248">
        <v>11</v>
      </c>
      <c r="X1248">
        <v>3</v>
      </c>
      <c r="Y1248">
        <v>3</v>
      </c>
      <c r="Z1248">
        <v>80</v>
      </c>
      <c r="AA1248">
        <v>1</v>
      </c>
      <c r="AB1248">
        <v>6</v>
      </c>
      <c r="AC1248">
        <v>0</v>
      </c>
      <c r="AD1248">
        <v>2</v>
      </c>
      <c r="AE1248">
        <v>4</v>
      </c>
      <c r="AF1248">
        <v>2</v>
      </c>
      <c r="AG1248">
        <v>1</v>
      </c>
      <c r="AH1248">
        <v>2</v>
      </c>
    </row>
    <row r="1249" spans="1:34" x14ac:dyDescent="0.2">
      <c r="A1249">
        <v>31</v>
      </c>
      <c r="B1249" t="s">
        <v>42</v>
      </c>
      <c r="C1249" t="s">
        <v>35</v>
      </c>
      <c r="D1249" t="s">
        <v>36</v>
      </c>
      <c r="E1249">
        <v>5</v>
      </c>
      <c r="F1249">
        <v>3</v>
      </c>
      <c r="G1249" t="s">
        <v>59</v>
      </c>
      <c r="H1249">
        <v>1</v>
      </c>
      <c r="I1249">
        <v>1749</v>
      </c>
      <c r="J1249">
        <v>1</v>
      </c>
      <c r="K1249" t="s">
        <v>45</v>
      </c>
      <c r="L1249">
        <v>51</v>
      </c>
      <c r="M1249">
        <v>3</v>
      </c>
      <c r="N1249">
        <v>2</v>
      </c>
      <c r="O1249" t="s">
        <v>39</v>
      </c>
      <c r="P1249">
        <v>3</v>
      </c>
      <c r="Q1249" t="s">
        <v>47</v>
      </c>
      <c r="R1249">
        <v>8346</v>
      </c>
      <c r="S1249">
        <v>20943</v>
      </c>
      <c r="T1249">
        <v>1</v>
      </c>
      <c r="U1249" t="s">
        <v>41</v>
      </c>
      <c r="V1249" t="s">
        <v>42</v>
      </c>
      <c r="W1249">
        <v>19</v>
      </c>
      <c r="X1249">
        <v>3</v>
      </c>
      <c r="Y1249">
        <v>3</v>
      </c>
      <c r="Z1249">
        <v>80</v>
      </c>
      <c r="AA1249">
        <v>1</v>
      </c>
      <c r="AB1249">
        <v>6</v>
      </c>
      <c r="AC1249">
        <v>3</v>
      </c>
      <c r="AD1249">
        <v>3</v>
      </c>
      <c r="AE1249">
        <v>5</v>
      </c>
      <c r="AF1249">
        <v>2</v>
      </c>
      <c r="AG1249">
        <v>0</v>
      </c>
      <c r="AH1249">
        <v>2</v>
      </c>
    </row>
    <row r="1250" spans="1:34" x14ac:dyDescent="0.2">
      <c r="A1250">
        <v>27</v>
      </c>
      <c r="B1250" t="s">
        <v>42</v>
      </c>
      <c r="C1250" t="s">
        <v>35</v>
      </c>
      <c r="D1250" t="s">
        <v>44</v>
      </c>
      <c r="E1250">
        <v>8</v>
      </c>
      <c r="F1250">
        <v>3</v>
      </c>
      <c r="G1250" t="s">
        <v>50</v>
      </c>
      <c r="H1250">
        <v>1</v>
      </c>
      <c r="I1250">
        <v>1751</v>
      </c>
      <c r="J1250">
        <v>3</v>
      </c>
      <c r="K1250" t="s">
        <v>38</v>
      </c>
      <c r="L1250">
        <v>67</v>
      </c>
      <c r="M1250">
        <v>3</v>
      </c>
      <c r="N1250">
        <v>1</v>
      </c>
      <c r="O1250" t="s">
        <v>46</v>
      </c>
      <c r="P1250">
        <v>4</v>
      </c>
      <c r="Q1250" t="s">
        <v>40</v>
      </c>
      <c r="R1250">
        <v>3445</v>
      </c>
      <c r="S1250">
        <v>6152</v>
      </c>
      <c r="T1250">
        <v>1</v>
      </c>
      <c r="U1250" t="s">
        <v>41</v>
      </c>
      <c r="V1250" t="s">
        <v>42</v>
      </c>
      <c r="W1250">
        <v>11</v>
      </c>
      <c r="X1250">
        <v>3</v>
      </c>
      <c r="Y1250">
        <v>3</v>
      </c>
      <c r="Z1250">
        <v>80</v>
      </c>
      <c r="AA1250">
        <v>0</v>
      </c>
      <c r="AB1250">
        <v>6</v>
      </c>
      <c r="AC1250">
        <v>5</v>
      </c>
      <c r="AD1250">
        <v>2</v>
      </c>
      <c r="AE1250">
        <v>6</v>
      </c>
      <c r="AF1250">
        <v>2</v>
      </c>
      <c r="AG1250">
        <v>1</v>
      </c>
      <c r="AH1250">
        <v>4</v>
      </c>
    </row>
    <row r="1251" spans="1:34" x14ac:dyDescent="0.2">
      <c r="A1251">
        <v>29</v>
      </c>
      <c r="B1251" t="s">
        <v>34</v>
      </c>
      <c r="C1251" t="s">
        <v>35</v>
      </c>
      <c r="D1251" t="s">
        <v>36</v>
      </c>
      <c r="E1251">
        <v>9</v>
      </c>
      <c r="F1251">
        <v>3</v>
      </c>
      <c r="G1251" t="s">
        <v>58</v>
      </c>
      <c r="H1251">
        <v>1</v>
      </c>
      <c r="I1251">
        <v>1752</v>
      </c>
      <c r="J1251">
        <v>2</v>
      </c>
      <c r="K1251" t="s">
        <v>38</v>
      </c>
      <c r="L1251">
        <v>52</v>
      </c>
      <c r="M1251">
        <v>1</v>
      </c>
      <c r="N1251">
        <v>1</v>
      </c>
      <c r="O1251" t="s">
        <v>56</v>
      </c>
      <c r="P1251">
        <v>2</v>
      </c>
      <c r="Q1251" t="s">
        <v>40</v>
      </c>
      <c r="R1251">
        <v>2760</v>
      </c>
      <c r="S1251">
        <v>14630</v>
      </c>
      <c r="T1251">
        <v>1</v>
      </c>
      <c r="U1251" t="s">
        <v>41</v>
      </c>
      <c r="V1251" t="s">
        <v>42</v>
      </c>
      <c r="W1251">
        <v>13</v>
      </c>
      <c r="X1251">
        <v>3</v>
      </c>
      <c r="Y1251">
        <v>3</v>
      </c>
      <c r="Z1251">
        <v>80</v>
      </c>
      <c r="AA1251">
        <v>0</v>
      </c>
      <c r="AB1251">
        <v>2</v>
      </c>
      <c r="AC1251">
        <v>3</v>
      </c>
      <c r="AD1251">
        <v>3</v>
      </c>
      <c r="AE1251">
        <v>2</v>
      </c>
      <c r="AF1251">
        <v>2</v>
      </c>
      <c r="AG1251">
        <v>2</v>
      </c>
      <c r="AH1251">
        <v>2</v>
      </c>
    </row>
    <row r="1252" spans="1:34" x14ac:dyDescent="0.2">
      <c r="A1252">
        <v>29</v>
      </c>
      <c r="B1252" t="s">
        <v>42</v>
      </c>
      <c r="C1252" t="s">
        <v>43</v>
      </c>
      <c r="D1252" t="s">
        <v>44</v>
      </c>
      <c r="E1252">
        <v>1</v>
      </c>
      <c r="F1252">
        <v>3</v>
      </c>
      <c r="G1252" t="s">
        <v>37</v>
      </c>
      <c r="H1252">
        <v>1</v>
      </c>
      <c r="I1252">
        <v>1753</v>
      </c>
      <c r="J1252">
        <v>4</v>
      </c>
      <c r="K1252" t="s">
        <v>45</v>
      </c>
      <c r="L1252">
        <v>70</v>
      </c>
      <c r="M1252">
        <v>4</v>
      </c>
      <c r="N1252">
        <v>2</v>
      </c>
      <c r="O1252" t="s">
        <v>53</v>
      </c>
      <c r="P1252">
        <v>3</v>
      </c>
      <c r="Q1252" t="s">
        <v>40</v>
      </c>
      <c r="R1252">
        <v>6294</v>
      </c>
      <c r="S1252">
        <v>23060</v>
      </c>
      <c r="T1252">
        <v>8</v>
      </c>
      <c r="U1252" t="s">
        <v>41</v>
      </c>
      <c r="V1252" t="s">
        <v>34</v>
      </c>
      <c r="W1252">
        <v>12</v>
      </c>
      <c r="X1252">
        <v>3</v>
      </c>
      <c r="Y1252">
        <v>4</v>
      </c>
      <c r="Z1252">
        <v>80</v>
      </c>
      <c r="AA1252">
        <v>0</v>
      </c>
      <c r="AB1252">
        <v>10</v>
      </c>
      <c r="AC1252">
        <v>5</v>
      </c>
      <c r="AD1252">
        <v>4</v>
      </c>
      <c r="AE1252">
        <v>3</v>
      </c>
      <c r="AF1252">
        <v>2</v>
      </c>
      <c r="AG1252">
        <v>0</v>
      </c>
      <c r="AH1252">
        <v>2</v>
      </c>
    </row>
    <row r="1253" spans="1:34" x14ac:dyDescent="0.2">
      <c r="A1253">
        <v>30</v>
      </c>
      <c r="B1253" t="s">
        <v>42</v>
      </c>
      <c r="C1253" t="s">
        <v>35</v>
      </c>
      <c r="D1253" t="s">
        <v>36</v>
      </c>
      <c r="E1253">
        <v>15</v>
      </c>
      <c r="F1253">
        <v>2</v>
      </c>
      <c r="G1253" t="s">
        <v>58</v>
      </c>
      <c r="H1253">
        <v>1</v>
      </c>
      <c r="I1253">
        <v>1754</v>
      </c>
      <c r="J1253">
        <v>3</v>
      </c>
      <c r="K1253" t="s">
        <v>45</v>
      </c>
      <c r="L1253">
        <v>94</v>
      </c>
      <c r="M1253">
        <v>2</v>
      </c>
      <c r="N1253">
        <v>3</v>
      </c>
      <c r="O1253" t="s">
        <v>39</v>
      </c>
      <c r="P1253">
        <v>1</v>
      </c>
      <c r="Q1253" t="s">
        <v>51</v>
      </c>
      <c r="R1253">
        <v>7140</v>
      </c>
      <c r="S1253">
        <v>3088</v>
      </c>
      <c r="T1253">
        <v>2</v>
      </c>
      <c r="U1253" t="s">
        <v>41</v>
      </c>
      <c r="V1253" t="s">
        <v>42</v>
      </c>
      <c r="W1253">
        <v>11</v>
      </c>
      <c r="X1253">
        <v>3</v>
      </c>
      <c r="Y1253">
        <v>1</v>
      </c>
      <c r="Z1253">
        <v>80</v>
      </c>
      <c r="AA1253">
        <v>1</v>
      </c>
      <c r="AB1253">
        <v>12</v>
      </c>
      <c r="AC1253">
        <v>2</v>
      </c>
      <c r="AD1253">
        <v>3</v>
      </c>
      <c r="AE1253">
        <v>7</v>
      </c>
      <c r="AF1253">
        <v>7</v>
      </c>
      <c r="AG1253">
        <v>1</v>
      </c>
      <c r="AH1253">
        <v>7</v>
      </c>
    </row>
    <row r="1254" spans="1:34" x14ac:dyDescent="0.2">
      <c r="A1254">
        <v>34</v>
      </c>
      <c r="B1254" t="s">
        <v>42</v>
      </c>
      <c r="C1254" t="s">
        <v>35</v>
      </c>
      <c r="D1254" t="s">
        <v>44</v>
      </c>
      <c r="E1254">
        <v>2</v>
      </c>
      <c r="F1254">
        <v>4</v>
      </c>
      <c r="G1254" t="s">
        <v>50</v>
      </c>
      <c r="H1254">
        <v>1</v>
      </c>
      <c r="I1254">
        <v>1755</v>
      </c>
      <c r="J1254">
        <v>4</v>
      </c>
      <c r="K1254" t="s">
        <v>45</v>
      </c>
      <c r="L1254">
        <v>97</v>
      </c>
      <c r="M1254">
        <v>4</v>
      </c>
      <c r="N1254">
        <v>1</v>
      </c>
      <c r="O1254" t="s">
        <v>46</v>
      </c>
      <c r="P1254">
        <v>4</v>
      </c>
      <c r="Q1254" t="s">
        <v>47</v>
      </c>
      <c r="R1254">
        <v>2932</v>
      </c>
      <c r="S1254">
        <v>5586</v>
      </c>
      <c r="T1254">
        <v>0</v>
      </c>
      <c r="U1254" t="s">
        <v>41</v>
      </c>
      <c r="V1254" t="s">
        <v>34</v>
      </c>
      <c r="W1254">
        <v>14</v>
      </c>
      <c r="X1254">
        <v>3</v>
      </c>
      <c r="Y1254">
        <v>1</v>
      </c>
      <c r="Z1254">
        <v>80</v>
      </c>
      <c r="AA1254">
        <v>3</v>
      </c>
      <c r="AB1254">
        <v>6</v>
      </c>
      <c r="AC1254">
        <v>3</v>
      </c>
      <c r="AD1254">
        <v>3</v>
      </c>
      <c r="AE1254">
        <v>5</v>
      </c>
      <c r="AF1254">
        <v>0</v>
      </c>
      <c r="AG1254">
        <v>1</v>
      </c>
      <c r="AH1254">
        <v>2</v>
      </c>
    </row>
    <row r="1255" spans="1:34" x14ac:dyDescent="0.2">
      <c r="A1255">
        <v>33</v>
      </c>
      <c r="B1255" t="s">
        <v>42</v>
      </c>
      <c r="C1255" t="s">
        <v>54</v>
      </c>
      <c r="D1255" t="s">
        <v>36</v>
      </c>
      <c r="E1255">
        <v>2</v>
      </c>
      <c r="F1255">
        <v>3</v>
      </c>
      <c r="G1255" t="s">
        <v>58</v>
      </c>
      <c r="H1255">
        <v>1</v>
      </c>
      <c r="I1255">
        <v>1756</v>
      </c>
      <c r="J1255">
        <v>4</v>
      </c>
      <c r="K1255" t="s">
        <v>38</v>
      </c>
      <c r="L1255">
        <v>62</v>
      </c>
      <c r="M1255">
        <v>3</v>
      </c>
      <c r="N1255">
        <v>2</v>
      </c>
      <c r="O1255" t="s">
        <v>39</v>
      </c>
      <c r="P1255">
        <v>2</v>
      </c>
      <c r="Q1255" t="s">
        <v>40</v>
      </c>
      <c r="R1255">
        <v>5147</v>
      </c>
      <c r="S1255">
        <v>10697</v>
      </c>
      <c r="T1255">
        <v>8</v>
      </c>
      <c r="U1255" t="s">
        <v>41</v>
      </c>
      <c r="V1255" t="s">
        <v>42</v>
      </c>
      <c r="W1255">
        <v>15</v>
      </c>
      <c r="X1255">
        <v>3</v>
      </c>
      <c r="Y1255">
        <v>4</v>
      </c>
      <c r="Z1255">
        <v>80</v>
      </c>
      <c r="AA1255">
        <v>0</v>
      </c>
      <c r="AB1255">
        <v>13</v>
      </c>
      <c r="AC1255">
        <v>2</v>
      </c>
      <c r="AD1255">
        <v>2</v>
      </c>
      <c r="AE1255">
        <v>11</v>
      </c>
      <c r="AF1255">
        <v>7</v>
      </c>
      <c r="AG1255">
        <v>1</v>
      </c>
      <c r="AH1255">
        <v>7</v>
      </c>
    </row>
    <row r="1256" spans="1:34" x14ac:dyDescent="0.2">
      <c r="A1256">
        <v>49</v>
      </c>
      <c r="B1256" t="s">
        <v>42</v>
      </c>
      <c r="C1256" t="s">
        <v>35</v>
      </c>
      <c r="D1256" t="s">
        <v>36</v>
      </c>
      <c r="E1256">
        <v>11</v>
      </c>
      <c r="F1256">
        <v>4</v>
      </c>
      <c r="G1256" t="s">
        <v>58</v>
      </c>
      <c r="H1256">
        <v>1</v>
      </c>
      <c r="I1256">
        <v>1757</v>
      </c>
      <c r="J1256">
        <v>4</v>
      </c>
      <c r="K1256" t="s">
        <v>38</v>
      </c>
      <c r="L1256">
        <v>80</v>
      </c>
      <c r="M1256">
        <v>3</v>
      </c>
      <c r="N1256">
        <v>2</v>
      </c>
      <c r="O1256" t="s">
        <v>39</v>
      </c>
      <c r="P1256">
        <v>4</v>
      </c>
      <c r="Q1256" t="s">
        <v>40</v>
      </c>
      <c r="R1256">
        <v>4507</v>
      </c>
      <c r="S1256">
        <v>8191</v>
      </c>
      <c r="T1256">
        <v>3</v>
      </c>
      <c r="U1256" t="s">
        <v>41</v>
      </c>
      <c r="V1256" t="s">
        <v>42</v>
      </c>
      <c r="W1256">
        <v>12</v>
      </c>
      <c r="X1256">
        <v>3</v>
      </c>
      <c r="Y1256">
        <v>3</v>
      </c>
      <c r="Z1256">
        <v>80</v>
      </c>
      <c r="AA1256">
        <v>0</v>
      </c>
      <c r="AB1256">
        <v>8</v>
      </c>
      <c r="AC1256">
        <v>1</v>
      </c>
      <c r="AD1256">
        <v>4</v>
      </c>
      <c r="AE1256">
        <v>5</v>
      </c>
      <c r="AF1256">
        <v>1</v>
      </c>
      <c r="AG1256">
        <v>0</v>
      </c>
      <c r="AH1256">
        <v>4</v>
      </c>
    </row>
    <row r="1257" spans="1:34" x14ac:dyDescent="0.2">
      <c r="A1257">
        <v>33</v>
      </c>
      <c r="B1257" t="s">
        <v>34</v>
      </c>
      <c r="C1257" t="s">
        <v>35</v>
      </c>
      <c r="D1257" t="s">
        <v>36</v>
      </c>
      <c r="E1257">
        <v>16</v>
      </c>
      <c r="F1257">
        <v>3</v>
      </c>
      <c r="G1257" t="s">
        <v>37</v>
      </c>
      <c r="H1257">
        <v>1</v>
      </c>
      <c r="I1257">
        <v>1758</v>
      </c>
      <c r="J1257">
        <v>1</v>
      </c>
      <c r="K1257" t="s">
        <v>38</v>
      </c>
      <c r="L1257">
        <v>74</v>
      </c>
      <c r="M1257">
        <v>3</v>
      </c>
      <c r="N1257">
        <v>3</v>
      </c>
      <c r="O1257" t="s">
        <v>39</v>
      </c>
      <c r="P1257">
        <v>1</v>
      </c>
      <c r="Q1257" t="s">
        <v>40</v>
      </c>
      <c r="R1257">
        <v>8564</v>
      </c>
      <c r="S1257">
        <v>10092</v>
      </c>
      <c r="T1257">
        <v>2</v>
      </c>
      <c r="U1257" t="s">
        <v>41</v>
      </c>
      <c r="V1257" t="s">
        <v>34</v>
      </c>
      <c r="W1257">
        <v>20</v>
      </c>
      <c r="X1257">
        <v>4</v>
      </c>
      <c r="Y1257">
        <v>3</v>
      </c>
      <c r="Z1257">
        <v>80</v>
      </c>
      <c r="AA1257">
        <v>0</v>
      </c>
      <c r="AB1257">
        <v>11</v>
      </c>
      <c r="AC1257">
        <v>2</v>
      </c>
      <c r="AD1257">
        <v>2</v>
      </c>
      <c r="AE1257">
        <v>0</v>
      </c>
      <c r="AF1257">
        <v>0</v>
      </c>
      <c r="AG1257">
        <v>0</v>
      </c>
      <c r="AH1257">
        <v>0</v>
      </c>
    </row>
    <row r="1258" spans="1:34" x14ac:dyDescent="0.2">
      <c r="A1258">
        <v>38</v>
      </c>
      <c r="B1258" t="s">
        <v>42</v>
      </c>
      <c r="C1258" t="s">
        <v>43</v>
      </c>
      <c r="D1258" t="s">
        <v>44</v>
      </c>
      <c r="E1258">
        <v>2</v>
      </c>
      <c r="F1258">
        <v>2</v>
      </c>
      <c r="G1258" t="s">
        <v>50</v>
      </c>
      <c r="H1258">
        <v>1</v>
      </c>
      <c r="I1258">
        <v>1760</v>
      </c>
      <c r="J1258">
        <v>3</v>
      </c>
      <c r="K1258" t="s">
        <v>38</v>
      </c>
      <c r="L1258">
        <v>75</v>
      </c>
      <c r="M1258">
        <v>2</v>
      </c>
      <c r="N1258">
        <v>1</v>
      </c>
      <c r="O1258" t="s">
        <v>49</v>
      </c>
      <c r="P1258">
        <v>2</v>
      </c>
      <c r="Q1258" t="s">
        <v>47</v>
      </c>
      <c r="R1258">
        <v>2468</v>
      </c>
      <c r="S1258">
        <v>15963</v>
      </c>
      <c r="T1258">
        <v>4</v>
      </c>
      <c r="U1258" t="s">
        <v>41</v>
      </c>
      <c r="V1258" t="s">
        <v>42</v>
      </c>
      <c r="W1258">
        <v>14</v>
      </c>
      <c r="X1258">
        <v>3</v>
      </c>
      <c r="Y1258">
        <v>2</v>
      </c>
      <c r="Z1258">
        <v>80</v>
      </c>
      <c r="AA1258">
        <v>1</v>
      </c>
      <c r="AB1258">
        <v>9</v>
      </c>
      <c r="AC1258">
        <v>4</v>
      </c>
      <c r="AD1258">
        <v>2</v>
      </c>
      <c r="AE1258">
        <v>6</v>
      </c>
      <c r="AF1258">
        <v>1</v>
      </c>
      <c r="AG1258">
        <v>0</v>
      </c>
      <c r="AH1258">
        <v>5</v>
      </c>
    </row>
    <row r="1259" spans="1:34" x14ac:dyDescent="0.2">
      <c r="A1259">
        <v>31</v>
      </c>
      <c r="B1259" t="s">
        <v>34</v>
      </c>
      <c r="C1259" t="s">
        <v>35</v>
      </c>
      <c r="D1259" t="s">
        <v>36</v>
      </c>
      <c r="E1259">
        <v>16</v>
      </c>
      <c r="F1259">
        <v>4</v>
      </c>
      <c r="G1259" t="s">
        <v>58</v>
      </c>
      <c r="H1259">
        <v>1</v>
      </c>
      <c r="I1259">
        <v>1761</v>
      </c>
      <c r="J1259">
        <v>1</v>
      </c>
      <c r="K1259" t="s">
        <v>45</v>
      </c>
      <c r="L1259">
        <v>70</v>
      </c>
      <c r="M1259">
        <v>3</v>
      </c>
      <c r="N1259">
        <v>3</v>
      </c>
      <c r="O1259" t="s">
        <v>39</v>
      </c>
      <c r="P1259">
        <v>3</v>
      </c>
      <c r="Q1259" t="s">
        <v>47</v>
      </c>
      <c r="R1259">
        <v>8161</v>
      </c>
      <c r="S1259">
        <v>19002</v>
      </c>
      <c r="T1259">
        <v>2</v>
      </c>
      <c r="U1259" t="s">
        <v>41</v>
      </c>
      <c r="V1259" t="s">
        <v>42</v>
      </c>
      <c r="W1259">
        <v>13</v>
      </c>
      <c r="X1259">
        <v>3</v>
      </c>
      <c r="Y1259">
        <v>1</v>
      </c>
      <c r="Z1259">
        <v>80</v>
      </c>
      <c r="AA1259">
        <v>3</v>
      </c>
      <c r="AB1259">
        <v>10</v>
      </c>
      <c r="AC1259">
        <v>2</v>
      </c>
      <c r="AD1259">
        <v>3</v>
      </c>
      <c r="AE1259">
        <v>1</v>
      </c>
      <c r="AF1259">
        <v>0</v>
      </c>
      <c r="AG1259">
        <v>0</v>
      </c>
      <c r="AH1259">
        <v>0</v>
      </c>
    </row>
    <row r="1260" spans="1:34" x14ac:dyDescent="0.2">
      <c r="A1260">
        <v>29</v>
      </c>
      <c r="B1260" t="s">
        <v>42</v>
      </c>
      <c r="C1260" t="s">
        <v>35</v>
      </c>
      <c r="D1260" t="s">
        <v>44</v>
      </c>
      <c r="E1260">
        <v>4</v>
      </c>
      <c r="F1260">
        <v>3</v>
      </c>
      <c r="G1260" t="s">
        <v>59</v>
      </c>
      <c r="H1260">
        <v>1</v>
      </c>
      <c r="I1260">
        <v>1762</v>
      </c>
      <c r="J1260">
        <v>4</v>
      </c>
      <c r="K1260" t="s">
        <v>38</v>
      </c>
      <c r="L1260">
        <v>91</v>
      </c>
      <c r="M1260">
        <v>2</v>
      </c>
      <c r="N1260">
        <v>1</v>
      </c>
      <c r="O1260" t="s">
        <v>46</v>
      </c>
      <c r="P1260">
        <v>1</v>
      </c>
      <c r="Q1260" t="s">
        <v>51</v>
      </c>
      <c r="R1260">
        <v>2109</v>
      </c>
      <c r="S1260">
        <v>10007</v>
      </c>
      <c r="T1260">
        <v>1</v>
      </c>
      <c r="U1260" t="s">
        <v>41</v>
      </c>
      <c r="V1260" t="s">
        <v>42</v>
      </c>
      <c r="W1260">
        <v>13</v>
      </c>
      <c r="X1260">
        <v>3</v>
      </c>
      <c r="Y1260">
        <v>3</v>
      </c>
      <c r="Z1260">
        <v>80</v>
      </c>
      <c r="AA1260">
        <v>1</v>
      </c>
      <c r="AB1260">
        <v>1</v>
      </c>
      <c r="AC1260">
        <v>2</v>
      </c>
      <c r="AD1260">
        <v>3</v>
      </c>
      <c r="AE1260">
        <v>1</v>
      </c>
      <c r="AF1260">
        <v>0</v>
      </c>
      <c r="AG1260">
        <v>0</v>
      </c>
      <c r="AH1260">
        <v>0</v>
      </c>
    </row>
    <row r="1261" spans="1:34" x14ac:dyDescent="0.2">
      <c r="A1261">
        <v>30</v>
      </c>
      <c r="B1261" t="s">
        <v>42</v>
      </c>
      <c r="C1261" t="s">
        <v>35</v>
      </c>
      <c r="D1261" t="s">
        <v>44</v>
      </c>
      <c r="E1261">
        <v>16</v>
      </c>
      <c r="F1261">
        <v>3</v>
      </c>
      <c r="G1261" t="s">
        <v>37</v>
      </c>
      <c r="H1261">
        <v>1</v>
      </c>
      <c r="I1261">
        <v>1763</v>
      </c>
      <c r="J1261">
        <v>3</v>
      </c>
      <c r="K1261" t="s">
        <v>45</v>
      </c>
      <c r="L1261">
        <v>58</v>
      </c>
      <c r="M1261">
        <v>4</v>
      </c>
      <c r="N1261">
        <v>2</v>
      </c>
      <c r="O1261" t="s">
        <v>53</v>
      </c>
      <c r="P1261">
        <v>3</v>
      </c>
      <c r="Q1261" t="s">
        <v>47</v>
      </c>
      <c r="R1261">
        <v>5294</v>
      </c>
      <c r="S1261">
        <v>9128</v>
      </c>
      <c r="T1261">
        <v>3</v>
      </c>
      <c r="U1261" t="s">
        <v>41</v>
      </c>
      <c r="V1261" t="s">
        <v>42</v>
      </c>
      <c r="W1261">
        <v>16</v>
      </c>
      <c r="X1261">
        <v>3</v>
      </c>
      <c r="Y1261">
        <v>3</v>
      </c>
      <c r="Z1261">
        <v>80</v>
      </c>
      <c r="AA1261">
        <v>1</v>
      </c>
      <c r="AB1261">
        <v>10</v>
      </c>
      <c r="AC1261">
        <v>3</v>
      </c>
      <c r="AD1261">
        <v>3</v>
      </c>
      <c r="AE1261">
        <v>7</v>
      </c>
      <c r="AF1261">
        <v>0</v>
      </c>
      <c r="AG1261">
        <v>1</v>
      </c>
      <c r="AH1261">
        <v>7</v>
      </c>
    </row>
    <row r="1262" spans="1:34" x14ac:dyDescent="0.2">
      <c r="A1262">
        <v>32</v>
      </c>
      <c r="B1262" t="s">
        <v>42</v>
      </c>
      <c r="C1262" t="s">
        <v>54</v>
      </c>
      <c r="D1262" t="s">
        <v>44</v>
      </c>
      <c r="E1262">
        <v>5</v>
      </c>
      <c r="F1262">
        <v>4</v>
      </c>
      <c r="G1262" t="s">
        <v>59</v>
      </c>
      <c r="H1262">
        <v>1</v>
      </c>
      <c r="I1262">
        <v>1764</v>
      </c>
      <c r="J1262">
        <v>2</v>
      </c>
      <c r="K1262" t="s">
        <v>45</v>
      </c>
      <c r="L1262">
        <v>65</v>
      </c>
      <c r="M1262">
        <v>3</v>
      </c>
      <c r="N1262">
        <v>1</v>
      </c>
      <c r="O1262" t="s">
        <v>46</v>
      </c>
      <c r="P1262">
        <v>2</v>
      </c>
      <c r="Q1262" t="s">
        <v>40</v>
      </c>
      <c r="R1262">
        <v>2718</v>
      </c>
      <c r="S1262">
        <v>17674</v>
      </c>
      <c r="T1262">
        <v>2</v>
      </c>
      <c r="U1262" t="s">
        <v>41</v>
      </c>
      <c r="V1262" t="s">
        <v>42</v>
      </c>
      <c r="W1262">
        <v>14</v>
      </c>
      <c r="X1262">
        <v>3</v>
      </c>
      <c r="Y1262">
        <v>2</v>
      </c>
      <c r="Z1262">
        <v>80</v>
      </c>
      <c r="AA1262">
        <v>0</v>
      </c>
      <c r="AB1262">
        <v>12</v>
      </c>
      <c r="AC1262">
        <v>3</v>
      </c>
      <c r="AD1262">
        <v>3</v>
      </c>
      <c r="AE1262">
        <v>7</v>
      </c>
      <c r="AF1262">
        <v>7</v>
      </c>
      <c r="AG1262">
        <v>0</v>
      </c>
      <c r="AH1262">
        <v>7</v>
      </c>
    </row>
    <row r="1263" spans="1:34" x14ac:dyDescent="0.2">
      <c r="A1263">
        <v>38</v>
      </c>
      <c r="B1263" t="s">
        <v>42</v>
      </c>
      <c r="C1263" t="s">
        <v>35</v>
      </c>
      <c r="D1263" t="s">
        <v>44</v>
      </c>
      <c r="E1263">
        <v>18</v>
      </c>
      <c r="F1263">
        <v>3</v>
      </c>
      <c r="G1263" t="s">
        <v>50</v>
      </c>
      <c r="H1263">
        <v>1</v>
      </c>
      <c r="I1263">
        <v>1766</v>
      </c>
      <c r="J1263">
        <v>2</v>
      </c>
      <c r="K1263" t="s">
        <v>45</v>
      </c>
      <c r="L1263">
        <v>60</v>
      </c>
      <c r="M1263">
        <v>1</v>
      </c>
      <c r="N1263">
        <v>2</v>
      </c>
      <c r="O1263" t="s">
        <v>53</v>
      </c>
      <c r="P1263">
        <v>4</v>
      </c>
      <c r="Q1263" t="s">
        <v>47</v>
      </c>
      <c r="R1263">
        <v>5811</v>
      </c>
      <c r="S1263">
        <v>24539</v>
      </c>
      <c r="T1263">
        <v>3</v>
      </c>
      <c r="U1263" t="s">
        <v>41</v>
      </c>
      <c r="V1263" t="s">
        <v>34</v>
      </c>
      <c r="W1263">
        <v>16</v>
      </c>
      <c r="X1263">
        <v>3</v>
      </c>
      <c r="Y1263">
        <v>3</v>
      </c>
      <c r="Z1263">
        <v>80</v>
      </c>
      <c r="AA1263">
        <v>1</v>
      </c>
      <c r="AB1263">
        <v>15</v>
      </c>
      <c r="AC1263">
        <v>2</v>
      </c>
      <c r="AD1263">
        <v>3</v>
      </c>
      <c r="AE1263">
        <v>1</v>
      </c>
      <c r="AF1263">
        <v>0</v>
      </c>
      <c r="AG1263">
        <v>1</v>
      </c>
      <c r="AH1263">
        <v>0</v>
      </c>
    </row>
    <row r="1264" spans="1:34" x14ac:dyDescent="0.2">
      <c r="A1264">
        <v>43</v>
      </c>
      <c r="B1264" t="s">
        <v>34</v>
      </c>
      <c r="C1264" t="s">
        <v>43</v>
      </c>
      <c r="D1264" t="s">
        <v>44</v>
      </c>
      <c r="E1264">
        <v>17</v>
      </c>
      <c r="F1264">
        <v>3</v>
      </c>
      <c r="G1264" t="s">
        <v>59</v>
      </c>
      <c r="H1264">
        <v>1</v>
      </c>
      <c r="I1264">
        <v>1767</v>
      </c>
      <c r="J1264">
        <v>3</v>
      </c>
      <c r="K1264" t="s">
        <v>45</v>
      </c>
      <c r="L1264">
        <v>38</v>
      </c>
      <c r="M1264">
        <v>2</v>
      </c>
      <c r="N1264">
        <v>1</v>
      </c>
      <c r="O1264" t="s">
        <v>46</v>
      </c>
      <c r="P1264">
        <v>3</v>
      </c>
      <c r="Q1264" t="s">
        <v>47</v>
      </c>
      <c r="R1264">
        <v>2437</v>
      </c>
      <c r="S1264">
        <v>15587</v>
      </c>
      <c r="T1264">
        <v>9</v>
      </c>
      <c r="U1264" t="s">
        <v>41</v>
      </c>
      <c r="V1264" t="s">
        <v>34</v>
      </c>
      <c r="W1264">
        <v>16</v>
      </c>
      <c r="X1264">
        <v>3</v>
      </c>
      <c r="Y1264">
        <v>4</v>
      </c>
      <c r="Z1264">
        <v>80</v>
      </c>
      <c r="AA1264">
        <v>1</v>
      </c>
      <c r="AB1264">
        <v>6</v>
      </c>
      <c r="AC1264">
        <v>4</v>
      </c>
      <c r="AD1264">
        <v>3</v>
      </c>
      <c r="AE1264">
        <v>1</v>
      </c>
      <c r="AF1264">
        <v>0</v>
      </c>
      <c r="AG1264">
        <v>0</v>
      </c>
      <c r="AH1264">
        <v>0</v>
      </c>
    </row>
    <row r="1265" spans="1:34" x14ac:dyDescent="0.2">
      <c r="A1265">
        <v>42</v>
      </c>
      <c r="B1265" t="s">
        <v>42</v>
      </c>
      <c r="C1265" t="s">
        <v>35</v>
      </c>
      <c r="D1265" t="s">
        <v>44</v>
      </c>
      <c r="E1265">
        <v>12</v>
      </c>
      <c r="F1265">
        <v>3</v>
      </c>
      <c r="G1265" t="s">
        <v>50</v>
      </c>
      <c r="H1265">
        <v>1</v>
      </c>
      <c r="I1265">
        <v>1768</v>
      </c>
      <c r="J1265">
        <v>2</v>
      </c>
      <c r="K1265" t="s">
        <v>45</v>
      </c>
      <c r="L1265">
        <v>57</v>
      </c>
      <c r="M1265">
        <v>3</v>
      </c>
      <c r="N1265">
        <v>1</v>
      </c>
      <c r="O1265" t="s">
        <v>49</v>
      </c>
      <c r="P1265">
        <v>2</v>
      </c>
      <c r="Q1265" t="s">
        <v>51</v>
      </c>
      <c r="R1265">
        <v>2766</v>
      </c>
      <c r="S1265">
        <v>8952</v>
      </c>
      <c r="T1265">
        <v>8</v>
      </c>
      <c r="U1265" t="s">
        <v>41</v>
      </c>
      <c r="V1265" t="s">
        <v>42</v>
      </c>
      <c r="W1265">
        <v>22</v>
      </c>
      <c r="X1265">
        <v>4</v>
      </c>
      <c r="Y1265">
        <v>2</v>
      </c>
      <c r="Z1265">
        <v>80</v>
      </c>
      <c r="AA1265">
        <v>3</v>
      </c>
      <c r="AB1265">
        <v>7</v>
      </c>
      <c r="AC1265">
        <v>6</v>
      </c>
      <c r="AD1265">
        <v>2</v>
      </c>
      <c r="AE1265">
        <v>5</v>
      </c>
      <c r="AF1265">
        <v>3</v>
      </c>
      <c r="AG1265">
        <v>0</v>
      </c>
      <c r="AH1265">
        <v>4</v>
      </c>
    </row>
    <row r="1266" spans="1:34" x14ac:dyDescent="0.2">
      <c r="A1266">
        <v>55</v>
      </c>
      <c r="B1266" t="s">
        <v>42</v>
      </c>
      <c r="C1266" t="s">
        <v>35</v>
      </c>
      <c r="D1266" t="s">
        <v>44</v>
      </c>
      <c r="E1266">
        <v>2</v>
      </c>
      <c r="F1266">
        <v>3</v>
      </c>
      <c r="G1266" t="s">
        <v>50</v>
      </c>
      <c r="H1266">
        <v>1</v>
      </c>
      <c r="I1266">
        <v>1770</v>
      </c>
      <c r="J1266">
        <v>3</v>
      </c>
      <c r="K1266" t="s">
        <v>45</v>
      </c>
      <c r="L1266">
        <v>60</v>
      </c>
      <c r="M1266">
        <v>2</v>
      </c>
      <c r="N1266">
        <v>5</v>
      </c>
      <c r="O1266" t="s">
        <v>57</v>
      </c>
      <c r="P1266">
        <v>1</v>
      </c>
      <c r="Q1266" t="s">
        <v>47</v>
      </c>
      <c r="R1266">
        <v>19038</v>
      </c>
      <c r="S1266">
        <v>19805</v>
      </c>
      <c r="T1266">
        <v>8</v>
      </c>
      <c r="U1266" t="s">
        <v>41</v>
      </c>
      <c r="V1266" t="s">
        <v>42</v>
      </c>
      <c r="W1266">
        <v>12</v>
      </c>
      <c r="X1266">
        <v>3</v>
      </c>
      <c r="Y1266">
        <v>2</v>
      </c>
      <c r="Z1266">
        <v>80</v>
      </c>
      <c r="AA1266">
        <v>3</v>
      </c>
      <c r="AB1266">
        <v>34</v>
      </c>
      <c r="AC1266">
        <v>2</v>
      </c>
      <c r="AD1266">
        <v>3</v>
      </c>
      <c r="AE1266">
        <v>1</v>
      </c>
      <c r="AF1266">
        <v>0</v>
      </c>
      <c r="AG1266">
        <v>0</v>
      </c>
      <c r="AH1266">
        <v>0</v>
      </c>
    </row>
    <row r="1267" spans="1:34" x14ac:dyDescent="0.2">
      <c r="A1267">
        <v>33</v>
      </c>
      <c r="B1267" t="s">
        <v>42</v>
      </c>
      <c r="C1267" t="s">
        <v>54</v>
      </c>
      <c r="D1267" t="s">
        <v>44</v>
      </c>
      <c r="E1267">
        <v>4</v>
      </c>
      <c r="F1267">
        <v>3</v>
      </c>
      <c r="G1267" t="s">
        <v>59</v>
      </c>
      <c r="H1267">
        <v>1</v>
      </c>
      <c r="I1267">
        <v>1771</v>
      </c>
      <c r="J1267">
        <v>4</v>
      </c>
      <c r="K1267" t="s">
        <v>45</v>
      </c>
      <c r="L1267">
        <v>90</v>
      </c>
      <c r="M1267">
        <v>3</v>
      </c>
      <c r="N1267">
        <v>2</v>
      </c>
      <c r="O1267" t="s">
        <v>46</v>
      </c>
      <c r="P1267">
        <v>2</v>
      </c>
      <c r="Q1267" t="s">
        <v>51</v>
      </c>
      <c r="R1267">
        <v>3055</v>
      </c>
      <c r="S1267">
        <v>6194</v>
      </c>
      <c r="T1267">
        <v>5</v>
      </c>
      <c r="U1267" t="s">
        <v>41</v>
      </c>
      <c r="V1267" t="s">
        <v>42</v>
      </c>
      <c r="W1267">
        <v>15</v>
      </c>
      <c r="X1267">
        <v>3</v>
      </c>
      <c r="Y1267">
        <v>4</v>
      </c>
      <c r="Z1267">
        <v>80</v>
      </c>
      <c r="AA1267">
        <v>2</v>
      </c>
      <c r="AB1267">
        <v>11</v>
      </c>
      <c r="AC1267">
        <v>2</v>
      </c>
      <c r="AD1267">
        <v>2</v>
      </c>
      <c r="AE1267">
        <v>9</v>
      </c>
      <c r="AF1267">
        <v>8</v>
      </c>
      <c r="AG1267">
        <v>1</v>
      </c>
      <c r="AH1267">
        <v>7</v>
      </c>
    </row>
    <row r="1268" spans="1:34" x14ac:dyDescent="0.2">
      <c r="A1268">
        <v>41</v>
      </c>
      <c r="B1268" t="s">
        <v>42</v>
      </c>
      <c r="C1268" t="s">
        <v>35</v>
      </c>
      <c r="D1268" t="s">
        <v>44</v>
      </c>
      <c r="E1268">
        <v>9</v>
      </c>
      <c r="F1268">
        <v>4</v>
      </c>
      <c r="G1268" t="s">
        <v>37</v>
      </c>
      <c r="H1268">
        <v>1</v>
      </c>
      <c r="I1268">
        <v>1772</v>
      </c>
      <c r="J1268">
        <v>3</v>
      </c>
      <c r="K1268" t="s">
        <v>45</v>
      </c>
      <c r="L1268">
        <v>94</v>
      </c>
      <c r="M1268">
        <v>3</v>
      </c>
      <c r="N1268">
        <v>1</v>
      </c>
      <c r="O1268" t="s">
        <v>49</v>
      </c>
      <c r="P1268">
        <v>1</v>
      </c>
      <c r="Q1268" t="s">
        <v>51</v>
      </c>
      <c r="R1268">
        <v>2289</v>
      </c>
      <c r="S1268">
        <v>20520</v>
      </c>
      <c r="T1268">
        <v>1</v>
      </c>
      <c r="U1268" t="s">
        <v>41</v>
      </c>
      <c r="V1268" t="s">
        <v>42</v>
      </c>
      <c r="W1268">
        <v>20</v>
      </c>
      <c r="X1268">
        <v>4</v>
      </c>
      <c r="Y1268">
        <v>2</v>
      </c>
      <c r="Z1268">
        <v>80</v>
      </c>
      <c r="AA1268">
        <v>2</v>
      </c>
      <c r="AB1268">
        <v>5</v>
      </c>
      <c r="AC1268">
        <v>2</v>
      </c>
      <c r="AD1268">
        <v>3</v>
      </c>
      <c r="AE1268">
        <v>5</v>
      </c>
      <c r="AF1268">
        <v>3</v>
      </c>
      <c r="AG1268">
        <v>0</v>
      </c>
      <c r="AH1268">
        <v>4</v>
      </c>
    </row>
    <row r="1269" spans="1:34" x14ac:dyDescent="0.2">
      <c r="A1269">
        <v>34</v>
      </c>
      <c r="B1269" t="s">
        <v>42</v>
      </c>
      <c r="C1269" t="s">
        <v>54</v>
      </c>
      <c r="D1269" t="s">
        <v>36</v>
      </c>
      <c r="E1269">
        <v>10</v>
      </c>
      <c r="F1269">
        <v>3</v>
      </c>
      <c r="G1269" t="s">
        <v>37</v>
      </c>
      <c r="H1269">
        <v>1</v>
      </c>
      <c r="I1269">
        <v>1774</v>
      </c>
      <c r="J1269">
        <v>4</v>
      </c>
      <c r="K1269" t="s">
        <v>45</v>
      </c>
      <c r="L1269">
        <v>87</v>
      </c>
      <c r="M1269">
        <v>3</v>
      </c>
      <c r="N1269">
        <v>2</v>
      </c>
      <c r="O1269" t="s">
        <v>39</v>
      </c>
      <c r="P1269">
        <v>3</v>
      </c>
      <c r="Q1269" t="s">
        <v>51</v>
      </c>
      <c r="R1269">
        <v>4001</v>
      </c>
      <c r="S1269">
        <v>12313</v>
      </c>
      <c r="T1269">
        <v>1</v>
      </c>
      <c r="U1269" t="s">
        <v>41</v>
      </c>
      <c r="V1269" t="s">
        <v>34</v>
      </c>
      <c r="W1269">
        <v>14</v>
      </c>
      <c r="X1269">
        <v>3</v>
      </c>
      <c r="Y1269">
        <v>3</v>
      </c>
      <c r="Z1269">
        <v>80</v>
      </c>
      <c r="AA1269">
        <v>1</v>
      </c>
      <c r="AB1269">
        <v>15</v>
      </c>
      <c r="AC1269">
        <v>3</v>
      </c>
      <c r="AD1269">
        <v>3</v>
      </c>
      <c r="AE1269">
        <v>15</v>
      </c>
      <c r="AF1269">
        <v>14</v>
      </c>
      <c r="AG1269">
        <v>0</v>
      </c>
      <c r="AH1269">
        <v>7</v>
      </c>
    </row>
    <row r="1270" spans="1:34" x14ac:dyDescent="0.2">
      <c r="A1270">
        <v>53</v>
      </c>
      <c r="B1270" t="s">
        <v>42</v>
      </c>
      <c r="C1270" t="s">
        <v>54</v>
      </c>
      <c r="D1270" t="s">
        <v>44</v>
      </c>
      <c r="E1270">
        <v>1</v>
      </c>
      <c r="F1270">
        <v>4</v>
      </c>
      <c r="G1270" t="s">
        <v>50</v>
      </c>
      <c r="H1270">
        <v>1</v>
      </c>
      <c r="I1270">
        <v>1775</v>
      </c>
      <c r="J1270">
        <v>1</v>
      </c>
      <c r="K1270" t="s">
        <v>38</v>
      </c>
      <c r="L1270">
        <v>60</v>
      </c>
      <c r="M1270">
        <v>2</v>
      </c>
      <c r="N1270">
        <v>4</v>
      </c>
      <c r="O1270" t="s">
        <v>52</v>
      </c>
      <c r="P1270">
        <v>3</v>
      </c>
      <c r="Q1270" t="s">
        <v>47</v>
      </c>
      <c r="R1270">
        <v>12965</v>
      </c>
      <c r="S1270">
        <v>22308</v>
      </c>
      <c r="T1270">
        <v>4</v>
      </c>
      <c r="U1270" t="s">
        <v>41</v>
      </c>
      <c r="V1270" t="s">
        <v>34</v>
      </c>
      <c r="W1270">
        <v>20</v>
      </c>
      <c r="X1270">
        <v>4</v>
      </c>
      <c r="Y1270">
        <v>4</v>
      </c>
      <c r="Z1270">
        <v>80</v>
      </c>
      <c r="AA1270">
        <v>3</v>
      </c>
      <c r="AB1270">
        <v>27</v>
      </c>
      <c r="AC1270">
        <v>2</v>
      </c>
      <c r="AD1270">
        <v>2</v>
      </c>
      <c r="AE1270">
        <v>3</v>
      </c>
      <c r="AF1270">
        <v>2</v>
      </c>
      <c r="AG1270">
        <v>0</v>
      </c>
      <c r="AH1270">
        <v>2</v>
      </c>
    </row>
    <row r="1271" spans="1:34" x14ac:dyDescent="0.2">
      <c r="A1271">
        <v>43</v>
      </c>
      <c r="B1271" t="s">
        <v>42</v>
      </c>
      <c r="C1271" t="s">
        <v>35</v>
      </c>
      <c r="D1271" t="s">
        <v>60</v>
      </c>
      <c r="E1271">
        <v>2</v>
      </c>
      <c r="F1271">
        <v>3</v>
      </c>
      <c r="G1271" t="s">
        <v>37</v>
      </c>
      <c r="H1271">
        <v>1</v>
      </c>
      <c r="I1271">
        <v>1778</v>
      </c>
      <c r="J1271">
        <v>2</v>
      </c>
      <c r="K1271" t="s">
        <v>45</v>
      </c>
      <c r="L1271">
        <v>97</v>
      </c>
      <c r="M1271">
        <v>3</v>
      </c>
      <c r="N1271">
        <v>1</v>
      </c>
      <c r="O1271" t="s">
        <v>60</v>
      </c>
      <c r="P1271">
        <v>4</v>
      </c>
      <c r="Q1271" t="s">
        <v>40</v>
      </c>
      <c r="R1271">
        <v>3539</v>
      </c>
      <c r="S1271">
        <v>5033</v>
      </c>
      <c r="T1271">
        <v>0</v>
      </c>
      <c r="U1271" t="s">
        <v>41</v>
      </c>
      <c r="V1271" t="s">
        <v>42</v>
      </c>
      <c r="W1271">
        <v>13</v>
      </c>
      <c r="X1271">
        <v>3</v>
      </c>
      <c r="Y1271">
        <v>2</v>
      </c>
      <c r="Z1271">
        <v>80</v>
      </c>
      <c r="AA1271">
        <v>0</v>
      </c>
      <c r="AB1271">
        <v>10</v>
      </c>
      <c r="AC1271">
        <v>5</v>
      </c>
      <c r="AD1271">
        <v>3</v>
      </c>
      <c r="AE1271">
        <v>9</v>
      </c>
      <c r="AF1271">
        <v>7</v>
      </c>
      <c r="AG1271">
        <v>1</v>
      </c>
      <c r="AH1271">
        <v>8</v>
      </c>
    </row>
    <row r="1272" spans="1:34" x14ac:dyDescent="0.2">
      <c r="A1272">
        <v>34</v>
      </c>
      <c r="B1272" t="s">
        <v>42</v>
      </c>
      <c r="C1272" t="s">
        <v>35</v>
      </c>
      <c r="D1272" t="s">
        <v>36</v>
      </c>
      <c r="E1272">
        <v>3</v>
      </c>
      <c r="F1272">
        <v>2</v>
      </c>
      <c r="G1272" t="s">
        <v>37</v>
      </c>
      <c r="H1272">
        <v>1</v>
      </c>
      <c r="I1272">
        <v>1779</v>
      </c>
      <c r="J1272">
        <v>4</v>
      </c>
      <c r="K1272" t="s">
        <v>38</v>
      </c>
      <c r="L1272">
        <v>32</v>
      </c>
      <c r="M1272">
        <v>1</v>
      </c>
      <c r="N1272">
        <v>2</v>
      </c>
      <c r="O1272" t="s">
        <v>39</v>
      </c>
      <c r="P1272">
        <v>4</v>
      </c>
      <c r="Q1272" t="s">
        <v>40</v>
      </c>
      <c r="R1272">
        <v>6029</v>
      </c>
      <c r="S1272">
        <v>25353</v>
      </c>
      <c r="T1272">
        <v>5</v>
      </c>
      <c r="U1272" t="s">
        <v>41</v>
      </c>
      <c r="V1272" t="s">
        <v>42</v>
      </c>
      <c r="W1272">
        <v>12</v>
      </c>
      <c r="X1272">
        <v>3</v>
      </c>
      <c r="Y1272">
        <v>1</v>
      </c>
      <c r="Z1272">
        <v>80</v>
      </c>
      <c r="AA1272">
        <v>0</v>
      </c>
      <c r="AB1272">
        <v>6</v>
      </c>
      <c r="AC1272">
        <v>3</v>
      </c>
      <c r="AD1272">
        <v>3</v>
      </c>
      <c r="AE1272">
        <v>2</v>
      </c>
      <c r="AF1272">
        <v>2</v>
      </c>
      <c r="AG1272">
        <v>2</v>
      </c>
      <c r="AH1272">
        <v>2</v>
      </c>
    </row>
    <row r="1273" spans="1:34" x14ac:dyDescent="0.2">
      <c r="A1273">
        <v>21</v>
      </c>
      <c r="B1273" t="s">
        <v>34</v>
      </c>
      <c r="C1273" t="s">
        <v>35</v>
      </c>
      <c r="D1273" t="s">
        <v>36</v>
      </c>
      <c r="E1273">
        <v>7</v>
      </c>
      <c r="F1273">
        <v>1</v>
      </c>
      <c r="G1273" t="s">
        <v>58</v>
      </c>
      <c r="H1273">
        <v>1</v>
      </c>
      <c r="I1273">
        <v>1780</v>
      </c>
      <c r="J1273">
        <v>2</v>
      </c>
      <c r="K1273" t="s">
        <v>45</v>
      </c>
      <c r="L1273">
        <v>31</v>
      </c>
      <c r="M1273">
        <v>3</v>
      </c>
      <c r="N1273">
        <v>1</v>
      </c>
      <c r="O1273" t="s">
        <v>56</v>
      </c>
      <c r="P1273">
        <v>2</v>
      </c>
      <c r="Q1273" t="s">
        <v>40</v>
      </c>
      <c r="R1273">
        <v>2679</v>
      </c>
      <c r="S1273">
        <v>4567</v>
      </c>
      <c r="T1273">
        <v>1</v>
      </c>
      <c r="U1273" t="s">
        <v>41</v>
      </c>
      <c r="V1273" t="s">
        <v>42</v>
      </c>
      <c r="W1273">
        <v>13</v>
      </c>
      <c r="X1273">
        <v>3</v>
      </c>
      <c r="Y1273">
        <v>2</v>
      </c>
      <c r="Z1273">
        <v>80</v>
      </c>
      <c r="AA1273">
        <v>0</v>
      </c>
      <c r="AB1273">
        <v>1</v>
      </c>
      <c r="AC1273">
        <v>3</v>
      </c>
      <c r="AD1273">
        <v>3</v>
      </c>
      <c r="AE1273">
        <v>1</v>
      </c>
      <c r="AF1273">
        <v>0</v>
      </c>
      <c r="AG1273">
        <v>1</v>
      </c>
      <c r="AH1273">
        <v>0</v>
      </c>
    </row>
    <row r="1274" spans="1:34" x14ac:dyDescent="0.2">
      <c r="A1274">
        <v>38</v>
      </c>
      <c r="B1274" t="s">
        <v>42</v>
      </c>
      <c r="C1274" t="s">
        <v>35</v>
      </c>
      <c r="D1274" t="s">
        <v>44</v>
      </c>
      <c r="E1274">
        <v>6</v>
      </c>
      <c r="F1274">
        <v>2</v>
      </c>
      <c r="G1274" t="s">
        <v>48</v>
      </c>
      <c r="H1274">
        <v>1</v>
      </c>
      <c r="I1274">
        <v>1782</v>
      </c>
      <c r="J1274">
        <v>4</v>
      </c>
      <c r="K1274" t="s">
        <v>38</v>
      </c>
      <c r="L1274">
        <v>40</v>
      </c>
      <c r="M1274">
        <v>2</v>
      </c>
      <c r="N1274">
        <v>1</v>
      </c>
      <c r="O1274" t="s">
        <v>49</v>
      </c>
      <c r="P1274">
        <v>3</v>
      </c>
      <c r="Q1274" t="s">
        <v>47</v>
      </c>
      <c r="R1274">
        <v>3702</v>
      </c>
      <c r="S1274">
        <v>16376</v>
      </c>
      <c r="T1274">
        <v>1</v>
      </c>
      <c r="U1274" t="s">
        <v>41</v>
      </c>
      <c r="V1274" t="s">
        <v>42</v>
      </c>
      <c r="W1274">
        <v>11</v>
      </c>
      <c r="X1274">
        <v>3</v>
      </c>
      <c r="Y1274">
        <v>2</v>
      </c>
      <c r="Z1274">
        <v>80</v>
      </c>
      <c r="AA1274">
        <v>1</v>
      </c>
      <c r="AB1274">
        <v>5</v>
      </c>
      <c r="AC1274">
        <v>3</v>
      </c>
      <c r="AD1274">
        <v>3</v>
      </c>
      <c r="AE1274">
        <v>5</v>
      </c>
      <c r="AF1274">
        <v>4</v>
      </c>
      <c r="AG1274">
        <v>0</v>
      </c>
      <c r="AH1274">
        <v>4</v>
      </c>
    </row>
    <row r="1275" spans="1:34" x14ac:dyDescent="0.2">
      <c r="A1275">
        <v>22</v>
      </c>
      <c r="B1275" t="s">
        <v>34</v>
      </c>
      <c r="C1275" t="s">
        <v>35</v>
      </c>
      <c r="D1275" t="s">
        <v>44</v>
      </c>
      <c r="E1275">
        <v>8</v>
      </c>
      <c r="F1275">
        <v>1</v>
      </c>
      <c r="G1275" t="s">
        <v>50</v>
      </c>
      <c r="H1275">
        <v>1</v>
      </c>
      <c r="I1275">
        <v>1783</v>
      </c>
      <c r="J1275">
        <v>3</v>
      </c>
      <c r="K1275" t="s">
        <v>38</v>
      </c>
      <c r="L1275">
        <v>79</v>
      </c>
      <c r="M1275">
        <v>3</v>
      </c>
      <c r="N1275">
        <v>1</v>
      </c>
      <c r="O1275" t="s">
        <v>49</v>
      </c>
      <c r="P1275">
        <v>1</v>
      </c>
      <c r="Q1275" t="s">
        <v>47</v>
      </c>
      <c r="R1275">
        <v>2398</v>
      </c>
      <c r="S1275">
        <v>15999</v>
      </c>
      <c r="T1275">
        <v>1</v>
      </c>
      <c r="U1275" t="s">
        <v>41</v>
      </c>
      <c r="V1275" t="s">
        <v>34</v>
      </c>
      <c r="W1275">
        <v>17</v>
      </c>
      <c r="X1275">
        <v>3</v>
      </c>
      <c r="Y1275">
        <v>3</v>
      </c>
      <c r="Z1275">
        <v>80</v>
      </c>
      <c r="AA1275">
        <v>0</v>
      </c>
      <c r="AB1275">
        <v>1</v>
      </c>
      <c r="AC1275">
        <v>6</v>
      </c>
      <c r="AD1275">
        <v>3</v>
      </c>
      <c r="AE1275">
        <v>1</v>
      </c>
      <c r="AF1275">
        <v>0</v>
      </c>
      <c r="AG1275">
        <v>0</v>
      </c>
      <c r="AH1275">
        <v>0</v>
      </c>
    </row>
    <row r="1276" spans="1:34" x14ac:dyDescent="0.2">
      <c r="A1276">
        <v>31</v>
      </c>
      <c r="B1276" t="s">
        <v>42</v>
      </c>
      <c r="C1276" t="s">
        <v>35</v>
      </c>
      <c r="D1276" t="s">
        <v>36</v>
      </c>
      <c r="E1276">
        <v>29</v>
      </c>
      <c r="F1276">
        <v>4</v>
      </c>
      <c r="G1276" t="s">
        <v>58</v>
      </c>
      <c r="H1276">
        <v>1</v>
      </c>
      <c r="I1276">
        <v>1784</v>
      </c>
      <c r="J1276">
        <v>1</v>
      </c>
      <c r="K1276" t="s">
        <v>38</v>
      </c>
      <c r="L1276">
        <v>91</v>
      </c>
      <c r="M1276">
        <v>2</v>
      </c>
      <c r="N1276">
        <v>2</v>
      </c>
      <c r="O1276" t="s">
        <v>39</v>
      </c>
      <c r="P1276">
        <v>4</v>
      </c>
      <c r="Q1276" t="s">
        <v>47</v>
      </c>
      <c r="R1276">
        <v>5468</v>
      </c>
      <c r="S1276">
        <v>13402</v>
      </c>
      <c r="T1276">
        <v>1</v>
      </c>
      <c r="U1276" t="s">
        <v>41</v>
      </c>
      <c r="V1276" t="s">
        <v>42</v>
      </c>
      <c r="W1276">
        <v>14</v>
      </c>
      <c r="X1276">
        <v>3</v>
      </c>
      <c r="Y1276">
        <v>1</v>
      </c>
      <c r="Z1276">
        <v>80</v>
      </c>
      <c r="AA1276">
        <v>2</v>
      </c>
      <c r="AB1276">
        <v>13</v>
      </c>
      <c r="AC1276">
        <v>3</v>
      </c>
      <c r="AD1276">
        <v>3</v>
      </c>
      <c r="AE1276">
        <v>12</v>
      </c>
      <c r="AF1276">
        <v>7</v>
      </c>
      <c r="AG1276">
        <v>5</v>
      </c>
      <c r="AH1276">
        <v>7</v>
      </c>
    </row>
    <row r="1277" spans="1:34" x14ac:dyDescent="0.2">
      <c r="A1277">
        <v>51</v>
      </c>
      <c r="B1277" t="s">
        <v>42</v>
      </c>
      <c r="C1277" t="s">
        <v>35</v>
      </c>
      <c r="D1277" t="s">
        <v>44</v>
      </c>
      <c r="E1277">
        <v>3</v>
      </c>
      <c r="F1277">
        <v>3</v>
      </c>
      <c r="G1277" t="s">
        <v>59</v>
      </c>
      <c r="H1277">
        <v>1</v>
      </c>
      <c r="I1277">
        <v>1786</v>
      </c>
      <c r="J1277">
        <v>1</v>
      </c>
      <c r="K1277" t="s">
        <v>38</v>
      </c>
      <c r="L1277">
        <v>53</v>
      </c>
      <c r="M1277">
        <v>3</v>
      </c>
      <c r="N1277">
        <v>3</v>
      </c>
      <c r="O1277" t="s">
        <v>55</v>
      </c>
      <c r="P1277">
        <v>3</v>
      </c>
      <c r="Q1277" t="s">
        <v>47</v>
      </c>
      <c r="R1277">
        <v>13116</v>
      </c>
      <c r="S1277">
        <v>22984</v>
      </c>
      <c r="T1277">
        <v>2</v>
      </c>
      <c r="U1277" t="s">
        <v>41</v>
      </c>
      <c r="V1277" t="s">
        <v>42</v>
      </c>
      <c r="W1277">
        <v>11</v>
      </c>
      <c r="X1277">
        <v>3</v>
      </c>
      <c r="Y1277">
        <v>4</v>
      </c>
      <c r="Z1277">
        <v>80</v>
      </c>
      <c r="AA1277">
        <v>0</v>
      </c>
      <c r="AB1277">
        <v>15</v>
      </c>
      <c r="AC1277">
        <v>2</v>
      </c>
      <c r="AD1277">
        <v>3</v>
      </c>
      <c r="AE1277">
        <v>2</v>
      </c>
      <c r="AF1277">
        <v>2</v>
      </c>
      <c r="AG1277">
        <v>2</v>
      </c>
      <c r="AH1277">
        <v>2</v>
      </c>
    </row>
    <row r="1278" spans="1:34" x14ac:dyDescent="0.2">
      <c r="A1278">
        <v>37</v>
      </c>
      <c r="B1278" t="s">
        <v>42</v>
      </c>
      <c r="C1278" t="s">
        <v>35</v>
      </c>
      <c r="D1278" t="s">
        <v>36</v>
      </c>
      <c r="E1278">
        <v>9</v>
      </c>
      <c r="F1278">
        <v>2</v>
      </c>
      <c r="G1278" t="s">
        <v>58</v>
      </c>
      <c r="H1278">
        <v>1</v>
      </c>
      <c r="I1278">
        <v>1787</v>
      </c>
      <c r="J1278">
        <v>2</v>
      </c>
      <c r="K1278" t="s">
        <v>45</v>
      </c>
      <c r="L1278">
        <v>46</v>
      </c>
      <c r="M1278">
        <v>2</v>
      </c>
      <c r="N1278">
        <v>2</v>
      </c>
      <c r="O1278" t="s">
        <v>39</v>
      </c>
      <c r="P1278">
        <v>2</v>
      </c>
      <c r="Q1278" t="s">
        <v>47</v>
      </c>
      <c r="R1278">
        <v>4189</v>
      </c>
      <c r="S1278">
        <v>8800</v>
      </c>
      <c r="T1278">
        <v>1</v>
      </c>
      <c r="U1278" t="s">
        <v>41</v>
      </c>
      <c r="V1278" t="s">
        <v>42</v>
      </c>
      <c r="W1278">
        <v>14</v>
      </c>
      <c r="X1278">
        <v>3</v>
      </c>
      <c r="Y1278">
        <v>1</v>
      </c>
      <c r="Z1278">
        <v>80</v>
      </c>
      <c r="AA1278">
        <v>2</v>
      </c>
      <c r="AB1278">
        <v>5</v>
      </c>
      <c r="AC1278">
        <v>2</v>
      </c>
      <c r="AD1278">
        <v>3</v>
      </c>
      <c r="AE1278">
        <v>5</v>
      </c>
      <c r="AF1278">
        <v>2</v>
      </c>
      <c r="AG1278">
        <v>0</v>
      </c>
      <c r="AH1278">
        <v>3</v>
      </c>
    </row>
    <row r="1279" spans="1:34" x14ac:dyDescent="0.2">
      <c r="A1279">
        <v>46</v>
      </c>
      <c r="B1279" t="s">
        <v>42</v>
      </c>
      <c r="C1279" t="s">
        <v>35</v>
      </c>
      <c r="D1279" t="s">
        <v>44</v>
      </c>
      <c r="E1279">
        <v>2</v>
      </c>
      <c r="F1279">
        <v>4</v>
      </c>
      <c r="G1279" t="s">
        <v>50</v>
      </c>
      <c r="H1279">
        <v>1</v>
      </c>
      <c r="I1279">
        <v>1789</v>
      </c>
      <c r="J1279">
        <v>3</v>
      </c>
      <c r="K1279" t="s">
        <v>45</v>
      </c>
      <c r="L1279">
        <v>46</v>
      </c>
      <c r="M1279">
        <v>3</v>
      </c>
      <c r="N1279">
        <v>5</v>
      </c>
      <c r="O1279" t="s">
        <v>57</v>
      </c>
      <c r="P1279">
        <v>4</v>
      </c>
      <c r="Q1279" t="s">
        <v>51</v>
      </c>
      <c r="R1279">
        <v>19328</v>
      </c>
      <c r="S1279">
        <v>14218</v>
      </c>
      <c r="T1279">
        <v>7</v>
      </c>
      <c r="U1279" t="s">
        <v>41</v>
      </c>
      <c r="V1279" t="s">
        <v>34</v>
      </c>
      <c r="W1279">
        <v>17</v>
      </c>
      <c r="X1279">
        <v>3</v>
      </c>
      <c r="Y1279">
        <v>3</v>
      </c>
      <c r="Z1279">
        <v>80</v>
      </c>
      <c r="AA1279">
        <v>1</v>
      </c>
      <c r="AB1279">
        <v>24</v>
      </c>
      <c r="AC1279">
        <v>3</v>
      </c>
      <c r="AD1279">
        <v>3</v>
      </c>
      <c r="AE1279">
        <v>2</v>
      </c>
      <c r="AF1279">
        <v>1</v>
      </c>
      <c r="AG1279">
        <v>2</v>
      </c>
      <c r="AH1279">
        <v>2</v>
      </c>
    </row>
    <row r="1280" spans="1:34" x14ac:dyDescent="0.2">
      <c r="A1280">
        <v>36</v>
      </c>
      <c r="B1280" t="s">
        <v>42</v>
      </c>
      <c r="C1280" t="s">
        <v>35</v>
      </c>
      <c r="D1280" t="s">
        <v>44</v>
      </c>
      <c r="E1280">
        <v>10</v>
      </c>
      <c r="F1280">
        <v>3</v>
      </c>
      <c r="G1280" t="s">
        <v>37</v>
      </c>
      <c r="H1280">
        <v>1</v>
      </c>
      <c r="I1280">
        <v>1790</v>
      </c>
      <c r="J1280">
        <v>4</v>
      </c>
      <c r="K1280" t="s">
        <v>45</v>
      </c>
      <c r="L1280">
        <v>90</v>
      </c>
      <c r="M1280">
        <v>3</v>
      </c>
      <c r="N1280">
        <v>3</v>
      </c>
      <c r="O1280" t="s">
        <v>53</v>
      </c>
      <c r="P1280">
        <v>1</v>
      </c>
      <c r="Q1280" t="s">
        <v>47</v>
      </c>
      <c r="R1280">
        <v>8321</v>
      </c>
      <c r="S1280">
        <v>25949</v>
      </c>
      <c r="T1280">
        <v>7</v>
      </c>
      <c r="U1280" t="s">
        <v>41</v>
      </c>
      <c r="V1280" t="s">
        <v>34</v>
      </c>
      <c r="W1280">
        <v>13</v>
      </c>
      <c r="X1280">
        <v>3</v>
      </c>
      <c r="Y1280">
        <v>4</v>
      </c>
      <c r="Z1280">
        <v>80</v>
      </c>
      <c r="AA1280">
        <v>1</v>
      </c>
      <c r="AB1280">
        <v>15</v>
      </c>
      <c r="AC1280">
        <v>1</v>
      </c>
      <c r="AD1280">
        <v>3</v>
      </c>
      <c r="AE1280">
        <v>12</v>
      </c>
      <c r="AF1280">
        <v>8</v>
      </c>
      <c r="AG1280">
        <v>5</v>
      </c>
      <c r="AH1280">
        <v>7</v>
      </c>
    </row>
    <row r="1281" spans="1:34" x14ac:dyDescent="0.2">
      <c r="A1281">
        <v>44</v>
      </c>
      <c r="B1281" t="s">
        <v>34</v>
      </c>
      <c r="C1281" t="s">
        <v>43</v>
      </c>
      <c r="D1281" t="s">
        <v>44</v>
      </c>
      <c r="E1281">
        <v>1</v>
      </c>
      <c r="F1281">
        <v>2</v>
      </c>
      <c r="G1281" t="s">
        <v>50</v>
      </c>
      <c r="H1281">
        <v>1</v>
      </c>
      <c r="I1281">
        <v>1792</v>
      </c>
      <c r="J1281">
        <v>3</v>
      </c>
      <c r="K1281" t="s">
        <v>45</v>
      </c>
      <c r="L1281">
        <v>99</v>
      </c>
      <c r="M1281">
        <v>3</v>
      </c>
      <c r="N1281">
        <v>1</v>
      </c>
      <c r="O1281" t="s">
        <v>46</v>
      </c>
      <c r="P1281">
        <v>2</v>
      </c>
      <c r="Q1281" t="s">
        <v>51</v>
      </c>
      <c r="R1281">
        <v>2342</v>
      </c>
      <c r="S1281">
        <v>11092</v>
      </c>
      <c r="T1281">
        <v>1</v>
      </c>
      <c r="U1281" t="s">
        <v>41</v>
      </c>
      <c r="V1281" t="s">
        <v>34</v>
      </c>
      <c r="W1281">
        <v>12</v>
      </c>
      <c r="X1281">
        <v>3</v>
      </c>
      <c r="Y1281">
        <v>3</v>
      </c>
      <c r="Z1281">
        <v>80</v>
      </c>
      <c r="AA1281">
        <v>3</v>
      </c>
      <c r="AB1281">
        <v>6</v>
      </c>
      <c r="AC1281">
        <v>2</v>
      </c>
      <c r="AD1281">
        <v>2</v>
      </c>
      <c r="AE1281">
        <v>5</v>
      </c>
      <c r="AF1281">
        <v>3</v>
      </c>
      <c r="AG1281">
        <v>2</v>
      </c>
      <c r="AH1281">
        <v>3</v>
      </c>
    </row>
    <row r="1282" spans="1:34" x14ac:dyDescent="0.2">
      <c r="A1282">
        <v>37</v>
      </c>
      <c r="B1282" t="s">
        <v>42</v>
      </c>
      <c r="C1282" t="s">
        <v>35</v>
      </c>
      <c r="D1282" t="s">
        <v>60</v>
      </c>
      <c r="E1282">
        <v>8</v>
      </c>
      <c r="F1282">
        <v>2</v>
      </c>
      <c r="G1282" t="s">
        <v>48</v>
      </c>
      <c r="H1282">
        <v>1</v>
      </c>
      <c r="I1282">
        <v>1794</v>
      </c>
      <c r="J1282">
        <v>3</v>
      </c>
      <c r="K1282" t="s">
        <v>45</v>
      </c>
      <c r="L1282">
        <v>89</v>
      </c>
      <c r="M1282">
        <v>3</v>
      </c>
      <c r="N1282">
        <v>2</v>
      </c>
      <c r="O1282" t="s">
        <v>60</v>
      </c>
      <c r="P1282">
        <v>2</v>
      </c>
      <c r="Q1282" t="s">
        <v>51</v>
      </c>
      <c r="R1282">
        <v>4071</v>
      </c>
      <c r="S1282">
        <v>12832</v>
      </c>
      <c r="T1282">
        <v>2</v>
      </c>
      <c r="U1282" t="s">
        <v>41</v>
      </c>
      <c r="V1282" t="s">
        <v>42</v>
      </c>
      <c r="W1282">
        <v>13</v>
      </c>
      <c r="X1282">
        <v>3</v>
      </c>
      <c r="Y1282">
        <v>3</v>
      </c>
      <c r="Z1282">
        <v>80</v>
      </c>
      <c r="AA1282">
        <v>0</v>
      </c>
      <c r="AB1282">
        <v>19</v>
      </c>
      <c r="AC1282">
        <v>4</v>
      </c>
      <c r="AD1282">
        <v>2</v>
      </c>
      <c r="AE1282">
        <v>10</v>
      </c>
      <c r="AF1282">
        <v>0</v>
      </c>
      <c r="AG1282">
        <v>4</v>
      </c>
      <c r="AH1282">
        <v>7</v>
      </c>
    </row>
    <row r="1283" spans="1:34" x14ac:dyDescent="0.2">
      <c r="A1283">
        <v>35</v>
      </c>
      <c r="B1283" t="s">
        <v>34</v>
      </c>
      <c r="C1283" t="s">
        <v>35</v>
      </c>
      <c r="D1283" t="s">
        <v>36</v>
      </c>
      <c r="E1283">
        <v>27</v>
      </c>
      <c r="F1283">
        <v>3</v>
      </c>
      <c r="G1283" t="s">
        <v>37</v>
      </c>
      <c r="H1283">
        <v>1</v>
      </c>
      <c r="I1283">
        <v>1797</v>
      </c>
      <c r="J1283">
        <v>3</v>
      </c>
      <c r="K1283" t="s">
        <v>45</v>
      </c>
      <c r="L1283">
        <v>84</v>
      </c>
      <c r="M1283">
        <v>3</v>
      </c>
      <c r="N1283">
        <v>2</v>
      </c>
      <c r="O1283" t="s">
        <v>39</v>
      </c>
      <c r="P1283">
        <v>4</v>
      </c>
      <c r="Q1283" t="s">
        <v>40</v>
      </c>
      <c r="R1283">
        <v>5813</v>
      </c>
      <c r="S1283">
        <v>13492</v>
      </c>
      <c r="T1283">
        <v>1</v>
      </c>
      <c r="U1283" t="s">
        <v>41</v>
      </c>
      <c r="V1283" t="s">
        <v>34</v>
      </c>
      <c r="W1283">
        <v>18</v>
      </c>
      <c r="X1283">
        <v>3</v>
      </c>
      <c r="Y1283">
        <v>4</v>
      </c>
      <c r="Z1283">
        <v>80</v>
      </c>
      <c r="AA1283">
        <v>0</v>
      </c>
      <c r="AB1283">
        <v>10</v>
      </c>
      <c r="AC1283">
        <v>2</v>
      </c>
      <c r="AD1283">
        <v>3</v>
      </c>
      <c r="AE1283">
        <v>10</v>
      </c>
      <c r="AF1283">
        <v>7</v>
      </c>
      <c r="AG1283">
        <v>7</v>
      </c>
      <c r="AH1283">
        <v>7</v>
      </c>
    </row>
    <row r="1284" spans="1:34" x14ac:dyDescent="0.2">
      <c r="A1284">
        <v>33</v>
      </c>
      <c r="B1284" t="s">
        <v>42</v>
      </c>
      <c r="C1284" t="s">
        <v>35</v>
      </c>
      <c r="D1284" t="s">
        <v>44</v>
      </c>
      <c r="E1284">
        <v>8</v>
      </c>
      <c r="F1284">
        <v>4</v>
      </c>
      <c r="G1284" t="s">
        <v>37</v>
      </c>
      <c r="H1284">
        <v>1</v>
      </c>
      <c r="I1284">
        <v>1798</v>
      </c>
      <c r="J1284">
        <v>4</v>
      </c>
      <c r="K1284" t="s">
        <v>45</v>
      </c>
      <c r="L1284">
        <v>90</v>
      </c>
      <c r="M1284">
        <v>4</v>
      </c>
      <c r="N1284">
        <v>1</v>
      </c>
      <c r="O1284" t="s">
        <v>46</v>
      </c>
      <c r="P1284">
        <v>1</v>
      </c>
      <c r="Q1284" t="s">
        <v>47</v>
      </c>
      <c r="R1284">
        <v>3143</v>
      </c>
      <c r="S1284">
        <v>6076</v>
      </c>
      <c r="T1284">
        <v>6</v>
      </c>
      <c r="U1284" t="s">
        <v>41</v>
      </c>
      <c r="V1284" t="s">
        <v>42</v>
      </c>
      <c r="W1284">
        <v>19</v>
      </c>
      <c r="X1284">
        <v>3</v>
      </c>
      <c r="Y1284">
        <v>2</v>
      </c>
      <c r="Z1284">
        <v>80</v>
      </c>
      <c r="AA1284">
        <v>1</v>
      </c>
      <c r="AB1284">
        <v>14</v>
      </c>
      <c r="AC1284">
        <v>1</v>
      </c>
      <c r="AD1284">
        <v>3</v>
      </c>
      <c r="AE1284">
        <v>10</v>
      </c>
      <c r="AF1284">
        <v>8</v>
      </c>
      <c r="AG1284">
        <v>7</v>
      </c>
      <c r="AH1284">
        <v>6</v>
      </c>
    </row>
    <row r="1285" spans="1:34" x14ac:dyDescent="0.2">
      <c r="A1285">
        <v>28</v>
      </c>
      <c r="B1285" t="s">
        <v>42</v>
      </c>
      <c r="C1285" t="s">
        <v>35</v>
      </c>
      <c r="D1285" t="s">
        <v>44</v>
      </c>
      <c r="E1285">
        <v>1</v>
      </c>
      <c r="F1285">
        <v>3</v>
      </c>
      <c r="G1285" t="s">
        <v>37</v>
      </c>
      <c r="H1285">
        <v>1</v>
      </c>
      <c r="I1285">
        <v>1799</v>
      </c>
      <c r="J1285">
        <v>3</v>
      </c>
      <c r="K1285" t="s">
        <v>45</v>
      </c>
      <c r="L1285">
        <v>82</v>
      </c>
      <c r="M1285">
        <v>3</v>
      </c>
      <c r="N1285">
        <v>1</v>
      </c>
      <c r="O1285" t="s">
        <v>46</v>
      </c>
      <c r="P1285">
        <v>4</v>
      </c>
      <c r="Q1285" t="s">
        <v>47</v>
      </c>
      <c r="R1285">
        <v>2044</v>
      </c>
      <c r="S1285">
        <v>5531</v>
      </c>
      <c r="T1285">
        <v>1</v>
      </c>
      <c r="U1285" t="s">
        <v>41</v>
      </c>
      <c r="V1285" t="s">
        <v>42</v>
      </c>
      <c r="W1285">
        <v>11</v>
      </c>
      <c r="X1285">
        <v>3</v>
      </c>
      <c r="Y1285">
        <v>3</v>
      </c>
      <c r="Z1285">
        <v>80</v>
      </c>
      <c r="AA1285">
        <v>1</v>
      </c>
      <c r="AB1285">
        <v>5</v>
      </c>
      <c r="AC1285">
        <v>6</v>
      </c>
      <c r="AD1285">
        <v>4</v>
      </c>
      <c r="AE1285">
        <v>5</v>
      </c>
      <c r="AF1285">
        <v>3</v>
      </c>
      <c r="AG1285">
        <v>0</v>
      </c>
      <c r="AH1285">
        <v>3</v>
      </c>
    </row>
    <row r="1286" spans="1:34" x14ac:dyDescent="0.2">
      <c r="A1286">
        <v>39</v>
      </c>
      <c r="B1286" t="s">
        <v>42</v>
      </c>
      <c r="C1286" t="s">
        <v>35</v>
      </c>
      <c r="D1286" t="s">
        <v>44</v>
      </c>
      <c r="E1286">
        <v>10</v>
      </c>
      <c r="F1286">
        <v>1</v>
      </c>
      <c r="G1286" t="s">
        <v>50</v>
      </c>
      <c r="H1286">
        <v>1</v>
      </c>
      <c r="I1286">
        <v>1800</v>
      </c>
      <c r="J1286">
        <v>3</v>
      </c>
      <c r="K1286" t="s">
        <v>45</v>
      </c>
      <c r="L1286">
        <v>65</v>
      </c>
      <c r="M1286">
        <v>3</v>
      </c>
      <c r="N1286">
        <v>3</v>
      </c>
      <c r="O1286" t="s">
        <v>57</v>
      </c>
      <c r="P1286">
        <v>3</v>
      </c>
      <c r="Q1286" t="s">
        <v>40</v>
      </c>
      <c r="R1286">
        <v>13464</v>
      </c>
      <c r="S1286">
        <v>7914</v>
      </c>
      <c r="T1286">
        <v>7</v>
      </c>
      <c r="U1286" t="s">
        <v>41</v>
      </c>
      <c r="V1286" t="s">
        <v>42</v>
      </c>
      <c r="W1286">
        <v>21</v>
      </c>
      <c r="X1286">
        <v>4</v>
      </c>
      <c r="Y1286">
        <v>3</v>
      </c>
      <c r="Z1286">
        <v>80</v>
      </c>
      <c r="AA1286">
        <v>0</v>
      </c>
      <c r="AB1286">
        <v>9</v>
      </c>
      <c r="AC1286">
        <v>3</v>
      </c>
      <c r="AD1286">
        <v>3</v>
      </c>
      <c r="AE1286">
        <v>4</v>
      </c>
      <c r="AF1286">
        <v>3</v>
      </c>
      <c r="AG1286">
        <v>2</v>
      </c>
      <c r="AH1286">
        <v>2</v>
      </c>
    </row>
    <row r="1287" spans="1:34" x14ac:dyDescent="0.2">
      <c r="A1287">
        <v>46</v>
      </c>
      <c r="B1287" t="s">
        <v>42</v>
      </c>
      <c r="C1287" t="s">
        <v>54</v>
      </c>
      <c r="D1287" t="s">
        <v>36</v>
      </c>
      <c r="E1287">
        <v>26</v>
      </c>
      <c r="F1287">
        <v>2</v>
      </c>
      <c r="G1287" t="s">
        <v>37</v>
      </c>
      <c r="H1287">
        <v>1</v>
      </c>
      <c r="I1287">
        <v>1801</v>
      </c>
      <c r="J1287">
        <v>2</v>
      </c>
      <c r="K1287" t="s">
        <v>45</v>
      </c>
      <c r="L1287">
        <v>98</v>
      </c>
      <c r="M1287">
        <v>2</v>
      </c>
      <c r="N1287">
        <v>2</v>
      </c>
      <c r="O1287" t="s">
        <v>39</v>
      </c>
      <c r="P1287">
        <v>2</v>
      </c>
      <c r="Q1287" t="s">
        <v>40</v>
      </c>
      <c r="R1287">
        <v>7991</v>
      </c>
      <c r="S1287">
        <v>25166</v>
      </c>
      <c r="T1287">
        <v>8</v>
      </c>
      <c r="U1287" t="s">
        <v>41</v>
      </c>
      <c r="V1287" t="s">
        <v>42</v>
      </c>
      <c r="W1287">
        <v>15</v>
      </c>
      <c r="X1287">
        <v>3</v>
      </c>
      <c r="Y1287">
        <v>3</v>
      </c>
      <c r="Z1287">
        <v>80</v>
      </c>
      <c r="AA1287">
        <v>0</v>
      </c>
      <c r="AB1287">
        <v>6</v>
      </c>
      <c r="AC1287">
        <v>3</v>
      </c>
      <c r="AD1287">
        <v>3</v>
      </c>
      <c r="AE1287">
        <v>2</v>
      </c>
      <c r="AF1287">
        <v>2</v>
      </c>
      <c r="AG1287">
        <v>2</v>
      </c>
      <c r="AH1287">
        <v>2</v>
      </c>
    </row>
    <row r="1288" spans="1:34" x14ac:dyDescent="0.2">
      <c r="A1288">
        <v>40</v>
      </c>
      <c r="B1288" t="s">
        <v>42</v>
      </c>
      <c r="C1288" t="s">
        <v>35</v>
      </c>
      <c r="D1288" t="s">
        <v>44</v>
      </c>
      <c r="E1288">
        <v>2</v>
      </c>
      <c r="F1288">
        <v>2</v>
      </c>
      <c r="G1288" t="s">
        <v>37</v>
      </c>
      <c r="H1288">
        <v>1</v>
      </c>
      <c r="I1288">
        <v>1802</v>
      </c>
      <c r="J1288">
        <v>3</v>
      </c>
      <c r="K1288" t="s">
        <v>38</v>
      </c>
      <c r="L1288">
        <v>99</v>
      </c>
      <c r="M1288">
        <v>3</v>
      </c>
      <c r="N1288">
        <v>1</v>
      </c>
      <c r="O1288" t="s">
        <v>49</v>
      </c>
      <c r="P1288">
        <v>1</v>
      </c>
      <c r="Q1288" t="s">
        <v>47</v>
      </c>
      <c r="R1288">
        <v>3377</v>
      </c>
      <c r="S1288">
        <v>25605</v>
      </c>
      <c r="T1288">
        <v>4</v>
      </c>
      <c r="U1288" t="s">
        <v>41</v>
      </c>
      <c r="V1288" t="s">
        <v>42</v>
      </c>
      <c r="W1288">
        <v>17</v>
      </c>
      <c r="X1288">
        <v>3</v>
      </c>
      <c r="Y1288">
        <v>4</v>
      </c>
      <c r="Z1288">
        <v>80</v>
      </c>
      <c r="AA1288">
        <v>1</v>
      </c>
      <c r="AB1288">
        <v>7</v>
      </c>
      <c r="AC1288">
        <v>5</v>
      </c>
      <c r="AD1288">
        <v>2</v>
      </c>
      <c r="AE1288">
        <v>4</v>
      </c>
      <c r="AF1288">
        <v>3</v>
      </c>
      <c r="AG1288">
        <v>0</v>
      </c>
      <c r="AH1288">
        <v>2</v>
      </c>
    </row>
    <row r="1289" spans="1:34" x14ac:dyDescent="0.2">
      <c r="A1289">
        <v>42</v>
      </c>
      <c r="B1289" t="s">
        <v>42</v>
      </c>
      <c r="C1289" t="s">
        <v>35</v>
      </c>
      <c r="D1289" t="s">
        <v>44</v>
      </c>
      <c r="E1289">
        <v>13</v>
      </c>
      <c r="F1289">
        <v>3</v>
      </c>
      <c r="G1289" t="s">
        <v>50</v>
      </c>
      <c r="H1289">
        <v>1</v>
      </c>
      <c r="I1289">
        <v>1803</v>
      </c>
      <c r="J1289">
        <v>2</v>
      </c>
      <c r="K1289" t="s">
        <v>45</v>
      </c>
      <c r="L1289">
        <v>95</v>
      </c>
      <c r="M1289">
        <v>4</v>
      </c>
      <c r="N1289">
        <v>2</v>
      </c>
      <c r="O1289" t="s">
        <v>53</v>
      </c>
      <c r="P1289">
        <v>1</v>
      </c>
      <c r="Q1289" t="s">
        <v>47</v>
      </c>
      <c r="R1289">
        <v>5538</v>
      </c>
      <c r="S1289">
        <v>5696</v>
      </c>
      <c r="T1289">
        <v>5</v>
      </c>
      <c r="U1289" t="s">
        <v>41</v>
      </c>
      <c r="V1289" t="s">
        <v>42</v>
      </c>
      <c r="W1289">
        <v>18</v>
      </c>
      <c r="X1289">
        <v>3</v>
      </c>
      <c r="Y1289">
        <v>3</v>
      </c>
      <c r="Z1289">
        <v>80</v>
      </c>
      <c r="AA1289">
        <v>2</v>
      </c>
      <c r="AB1289">
        <v>10</v>
      </c>
      <c r="AC1289">
        <v>2</v>
      </c>
      <c r="AD1289">
        <v>2</v>
      </c>
      <c r="AE1289">
        <v>0</v>
      </c>
      <c r="AF1289">
        <v>0</v>
      </c>
      <c r="AG1289">
        <v>0</v>
      </c>
      <c r="AH1289">
        <v>0</v>
      </c>
    </row>
    <row r="1290" spans="1:34" x14ac:dyDescent="0.2">
      <c r="A1290">
        <v>35</v>
      </c>
      <c r="B1290" t="s">
        <v>42</v>
      </c>
      <c r="C1290" t="s">
        <v>54</v>
      </c>
      <c r="D1290" t="s">
        <v>44</v>
      </c>
      <c r="E1290">
        <v>2</v>
      </c>
      <c r="F1290">
        <v>2</v>
      </c>
      <c r="G1290" t="s">
        <v>50</v>
      </c>
      <c r="H1290">
        <v>1</v>
      </c>
      <c r="I1290">
        <v>1804</v>
      </c>
      <c r="J1290">
        <v>2</v>
      </c>
      <c r="K1290" t="s">
        <v>45</v>
      </c>
      <c r="L1290">
        <v>90</v>
      </c>
      <c r="M1290">
        <v>3</v>
      </c>
      <c r="N1290">
        <v>2</v>
      </c>
      <c r="O1290" t="s">
        <v>52</v>
      </c>
      <c r="P1290">
        <v>4</v>
      </c>
      <c r="Q1290" t="s">
        <v>51</v>
      </c>
      <c r="R1290">
        <v>5762</v>
      </c>
      <c r="S1290">
        <v>24442</v>
      </c>
      <c r="T1290">
        <v>2</v>
      </c>
      <c r="U1290" t="s">
        <v>41</v>
      </c>
      <c r="V1290" t="s">
        <v>42</v>
      </c>
      <c r="W1290">
        <v>14</v>
      </c>
      <c r="X1290">
        <v>3</v>
      </c>
      <c r="Y1290">
        <v>3</v>
      </c>
      <c r="Z1290">
        <v>80</v>
      </c>
      <c r="AA1290">
        <v>1</v>
      </c>
      <c r="AB1290">
        <v>15</v>
      </c>
      <c r="AC1290">
        <v>6</v>
      </c>
      <c r="AD1290">
        <v>3</v>
      </c>
      <c r="AE1290">
        <v>7</v>
      </c>
      <c r="AF1290">
        <v>7</v>
      </c>
      <c r="AG1290">
        <v>1</v>
      </c>
      <c r="AH1290">
        <v>7</v>
      </c>
    </row>
    <row r="1291" spans="1:34" x14ac:dyDescent="0.2">
      <c r="A1291">
        <v>38</v>
      </c>
      <c r="B1291" t="s">
        <v>42</v>
      </c>
      <c r="C1291" t="s">
        <v>54</v>
      </c>
      <c r="D1291" t="s">
        <v>60</v>
      </c>
      <c r="E1291">
        <v>2</v>
      </c>
      <c r="F1291">
        <v>3</v>
      </c>
      <c r="G1291" t="s">
        <v>60</v>
      </c>
      <c r="H1291">
        <v>1</v>
      </c>
      <c r="I1291">
        <v>1805</v>
      </c>
      <c r="J1291">
        <v>1</v>
      </c>
      <c r="K1291" t="s">
        <v>45</v>
      </c>
      <c r="L1291">
        <v>100</v>
      </c>
      <c r="M1291">
        <v>3</v>
      </c>
      <c r="N1291">
        <v>1</v>
      </c>
      <c r="O1291" t="s">
        <v>60</v>
      </c>
      <c r="P1291">
        <v>2</v>
      </c>
      <c r="Q1291" t="s">
        <v>51</v>
      </c>
      <c r="R1291">
        <v>2592</v>
      </c>
      <c r="S1291">
        <v>7129</v>
      </c>
      <c r="T1291">
        <v>5</v>
      </c>
      <c r="U1291" t="s">
        <v>41</v>
      </c>
      <c r="V1291" t="s">
        <v>42</v>
      </c>
      <c r="W1291">
        <v>13</v>
      </c>
      <c r="X1291">
        <v>3</v>
      </c>
      <c r="Y1291">
        <v>4</v>
      </c>
      <c r="Z1291">
        <v>80</v>
      </c>
      <c r="AA1291">
        <v>3</v>
      </c>
      <c r="AB1291">
        <v>13</v>
      </c>
      <c r="AC1291">
        <v>3</v>
      </c>
      <c r="AD1291">
        <v>3</v>
      </c>
      <c r="AE1291">
        <v>11</v>
      </c>
      <c r="AF1291">
        <v>10</v>
      </c>
      <c r="AG1291">
        <v>3</v>
      </c>
      <c r="AH1291">
        <v>8</v>
      </c>
    </row>
    <row r="1292" spans="1:34" x14ac:dyDescent="0.2">
      <c r="A1292">
        <v>34</v>
      </c>
      <c r="B1292" t="s">
        <v>34</v>
      </c>
      <c r="C1292" t="s">
        <v>43</v>
      </c>
      <c r="D1292" t="s">
        <v>44</v>
      </c>
      <c r="E1292">
        <v>9</v>
      </c>
      <c r="F1292">
        <v>4</v>
      </c>
      <c r="G1292" t="s">
        <v>37</v>
      </c>
      <c r="H1292">
        <v>1</v>
      </c>
      <c r="I1292">
        <v>1807</v>
      </c>
      <c r="J1292">
        <v>4</v>
      </c>
      <c r="K1292" t="s">
        <v>45</v>
      </c>
      <c r="L1292">
        <v>93</v>
      </c>
      <c r="M1292">
        <v>3</v>
      </c>
      <c r="N1292">
        <v>2</v>
      </c>
      <c r="O1292" t="s">
        <v>49</v>
      </c>
      <c r="P1292">
        <v>1</v>
      </c>
      <c r="Q1292" t="s">
        <v>47</v>
      </c>
      <c r="R1292">
        <v>5346</v>
      </c>
      <c r="S1292">
        <v>6208</v>
      </c>
      <c r="T1292">
        <v>4</v>
      </c>
      <c r="U1292" t="s">
        <v>41</v>
      </c>
      <c r="V1292" t="s">
        <v>42</v>
      </c>
      <c r="W1292">
        <v>17</v>
      </c>
      <c r="X1292">
        <v>3</v>
      </c>
      <c r="Y1292">
        <v>3</v>
      </c>
      <c r="Z1292">
        <v>80</v>
      </c>
      <c r="AA1292">
        <v>1</v>
      </c>
      <c r="AB1292">
        <v>11</v>
      </c>
      <c r="AC1292">
        <v>3</v>
      </c>
      <c r="AD1292">
        <v>2</v>
      </c>
      <c r="AE1292">
        <v>7</v>
      </c>
      <c r="AF1292">
        <v>1</v>
      </c>
      <c r="AG1292">
        <v>0</v>
      </c>
      <c r="AH1292">
        <v>7</v>
      </c>
    </row>
    <row r="1293" spans="1:34" x14ac:dyDescent="0.2">
      <c r="A1293">
        <v>37</v>
      </c>
      <c r="B1293" t="s">
        <v>34</v>
      </c>
      <c r="C1293" t="s">
        <v>35</v>
      </c>
      <c r="D1293" t="s">
        <v>44</v>
      </c>
      <c r="E1293">
        <v>10</v>
      </c>
      <c r="F1293">
        <v>4</v>
      </c>
      <c r="G1293" t="s">
        <v>50</v>
      </c>
      <c r="H1293">
        <v>1</v>
      </c>
      <c r="I1293">
        <v>1809</v>
      </c>
      <c r="J1293">
        <v>4</v>
      </c>
      <c r="K1293" t="s">
        <v>45</v>
      </c>
      <c r="L1293">
        <v>58</v>
      </c>
      <c r="M1293">
        <v>3</v>
      </c>
      <c r="N1293">
        <v>2</v>
      </c>
      <c r="O1293" t="s">
        <v>52</v>
      </c>
      <c r="P1293">
        <v>1</v>
      </c>
      <c r="Q1293" t="s">
        <v>40</v>
      </c>
      <c r="R1293">
        <v>4213</v>
      </c>
      <c r="S1293">
        <v>4992</v>
      </c>
      <c r="T1293">
        <v>1</v>
      </c>
      <c r="U1293" t="s">
        <v>41</v>
      </c>
      <c r="V1293" t="s">
        <v>42</v>
      </c>
      <c r="W1293">
        <v>15</v>
      </c>
      <c r="X1293">
        <v>3</v>
      </c>
      <c r="Y1293">
        <v>2</v>
      </c>
      <c r="Z1293">
        <v>80</v>
      </c>
      <c r="AA1293">
        <v>0</v>
      </c>
      <c r="AB1293">
        <v>10</v>
      </c>
      <c r="AC1293">
        <v>4</v>
      </c>
      <c r="AD1293">
        <v>1</v>
      </c>
      <c r="AE1293">
        <v>10</v>
      </c>
      <c r="AF1293">
        <v>3</v>
      </c>
      <c r="AG1293">
        <v>0</v>
      </c>
      <c r="AH1293">
        <v>8</v>
      </c>
    </row>
    <row r="1294" spans="1:34" x14ac:dyDescent="0.2">
      <c r="A1294">
        <v>39</v>
      </c>
      <c r="B1294" t="s">
        <v>42</v>
      </c>
      <c r="C1294" t="s">
        <v>43</v>
      </c>
      <c r="D1294" t="s">
        <v>36</v>
      </c>
      <c r="E1294">
        <v>20</v>
      </c>
      <c r="F1294">
        <v>3</v>
      </c>
      <c r="G1294" t="s">
        <v>37</v>
      </c>
      <c r="H1294">
        <v>1</v>
      </c>
      <c r="I1294">
        <v>1812</v>
      </c>
      <c r="J1294">
        <v>3</v>
      </c>
      <c r="K1294" t="s">
        <v>45</v>
      </c>
      <c r="L1294">
        <v>83</v>
      </c>
      <c r="M1294">
        <v>3</v>
      </c>
      <c r="N1294">
        <v>2</v>
      </c>
      <c r="O1294" t="s">
        <v>39</v>
      </c>
      <c r="P1294">
        <v>4</v>
      </c>
      <c r="Q1294" t="s">
        <v>51</v>
      </c>
      <c r="R1294">
        <v>4127</v>
      </c>
      <c r="S1294">
        <v>19188</v>
      </c>
      <c r="T1294">
        <v>2</v>
      </c>
      <c r="U1294" t="s">
        <v>41</v>
      </c>
      <c r="V1294" t="s">
        <v>42</v>
      </c>
      <c r="W1294">
        <v>18</v>
      </c>
      <c r="X1294">
        <v>3</v>
      </c>
      <c r="Y1294">
        <v>4</v>
      </c>
      <c r="Z1294">
        <v>80</v>
      </c>
      <c r="AA1294">
        <v>1</v>
      </c>
      <c r="AB1294">
        <v>7</v>
      </c>
      <c r="AC1294">
        <v>6</v>
      </c>
      <c r="AD1294">
        <v>3</v>
      </c>
      <c r="AE1294">
        <v>2</v>
      </c>
      <c r="AF1294">
        <v>1</v>
      </c>
      <c r="AG1294">
        <v>2</v>
      </c>
      <c r="AH1294">
        <v>2</v>
      </c>
    </row>
    <row r="1295" spans="1:34" x14ac:dyDescent="0.2">
      <c r="A1295">
        <v>43</v>
      </c>
      <c r="B1295" t="s">
        <v>42</v>
      </c>
      <c r="C1295" t="s">
        <v>54</v>
      </c>
      <c r="D1295" t="s">
        <v>44</v>
      </c>
      <c r="E1295">
        <v>9</v>
      </c>
      <c r="F1295">
        <v>3</v>
      </c>
      <c r="G1295" t="s">
        <v>37</v>
      </c>
      <c r="H1295">
        <v>1</v>
      </c>
      <c r="I1295">
        <v>1813</v>
      </c>
      <c r="J1295">
        <v>1</v>
      </c>
      <c r="K1295" t="s">
        <v>45</v>
      </c>
      <c r="L1295">
        <v>52</v>
      </c>
      <c r="M1295">
        <v>3</v>
      </c>
      <c r="N1295">
        <v>1</v>
      </c>
      <c r="O1295" t="s">
        <v>46</v>
      </c>
      <c r="P1295">
        <v>3</v>
      </c>
      <c r="Q1295" t="s">
        <v>40</v>
      </c>
      <c r="R1295">
        <v>2438</v>
      </c>
      <c r="S1295">
        <v>24978</v>
      </c>
      <c r="T1295">
        <v>4</v>
      </c>
      <c r="U1295" t="s">
        <v>41</v>
      </c>
      <c r="V1295" t="s">
        <v>42</v>
      </c>
      <c r="W1295">
        <v>13</v>
      </c>
      <c r="X1295">
        <v>3</v>
      </c>
      <c r="Y1295">
        <v>3</v>
      </c>
      <c r="Z1295">
        <v>80</v>
      </c>
      <c r="AA1295">
        <v>0</v>
      </c>
      <c r="AB1295">
        <v>7</v>
      </c>
      <c r="AC1295">
        <v>2</v>
      </c>
      <c r="AD1295">
        <v>2</v>
      </c>
      <c r="AE1295">
        <v>3</v>
      </c>
      <c r="AF1295">
        <v>2</v>
      </c>
      <c r="AG1295">
        <v>1</v>
      </c>
      <c r="AH1295">
        <v>2</v>
      </c>
    </row>
    <row r="1296" spans="1:34" x14ac:dyDescent="0.2">
      <c r="A1296">
        <v>41</v>
      </c>
      <c r="B1296" t="s">
        <v>42</v>
      </c>
      <c r="C1296" t="s">
        <v>35</v>
      </c>
      <c r="D1296" t="s">
        <v>44</v>
      </c>
      <c r="E1296">
        <v>5</v>
      </c>
      <c r="F1296">
        <v>3</v>
      </c>
      <c r="G1296" t="s">
        <v>37</v>
      </c>
      <c r="H1296">
        <v>1</v>
      </c>
      <c r="I1296">
        <v>1814</v>
      </c>
      <c r="J1296">
        <v>2</v>
      </c>
      <c r="K1296" t="s">
        <v>45</v>
      </c>
      <c r="L1296">
        <v>85</v>
      </c>
      <c r="M1296">
        <v>4</v>
      </c>
      <c r="N1296">
        <v>2</v>
      </c>
      <c r="O1296" t="s">
        <v>53</v>
      </c>
      <c r="P1296">
        <v>2</v>
      </c>
      <c r="Q1296" t="s">
        <v>40</v>
      </c>
      <c r="R1296">
        <v>6870</v>
      </c>
      <c r="S1296">
        <v>15530</v>
      </c>
      <c r="T1296">
        <v>3</v>
      </c>
      <c r="U1296" t="s">
        <v>41</v>
      </c>
      <c r="V1296" t="s">
        <v>42</v>
      </c>
      <c r="W1296">
        <v>12</v>
      </c>
      <c r="X1296">
        <v>3</v>
      </c>
      <c r="Y1296">
        <v>1</v>
      </c>
      <c r="Z1296">
        <v>80</v>
      </c>
      <c r="AA1296">
        <v>0</v>
      </c>
      <c r="AB1296">
        <v>11</v>
      </c>
      <c r="AC1296">
        <v>3</v>
      </c>
      <c r="AD1296">
        <v>1</v>
      </c>
      <c r="AE1296">
        <v>3</v>
      </c>
      <c r="AF1296">
        <v>2</v>
      </c>
      <c r="AG1296">
        <v>1</v>
      </c>
      <c r="AH1296">
        <v>2</v>
      </c>
    </row>
    <row r="1297" spans="1:34" x14ac:dyDescent="0.2">
      <c r="A1297">
        <v>41</v>
      </c>
      <c r="B1297" t="s">
        <v>42</v>
      </c>
      <c r="C1297" t="s">
        <v>35</v>
      </c>
      <c r="D1297" t="s">
        <v>36</v>
      </c>
      <c r="E1297">
        <v>4</v>
      </c>
      <c r="F1297">
        <v>1</v>
      </c>
      <c r="G1297" t="s">
        <v>58</v>
      </c>
      <c r="H1297">
        <v>1</v>
      </c>
      <c r="I1297">
        <v>1815</v>
      </c>
      <c r="J1297">
        <v>3</v>
      </c>
      <c r="K1297" t="s">
        <v>38</v>
      </c>
      <c r="L1297">
        <v>81</v>
      </c>
      <c r="M1297">
        <v>3</v>
      </c>
      <c r="N1297">
        <v>3</v>
      </c>
      <c r="O1297" t="s">
        <v>39</v>
      </c>
      <c r="P1297">
        <v>3</v>
      </c>
      <c r="Q1297" t="s">
        <v>51</v>
      </c>
      <c r="R1297">
        <v>10447</v>
      </c>
      <c r="S1297">
        <v>26458</v>
      </c>
      <c r="T1297">
        <v>0</v>
      </c>
      <c r="U1297" t="s">
        <v>41</v>
      </c>
      <c r="V1297" t="s">
        <v>34</v>
      </c>
      <c r="W1297">
        <v>13</v>
      </c>
      <c r="X1297">
        <v>3</v>
      </c>
      <c r="Y1297">
        <v>4</v>
      </c>
      <c r="Z1297">
        <v>80</v>
      </c>
      <c r="AA1297">
        <v>1</v>
      </c>
      <c r="AB1297">
        <v>23</v>
      </c>
      <c r="AC1297">
        <v>3</v>
      </c>
      <c r="AD1297">
        <v>4</v>
      </c>
      <c r="AE1297">
        <v>22</v>
      </c>
      <c r="AF1297">
        <v>14</v>
      </c>
      <c r="AG1297">
        <v>13</v>
      </c>
      <c r="AH1297">
        <v>5</v>
      </c>
    </row>
    <row r="1298" spans="1:34" x14ac:dyDescent="0.2">
      <c r="A1298">
        <v>30</v>
      </c>
      <c r="B1298" t="s">
        <v>42</v>
      </c>
      <c r="C1298" t="s">
        <v>35</v>
      </c>
      <c r="D1298" t="s">
        <v>44</v>
      </c>
      <c r="E1298">
        <v>10</v>
      </c>
      <c r="F1298">
        <v>3</v>
      </c>
      <c r="G1298" t="s">
        <v>50</v>
      </c>
      <c r="H1298">
        <v>1</v>
      </c>
      <c r="I1298">
        <v>1816</v>
      </c>
      <c r="J1298">
        <v>1</v>
      </c>
      <c r="K1298" t="s">
        <v>38</v>
      </c>
      <c r="L1298">
        <v>64</v>
      </c>
      <c r="M1298">
        <v>3</v>
      </c>
      <c r="N1298">
        <v>3</v>
      </c>
      <c r="O1298" t="s">
        <v>52</v>
      </c>
      <c r="P1298">
        <v>3</v>
      </c>
      <c r="Q1298" t="s">
        <v>40</v>
      </c>
      <c r="R1298">
        <v>9667</v>
      </c>
      <c r="S1298">
        <v>2739</v>
      </c>
      <c r="T1298">
        <v>9</v>
      </c>
      <c r="U1298" t="s">
        <v>41</v>
      </c>
      <c r="V1298" t="s">
        <v>42</v>
      </c>
      <c r="W1298">
        <v>14</v>
      </c>
      <c r="X1298">
        <v>3</v>
      </c>
      <c r="Y1298">
        <v>2</v>
      </c>
      <c r="Z1298">
        <v>80</v>
      </c>
      <c r="AA1298">
        <v>0</v>
      </c>
      <c r="AB1298">
        <v>9</v>
      </c>
      <c r="AC1298">
        <v>3</v>
      </c>
      <c r="AD1298">
        <v>3</v>
      </c>
      <c r="AE1298">
        <v>7</v>
      </c>
      <c r="AF1298">
        <v>7</v>
      </c>
      <c r="AG1298">
        <v>0</v>
      </c>
      <c r="AH1298">
        <v>2</v>
      </c>
    </row>
    <row r="1299" spans="1:34" x14ac:dyDescent="0.2">
      <c r="A1299">
        <v>26</v>
      </c>
      <c r="B1299" t="s">
        <v>34</v>
      </c>
      <c r="C1299" t="s">
        <v>35</v>
      </c>
      <c r="D1299" t="s">
        <v>60</v>
      </c>
      <c r="E1299">
        <v>20</v>
      </c>
      <c r="F1299">
        <v>2</v>
      </c>
      <c r="G1299" t="s">
        <v>50</v>
      </c>
      <c r="H1299">
        <v>1</v>
      </c>
      <c r="I1299">
        <v>1818</v>
      </c>
      <c r="J1299">
        <v>4</v>
      </c>
      <c r="K1299" t="s">
        <v>38</v>
      </c>
      <c r="L1299">
        <v>69</v>
      </c>
      <c r="M1299">
        <v>3</v>
      </c>
      <c r="N1299">
        <v>1</v>
      </c>
      <c r="O1299" t="s">
        <v>60</v>
      </c>
      <c r="P1299">
        <v>2</v>
      </c>
      <c r="Q1299" t="s">
        <v>47</v>
      </c>
      <c r="R1299">
        <v>2148</v>
      </c>
      <c r="S1299">
        <v>6889</v>
      </c>
      <c r="T1299">
        <v>0</v>
      </c>
      <c r="U1299" t="s">
        <v>41</v>
      </c>
      <c r="V1299" t="s">
        <v>34</v>
      </c>
      <c r="W1299">
        <v>11</v>
      </c>
      <c r="X1299">
        <v>3</v>
      </c>
      <c r="Y1299">
        <v>3</v>
      </c>
      <c r="Z1299">
        <v>80</v>
      </c>
      <c r="AA1299">
        <v>0</v>
      </c>
      <c r="AB1299">
        <v>6</v>
      </c>
      <c r="AC1299">
        <v>3</v>
      </c>
      <c r="AD1299">
        <v>3</v>
      </c>
      <c r="AE1299">
        <v>5</v>
      </c>
      <c r="AF1299">
        <v>1</v>
      </c>
      <c r="AG1299">
        <v>1</v>
      </c>
      <c r="AH1299">
        <v>4</v>
      </c>
    </row>
    <row r="1300" spans="1:34" x14ac:dyDescent="0.2">
      <c r="A1300">
        <v>46</v>
      </c>
      <c r="B1300" t="s">
        <v>34</v>
      </c>
      <c r="C1300" t="s">
        <v>35</v>
      </c>
      <c r="D1300" t="s">
        <v>44</v>
      </c>
      <c r="E1300">
        <v>21</v>
      </c>
      <c r="F1300">
        <v>2</v>
      </c>
      <c r="G1300" t="s">
        <v>50</v>
      </c>
      <c r="H1300">
        <v>1</v>
      </c>
      <c r="I1300">
        <v>1821</v>
      </c>
      <c r="J1300">
        <v>4</v>
      </c>
      <c r="K1300" t="s">
        <v>38</v>
      </c>
      <c r="L1300">
        <v>66</v>
      </c>
      <c r="M1300">
        <v>3</v>
      </c>
      <c r="N1300">
        <v>2</v>
      </c>
      <c r="O1300" t="s">
        <v>53</v>
      </c>
      <c r="P1300">
        <v>2</v>
      </c>
      <c r="Q1300" t="s">
        <v>47</v>
      </c>
      <c r="R1300">
        <v>8926</v>
      </c>
      <c r="S1300">
        <v>10842</v>
      </c>
      <c r="T1300">
        <v>4</v>
      </c>
      <c r="U1300" t="s">
        <v>41</v>
      </c>
      <c r="V1300" t="s">
        <v>42</v>
      </c>
      <c r="W1300">
        <v>22</v>
      </c>
      <c r="X1300">
        <v>4</v>
      </c>
      <c r="Y1300">
        <v>4</v>
      </c>
      <c r="Z1300">
        <v>80</v>
      </c>
      <c r="AA1300">
        <v>1</v>
      </c>
      <c r="AB1300">
        <v>13</v>
      </c>
      <c r="AC1300">
        <v>2</v>
      </c>
      <c r="AD1300">
        <v>4</v>
      </c>
      <c r="AE1300">
        <v>9</v>
      </c>
      <c r="AF1300">
        <v>7</v>
      </c>
      <c r="AG1300">
        <v>3</v>
      </c>
      <c r="AH1300">
        <v>7</v>
      </c>
    </row>
    <row r="1301" spans="1:34" x14ac:dyDescent="0.2">
      <c r="A1301">
        <v>40</v>
      </c>
      <c r="B1301" t="s">
        <v>42</v>
      </c>
      <c r="C1301" t="s">
        <v>35</v>
      </c>
      <c r="D1301" t="s">
        <v>44</v>
      </c>
      <c r="E1301">
        <v>1</v>
      </c>
      <c r="F1301">
        <v>3</v>
      </c>
      <c r="G1301" t="s">
        <v>37</v>
      </c>
      <c r="H1301">
        <v>1</v>
      </c>
      <c r="I1301">
        <v>1822</v>
      </c>
      <c r="J1301">
        <v>3</v>
      </c>
      <c r="K1301" t="s">
        <v>38</v>
      </c>
      <c r="L1301">
        <v>52</v>
      </c>
      <c r="M1301">
        <v>3</v>
      </c>
      <c r="N1301">
        <v>2</v>
      </c>
      <c r="O1301" t="s">
        <v>53</v>
      </c>
      <c r="P1301">
        <v>4</v>
      </c>
      <c r="Q1301" t="s">
        <v>51</v>
      </c>
      <c r="R1301">
        <v>6513</v>
      </c>
      <c r="S1301">
        <v>9060</v>
      </c>
      <c r="T1301">
        <v>4</v>
      </c>
      <c r="U1301" t="s">
        <v>41</v>
      </c>
      <c r="V1301" t="s">
        <v>42</v>
      </c>
      <c r="W1301">
        <v>17</v>
      </c>
      <c r="X1301">
        <v>3</v>
      </c>
      <c r="Y1301">
        <v>4</v>
      </c>
      <c r="Z1301">
        <v>80</v>
      </c>
      <c r="AA1301">
        <v>1</v>
      </c>
      <c r="AB1301">
        <v>12</v>
      </c>
      <c r="AC1301">
        <v>3</v>
      </c>
      <c r="AD1301">
        <v>3</v>
      </c>
      <c r="AE1301">
        <v>5</v>
      </c>
      <c r="AF1301">
        <v>3</v>
      </c>
      <c r="AG1301">
        <v>0</v>
      </c>
      <c r="AH1301">
        <v>3</v>
      </c>
    </row>
    <row r="1302" spans="1:34" x14ac:dyDescent="0.2">
      <c r="A1302">
        <v>34</v>
      </c>
      <c r="B1302" t="s">
        <v>42</v>
      </c>
      <c r="C1302" t="s">
        <v>35</v>
      </c>
      <c r="D1302" t="s">
        <v>36</v>
      </c>
      <c r="E1302">
        <v>8</v>
      </c>
      <c r="F1302">
        <v>2</v>
      </c>
      <c r="G1302" t="s">
        <v>59</v>
      </c>
      <c r="H1302">
        <v>1</v>
      </c>
      <c r="I1302">
        <v>1823</v>
      </c>
      <c r="J1302">
        <v>2</v>
      </c>
      <c r="K1302" t="s">
        <v>45</v>
      </c>
      <c r="L1302">
        <v>92</v>
      </c>
      <c r="M1302">
        <v>4</v>
      </c>
      <c r="N1302">
        <v>2</v>
      </c>
      <c r="O1302" t="s">
        <v>39</v>
      </c>
      <c r="P1302">
        <v>3</v>
      </c>
      <c r="Q1302" t="s">
        <v>47</v>
      </c>
      <c r="R1302">
        <v>6799</v>
      </c>
      <c r="S1302">
        <v>22128</v>
      </c>
      <c r="T1302">
        <v>1</v>
      </c>
      <c r="U1302" t="s">
        <v>41</v>
      </c>
      <c r="V1302" t="s">
        <v>42</v>
      </c>
      <c r="W1302">
        <v>21</v>
      </c>
      <c r="X1302">
        <v>4</v>
      </c>
      <c r="Y1302">
        <v>3</v>
      </c>
      <c r="Z1302">
        <v>80</v>
      </c>
      <c r="AA1302">
        <v>2</v>
      </c>
      <c r="AB1302">
        <v>10</v>
      </c>
      <c r="AC1302">
        <v>5</v>
      </c>
      <c r="AD1302">
        <v>3</v>
      </c>
      <c r="AE1302">
        <v>10</v>
      </c>
      <c r="AF1302">
        <v>8</v>
      </c>
      <c r="AG1302">
        <v>4</v>
      </c>
      <c r="AH1302">
        <v>8</v>
      </c>
    </row>
    <row r="1303" spans="1:34" x14ac:dyDescent="0.2">
      <c r="A1303">
        <v>58</v>
      </c>
      <c r="B1303" t="s">
        <v>42</v>
      </c>
      <c r="C1303" t="s">
        <v>54</v>
      </c>
      <c r="D1303" t="s">
        <v>36</v>
      </c>
      <c r="E1303">
        <v>2</v>
      </c>
      <c r="F1303">
        <v>3</v>
      </c>
      <c r="G1303" t="s">
        <v>50</v>
      </c>
      <c r="H1303">
        <v>1</v>
      </c>
      <c r="I1303">
        <v>1824</v>
      </c>
      <c r="J1303">
        <v>2</v>
      </c>
      <c r="K1303" t="s">
        <v>45</v>
      </c>
      <c r="L1303">
        <v>52</v>
      </c>
      <c r="M1303">
        <v>3</v>
      </c>
      <c r="N1303">
        <v>4</v>
      </c>
      <c r="O1303" t="s">
        <v>55</v>
      </c>
      <c r="P1303">
        <v>2</v>
      </c>
      <c r="Q1303" t="s">
        <v>51</v>
      </c>
      <c r="R1303">
        <v>16291</v>
      </c>
      <c r="S1303">
        <v>22577</v>
      </c>
      <c r="T1303">
        <v>4</v>
      </c>
      <c r="U1303" t="s">
        <v>41</v>
      </c>
      <c r="V1303" t="s">
        <v>42</v>
      </c>
      <c r="W1303">
        <v>22</v>
      </c>
      <c r="X1303">
        <v>4</v>
      </c>
      <c r="Y1303">
        <v>4</v>
      </c>
      <c r="Z1303">
        <v>80</v>
      </c>
      <c r="AA1303">
        <v>1</v>
      </c>
      <c r="AB1303">
        <v>37</v>
      </c>
      <c r="AC1303">
        <v>0</v>
      </c>
      <c r="AD1303">
        <v>2</v>
      </c>
      <c r="AE1303">
        <v>16</v>
      </c>
      <c r="AF1303">
        <v>9</v>
      </c>
      <c r="AG1303">
        <v>14</v>
      </c>
      <c r="AH1303">
        <v>14</v>
      </c>
    </row>
    <row r="1304" spans="1:34" x14ac:dyDescent="0.2">
      <c r="A1304">
        <v>35</v>
      </c>
      <c r="B1304" t="s">
        <v>42</v>
      </c>
      <c r="C1304" t="s">
        <v>35</v>
      </c>
      <c r="D1304" t="s">
        <v>44</v>
      </c>
      <c r="E1304">
        <v>23</v>
      </c>
      <c r="F1304">
        <v>4</v>
      </c>
      <c r="G1304" t="s">
        <v>50</v>
      </c>
      <c r="H1304">
        <v>1</v>
      </c>
      <c r="I1304">
        <v>1826</v>
      </c>
      <c r="J1304">
        <v>2</v>
      </c>
      <c r="K1304" t="s">
        <v>45</v>
      </c>
      <c r="L1304">
        <v>91</v>
      </c>
      <c r="M1304">
        <v>1</v>
      </c>
      <c r="N1304">
        <v>1</v>
      </c>
      <c r="O1304" t="s">
        <v>49</v>
      </c>
      <c r="P1304">
        <v>3</v>
      </c>
      <c r="Q1304" t="s">
        <v>47</v>
      </c>
      <c r="R1304">
        <v>2705</v>
      </c>
      <c r="S1304">
        <v>9696</v>
      </c>
      <c r="T1304">
        <v>0</v>
      </c>
      <c r="U1304" t="s">
        <v>41</v>
      </c>
      <c r="V1304" t="s">
        <v>42</v>
      </c>
      <c r="W1304">
        <v>16</v>
      </c>
      <c r="X1304">
        <v>3</v>
      </c>
      <c r="Y1304">
        <v>2</v>
      </c>
      <c r="Z1304">
        <v>80</v>
      </c>
      <c r="AA1304">
        <v>1</v>
      </c>
      <c r="AB1304">
        <v>6</v>
      </c>
      <c r="AC1304">
        <v>2</v>
      </c>
      <c r="AD1304">
        <v>4</v>
      </c>
      <c r="AE1304">
        <v>5</v>
      </c>
      <c r="AF1304">
        <v>4</v>
      </c>
      <c r="AG1304">
        <v>0</v>
      </c>
      <c r="AH1304">
        <v>3</v>
      </c>
    </row>
    <row r="1305" spans="1:34" x14ac:dyDescent="0.2">
      <c r="A1305">
        <v>47</v>
      </c>
      <c r="B1305" t="s">
        <v>42</v>
      </c>
      <c r="C1305" t="s">
        <v>35</v>
      </c>
      <c r="D1305" t="s">
        <v>44</v>
      </c>
      <c r="E1305">
        <v>4</v>
      </c>
      <c r="F1305">
        <v>3</v>
      </c>
      <c r="G1305" t="s">
        <v>37</v>
      </c>
      <c r="H1305">
        <v>1</v>
      </c>
      <c r="I1305">
        <v>1827</v>
      </c>
      <c r="J1305">
        <v>3</v>
      </c>
      <c r="K1305" t="s">
        <v>38</v>
      </c>
      <c r="L1305">
        <v>92</v>
      </c>
      <c r="M1305">
        <v>2</v>
      </c>
      <c r="N1305">
        <v>3</v>
      </c>
      <c r="O1305" t="s">
        <v>52</v>
      </c>
      <c r="P1305">
        <v>2</v>
      </c>
      <c r="Q1305" t="s">
        <v>51</v>
      </c>
      <c r="R1305">
        <v>10333</v>
      </c>
      <c r="S1305">
        <v>19271</v>
      </c>
      <c r="T1305">
        <v>8</v>
      </c>
      <c r="U1305" t="s">
        <v>41</v>
      </c>
      <c r="V1305" t="s">
        <v>34</v>
      </c>
      <c r="W1305">
        <v>12</v>
      </c>
      <c r="X1305">
        <v>3</v>
      </c>
      <c r="Y1305">
        <v>3</v>
      </c>
      <c r="Z1305">
        <v>80</v>
      </c>
      <c r="AA1305">
        <v>1</v>
      </c>
      <c r="AB1305">
        <v>28</v>
      </c>
      <c r="AC1305">
        <v>4</v>
      </c>
      <c r="AD1305">
        <v>3</v>
      </c>
      <c r="AE1305">
        <v>22</v>
      </c>
      <c r="AF1305">
        <v>11</v>
      </c>
      <c r="AG1305">
        <v>14</v>
      </c>
      <c r="AH1305">
        <v>10</v>
      </c>
    </row>
    <row r="1306" spans="1:34" x14ac:dyDescent="0.2">
      <c r="A1306">
        <v>40</v>
      </c>
      <c r="B1306" t="s">
        <v>42</v>
      </c>
      <c r="C1306" t="s">
        <v>35</v>
      </c>
      <c r="D1306" t="s">
        <v>44</v>
      </c>
      <c r="E1306">
        <v>12</v>
      </c>
      <c r="F1306">
        <v>3</v>
      </c>
      <c r="G1306" t="s">
        <v>37</v>
      </c>
      <c r="H1306">
        <v>1</v>
      </c>
      <c r="I1306">
        <v>1829</v>
      </c>
      <c r="J1306">
        <v>2</v>
      </c>
      <c r="K1306" t="s">
        <v>38</v>
      </c>
      <c r="L1306">
        <v>47</v>
      </c>
      <c r="M1306">
        <v>3</v>
      </c>
      <c r="N1306">
        <v>2</v>
      </c>
      <c r="O1306" t="s">
        <v>53</v>
      </c>
      <c r="P1306">
        <v>1</v>
      </c>
      <c r="Q1306" t="s">
        <v>51</v>
      </c>
      <c r="R1306">
        <v>4448</v>
      </c>
      <c r="S1306">
        <v>10748</v>
      </c>
      <c r="T1306">
        <v>2</v>
      </c>
      <c r="U1306" t="s">
        <v>41</v>
      </c>
      <c r="V1306" t="s">
        <v>42</v>
      </c>
      <c r="W1306">
        <v>12</v>
      </c>
      <c r="X1306">
        <v>3</v>
      </c>
      <c r="Y1306">
        <v>2</v>
      </c>
      <c r="Z1306">
        <v>80</v>
      </c>
      <c r="AA1306">
        <v>1</v>
      </c>
      <c r="AB1306">
        <v>15</v>
      </c>
      <c r="AC1306">
        <v>3</v>
      </c>
      <c r="AD1306">
        <v>3</v>
      </c>
      <c r="AE1306">
        <v>7</v>
      </c>
      <c r="AF1306">
        <v>4</v>
      </c>
      <c r="AG1306">
        <v>7</v>
      </c>
      <c r="AH1306">
        <v>7</v>
      </c>
    </row>
    <row r="1307" spans="1:34" x14ac:dyDescent="0.2">
      <c r="A1307">
        <v>54</v>
      </c>
      <c r="B1307" t="s">
        <v>42</v>
      </c>
      <c r="C1307" t="s">
        <v>35</v>
      </c>
      <c r="D1307" t="s">
        <v>44</v>
      </c>
      <c r="E1307">
        <v>7</v>
      </c>
      <c r="F1307">
        <v>4</v>
      </c>
      <c r="G1307" t="s">
        <v>50</v>
      </c>
      <c r="H1307">
        <v>1</v>
      </c>
      <c r="I1307">
        <v>1830</v>
      </c>
      <c r="J1307">
        <v>4</v>
      </c>
      <c r="K1307" t="s">
        <v>38</v>
      </c>
      <c r="L1307">
        <v>68</v>
      </c>
      <c r="M1307">
        <v>3</v>
      </c>
      <c r="N1307">
        <v>2</v>
      </c>
      <c r="O1307" t="s">
        <v>46</v>
      </c>
      <c r="P1307">
        <v>4</v>
      </c>
      <c r="Q1307" t="s">
        <v>47</v>
      </c>
      <c r="R1307">
        <v>6854</v>
      </c>
      <c r="S1307">
        <v>15696</v>
      </c>
      <c r="T1307">
        <v>4</v>
      </c>
      <c r="U1307" t="s">
        <v>41</v>
      </c>
      <c r="V1307" t="s">
        <v>42</v>
      </c>
      <c r="W1307">
        <v>15</v>
      </c>
      <c r="X1307">
        <v>3</v>
      </c>
      <c r="Y1307">
        <v>2</v>
      </c>
      <c r="Z1307">
        <v>80</v>
      </c>
      <c r="AA1307">
        <v>1</v>
      </c>
      <c r="AB1307">
        <v>14</v>
      </c>
      <c r="AC1307">
        <v>2</v>
      </c>
      <c r="AD1307">
        <v>2</v>
      </c>
      <c r="AE1307">
        <v>7</v>
      </c>
      <c r="AF1307">
        <v>1</v>
      </c>
      <c r="AG1307">
        <v>1</v>
      </c>
      <c r="AH1307">
        <v>7</v>
      </c>
    </row>
    <row r="1308" spans="1:34" x14ac:dyDescent="0.2">
      <c r="A1308">
        <v>31</v>
      </c>
      <c r="B1308" t="s">
        <v>42</v>
      </c>
      <c r="C1308" t="s">
        <v>43</v>
      </c>
      <c r="D1308" t="s">
        <v>36</v>
      </c>
      <c r="E1308">
        <v>7</v>
      </c>
      <c r="F1308">
        <v>4</v>
      </c>
      <c r="G1308" t="s">
        <v>58</v>
      </c>
      <c r="H1308">
        <v>1</v>
      </c>
      <c r="I1308">
        <v>1833</v>
      </c>
      <c r="J1308">
        <v>1</v>
      </c>
      <c r="K1308" t="s">
        <v>38</v>
      </c>
      <c r="L1308">
        <v>68</v>
      </c>
      <c r="M1308">
        <v>3</v>
      </c>
      <c r="N1308">
        <v>3</v>
      </c>
      <c r="O1308" t="s">
        <v>39</v>
      </c>
      <c r="P1308">
        <v>1</v>
      </c>
      <c r="Q1308" t="s">
        <v>47</v>
      </c>
      <c r="R1308">
        <v>9637</v>
      </c>
      <c r="S1308">
        <v>8277</v>
      </c>
      <c r="T1308">
        <v>2</v>
      </c>
      <c r="U1308" t="s">
        <v>41</v>
      </c>
      <c r="V1308" t="s">
        <v>42</v>
      </c>
      <c r="W1308">
        <v>14</v>
      </c>
      <c r="X1308">
        <v>3</v>
      </c>
      <c r="Y1308">
        <v>4</v>
      </c>
      <c r="Z1308">
        <v>80</v>
      </c>
      <c r="AA1308">
        <v>2</v>
      </c>
      <c r="AB1308">
        <v>9</v>
      </c>
      <c r="AC1308">
        <v>3</v>
      </c>
      <c r="AD1308">
        <v>3</v>
      </c>
      <c r="AE1308">
        <v>3</v>
      </c>
      <c r="AF1308">
        <v>2</v>
      </c>
      <c r="AG1308">
        <v>2</v>
      </c>
      <c r="AH1308">
        <v>2</v>
      </c>
    </row>
    <row r="1309" spans="1:34" x14ac:dyDescent="0.2">
      <c r="A1309">
        <v>28</v>
      </c>
      <c r="B1309" t="s">
        <v>42</v>
      </c>
      <c r="C1309" t="s">
        <v>35</v>
      </c>
      <c r="D1309" t="s">
        <v>44</v>
      </c>
      <c r="E1309">
        <v>1</v>
      </c>
      <c r="F1309">
        <v>3</v>
      </c>
      <c r="G1309" t="s">
        <v>50</v>
      </c>
      <c r="H1309">
        <v>1</v>
      </c>
      <c r="I1309">
        <v>1834</v>
      </c>
      <c r="J1309">
        <v>3</v>
      </c>
      <c r="K1309" t="s">
        <v>38</v>
      </c>
      <c r="L1309">
        <v>67</v>
      </c>
      <c r="M1309">
        <v>3</v>
      </c>
      <c r="N1309">
        <v>1</v>
      </c>
      <c r="O1309" t="s">
        <v>46</v>
      </c>
      <c r="P1309">
        <v>1</v>
      </c>
      <c r="Q1309" t="s">
        <v>47</v>
      </c>
      <c r="R1309">
        <v>3591</v>
      </c>
      <c r="S1309">
        <v>12719</v>
      </c>
      <c r="T1309">
        <v>1</v>
      </c>
      <c r="U1309" t="s">
        <v>41</v>
      </c>
      <c r="V1309" t="s">
        <v>42</v>
      </c>
      <c r="W1309">
        <v>25</v>
      </c>
      <c r="X1309">
        <v>4</v>
      </c>
      <c r="Y1309">
        <v>3</v>
      </c>
      <c r="Z1309">
        <v>80</v>
      </c>
      <c r="AA1309">
        <v>1</v>
      </c>
      <c r="AB1309">
        <v>3</v>
      </c>
      <c r="AC1309">
        <v>3</v>
      </c>
      <c r="AD1309">
        <v>3</v>
      </c>
      <c r="AE1309">
        <v>3</v>
      </c>
      <c r="AF1309">
        <v>2</v>
      </c>
      <c r="AG1309">
        <v>1</v>
      </c>
      <c r="AH1309">
        <v>2</v>
      </c>
    </row>
    <row r="1310" spans="1:34" x14ac:dyDescent="0.2">
      <c r="A1310">
        <v>38</v>
      </c>
      <c r="B1310" t="s">
        <v>42</v>
      </c>
      <c r="C1310" t="s">
        <v>35</v>
      </c>
      <c r="D1310" t="s">
        <v>36</v>
      </c>
      <c r="E1310">
        <v>2</v>
      </c>
      <c r="F1310">
        <v>4</v>
      </c>
      <c r="G1310" t="s">
        <v>58</v>
      </c>
      <c r="H1310">
        <v>1</v>
      </c>
      <c r="I1310">
        <v>1835</v>
      </c>
      <c r="J1310">
        <v>2</v>
      </c>
      <c r="K1310" t="s">
        <v>38</v>
      </c>
      <c r="L1310">
        <v>77</v>
      </c>
      <c r="M1310">
        <v>1</v>
      </c>
      <c r="N1310">
        <v>2</v>
      </c>
      <c r="O1310" t="s">
        <v>56</v>
      </c>
      <c r="P1310">
        <v>4</v>
      </c>
      <c r="Q1310" t="s">
        <v>47</v>
      </c>
      <c r="R1310">
        <v>5405</v>
      </c>
      <c r="S1310">
        <v>4244</v>
      </c>
      <c r="T1310">
        <v>2</v>
      </c>
      <c r="U1310" t="s">
        <v>41</v>
      </c>
      <c r="V1310" t="s">
        <v>34</v>
      </c>
      <c r="W1310">
        <v>20</v>
      </c>
      <c r="X1310">
        <v>4</v>
      </c>
      <c r="Y1310">
        <v>1</v>
      </c>
      <c r="Z1310">
        <v>80</v>
      </c>
      <c r="AA1310">
        <v>2</v>
      </c>
      <c r="AB1310">
        <v>20</v>
      </c>
      <c r="AC1310">
        <v>4</v>
      </c>
      <c r="AD1310">
        <v>2</v>
      </c>
      <c r="AE1310">
        <v>4</v>
      </c>
      <c r="AF1310">
        <v>2</v>
      </c>
      <c r="AG1310">
        <v>0</v>
      </c>
      <c r="AH1310">
        <v>3</v>
      </c>
    </row>
    <row r="1311" spans="1:34" x14ac:dyDescent="0.2">
      <c r="A1311">
        <v>26</v>
      </c>
      <c r="B1311" t="s">
        <v>42</v>
      </c>
      <c r="C1311" t="s">
        <v>35</v>
      </c>
      <c r="D1311" t="s">
        <v>36</v>
      </c>
      <c r="E1311">
        <v>10</v>
      </c>
      <c r="F1311">
        <v>3</v>
      </c>
      <c r="G1311" t="s">
        <v>50</v>
      </c>
      <c r="H1311">
        <v>1</v>
      </c>
      <c r="I1311">
        <v>1836</v>
      </c>
      <c r="J1311">
        <v>3</v>
      </c>
      <c r="K1311" t="s">
        <v>45</v>
      </c>
      <c r="L1311">
        <v>46</v>
      </c>
      <c r="M1311">
        <v>3</v>
      </c>
      <c r="N1311">
        <v>2</v>
      </c>
      <c r="O1311" t="s">
        <v>39</v>
      </c>
      <c r="P1311">
        <v>4</v>
      </c>
      <c r="Q1311" t="s">
        <v>40</v>
      </c>
      <c r="R1311">
        <v>4684</v>
      </c>
      <c r="S1311">
        <v>9125</v>
      </c>
      <c r="T1311">
        <v>1</v>
      </c>
      <c r="U1311" t="s">
        <v>41</v>
      </c>
      <c r="V1311" t="s">
        <v>42</v>
      </c>
      <c r="W1311">
        <v>13</v>
      </c>
      <c r="X1311">
        <v>3</v>
      </c>
      <c r="Y1311">
        <v>1</v>
      </c>
      <c r="Z1311">
        <v>80</v>
      </c>
      <c r="AA1311">
        <v>0</v>
      </c>
      <c r="AB1311">
        <v>5</v>
      </c>
      <c r="AC1311">
        <v>4</v>
      </c>
      <c r="AD1311">
        <v>3</v>
      </c>
      <c r="AE1311">
        <v>5</v>
      </c>
      <c r="AF1311">
        <v>3</v>
      </c>
      <c r="AG1311">
        <v>1</v>
      </c>
      <c r="AH1311">
        <v>2</v>
      </c>
    </row>
    <row r="1312" spans="1:34" x14ac:dyDescent="0.2">
      <c r="A1312">
        <v>58</v>
      </c>
      <c r="B1312" t="s">
        <v>42</v>
      </c>
      <c r="C1312" t="s">
        <v>43</v>
      </c>
      <c r="D1312" t="s">
        <v>44</v>
      </c>
      <c r="E1312">
        <v>15</v>
      </c>
      <c r="F1312">
        <v>4</v>
      </c>
      <c r="G1312" t="s">
        <v>37</v>
      </c>
      <c r="H1312">
        <v>1</v>
      </c>
      <c r="I1312">
        <v>1837</v>
      </c>
      <c r="J1312">
        <v>1</v>
      </c>
      <c r="K1312" t="s">
        <v>45</v>
      </c>
      <c r="L1312">
        <v>87</v>
      </c>
      <c r="M1312">
        <v>3</v>
      </c>
      <c r="N1312">
        <v>4</v>
      </c>
      <c r="O1312" t="s">
        <v>57</v>
      </c>
      <c r="P1312">
        <v>3</v>
      </c>
      <c r="Q1312" t="s">
        <v>47</v>
      </c>
      <c r="R1312">
        <v>15787</v>
      </c>
      <c r="S1312">
        <v>21624</v>
      </c>
      <c r="T1312">
        <v>2</v>
      </c>
      <c r="U1312" t="s">
        <v>41</v>
      </c>
      <c r="V1312" t="s">
        <v>34</v>
      </c>
      <c r="W1312">
        <v>14</v>
      </c>
      <c r="X1312">
        <v>3</v>
      </c>
      <c r="Y1312">
        <v>2</v>
      </c>
      <c r="Z1312">
        <v>80</v>
      </c>
      <c r="AA1312">
        <v>0</v>
      </c>
      <c r="AB1312">
        <v>23</v>
      </c>
      <c r="AC1312">
        <v>3</v>
      </c>
      <c r="AD1312">
        <v>3</v>
      </c>
      <c r="AE1312">
        <v>2</v>
      </c>
      <c r="AF1312">
        <v>2</v>
      </c>
      <c r="AG1312">
        <v>2</v>
      </c>
      <c r="AH1312">
        <v>2</v>
      </c>
    </row>
    <row r="1313" spans="1:34" x14ac:dyDescent="0.2">
      <c r="A1313">
        <v>18</v>
      </c>
      <c r="B1313" t="s">
        <v>42</v>
      </c>
      <c r="C1313" t="s">
        <v>54</v>
      </c>
      <c r="D1313" t="s">
        <v>44</v>
      </c>
      <c r="E1313">
        <v>14</v>
      </c>
      <c r="F1313">
        <v>3</v>
      </c>
      <c r="G1313" t="s">
        <v>50</v>
      </c>
      <c r="H1313">
        <v>1</v>
      </c>
      <c r="I1313">
        <v>1839</v>
      </c>
      <c r="J1313">
        <v>2</v>
      </c>
      <c r="K1313" t="s">
        <v>38</v>
      </c>
      <c r="L1313">
        <v>33</v>
      </c>
      <c r="M1313">
        <v>3</v>
      </c>
      <c r="N1313">
        <v>1</v>
      </c>
      <c r="O1313" t="s">
        <v>46</v>
      </c>
      <c r="P1313">
        <v>3</v>
      </c>
      <c r="Q1313" t="s">
        <v>40</v>
      </c>
      <c r="R1313">
        <v>1514</v>
      </c>
      <c r="S1313">
        <v>8018</v>
      </c>
      <c r="T1313">
        <v>1</v>
      </c>
      <c r="U1313" t="s">
        <v>41</v>
      </c>
      <c r="V1313" t="s">
        <v>42</v>
      </c>
      <c r="W1313">
        <v>16</v>
      </c>
      <c r="X1313">
        <v>3</v>
      </c>
      <c r="Y1313">
        <v>3</v>
      </c>
      <c r="Z1313">
        <v>80</v>
      </c>
      <c r="AA1313">
        <v>0</v>
      </c>
      <c r="AB1313">
        <v>0</v>
      </c>
      <c r="AC1313">
        <v>4</v>
      </c>
      <c r="AD1313">
        <v>1</v>
      </c>
      <c r="AE1313">
        <v>0</v>
      </c>
      <c r="AF1313">
        <v>0</v>
      </c>
      <c r="AG1313">
        <v>0</v>
      </c>
      <c r="AH1313">
        <v>0</v>
      </c>
    </row>
    <row r="1314" spans="1:34" x14ac:dyDescent="0.2">
      <c r="A1314">
        <v>31</v>
      </c>
      <c r="B1314" t="s">
        <v>34</v>
      </c>
      <c r="C1314" t="s">
        <v>35</v>
      </c>
      <c r="D1314" t="s">
        <v>60</v>
      </c>
      <c r="E1314">
        <v>18</v>
      </c>
      <c r="F1314">
        <v>5</v>
      </c>
      <c r="G1314" t="s">
        <v>60</v>
      </c>
      <c r="H1314">
        <v>1</v>
      </c>
      <c r="I1314">
        <v>1842</v>
      </c>
      <c r="J1314">
        <v>4</v>
      </c>
      <c r="K1314" t="s">
        <v>45</v>
      </c>
      <c r="L1314">
        <v>89</v>
      </c>
      <c r="M1314">
        <v>4</v>
      </c>
      <c r="N1314">
        <v>1</v>
      </c>
      <c r="O1314" t="s">
        <v>60</v>
      </c>
      <c r="P1314">
        <v>1</v>
      </c>
      <c r="Q1314" t="s">
        <v>47</v>
      </c>
      <c r="R1314">
        <v>2956</v>
      </c>
      <c r="S1314">
        <v>21495</v>
      </c>
      <c r="T1314">
        <v>0</v>
      </c>
      <c r="U1314" t="s">
        <v>41</v>
      </c>
      <c r="V1314" t="s">
        <v>42</v>
      </c>
      <c r="W1314">
        <v>17</v>
      </c>
      <c r="X1314">
        <v>3</v>
      </c>
      <c r="Y1314">
        <v>3</v>
      </c>
      <c r="Z1314">
        <v>80</v>
      </c>
      <c r="AA1314">
        <v>0</v>
      </c>
      <c r="AB1314">
        <v>2</v>
      </c>
      <c r="AC1314">
        <v>4</v>
      </c>
      <c r="AD1314">
        <v>3</v>
      </c>
      <c r="AE1314">
        <v>1</v>
      </c>
      <c r="AF1314">
        <v>0</v>
      </c>
      <c r="AG1314">
        <v>0</v>
      </c>
      <c r="AH1314">
        <v>0</v>
      </c>
    </row>
    <row r="1315" spans="1:34" x14ac:dyDescent="0.2">
      <c r="A1315">
        <v>29</v>
      </c>
      <c r="B1315" t="s">
        <v>34</v>
      </c>
      <c r="C1315" t="s">
        <v>35</v>
      </c>
      <c r="D1315" t="s">
        <v>60</v>
      </c>
      <c r="E1315">
        <v>13</v>
      </c>
      <c r="F1315">
        <v>3</v>
      </c>
      <c r="G1315" t="s">
        <v>60</v>
      </c>
      <c r="H1315">
        <v>1</v>
      </c>
      <c r="I1315">
        <v>1844</v>
      </c>
      <c r="J1315">
        <v>1</v>
      </c>
      <c r="K1315" t="s">
        <v>45</v>
      </c>
      <c r="L1315">
        <v>56</v>
      </c>
      <c r="M1315">
        <v>2</v>
      </c>
      <c r="N1315">
        <v>1</v>
      </c>
      <c r="O1315" t="s">
        <v>60</v>
      </c>
      <c r="P1315">
        <v>1</v>
      </c>
      <c r="Q1315" t="s">
        <v>51</v>
      </c>
      <c r="R1315">
        <v>2335</v>
      </c>
      <c r="S1315">
        <v>3157</v>
      </c>
      <c r="T1315">
        <v>4</v>
      </c>
      <c r="U1315" t="s">
        <v>41</v>
      </c>
      <c r="V1315" t="s">
        <v>34</v>
      </c>
      <c r="W1315">
        <v>15</v>
      </c>
      <c r="X1315">
        <v>3</v>
      </c>
      <c r="Y1315">
        <v>4</v>
      </c>
      <c r="Z1315">
        <v>80</v>
      </c>
      <c r="AA1315">
        <v>3</v>
      </c>
      <c r="AB1315">
        <v>4</v>
      </c>
      <c r="AC1315">
        <v>3</v>
      </c>
      <c r="AD1315">
        <v>3</v>
      </c>
      <c r="AE1315">
        <v>2</v>
      </c>
      <c r="AF1315">
        <v>2</v>
      </c>
      <c r="AG1315">
        <v>2</v>
      </c>
      <c r="AH1315">
        <v>0</v>
      </c>
    </row>
    <row r="1316" spans="1:34" x14ac:dyDescent="0.2">
      <c r="A1316">
        <v>45</v>
      </c>
      <c r="B1316" t="s">
        <v>42</v>
      </c>
      <c r="C1316" t="s">
        <v>54</v>
      </c>
      <c r="D1316" t="s">
        <v>36</v>
      </c>
      <c r="E1316">
        <v>2</v>
      </c>
      <c r="F1316">
        <v>4</v>
      </c>
      <c r="G1316" t="s">
        <v>37</v>
      </c>
      <c r="H1316">
        <v>1</v>
      </c>
      <c r="I1316">
        <v>1845</v>
      </c>
      <c r="J1316">
        <v>3</v>
      </c>
      <c r="K1316" t="s">
        <v>38</v>
      </c>
      <c r="L1316">
        <v>67</v>
      </c>
      <c r="M1316">
        <v>3</v>
      </c>
      <c r="N1316">
        <v>2</v>
      </c>
      <c r="O1316" t="s">
        <v>39</v>
      </c>
      <c r="P1316">
        <v>3</v>
      </c>
      <c r="Q1316" t="s">
        <v>47</v>
      </c>
      <c r="R1316">
        <v>5154</v>
      </c>
      <c r="S1316">
        <v>19665</v>
      </c>
      <c r="T1316">
        <v>4</v>
      </c>
      <c r="U1316" t="s">
        <v>41</v>
      </c>
      <c r="V1316" t="s">
        <v>42</v>
      </c>
      <c r="W1316">
        <v>22</v>
      </c>
      <c r="X1316">
        <v>4</v>
      </c>
      <c r="Y1316">
        <v>2</v>
      </c>
      <c r="Z1316">
        <v>80</v>
      </c>
      <c r="AA1316">
        <v>2</v>
      </c>
      <c r="AB1316">
        <v>10</v>
      </c>
      <c r="AC1316">
        <v>3</v>
      </c>
      <c r="AD1316">
        <v>4</v>
      </c>
      <c r="AE1316">
        <v>8</v>
      </c>
      <c r="AF1316">
        <v>7</v>
      </c>
      <c r="AG1316">
        <v>5</v>
      </c>
      <c r="AH1316">
        <v>7</v>
      </c>
    </row>
    <row r="1317" spans="1:34" x14ac:dyDescent="0.2">
      <c r="A1317">
        <v>36</v>
      </c>
      <c r="B1317" t="s">
        <v>42</v>
      </c>
      <c r="C1317" t="s">
        <v>35</v>
      </c>
      <c r="D1317" t="s">
        <v>44</v>
      </c>
      <c r="E1317">
        <v>2</v>
      </c>
      <c r="F1317">
        <v>4</v>
      </c>
      <c r="G1317" t="s">
        <v>48</v>
      </c>
      <c r="H1317">
        <v>1</v>
      </c>
      <c r="I1317">
        <v>1847</v>
      </c>
      <c r="J1317">
        <v>4</v>
      </c>
      <c r="K1317" t="s">
        <v>38</v>
      </c>
      <c r="L1317">
        <v>73</v>
      </c>
      <c r="M1317">
        <v>3</v>
      </c>
      <c r="N1317">
        <v>2</v>
      </c>
      <c r="O1317" t="s">
        <v>46</v>
      </c>
      <c r="P1317">
        <v>2</v>
      </c>
      <c r="Q1317" t="s">
        <v>47</v>
      </c>
      <c r="R1317">
        <v>6962</v>
      </c>
      <c r="S1317">
        <v>19573</v>
      </c>
      <c r="T1317">
        <v>4</v>
      </c>
      <c r="U1317" t="s">
        <v>41</v>
      </c>
      <c r="V1317" t="s">
        <v>34</v>
      </c>
      <c r="W1317">
        <v>22</v>
      </c>
      <c r="X1317">
        <v>4</v>
      </c>
      <c r="Y1317">
        <v>4</v>
      </c>
      <c r="Z1317">
        <v>80</v>
      </c>
      <c r="AA1317">
        <v>1</v>
      </c>
      <c r="AB1317">
        <v>15</v>
      </c>
      <c r="AC1317">
        <v>2</v>
      </c>
      <c r="AD1317">
        <v>3</v>
      </c>
      <c r="AE1317">
        <v>1</v>
      </c>
      <c r="AF1317">
        <v>0</v>
      </c>
      <c r="AG1317">
        <v>0</v>
      </c>
      <c r="AH1317">
        <v>0</v>
      </c>
    </row>
    <row r="1318" spans="1:34" x14ac:dyDescent="0.2">
      <c r="A1318">
        <v>43</v>
      </c>
      <c r="B1318" t="s">
        <v>42</v>
      </c>
      <c r="C1318" t="s">
        <v>43</v>
      </c>
      <c r="D1318" t="s">
        <v>36</v>
      </c>
      <c r="E1318">
        <v>2</v>
      </c>
      <c r="F1318">
        <v>4</v>
      </c>
      <c r="G1318" t="s">
        <v>37</v>
      </c>
      <c r="H1318">
        <v>1</v>
      </c>
      <c r="I1318">
        <v>1849</v>
      </c>
      <c r="J1318">
        <v>1</v>
      </c>
      <c r="K1318" t="s">
        <v>45</v>
      </c>
      <c r="L1318">
        <v>92</v>
      </c>
      <c r="M1318">
        <v>3</v>
      </c>
      <c r="N1318">
        <v>2</v>
      </c>
      <c r="O1318" t="s">
        <v>39</v>
      </c>
      <c r="P1318">
        <v>4</v>
      </c>
      <c r="Q1318" t="s">
        <v>47</v>
      </c>
      <c r="R1318">
        <v>5675</v>
      </c>
      <c r="S1318">
        <v>19246</v>
      </c>
      <c r="T1318">
        <v>1</v>
      </c>
      <c r="U1318" t="s">
        <v>41</v>
      </c>
      <c r="V1318" t="s">
        <v>42</v>
      </c>
      <c r="W1318">
        <v>20</v>
      </c>
      <c r="X1318">
        <v>4</v>
      </c>
      <c r="Y1318">
        <v>3</v>
      </c>
      <c r="Z1318">
        <v>80</v>
      </c>
      <c r="AA1318">
        <v>1</v>
      </c>
      <c r="AB1318">
        <v>7</v>
      </c>
      <c r="AC1318">
        <v>5</v>
      </c>
      <c r="AD1318">
        <v>3</v>
      </c>
      <c r="AE1318">
        <v>7</v>
      </c>
      <c r="AF1318">
        <v>7</v>
      </c>
      <c r="AG1318">
        <v>7</v>
      </c>
      <c r="AH1318">
        <v>7</v>
      </c>
    </row>
    <row r="1319" spans="1:34" x14ac:dyDescent="0.2">
      <c r="A1319">
        <v>27</v>
      </c>
      <c r="B1319" t="s">
        <v>42</v>
      </c>
      <c r="C1319" t="s">
        <v>43</v>
      </c>
      <c r="D1319" t="s">
        <v>44</v>
      </c>
      <c r="E1319">
        <v>5</v>
      </c>
      <c r="F1319">
        <v>2</v>
      </c>
      <c r="G1319" t="s">
        <v>37</v>
      </c>
      <c r="H1319">
        <v>1</v>
      </c>
      <c r="I1319">
        <v>1850</v>
      </c>
      <c r="J1319">
        <v>4</v>
      </c>
      <c r="K1319" t="s">
        <v>38</v>
      </c>
      <c r="L1319">
        <v>53</v>
      </c>
      <c r="M1319">
        <v>3</v>
      </c>
      <c r="N1319">
        <v>1</v>
      </c>
      <c r="O1319" t="s">
        <v>49</v>
      </c>
      <c r="P1319">
        <v>4</v>
      </c>
      <c r="Q1319" t="s">
        <v>40</v>
      </c>
      <c r="R1319">
        <v>2379</v>
      </c>
      <c r="S1319">
        <v>19826</v>
      </c>
      <c r="T1319">
        <v>0</v>
      </c>
      <c r="U1319" t="s">
        <v>41</v>
      </c>
      <c r="V1319" t="s">
        <v>34</v>
      </c>
      <c r="W1319">
        <v>14</v>
      </c>
      <c r="X1319">
        <v>3</v>
      </c>
      <c r="Y1319">
        <v>3</v>
      </c>
      <c r="Z1319">
        <v>80</v>
      </c>
      <c r="AA1319">
        <v>0</v>
      </c>
      <c r="AB1319">
        <v>6</v>
      </c>
      <c r="AC1319">
        <v>3</v>
      </c>
      <c r="AD1319">
        <v>2</v>
      </c>
      <c r="AE1319">
        <v>5</v>
      </c>
      <c r="AF1319">
        <v>4</v>
      </c>
      <c r="AG1319">
        <v>0</v>
      </c>
      <c r="AH1319">
        <v>2</v>
      </c>
    </row>
    <row r="1320" spans="1:34" x14ac:dyDescent="0.2">
      <c r="A1320">
        <v>29</v>
      </c>
      <c r="B1320" t="s">
        <v>42</v>
      </c>
      <c r="C1320" t="s">
        <v>43</v>
      </c>
      <c r="D1320" t="s">
        <v>44</v>
      </c>
      <c r="E1320">
        <v>20</v>
      </c>
      <c r="F1320">
        <v>1</v>
      </c>
      <c r="G1320" t="s">
        <v>50</v>
      </c>
      <c r="H1320">
        <v>1</v>
      </c>
      <c r="I1320">
        <v>1852</v>
      </c>
      <c r="J1320">
        <v>4</v>
      </c>
      <c r="K1320" t="s">
        <v>45</v>
      </c>
      <c r="L1320">
        <v>40</v>
      </c>
      <c r="M1320">
        <v>3</v>
      </c>
      <c r="N1320">
        <v>1</v>
      </c>
      <c r="O1320" t="s">
        <v>49</v>
      </c>
      <c r="P1320">
        <v>4</v>
      </c>
      <c r="Q1320" t="s">
        <v>47</v>
      </c>
      <c r="R1320">
        <v>3812</v>
      </c>
      <c r="S1320">
        <v>7003</v>
      </c>
      <c r="T1320">
        <v>1</v>
      </c>
      <c r="U1320" t="s">
        <v>41</v>
      </c>
      <c r="V1320" t="s">
        <v>42</v>
      </c>
      <c r="W1320">
        <v>13</v>
      </c>
      <c r="X1320">
        <v>3</v>
      </c>
      <c r="Y1320">
        <v>2</v>
      </c>
      <c r="Z1320">
        <v>80</v>
      </c>
      <c r="AA1320">
        <v>0</v>
      </c>
      <c r="AB1320">
        <v>11</v>
      </c>
      <c r="AC1320">
        <v>3</v>
      </c>
      <c r="AD1320">
        <v>4</v>
      </c>
      <c r="AE1320">
        <v>11</v>
      </c>
      <c r="AF1320">
        <v>8</v>
      </c>
      <c r="AG1320">
        <v>3</v>
      </c>
      <c r="AH1320">
        <v>10</v>
      </c>
    </row>
    <row r="1321" spans="1:34" x14ac:dyDescent="0.2">
      <c r="A1321">
        <v>32</v>
      </c>
      <c r="B1321" t="s">
        <v>42</v>
      </c>
      <c r="C1321" t="s">
        <v>43</v>
      </c>
      <c r="D1321" t="s">
        <v>36</v>
      </c>
      <c r="E1321">
        <v>10</v>
      </c>
      <c r="F1321">
        <v>4</v>
      </c>
      <c r="G1321" t="s">
        <v>58</v>
      </c>
      <c r="H1321">
        <v>1</v>
      </c>
      <c r="I1321">
        <v>1853</v>
      </c>
      <c r="J1321">
        <v>4</v>
      </c>
      <c r="K1321" t="s">
        <v>45</v>
      </c>
      <c r="L1321">
        <v>79</v>
      </c>
      <c r="M1321">
        <v>3</v>
      </c>
      <c r="N1321">
        <v>2</v>
      </c>
      <c r="O1321" t="s">
        <v>39</v>
      </c>
      <c r="P1321">
        <v>4</v>
      </c>
      <c r="Q1321" t="s">
        <v>40</v>
      </c>
      <c r="R1321">
        <v>4648</v>
      </c>
      <c r="S1321">
        <v>26075</v>
      </c>
      <c r="T1321">
        <v>8</v>
      </c>
      <c r="U1321" t="s">
        <v>41</v>
      </c>
      <c r="V1321" t="s">
        <v>42</v>
      </c>
      <c r="W1321">
        <v>13</v>
      </c>
      <c r="X1321">
        <v>3</v>
      </c>
      <c r="Y1321">
        <v>3</v>
      </c>
      <c r="Z1321">
        <v>80</v>
      </c>
      <c r="AA1321">
        <v>0</v>
      </c>
      <c r="AB1321">
        <v>4</v>
      </c>
      <c r="AC1321">
        <v>2</v>
      </c>
      <c r="AD1321">
        <v>4</v>
      </c>
      <c r="AE1321">
        <v>0</v>
      </c>
      <c r="AF1321">
        <v>0</v>
      </c>
      <c r="AG1321">
        <v>0</v>
      </c>
      <c r="AH1321">
        <v>0</v>
      </c>
    </row>
    <row r="1322" spans="1:34" x14ac:dyDescent="0.2">
      <c r="A1322">
        <v>42</v>
      </c>
      <c r="B1322" t="s">
        <v>42</v>
      </c>
      <c r="C1322" t="s">
        <v>54</v>
      </c>
      <c r="D1322" t="s">
        <v>44</v>
      </c>
      <c r="E1322">
        <v>10</v>
      </c>
      <c r="F1322">
        <v>4</v>
      </c>
      <c r="G1322" t="s">
        <v>59</v>
      </c>
      <c r="H1322">
        <v>1</v>
      </c>
      <c r="I1322">
        <v>1854</v>
      </c>
      <c r="J1322">
        <v>3</v>
      </c>
      <c r="K1322" t="s">
        <v>45</v>
      </c>
      <c r="L1322">
        <v>38</v>
      </c>
      <c r="M1322">
        <v>3</v>
      </c>
      <c r="N1322">
        <v>1</v>
      </c>
      <c r="O1322" t="s">
        <v>46</v>
      </c>
      <c r="P1322">
        <v>3</v>
      </c>
      <c r="Q1322" t="s">
        <v>47</v>
      </c>
      <c r="R1322">
        <v>2936</v>
      </c>
      <c r="S1322">
        <v>6161</v>
      </c>
      <c r="T1322">
        <v>3</v>
      </c>
      <c r="U1322" t="s">
        <v>41</v>
      </c>
      <c r="V1322" t="s">
        <v>42</v>
      </c>
      <c r="W1322">
        <v>22</v>
      </c>
      <c r="X1322">
        <v>4</v>
      </c>
      <c r="Y1322">
        <v>2</v>
      </c>
      <c r="Z1322">
        <v>80</v>
      </c>
      <c r="AA1322">
        <v>2</v>
      </c>
      <c r="AB1322">
        <v>10</v>
      </c>
      <c r="AC1322">
        <v>1</v>
      </c>
      <c r="AD1322">
        <v>2</v>
      </c>
      <c r="AE1322">
        <v>6</v>
      </c>
      <c r="AF1322">
        <v>3</v>
      </c>
      <c r="AG1322">
        <v>3</v>
      </c>
      <c r="AH1322">
        <v>3</v>
      </c>
    </row>
    <row r="1323" spans="1:34" x14ac:dyDescent="0.2">
      <c r="A1323">
        <v>47</v>
      </c>
      <c r="B1323" t="s">
        <v>42</v>
      </c>
      <c r="C1323" t="s">
        <v>35</v>
      </c>
      <c r="D1323" t="s">
        <v>44</v>
      </c>
      <c r="E1323">
        <v>9</v>
      </c>
      <c r="F1323">
        <v>4</v>
      </c>
      <c r="G1323" t="s">
        <v>37</v>
      </c>
      <c r="H1323">
        <v>1</v>
      </c>
      <c r="I1323">
        <v>1856</v>
      </c>
      <c r="J1323">
        <v>2</v>
      </c>
      <c r="K1323" t="s">
        <v>38</v>
      </c>
      <c r="L1323">
        <v>64</v>
      </c>
      <c r="M1323">
        <v>3</v>
      </c>
      <c r="N1323">
        <v>1</v>
      </c>
      <c r="O1323" t="s">
        <v>49</v>
      </c>
      <c r="P1323">
        <v>3</v>
      </c>
      <c r="Q1323" t="s">
        <v>40</v>
      </c>
      <c r="R1323">
        <v>2105</v>
      </c>
      <c r="S1323">
        <v>5411</v>
      </c>
      <c r="T1323">
        <v>4</v>
      </c>
      <c r="U1323" t="s">
        <v>41</v>
      </c>
      <c r="V1323" t="s">
        <v>42</v>
      </c>
      <c r="W1323">
        <v>12</v>
      </c>
      <c r="X1323">
        <v>3</v>
      </c>
      <c r="Y1323">
        <v>3</v>
      </c>
      <c r="Z1323">
        <v>80</v>
      </c>
      <c r="AA1323">
        <v>0</v>
      </c>
      <c r="AB1323">
        <v>7</v>
      </c>
      <c r="AC1323">
        <v>2</v>
      </c>
      <c r="AD1323">
        <v>3</v>
      </c>
      <c r="AE1323">
        <v>2</v>
      </c>
      <c r="AF1323">
        <v>2</v>
      </c>
      <c r="AG1323">
        <v>2</v>
      </c>
      <c r="AH1323">
        <v>0</v>
      </c>
    </row>
    <row r="1324" spans="1:34" x14ac:dyDescent="0.2">
      <c r="A1324">
        <v>46</v>
      </c>
      <c r="B1324" t="s">
        <v>42</v>
      </c>
      <c r="C1324" t="s">
        <v>35</v>
      </c>
      <c r="D1324" t="s">
        <v>44</v>
      </c>
      <c r="E1324">
        <v>2</v>
      </c>
      <c r="F1324">
        <v>2</v>
      </c>
      <c r="G1324" t="s">
        <v>37</v>
      </c>
      <c r="H1324">
        <v>1</v>
      </c>
      <c r="I1324">
        <v>1857</v>
      </c>
      <c r="J1324">
        <v>4</v>
      </c>
      <c r="K1324" t="s">
        <v>45</v>
      </c>
      <c r="L1324">
        <v>82</v>
      </c>
      <c r="M1324">
        <v>3</v>
      </c>
      <c r="N1324">
        <v>3</v>
      </c>
      <c r="O1324" t="s">
        <v>52</v>
      </c>
      <c r="P1324">
        <v>4</v>
      </c>
      <c r="Q1324" t="s">
        <v>51</v>
      </c>
      <c r="R1324">
        <v>8578</v>
      </c>
      <c r="S1324">
        <v>19989</v>
      </c>
      <c r="T1324">
        <v>3</v>
      </c>
      <c r="U1324" t="s">
        <v>41</v>
      </c>
      <c r="V1324" t="s">
        <v>42</v>
      </c>
      <c r="W1324">
        <v>14</v>
      </c>
      <c r="X1324">
        <v>3</v>
      </c>
      <c r="Y1324">
        <v>3</v>
      </c>
      <c r="Z1324">
        <v>80</v>
      </c>
      <c r="AA1324">
        <v>1</v>
      </c>
      <c r="AB1324">
        <v>12</v>
      </c>
      <c r="AC1324">
        <v>4</v>
      </c>
      <c r="AD1324">
        <v>2</v>
      </c>
      <c r="AE1324">
        <v>9</v>
      </c>
      <c r="AF1324">
        <v>8</v>
      </c>
      <c r="AG1324">
        <v>4</v>
      </c>
      <c r="AH1324">
        <v>7</v>
      </c>
    </row>
    <row r="1325" spans="1:34" x14ac:dyDescent="0.2">
      <c r="A1325">
        <v>28</v>
      </c>
      <c r="B1325" t="s">
        <v>42</v>
      </c>
      <c r="C1325" t="s">
        <v>54</v>
      </c>
      <c r="D1325" t="s">
        <v>60</v>
      </c>
      <c r="E1325">
        <v>1</v>
      </c>
      <c r="F1325">
        <v>2</v>
      </c>
      <c r="G1325" t="s">
        <v>37</v>
      </c>
      <c r="H1325">
        <v>1</v>
      </c>
      <c r="I1325">
        <v>1858</v>
      </c>
      <c r="J1325">
        <v>3</v>
      </c>
      <c r="K1325" t="s">
        <v>45</v>
      </c>
      <c r="L1325">
        <v>43</v>
      </c>
      <c r="M1325">
        <v>3</v>
      </c>
      <c r="N1325">
        <v>1</v>
      </c>
      <c r="O1325" t="s">
        <v>60</v>
      </c>
      <c r="P1325">
        <v>4</v>
      </c>
      <c r="Q1325" t="s">
        <v>51</v>
      </c>
      <c r="R1325">
        <v>2706</v>
      </c>
      <c r="S1325">
        <v>10494</v>
      </c>
      <c r="T1325">
        <v>1</v>
      </c>
      <c r="U1325" t="s">
        <v>41</v>
      </c>
      <c r="V1325" t="s">
        <v>42</v>
      </c>
      <c r="W1325">
        <v>15</v>
      </c>
      <c r="X1325">
        <v>3</v>
      </c>
      <c r="Y1325">
        <v>2</v>
      </c>
      <c r="Z1325">
        <v>80</v>
      </c>
      <c r="AA1325">
        <v>1</v>
      </c>
      <c r="AB1325">
        <v>3</v>
      </c>
      <c r="AC1325">
        <v>2</v>
      </c>
      <c r="AD1325">
        <v>3</v>
      </c>
      <c r="AE1325">
        <v>3</v>
      </c>
      <c r="AF1325">
        <v>2</v>
      </c>
      <c r="AG1325">
        <v>2</v>
      </c>
      <c r="AH1325">
        <v>2</v>
      </c>
    </row>
    <row r="1326" spans="1:34" x14ac:dyDescent="0.2">
      <c r="A1326">
        <v>29</v>
      </c>
      <c r="B1326" t="s">
        <v>42</v>
      </c>
      <c r="C1326" t="s">
        <v>35</v>
      </c>
      <c r="D1326" t="s">
        <v>44</v>
      </c>
      <c r="E1326">
        <v>29</v>
      </c>
      <c r="F1326">
        <v>1</v>
      </c>
      <c r="G1326" t="s">
        <v>37</v>
      </c>
      <c r="H1326">
        <v>1</v>
      </c>
      <c r="I1326">
        <v>1859</v>
      </c>
      <c r="J1326">
        <v>4</v>
      </c>
      <c r="K1326" t="s">
        <v>45</v>
      </c>
      <c r="L1326">
        <v>93</v>
      </c>
      <c r="M1326">
        <v>1</v>
      </c>
      <c r="N1326">
        <v>2</v>
      </c>
      <c r="O1326" t="s">
        <v>53</v>
      </c>
      <c r="P1326">
        <v>3</v>
      </c>
      <c r="Q1326" t="s">
        <v>51</v>
      </c>
      <c r="R1326">
        <v>6384</v>
      </c>
      <c r="S1326">
        <v>21143</v>
      </c>
      <c r="T1326">
        <v>8</v>
      </c>
      <c r="U1326" t="s">
        <v>41</v>
      </c>
      <c r="V1326" t="s">
        <v>42</v>
      </c>
      <c r="W1326">
        <v>17</v>
      </c>
      <c r="X1326">
        <v>3</v>
      </c>
      <c r="Y1326">
        <v>4</v>
      </c>
      <c r="Z1326">
        <v>80</v>
      </c>
      <c r="AA1326">
        <v>2</v>
      </c>
      <c r="AB1326">
        <v>11</v>
      </c>
      <c r="AC1326">
        <v>3</v>
      </c>
      <c r="AD1326">
        <v>3</v>
      </c>
      <c r="AE1326">
        <v>7</v>
      </c>
      <c r="AF1326">
        <v>0</v>
      </c>
      <c r="AG1326">
        <v>1</v>
      </c>
      <c r="AH1326">
        <v>6</v>
      </c>
    </row>
    <row r="1327" spans="1:34" x14ac:dyDescent="0.2">
      <c r="A1327">
        <v>42</v>
      </c>
      <c r="B1327" t="s">
        <v>42</v>
      </c>
      <c r="C1327" t="s">
        <v>35</v>
      </c>
      <c r="D1327" t="s">
        <v>44</v>
      </c>
      <c r="E1327">
        <v>8</v>
      </c>
      <c r="F1327">
        <v>3</v>
      </c>
      <c r="G1327" t="s">
        <v>37</v>
      </c>
      <c r="H1327">
        <v>1</v>
      </c>
      <c r="I1327">
        <v>1860</v>
      </c>
      <c r="J1327">
        <v>4</v>
      </c>
      <c r="K1327" t="s">
        <v>45</v>
      </c>
      <c r="L1327">
        <v>81</v>
      </c>
      <c r="M1327">
        <v>3</v>
      </c>
      <c r="N1327">
        <v>1</v>
      </c>
      <c r="O1327" t="s">
        <v>49</v>
      </c>
      <c r="P1327">
        <v>3</v>
      </c>
      <c r="Q1327" t="s">
        <v>40</v>
      </c>
      <c r="R1327">
        <v>3968</v>
      </c>
      <c r="S1327">
        <v>13624</v>
      </c>
      <c r="T1327">
        <v>4</v>
      </c>
      <c r="U1327" t="s">
        <v>41</v>
      </c>
      <c r="V1327" t="s">
        <v>42</v>
      </c>
      <c r="W1327">
        <v>13</v>
      </c>
      <c r="X1327">
        <v>3</v>
      </c>
      <c r="Y1327">
        <v>4</v>
      </c>
      <c r="Z1327">
        <v>80</v>
      </c>
      <c r="AA1327">
        <v>0</v>
      </c>
      <c r="AB1327">
        <v>8</v>
      </c>
      <c r="AC1327">
        <v>3</v>
      </c>
      <c r="AD1327">
        <v>3</v>
      </c>
      <c r="AE1327">
        <v>0</v>
      </c>
      <c r="AF1327">
        <v>0</v>
      </c>
      <c r="AG1327">
        <v>0</v>
      </c>
      <c r="AH1327">
        <v>0</v>
      </c>
    </row>
    <row r="1328" spans="1:34" x14ac:dyDescent="0.2">
      <c r="A1328">
        <v>32</v>
      </c>
      <c r="B1328" t="s">
        <v>34</v>
      </c>
      <c r="C1328" t="s">
        <v>35</v>
      </c>
      <c r="D1328" t="s">
        <v>36</v>
      </c>
      <c r="E1328">
        <v>2</v>
      </c>
      <c r="F1328">
        <v>4</v>
      </c>
      <c r="G1328" t="s">
        <v>58</v>
      </c>
      <c r="H1328">
        <v>1</v>
      </c>
      <c r="I1328">
        <v>1862</v>
      </c>
      <c r="J1328">
        <v>3</v>
      </c>
      <c r="K1328" t="s">
        <v>45</v>
      </c>
      <c r="L1328">
        <v>82</v>
      </c>
      <c r="M1328">
        <v>2</v>
      </c>
      <c r="N1328">
        <v>2</v>
      </c>
      <c r="O1328" t="s">
        <v>39</v>
      </c>
      <c r="P1328">
        <v>2</v>
      </c>
      <c r="Q1328" t="s">
        <v>40</v>
      </c>
      <c r="R1328">
        <v>9907</v>
      </c>
      <c r="S1328">
        <v>26186</v>
      </c>
      <c r="T1328">
        <v>7</v>
      </c>
      <c r="U1328" t="s">
        <v>41</v>
      </c>
      <c r="V1328" t="s">
        <v>34</v>
      </c>
      <c r="W1328">
        <v>12</v>
      </c>
      <c r="X1328">
        <v>3</v>
      </c>
      <c r="Y1328">
        <v>3</v>
      </c>
      <c r="Z1328">
        <v>80</v>
      </c>
      <c r="AA1328">
        <v>0</v>
      </c>
      <c r="AB1328">
        <v>7</v>
      </c>
      <c r="AC1328">
        <v>3</v>
      </c>
      <c r="AD1328">
        <v>2</v>
      </c>
      <c r="AE1328">
        <v>2</v>
      </c>
      <c r="AF1328">
        <v>2</v>
      </c>
      <c r="AG1328">
        <v>2</v>
      </c>
      <c r="AH1328">
        <v>2</v>
      </c>
    </row>
    <row r="1329" spans="1:34" x14ac:dyDescent="0.2">
      <c r="A1329">
        <v>46</v>
      </c>
      <c r="B1329" t="s">
        <v>42</v>
      </c>
      <c r="C1329" t="s">
        <v>35</v>
      </c>
      <c r="D1329" t="s">
        <v>36</v>
      </c>
      <c r="E1329">
        <v>3</v>
      </c>
      <c r="F1329">
        <v>3</v>
      </c>
      <c r="G1329" t="s">
        <v>59</v>
      </c>
      <c r="H1329">
        <v>1</v>
      </c>
      <c r="I1329">
        <v>1863</v>
      </c>
      <c r="J1329">
        <v>1</v>
      </c>
      <c r="K1329" t="s">
        <v>38</v>
      </c>
      <c r="L1329">
        <v>45</v>
      </c>
      <c r="M1329">
        <v>4</v>
      </c>
      <c r="N1329">
        <v>4</v>
      </c>
      <c r="O1329" t="s">
        <v>39</v>
      </c>
      <c r="P1329">
        <v>1</v>
      </c>
      <c r="Q1329" t="s">
        <v>51</v>
      </c>
      <c r="R1329">
        <v>13225</v>
      </c>
      <c r="S1329">
        <v>7739</v>
      </c>
      <c r="T1329">
        <v>2</v>
      </c>
      <c r="U1329" t="s">
        <v>41</v>
      </c>
      <c r="V1329" t="s">
        <v>42</v>
      </c>
      <c r="W1329">
        <v>12</v>
      </c>
      <c r="X1329">
        <v>3</v>
      </c>
      <c r="Y1329">
        <v>4</v>
      </c>
      <c r="Z1329">
        <v>80</v>
      </c>
      <c r="AA1329">
        <v>1</v>
      </c>
      <c r="AB1329">
        <v>25</v>
      </c>
      <c r="AC1329">
        <v>5</v>
      </c>
      <c r="AD1329">
        <v>3</v>
      </c>
      <c r="AE1329">
        <v>19</v>
      </c>
      <c r="AF1329">
        <v>17</v>
      </c>
      <c r="AG1329">
        <v>2</v>
      </c>
      <c r="AH1329">
        <v>8</v>
      </c>
    </row>
    <row r="1330" spans="1:34" x14ac:dyDescent="0.2">
      <c r="A1330">
        <v>27</v>
      </c>
      <c r="B1330" t="s">
        <v>42</v>
      </c>
      <c r="C1330" t="s">
        <v>35</v>
      </c>
      <c r="D1330" t="s">
        <v>36</v>
      </c>
      <c r="E1330">
        <v>23</v>
      </c>
      <c r="F1330">
        <v>1</v>
      </c>
      <c r="G1330" t="s">
        <v>50</v>
      </c>
      <c r="H1330">
        <v>1</v>
      </c>
      <c r="I1330">
        <v>1864</v>
      </c>
      <c r="J1330">
        <v>2</v>
      </c>
      <c r="K1330" t="s">
        <v>38</v>
      </c>
      <c r="L1330">
        <v>36</v>
      </c>
      <c r="M1330">
        <v>2</v>
      </c>
      <c r="N1330">
        <v>2</v>
      </c>
      <c r="O1330" t="s">
        <v>56</v>
      </c>
      <c r="P1330">
        <v>3</v>
      </c>
      <c r="Q1330" t="s">
        <v>47</v>
      </c>
      <c r="R1330">
        <v>3540</v>
      </c>
      <c r="S1330">
        <v>7018</v>
      </c>
      <c r="T1330">
        <v>1</v>
      </c>
      <c r="U1330" t="s">
        <v>41</v>
      </c>
      <c r="V1330" t="s">
        <v>42</v>
      </c>
      <c r="W1330">
        <v>21</v>
      </c>
      <c r="X1330">
        <v>4</v>
      </c>
      <c r="Y1330">
        <v>4</v>
      </c>
      <c r="Z1330">
        <v>80</v>
      </c>
      <c r="AA1330">
        <v>1</v>
      </c>
      <c r="AB1330">
        <v>9</v>
      </c>
      <c r="AC1330">
        <v>5</v>
      </c>
      <c r="AD1330">
        <v>3</v>
      </c>
      <c r="AE1330">
        <v>9</v>
      </c>
      <c r="AF1330">
        <v>8</v>
      </c>
      <c r="AG1330">
        <v>5</v>
      </c>
      <c r="AH1330">
        <v>8</v>
      </c>
    </row>
    <row r="1331" spans="1:34" x14ac:dyDescent="0.2">
      <c r="A1331">
        <v>29</v>
      </c>
      <c r="B1331" t="s">
        <v>42</v>
      </c>
      <c r="C1331" t="s">
        <v>35</v>
      </c>
      <c r="D1331" t="s">
        <v>60</v>
      </c>
      <c r="E1331">
        <v>6</v>
      </c>
      <c r="F1331">
        <v>1</v>
      </c>
      <c r="G1331" t="s">
        <v>50</v>
      </c>
      <c r="H1331">
        <v>1</v>
      </c>
      <c r="I1331">
        <v>1865</v>
      </c>
      <c r="J1331">
        <v>4</v>
      </c>
      <c r="K1331" t="s">
        <v>45</v>
      </c>
      <c r="L1331">
        <v>87</v>
      </c>
      <c r="M1331">
        <v>2</v>
      </c>
      <c r="N1331">
        <v>1</v>
      </c>
      <c r="O1331" t="s">
        <v>60</v>
      </c>
      <c r="P1331">
        <v>2</v>
      </c>
      <c r="Q1331" t="s">
        <v>47</v>
      </c>
      <c r="R1331">
        <v>2804</v>
      </c>
      <c r="S1331">
        <v>15434</v>
      </c>
      <c r="T1331">
        <v>1</v>
      </c>
      <c r="U1331" t="s">
        <v>41</v>
      </c>
      <c r="V1331" t="s">
        <v>42</v>
      </c>
      <c r="W1331">
        <v>11</v>
      </c>
      <c r="X1331">
        <v>3</v>
      </c>
      <c r="Y1331">
        <v>4</v>
      </c>
      <c r="Z1331">
        <v>80</v>
      </c>
      <c r="AA1331">
        <v>0</v>
      </c>
      <c r="AB1331">
        <v>1</v>
      </c>
      <c r="AC1331">
        <v>3</v>
      </c>
      <c r="AD1331">
        <v>3</v>
      </c>
      <c r="AE1331">
        <v>1</v>
      </c>
      <c r="AF1331">
        <v>0</v>
      </c>
      <c r="AG1331">
        <v>0</v>
      </c>
      <c r="AH1331">
        <v>0</v>
      </c>
    </row>
    <row r="1332" spans="1:34" x14ac:dyDescent="0.2">
      <c r="A1332">
        <v>43</v>
      </c>
      <c r="B1332" t="s">
        <v>42</v>
      </c>
      <c r="C1332" t="s">
        <v>35</v>
      </c>
      <c r="D1332" t="s">
        <v>44</v>
      </c>
      <c r="E1332">
        <v>6</v>
      </c>
      <c r="F1332">
        <v>3</v>
      </c>
      <c r="G1332" t="s">
        <v>50</v>
      </c>
      <c r="H1332">
        <v>1</v>
      </c>
      <c r="I1332">
        <v>1866</v>
      </c>
      <c r="J1332">
        <v>1</v>
      </c>
      <c r="K1332" t="s">
        <v>38</v>
      </c>
      <c r="L1332">
        <v>81</v>
      </c>
      <c r="M1332">
        <v>2</v>
      </c>
      <c r="N1332">
        <v>5</v>
      </c>
      <c r="O1332" t="s">
        <v>55</v>
      </c>
      <c r="P1332">
        <v>3</v>
      </c>
      <c r="Q1332" t="s">
        <v>47</v>
      </c>
      <c r="R1332">
        <v>19392</v>
      </c>
      <c r="S1332">
        <v>22539</v>
      </c>
      <c r="T1332">
        <v>7</v>
      </c>
      <c r="U1332" t="s">
        <v>41</v>
      </c>
      <c r="V1332" t="s">
        <v>42</v>
      </c>
      <c r="W1332">
        <v>13</v>
      </c>
      <c r="X1332">
        <v>3</v>
      </c>
      <c r="Y1332">
        <v>4</v>
      </c>
      <c r="Z1332">
        <v>80</v>
      </c>
      <c r="AA1332">
        <v>0</v>
      </c>
      <c r="AB1332">
        <v>21</v>
      </c>
      <c r="AC1332">
        <v>2</v>
      </c>
      <c r="AD1332">
        <v>3</v>
      </c>
      <c r="AE1332">
        <v>16</v>
      </c>
      <c r="AF1332">
        <v>12</v>
      </c>
      <c r="AG1332">
        <v>6</v>
      </c>
      <c r="AH1332">
        <v>14</v>
      </c>
    </row>
    <row r="1333" spans="1:34" x14ac:dyDescent="0.2">
      <c r="A1333">
        <v>48</v>
      </c>
      <c r="B1333" t="s">
        <v>42</v>
      </c>
      <c r="C1333" t="s">
        <v>35</v>
      </c>
      <c r="D1333" t="s">
        <v>44</v>
      </c>
      <c r="E1333">
        <v>10</v>
      </c>
      <c r="F1333">
        <v>3</v>
      </c>
      <c r="G1333" t="s">
        <v>37</v>
      </c>
      <c r="H1333">
        <v>1</v>
      </c>
      <c r="I1333">
        <v>1867</v>
      </c>
      <c r="J1333">
        <v>4</v>
      </c>
      <c r="K1333" t="s">
        <v>45</v>
      </c>
      <c r="L1333">
        <v>91</v>
      </c>
      <c r="M1333">
        <v>2</v>
      </c>
      <c r="N1333">
        <v>5</v>
      </c>
      <c r="O1333" t="s">
        <v>57</v>
      </c>
      <c r="P1333">
        <v>2</v>
      </c>
      <c r="Q1333" t="s">
        <v>47</v>
      </c>
      <c r="R1333">
        <v>19665</v>
      </c>
      <c r="S1333">
        <v>13583</v>
      </c>
      <c r="T1333">
        <v>4</v>
      </c>
      <c r="U1333" t="s">
        <v>41</v>
      </c>
      <c r="V1333" t="s">
        <v>42</v>
      </c>
      <c r="W1333">
        <v>12</v>
      </c>
      <c r="X1333">
        <v>3</v>
      </c>
      <c r="Y1333">
        <v>4</v>
      </c>
      <c r="Z1333">
        <v>80</v>
      </c>
      <c r="AA1333">
        <v>0</v>
      </c>
      <c r="AB1333">
        <v>29</v>
      </c>
      <c r="AC1333">
        <v>3</v>
      </c>
      <c r="AD1333">
        <v>3</v>
      </c>
      <c r="AE1333">
        <v>22</v>
      </c>
      <c r="AF1333">
        <v>10</v>
      </c>
      <c r="AG1333">
        <v>12</v>
      </c>
      <c r="AH1333">
        <v>9</v>
      </c>
    </row>
    <row r="1334" spans="1:34" x14ac:dyDescent="0.2">
      <c r="A1334">
        <v>29</v>
      </c>
      <c r="B1334" t="s">
        <v>34</v>
      </c>
      <c r="C1334" t="s">
        <v>43</v>
      </c>
      <c r="D1334" t="s">
        <v>44</v>
      </c>
      <c r="E1334">
        <v>24</v>
      </c>
      <c r="F1334">
        <v>2</v>
      </c>
      <c r="G1334" t="s">
        <v>37</v>
      </c>
      <c r="H1334">
        <v>1</v>
      </c>
      <c r="I1334">
        <v>1868</v>
      </c>
      <c r="J1334">
        <v>4</v>
      </c>
      <c r="K1334" t="s">
        <v>45</v>
      </c>
      <c r="L1334">
        <v>73</v>
      </c>
      <c r="M1334">
        <v>2</v>
      </c>
      <c r="N1334">
        <v>1</v>
      </c>
      <c r="O1334" t="s">
        <v>46</v>
      </c>
      <c r="P1334">
        <v>4</v>
      </c>
      <c r="Q1334" t="s">
        <v>40</v>
      </c>
      <c r="R1334">
        <v>2439</v>
      </c>
      <c r="S1334">
        <v>14753</v>
      </c>
      <c r="T1334">
        <v>1</v>
      </c>
      <c r="U1334" t="s">
        <v>41</v>
      </c>
      <c r="V1334" t="s">
        <v>34</v>
      </c>
      <c r="W1334">
        <v>24</v>
      </c>
      <c r="X1334">
        <v>4</v>
      </c>
      <c r="Y1334">
        <v>2</v>
      </c>
      <c r="Z1334">
        <v>80</v>
      </c>
      <c r="AA1334">
        <v>0</v>
      </c>
      <c r="AB1334">
        <v>1</v>
      </c>
      <c r="AC1334">
        <v>3</v>
      </c>
      <c r="AD1334">
        <v>2</v>
      </c>
      <c r="AE1334">
        <v>1</v>
      </c>
      <c r="AF1334">
        <v>0</v>
      </c>
      <c r="AG1334">
        <v>1</v>
      </c>
      <c r="AH1334">
        <v>0</v>
      </c>
    </row>
    <row r="1335" spans="1:34" x14ac:dyDescent="0.2">
      <c r="A1335">
        <v>46</v>
      </c>
      <c r="B1335" t="s">
        <v>34</v>
      </c>
      <c r="C1335" t="s">
        <v>35</v>
      </c>
      <c r="D1335" t="s">
        <v>36</v>
      </c>
      <c r="E1335">
        <v>10</v>
      </c>
      <c r="F1335">
        <v>3</v>
      </c>
      <c r="G1335" t="s">
        <v>37</v>
      </c>
      <c r="H1335">
        <v>1</v>
      </c>
      <c r="I1335">
        <v>1869</v>
      </c>
      <c r="J1335">
        <v>3</v>
      </c>
      <c r="K1335" t="s">
        <v>38</v>
      </c>
      <c r="L1335">
        <v>64</v>
      </c>
      <c r="M1335">
        <v>3</v>
      </c>
      <c r="N1335">
        <v>3</v>
      </c>
      <c r="O1335" t="s">
        <v>39</v>
      </c>
      <c r="P1335">
        <v>2</v>
      </c>
      <c r="Q1335" t="s">
        <v>47</v>
      </c>
      <c r="R1335">
        <v>7314</v>
      </c>
      <c r="S1335">
        <v>14011</v>
      </c>
      <c r="T1335">
        <v>5</v>
      </c>
      <c r="U1335" t="s">
        <v>41</v>
      </c>
      <c r="V1335" t="s">
        <v>42</v>
      </c>
      <c r="W1335">
        <v>21</v>
      </c>
      <c r="X1335">
        <v>4</v>
      </c>
      <c r="Y1335">
        <v>3</v>
      </c>
      <c r="Z1335">
        <v>80</v>
      </c>
      <c r="AA1335">
        <v>3</v>
      </c>
      <c r="AB1335">
        <v>14</v>
      </c>
      <c r="AC1335">
        <v>2</v>
      </c>
      <c r="AD1335">
        <v>3</v>
      </c>
      <c r="AE1335">
        <v>8</v>
      </c>
      <c r="AF1335">
        <v>7</v>
      </c>
      <c r="AG1335">
        <v>0</v>
      </c>
      <c r="AH1335">
        <v>7</v>
      </c>
    </row>
    <row r="1336" spans="1:34" x14ac:dyDescent="0.2">
      <c r="A1336">
        <v>27</v>
      </c>
      <c r="B1336" t="s">
        <v>42</v>
      </c>
      <c r="C1336" t="s">
        <v>43</v>
      </c>
      <c r="D1336" t="s">
        <v>44</v>
      </c>
      <c r="E1336">
        <v>15</v>
      </c>
      <c r="F1336">
        <v>3</v>
      </c>
      <c r="G1336" t="s">
        <v>37</v>
      </c>
      <c r="H1336">
        <v>1</v>
      </c>
      <c r="I1336">
        <v>1870</v>
      </c>
      <c r="J1336">
        <v>4</v>
      </c>
      <c r="K1336" t="s">
        <v>38</v>
      </c>
      <c r="L1336">
        <v>77</v>
      </c>
      <c r="M1336">
        <v>2</v>
      </c>
      <c r="N1336">
        <v>1</v>
      </c>
      <c r="O1336" t="s">
        <v>46</v>
      </c>
      <c r="P1336">
        <v>1</v>
      </c>
      <c r="Q1336" t="s">
        <v>47</v>
      </c>
      <c r="R1336">
        <v>4774</v>
      </c>
      <c r="S1336">
        <v>23844</v>
      </c>
      <c r="T1336">
        <v>0</v>
      </c>
      <c r="U1336" t="s">
        <v>41</v>
      </c>
      <c r="V1336" t="s">
        <v>42</v>
      </c>
      <c r="W1336">
        <v>19</v>
      </c>
      <c r="X1336">
        <v>3</v>
      </c>
      <c r="Y1336">
        <v>4</v>
      </c>
      <c r="Z1336">
        <v>80</v>
      </c>
      <c r="AA1336">
        <v>1</v>
      </c>
      <c r="AB1336">
        <v>8</v>
      </c>
      <c r="AC1336">
        <v>2</v>
      </c>
      <c r="AD1336">
        <v>2</v>
      </c>
      <c r="AE1336">
        <v>7</v>
      </c>
      <c r="AF1336">
        <v>6</v>
      </c>
      <c r="AG1336">
        <v>7</v>
      </c>
      <c r="AH1336">
        <v>3</v>
      </c>
    </row>
    <row r="1337" spans="1:34" x14ac:dyDescent="0.2">
      <c r="A1337">
        <v>39</v>
      </c>
      <c r="B1337" t="s">
        <v>42</v>
      </c>
      <c r="C1337" t="s">
        <v>35</v>
      </c>
      <c r="D1337" t="s">
        <v>44</v>
      </c>
      <c r="E1337">
        <v>19</v>
      </c>
      <c r="F1337">
        <v>4</v>
      </c>
      <c r="G1337" t="s">
        <v>48</v>
      </c>
      <c r="H1337">
        <v>1</v>
      </c>
      <c r="I1337">
        <v>1871</v>
      </c>
      <c r="J1337">
        <v>4</v>
      </c>
      <c r="K1337" t="s">
        <v>45</v>
      </c>
      <c r="L1337">
        <v>41</v>
      </c>
      <c r="M1337">
        <v>3</v>
      </c>
      <c r="N1337">
        <v>2</v>
      </c>
      <c r="O1337" t="s">
        <v>46</v>
      </c>
      <c r="P1337">
        <v>4</v>
      </c>
      <c r="Q1337" t="s">
        <v>51</v>
      </c>
      <c r="R1337">
        <v>3902</v>
      </c>
      <c r="S1337">
        <v>5141</v>
      </c>
      <c r="T1337">
        <v>8</v>
      </c>
      <c r="U1337" t="s">
        <v>41</v>
      </c>
      <c r="V1337" t="s">
        <v>42</v>
      </c>
      <c r="W1337">
        <v>14</v>
      </c>
      <c r="X1337">
        <v>3</v>
      </c>
      <c r="Y1337">
        <v>2</v>
      </c>
      <c r="Z1337">
        <v>80</v>
      </c>
      <c r="AA1337">
        <v>3</v>
      </c>
      <c r="AB1337">
        <v>7</v>
      </c>
      <c r="AC1337">
        <v>2</v>
      </c>
      <c r="AD1337">
        <v>3</v>
      </c>
      <c r="AE1337">
        <v>2</v>
      </c>
      <c r="AF1337">
        <v>2</v>
      </c>
      <c r="AG1337">
        <v>2</v>
      </c>
      <c r="AH1337">
        <v>2</v>
      </c>
    </row>
    <row r="1338" spans="1:34" x14ac:dyDescent="0.2">
      <c r="A1338">
        <v>55</v>
      </c>
      <c r="B1338" t="s">
        <v>42</v>
      </c>
      <c r="C1338" t="s">
        <v>35</v>
      </c>
      <c r="D1338" t="s">
        <v>44</v>
      </c>
      <c r="E1338">
        <v>2</v>
      </c>
      <c r="F1338">
        <v>4</v>
      </c>
      <c r="G1338" t="s">
        <v>59</v>
      </c>
      <c r="H1338">
        <v>1</v>
      </c>
      <c r="I1338">
        <v>1873</v>
      </c>
      <c r="J1338">
        <v>2</v>
      </c>
      <c r="K1338" t="s">
        <v>45</v>
      </c>
      <c r="L1338">
        <v>98</v>
      </c>
      <c r="M1338">
        <v>2</v>
      </c>
      <c r="N1338">
        <v>1</v>
      </c>
      <c r="O1338" t="s">
        <v>46</v>
      </c>
      <c r="P1338">
        <v>4</v>
      </c>
      <c r="Q1338" t="s">
        <v>47</v>
      </c>
      <c r="R1338">
        <v>2662</v>
      </c>
      <c r="S1338">
        <v>7975</v>
      </c>
      <c r="T1338">
        <v>8</v>
      </c>
      <c r="U1338" t="s">
        <v>41</v>
      </c>
      <c r="V1338" t="s">
        <v>42</v>
      </c>
      <c r="W1338">
        <v>20</v>
      </c>
      <c r="X1338">
        <v>4</v>
      </c>
      <c r="Y1338">
        <v>2</v>
      </c>
      <c r="Z1338">
        <v>80</v>
      </c>
      <c r="AA1338">
        <v>1</v>
      </c>
      <c r="AB1338">
        <v>19</v>
      </c>
      <c r="AC1338">
        <v>2</v>
      </c>
      <c r="AD1338">
        <v>4</v>
      </c>
      <c r="AE1338">
        <v>5</v>
      </c>
      <c r="AF1338">
        <v>2</v>
      </c>
      <c r="AG1338">
        <v>0</v>
      </c>
      <c r="AH1338">
        <v>4</v>
      </c>
    </row>
    <row r="1339" spans="1:34" x14ac:dyDescent="0.2">
      <c r="A1339">
        <v>28</v>
      </c>
      <c r="B1339" t="s">
        <v>42</v>
      </c>
      <c r="C1339" t="s">
        <v>35</v>
      </c>
      <c r="D1339" t="s">
        <v>36</v>
      </c>
      <c r="E1339">
        <v>3</v>
      </c>
      <c r="F1339">
        <v>3</v>
      </c>
      <c r="G1339" t="s">
        <v>50</v>
      </c>
      <c r="H1339">
        <v>1</v>
      </c>
      <c r="I1339">
        <v>1875</v>
      </c>
      <c r="J1339">
        <v>2</v>
      </c>
      <c r="K1339" t="s">
        <v>38</v>
      </c>
      <c r="L1339">
        <v>78</v>
      </c>
      <c r="M1339">
        <v>3</v>
      </c>
      <c r="N1339">
        <v>1</v>
      </c>
      <c r="O1339" t="s">
        <v>56</v>
      </c>
      <c r="P1339">
        <v>2</v>
      </c>
      <c r="Q1339" t="s">
        <v>47</v>
      </c>
      <c r="R1339">
        <v>2856</v>
      </c>
      <c r="S1339">
        <v>3692</v>
      </c>
      <c r="T1339">
        <v>1</v>
      </c>
      <c r="U1339" t="s">
        <v>41</v>
      </c>
      <c r="V1339" t="s">
        <v>42</v>
      </c>
      <c r="W1339">
        <v>19</v>
      </c>
      <c r="X1339">
        <v>3</v>
      </c>
      <c r="Y1339">
        <v>4</v>
      </c>
      <c r="Z1339">
        <v>80</v>
      </c>
      <c r="AA1339">
        <v>1</v>
      </c>
      <c r="AB1339">
        <v>1</v>
      </c>
      <c r="AC1339">
        <v>3</v>
      </c>
      <c r="AD1339">
        <v>3</v>
      </c>
      <c r="AE1339">
        <v>1</v>
      </c>
      <c r="AF1339">
        <v>0</v>
      </c>
      <c r="AG1339">
        <v>0</v>
      </c>
      <c r="AH1339">
        <v>0</v>
      </c>
    </row>
    <row r="1340" spans="1:34" x14ac:dyDescent="0.2">
      <c r="A1340">
        <v>30</v>
      </c>
      <c r="B1340" t="s">
        <v>34</v>
      </c>
      <c r="C1340" t="s">
        <v>35</v>
      </c>
      <c r="D1340" t="s">
        <v>36</v>
      </c>
      <c r="E1340">
        <v>9</v>
      </c>
      <c r="F1340">
        <v>3</v>
      </c>
      <c r="G1340" t="s">
        <v>50</v>
      </c>
      <c r="H1340">
        <v>1</v>
      </c>
      <c r="I1340">
        <v>1876</v>
      </c>
      <c r="J1340">
        <v>2</v>
      </c>
      <c r="K1340" t="s">
        <v>45</v>
      </c>
      <c r="L1340">
        <v>89</v>
      </c>
      <c r="M1340">
        <v>3</v>
      </c>
      <c r="N1340">
        <v>1</v>
      </c>
      <c r="O1340" t="s">
        <v>56</v>
      </c>
      <c r="P1340">
        <v>4</v>
      </c>
      <c r="Q1340" t="s">
        <v>40</v>
      </c>
      <c r="R1340">
        <v>1081</v>
      </c>
      <c r="S1340">
        <v>16019</v>
      </c>
      <c r="T1340">
        <v>1</v>
      </c>
      <c r="U1340" t="s">
        <v>41</v>
      </c>
      <c r="V1340" t="s">
        <v>42</v>
      </c>
      <c r="W1340">
        <v>13</v>
      </c>
      <c r="X1340">
        <v>3</v>
      </c>
      <c r="Y1340">
        <v>3</v>
      </c>
      <c r="Z1340">
        <v>80</v>
      </c>
      <c r="AA1340">
        <v>0</v>
      </c>
      <c r="AB1340">
        <v>1</v>
      </c>
      <c r="AC1340">
        <v>3</v>
      </c>
      <c r="AD1340">
        <v>2</v>
      </c>
      <c r="AE1340">
        <v>1</v>
      </c>
      <c r="AF1340">
        <v>0</v>
      </c>
      <c r="AG1340">
        <v>0</v>
      </c>
      <c r="AH1340">
        <v>0</v>
      </c>
    </row>
    <row r="1341" spans="1:34" x14ac:dyDescent="0.2">
      <c r="A1341">
        <v>22</v>
      </c>
      <c r="B1341" t="s">
        <v>34</v>
      </c>
      <c r="C1341" t="s">
        <v>35</v>
      </c>
      <c r="D1341" t="s">
        <v>44</v>
      </c>
      <c r="E1341">
        <v>7</v>
      </c>
      <c r="F1341">
        <v>1</v>
      </c>
      <c r="G1341" t="s">
        <v>37</v>
      </c>
      <c r="H1341">
        <v>1</v>
      </c>
      <c r="I1341">
        <v>1878</v>
      </c>
      <c r="J1341">
        <v>4</v>
      </c>
      <c r="K1341" t="s">
        <v>45</v>
      </c>
      <c r="L1341">
        <v>75</v>
      </c>
      <c r="M1341">
        <v>3</v>
      </c>
      <c r="N1341">
        <v>1</v>
      </c>
      <c r="O1341" t="s">
        <v>46</v>
      </c>
      <c r="P1341">
        <v>2</v>
      </c>
      <c r="Q1341" t="s">
        <v>40</v>
      </c>
      <c r="R1341">
        <v>2472</v>
      </c>
      <c r="S1341">
        <v>26092</v>
      </c>
      <c r="T1341">
        <v>1</v>
      </c>
      <c r="U1341" t="s">
        <v>41</v>
      </c>
      <c r="V1341" t="s">
        <v>34</v>
      </c>
      <c r="W1341">
        <v>23</v>
      </c>
      <c r="X1341">
        <v>4</v>
      </c>
      <c r="Y1341">
        <v>1</v>
      </c>
      <c r="Z1341">
        <v>80</v>
      </c>
      <c r="AA1341">
        <v>0</v>
      </c>
      <c r="AB1341">
        <v>1</v>
      </c>
      <c r="AC1341">
        <v>2</v>
      </c>
      <c r="AD1341">
        <v>3</v>
      </c>
      <c r="AE1341">
        <v>1</v>
      </c>
      <c r="AF1341">
        <v>0</v>
      </c>
      <c r="AG1341">
        <v>0</v>
      </c>
      <c r="AH1341">
        <v>0</v>
      </c>
    </row>
    <row r="1342" spans="1:34" x14ac:dyDescent="0.2">
      <c r="A1342">
        <v>36</v>
      </c>
      <c r="B1342" t="s">
        <v>42</v>
      </c>
      <c r="C1342" t="s">
        <v>35</v>
      </c>
      <c r="D1342" t="s">
        <v>36</v>
      </c>
      <c r="E1342">
        <v>10</v>
      </c>
      <c r="F1342">
        <v>4</v>
      </c>
      <c r="G1342" t="s">
        <v>59</v>
      </c>
      <c r="H1342">
        <v>1</v>
      </c>
      <c r="I1342">
        <v>1880</v>
      </c>
      <c r="J1342">
        <v>2</v>
      </c>
      <c r="K1342" t="s">
        <v>38</v>
      </c>
      <c r="L1342">
        <v>63</v>
      </c>
      <c r="M1342">
        <v>2</v>
      </c>
      <c r="N1342">
        <v>2</v>
      </c>
      <c r="O1342" t="s">
        <v>39</v>
      </c>
      <c r="P1342">
        <v>3</v>
      </c>
      <c r="Q1342" t="s">
        <v>47</v>
      </c>
      <c r="R1342">
        <v>5673</v>
      </c>
      <c r="S1342">
        <v>6060</v>
      </c>
      <c r="T1342">
        <v>1</v>
      </c>
      <c r="U1342" t="s">
        <v>41</v>
      </c>
      <c r="V1342" t="s">
        <v>34</v>
      </c>
      <c r="W1342">
        <v>13</v>
      </c>
      <c r="X1342">
        <v>3</v>
      </c>
      <c r="Y1342">
        <v>1</v>
      </c>
      <c r="Z1342">
        <v>80</v>
      </c>
      <c r="AA1342">
        <v>1</v>
      </c>
      <c r="AB1342">
        <v>10</v>
      </c>
      <c r="AC1342">
        <v>4</v>
      </c>
      <c r="AD1342">
        <v>3</v>
      </c>
      <c r="AE1342">
        <v>10</v>
      </c>
      <c r="AF1342">
        <v>9</v>
      </c>
      <c r="AG1342">
        <v>1</v>
      </c>
      <c r="AH1342">
        <v>7</v>
      </c>
    </row>
    <row r="1343" spans="1:34" x14ac:dyDescent="0.2">
      <c r="A1343">
        <v>31</v>
      </c>
      <c r="B1343" t="s">
        <v>42</v>
      </c>
      <c r="C1343" t="s">
        <v>35</v>
      </c>
      <c r="D1343" t="s">
        <v>44</v>
      </c>
      <c r="E1343">
        <v>20</v>
      </c>
      <c r="F1343">
        <v>3</v>
      </c>
      <c r="G1343" t="s">
        <v>37</v>
      </c>
      <c r="H1343">
        <v>1</v>
      </c>
      <c r="I1343">
        <v>1881</v>
      </c>
      <c r="J1343">
        <v>2</v>
      </c>
      <c r="K1343" t="s">
        <v>45</v>
      </c>
      <c r="L1343">
        <v>89</v>
      </c>
      <c r="M1343">
        <v>3</v>
      </c>
      <c r="N1343">
        <v>2</v>
      </c>
      <c r="O1343" t="s">
        <v>49</v>
      </c>
      <c r="P1343">
        <v>3</v>
      </c>
      <c r="Q1343" t="s">
        <v>51</v>
      </c>
      <c r="R1343">
        <v>4197</v>
      </c>
      <c r="S1343">
        <v>18624</v>
      </c>
      <c r="T1343">
        <v>1</v>
      </c>
      <c r="U1343" t="s">
        <v>41</v>
      </c>
      <c r="V1343" t="s">
        <v>42</v>
      </c>
      <c r="W1343">
        <v>11</v>
      </c>
      <c r="X1343">
        <v>3</v>
      </c>
      <c r="Y1343">
        <v>1</v>
      </c>
      <c r="Z1343">
        <v>80</v>
      </c>
      <c r="AA1343">
        <v>1</v>
      </c>
      <c r="AB1343">
        <v>10</v>
      </c>
      <c r="AC1343">
        <v>2</v>
      </c>
      <c r="AD1343">
        <v>3</v>
      </c>
      <c r="AE1343">
        <v>10</v>
      </c>
      <c r="AF1343">
        <v>8</v>
      </c>
      <c r="AG1343">
        <v>0</v>
      </c>
      <c r="AH1343">
        <v>2</v>
      </c>
    </row>
    <row r="1344" spans="1:34" x14ac:dyDescent="0.2">
      <c r="A1344">
        <v>34</v>
      </c>
      <c r="B1344" t="s">
        <v>42</v>
      </c>
      <c r="C1344" t="s">
        <v>35</v>
      </c>
      <c r="D1344" t="s">
        <v>36</v>
      </c>
      <c r="E1344">
        <v>4</v>
      </c>
      <c r="F1344">
        <v>3</v>
      </c>
      <c r="G1344" t="s">
        <v>37</v>
      </c>
      <c r="H1344">
        <v>1</v>
      </c>
      <c r="I1344">
        <v>1882</v>
      </c>
      <c r="J1344">
        <v>3</v>
      </c>
      <c r="K1344" t="s">
        <v>45</v>
      </c>
      <c r="L1344">
        <v>64</v>
      </c>
      <c r="M1344">
        <v>3</v>
      </c>
      <c r="N1344">
        <v>3</v>
      </c>
      <c r="O1344" t="s">
        <v>39</v>
      </c>
      <c r="P1344">
        <v>4</v>
      </c>
      <c r="Q1344" t="s">
        <v>47</v>
      </c>
      <c r="R1344">
        <v>9713</v>
      </c>
      <c r="S1344">
        <v>24444</v>
      </c>
      <c r="T1344">
        <v>2</v>
      </c>
      <c r="U1344" t="s">
        <v>41</v>
      </c>
      <c r="V1344" t="s">
        <v>34</v>
      </c>
      <c r="W1344">
        <v>13</v>
      </c>
      <c r="X1344">
        <v>3</v>
      </c>
      <c r="Y1344">
        <v>4</v>
      </c>
      <c r="Z1344">
        <v>80</v>
      </c>
      <c r="AA1344">
        <v>3</v>
      </c>
      <c r="AB1344">
        <v>9</v>
      </c>
      <c r="AC1344">
        <v>3</v>
      </c>
      <c r="AD1344">
        <v>3</v>
      </c>
      <c r="AE1344">
        <v>5</v>
      </c>
      <c r="AF1344">
        <v>3</v>
      </c>
      <c r="AG1344">
        <v>1</v>
      </c>
      <c r="AH1344">
        <v>0</v>
      </c>
    </row>
    <row r="1345" spans="1:34" x14ac:dyDescent="0.2">
      <c r="A1345">
        <v>29</v>
      </c>
      <c r="B1345" t="s">
        <v>42</v>
      </c>
      <c r="C1345" t="s">
        <v>35</v>
      </c>
      <c r="D1345" t="s">
        <v>44</v>
      </c>
      <c r="E1345">
        <v>7</v>
      </c>
      <c r="F1345">
        <v>3</v>
      </c>
      <c r="G1345" t="s">
        <v>37</v>
      </c>
      <c r="H1345">
        <v>1</v>
      </c>
      <c r="I1345">
        <v>1883</v>
      </c>
      <c r="J1345">
        <v>4</v>
      </c>
      <c r="K1345" t="s">
        <v>45</v>
      </c>
      <c r="L1345">
        <v>59</v>
      </c>
      <c r="M1345">
        <v>3</v>
      </c>
      <c r="N1345">
        <v>1</v>
      </c>
      <c r="O1345" t="s">
        <v>49</v>
      </c>
      <c r="P1345">
        <v>1</v>
      </c>
      <c r="Q1345" t="s">
        <v>40</v>
      </c>
      <c r="R1345">
        <v>2062</v>
      </c>
      <c r="S1345">
        <v>19384</v>
      </c>
      <c r="T1345">
        <v>3</v>
      </c>
      <c r="U1345" t="s">
        <v>41</v>
      </c>
      <c r="V1345" t="s">
        <v>42</v>
      </c>
      <c r="W1345">
        <v>14</v>
      </c>
      <c r="X1345">
        <v>3</v>
      </c>
      <c r="Y1345">
        <v>2</v>
      </c>
      <c r="Z1345">
        <v>80</v>
      </c>
      <c r="AA1345">
        <v>0</v>
      </c>
      <c r="AB1345">
        <v>11</v>
      </c>
      <c r="AC1345">
        <v>2</v>
      </c>
      <c r="AD1345">
        <v>3</v>
      </c>
      <c r="AE1345">
        <v>3</v>
      </c>
      <c r="AF1345">
        <v>2</v>
      </c>
      <c r="AG1345">
        <v>1</v>
      </c>
      <c r="AH1345">
        <v>2</v>
      </c>
    </row>
    <row r="1346" spans="1:34" x14ac:dyDescent="0.2">
      <c r="A1346">
        <v>37</v>
      </c>
      <c r="B1346" t="s">
        <v>42</v>
      </c>
      <c r="C1346" t="s">
        <v>35</v>
      </c>
      <c r="D1346" t="s">
        <v>44</v>
      </c>
      <c r="E1346">
        <v>7</v>
      </c>
      <c r="F1346">
        <v>4</v>
      </c>
      <c r="G1346" t="s">
        <v>50</v>
      </c>
      <c r="H1346">
        <v>1</v>
      </c>
      <c r="I1346">
        <v>1885</v>
      </c>
      <c r="J1346">
        <v>4</v>
      </c>
      <c r="K1346" t="s">
        <v>45</v>
      </c>
      <c r="L1346">
        <v>78</v>
      </c>
      <c r="M1346">
        <v>3</v>
      </c>
      <c r="N1346">
        <v>2</v>
      </c>
      <c r="O1346" t="s">
        <v>46</v>
      </c>
      <c r="P1346">
        <v>1</v>
      </c>
      <c r="Q1346" t="s">
        <v>47</v>
      </c>
      <c r="R1346">
        <v>4284</v>
      </c>
      <c r="S1346">
        <v>13588</v>
      </c>
      <c r="T1346">
        <v>5</v>
      </c>
      <c r="U1346" t="s">
        <v>41</v>
      </c>
      <c r="V1346" t="s">
        <v>34</v>
      </c>
      <c r="W1346">
        <v>22</v>
      </c>
      <c r="X1346">
        <v>4</v>
      </c>
      <c r="Y1346">
        <v>3</v>
      </c>
      <c r="Z1346">
        <v>80</v>
      </c>
      <c r="AA1346">
        <v>1</v>
      </c>
      <c r="AB1346">
        <v>16</v>
      </c>
      <c r="AC1346">
        <v>2</v>
      </c>
      <c r="AD1346">
        <v>3</v>
      </c>
      <c r="AE1346">
        <v>5</v>
      </c>
      <c r="AF1346">
        <v>3</v>
      </c>
      <c r="AG1346">
        <v>0</v>
      </c>
      <c r="AH1346">
        <v>4</v>
      </c>
    </row>
    <row r="1347" spans="1:34" x14ac:dyDescent="0.2">
      <c r="A1347">
        <v>35</v>
      </c>
      <c r="B1347" t="s">
        <v>42</v>
      </c>
      <c r="C1347" t="s">
        <v>35</v>
      </c>
      <c r="D1347" t="s">
        <v>44</v>
      </c>
      <c r="E1347">
        <v>16</v>
      </c>
      <c r="F1347">
        <v>2</v>
      </c>
      <c r="G1347" t="s">
        <v>48</v>
      </c>
      <c r="H1347">
        <v>1</v>
      </c>
      <c r="I1347">
        <v>1886</v>
      </c>
      <c r="J1347">
        <v>4</v>
      </c>
      <c r="K1347" t="s">
        <v>38</v>
      </c>
      <c r="L1347">
        <v>44</v>
      </c>
      <c r="M1347">
        <v>2</v>
      </c>
      <c r="N1347">
        <v>2</v>
      </c>
      <c r="O1347" t="s">
        <v>52</v>
      </c>
      <c r="P1347">
        <v>2</v>
      </c>
      <c r="Q1347" t="s">
        <v>47</v>
      </c>
      <c r="R1347">
        <v>4788</v>
      </c>
      <c r="S1347">
        <v>25388</v>
      </c>
      <c r="T1347">
        <v>0</v>
      </c>
      <c r="U1347" t="s">
        <v>41</v>
      </c>
      <c r="V1347" t="s">
        <v>34</v>
      </c>
      <c r="W1347">
        <v>11</v>
      </c>
      <c r="X1347">
        <v>3</v>
      </c>
      <c r="Y1347">
        <v>4</v>
      </c>
      <c r="Z1347">
        <v>80</v>
      </c>
      <c r="AA1347">
        <v>0</v>
      </c>
      <c r="AB1347">
        <v>4</v>
      </c>
      <c r="AC1347">
        <v>2</v>
      </c>
      <c r="AD1347">
        <v>3</v>
      </c>
      <c r="AE1347">
        <v>3</v>
      </c>
      <c r="AF1347">
        <v>2</v>
      </c>
      <c r="AG1347">
        <v>0</v>
      </c>
      <c r="AH1347">
        <v>2</v>
      </c>
    </row>
    <row r="1348" spans="1:34" x14ac:dyDescent="0.2">
      <c r="A1348">
        <v>45</v>
      </c>
      <c r="B1348" t="s">
        <v>42</v>
      </c>
      <c r="C1348" t="s">
        <v>35</v>
      </c>
      <c r="D1348" t="s">
        <v>44</v>
      </c>
      <c r="E1348">
        <v>25</v>
      </c>
      <c r="F1348">
        <v>2</v>
      </c>
      <c r="G1348" t="s">
        <v>37</v>
      </c>
      <c r="H1348">
        <v>1</v>
      </c>
      <c r="I1348">
        <v>1888</v>
      </c>
      <c r="J1348">
        <v>2</v>
      </c>
      <c r="K1348" t="s">
        <v>38</v>
      </c>
      <c r="L1348">
        <v>93</v>
      </c>
      <c r="M1348">
        <v>2</v>
      </c>
      <c r="N1348">
        <v>2</v>
      </c>
      <c r="O1348" t="s">
        <v>52</v>
      </c>
      <c r="P1348">
        <v>4</v>
      </c>
      <c r="Q1348" t="s">
        <v>47</v>
      </c>
      <c r="R1348">
        <v>5906</v>
      </c>
      <c r="S1348">
        <v>23888</v>
      </c>
      <c r="T1348">
        <v>0</v>
      </c>
      <c r="U1348" t="s">
        <v>41</v>
      </c>
      <c r="V1348" t="s">
        <v>42</v>
      </c>
      <c r="W1348">
        <v>13</v>
      </c>
      <c r="X1348">
        <v>3</v>
      </c>
      <c r="Y1348">
        <v>4</v>
      </c>
      <c r="Z1348">
        <v>80</v>
      </c>
      <c r="AA1348">
        <v>2</v>
      </c>
      <c r="AB1348">
        <v>10</v>
      </c>
      <c r="AC1348">
        <v>2</v>
      </c>
      <c r="AD1348">
        <v>2</v>
      </c>
      <c r="AE1348">
        <v>9</v>
      </c>
      <c r="AF1348">
        <v>8</v>
      </c>
      <c r="AG1348">
        <v>3</v>
      </c>
      <c r="AH1348">
        <v>8</v>
      </c>
    </row>
    <row r="1349" spans="1:34" x14ac:dyDescent="0.2">
      <c r="A1349">
        <v>36</v>
      </c>
      <c r="B1349" t="s">
        <v>42</v>
      </c>
      <c r="C1349" t="s">
        <v>43</v>
      </c>
      <c r="D1349" t="s">
        <v>60</v>
      </c>
      <c r="E1349">
        <v>2</v>
      </c>
      <c r="F1349">
        <v>1</v>
      </c>
      <c r="G1349" t="s">
        <v>60</v>
      </c>
      <c r="H1349">
        <v>1</v>
      </c>
      <c r="I1349">
        <v>1890</v>
      </c>
      <c r="J1349">
        <v>2</v>
      </c>
      <c r="K1349" t="s">
        <v>45</v>
      </c>
      <c r="L1349">
        <v>94</v>
      </c>
      <c r="M1349">
        <v>2</v>
      </c>
      <c r="N1349">
        <v>2</v>
      </c>
      <c r="O1349" t="s">
        <v>60</v>
      </c>
      <c r="P1349">
        <v>4</v>
      </c>
      <c r="Q1349" t="s">
        <v>40</v>
      </c>
      <c r="R1349">
        <v>3886</v>
      </c>
      <c r="S1349">
        <v>4223</v>
      </c>
      <c r="T1349">
        <v>1</v>
      </c>
      <c r="U1349" t="s">
        <v>41</v>
      </c>
      <c r="V1349" t="s">
        <v>42</v>
      </c>
      <c r="W1349">
        <v>21</v>
      </c>
      <c r="X1349">
        <v>4</v>
      </c>
      <c r="Y1349">
        <v>4</v>
      </c>
      <c r="Z1349">
        <v>80</v>
      </c>
      <c r="AA1349">
        <v>0</v>
      </c>
      <c r="AB1349">
        <v>10</v>
      </c>
      <c r="AC1349">
        <v>2</v>
      </c>
      <c r="AD1349">
        <v>2</v>
      </c>
      <c r="AE1349">
        <v>10</v>
      </c>
      <c r="AF1349">
        <v>1</v>
      </c>
      <c r="AG1349">
        <v>0</v>
      </c>
      <c r="AH1349">
        <v>8</v>
      </c>
    </row>
    <row r="1350" spans="1:34" x14ac:dyDescent="0.2">
      <c r="A1350">
        <v>40</v>
      </c>
      <c r="B1350" t="s">
        <v>42</v>
      </c>
      <c r="C1350" t="s">
        <v>35</v>
      </c>
      <c r="D1350" t="s">
        <v>44</v>
      </c>
      <c r="E1350">
        <v>1</v>
      </c>
      <c r="F1350">
        <v>4</v>
      </c>
      <c r="G1350" t="s">
        <v>37</v>
      </c>
      <c r="H1350">
        <v>1</v>
      </c>
      <c r="I1350">
        <v>1892</v>
      </c>
      <c r="J1350">
        <v>1</v>
      </c>
      <c r="K1350" t="s">
        <v>45</v>
      </c>
      <c r="L1350">
        <v>98</v>
      </c>
      <c r="M1350">
        <v>3</v>
      </c>
      <c r="N1350">
        <v>4</v>
      </c>
      <c r="O1350" t="s">
        <v>55</v>
      </c>
      <c r="P1350">
        <v>1</v>
      </c>
      <c r="Q1350" t="s">
        <v>51</v>
      </c>
      <c r="R1350">
        <v>16823</v>
      </c>
      <c r="S1350">
        <v>18991</v>
      </c>
      <c r="T1350">
        <v>2</v>
      </c>
      <c r="U1350" t="s">
        <v>41</v>
      </c>
      <c r="V1350" t="s">
        <v>42</v>
      </c>
      <c r="W1350">
        <v>11</v>
      </c>
      <c r="X1350">
        <v>3</v>
      </c>
      <c r="Y1350">
        <v>1</v>
      </c>
      <c r="Z1350">
        <v>80</v>
      </c>
      <c r="AA1350">
        <v>1</v>
      </c>
      <c r="AB1350">
        <v>22</v>
      </c>
      <c r="AC1350">
        <v>3</v>
      </c>
      <c r="AD1350">
        <v>3</v>
      </c>
      <c r="AE1350">
        <v>19</v>
      </c>
      <c r="AF1350">
        <v>7</v>
      </c>
      <c r="AG1350">
        <v>11</v>
      </c>
      <c r="AH1350">
        <v>16</v>
      </c>
    </row>
    <row r="1351" spans="1:34" x14ac:dyDescent="0.2">
      <c r="A1351">
        <v>26</v>
      </c>
      <c r="B1351" t="s">
        <v>42</v>
      </c>
      <c r="C1351" t="s">
        <v>35</v>
      </c>
      <c r="D1351" t="s">
        <v>44</v>
      </c>
      <c r="E1351">
        <v>1</v>
      </c>
      <c r="F1351">
        <v>2</v>
      </c>
      <c r="G1351" t="s">
        <v>37</v>
      </c>
      <c r="H1351">
        <v>1</v>
      </c>
      <c r="I1351">
        <v>1893</v>
      </c>
      <c r="J1351">
        <v>2</v>
      </c>
      <c r="K1351" t="s">
        <v>38</v>
      </c>
      <c r="L1351">
        <v>90</v>
      </c>
      <c r="M1351">
        <v>2</v>
      </c>
      <c r="N1351">
        <v>1</v>
      </c>
      <c r="O1351" t="s">
        <v>46</v>
      </c>
      <c r="P1351">
        <v>3</v>
      </c>
      <c r="Q1351" t="s">
        <v>47</v>
      </c>
      <c r="R1351">
        <v>2933</v>
      </c>
      <c r="S1351">
        <v>14908</v>
      </c>
      <c r="T1351">
        <v>1</v>
      </c>
      <c r="U1351" t="s">
        <v>41</v>
      </c>
      <c r="V1351" t="s">
        <v>34</v>
      </c>
      <c r="W1351">
        <v>13</v>
      </c>
      <c r="X1351">
        <v>3</v>
      </c>
      <c r="Y1351">
        <v>3</v>
      </c>
      <c r="Z1351">
        <v>80</v>
      </c>
      <c r="AA1351">
        <v>1</v>
      </c>
      <c r="AB1351">
        <v>1</v>
      </c>
      <c r="AC1351">
        <v>3</v>
      </c>
      <c r="AD1351">
        <v>2</v>
      </c>
      <c r="AE1351">
        <v>1</v>
      </c>
      <c r="AF1351">
        <v>0</v>
      </c>
      <c r="AG1351">
        <v>1</v>
      </c>
      <c r="AH1351">
        <v>0</v>
      </c>
    </row>
    <row r="1352" spans="1:34" x14ac:dyDescent="0.2">
      <c r="A1352">
        <v>27</v>
      </c>
      <c r="B1352" t="s">
        <v>42</v>
      </c>
      <c r="C1352" t="s">
        <v>35</v>
      </c>
      <c r="D1352" t="s">
        <v>36</v>
      </c>
      <c r="E1352">
        <v>2</v>
      </c>
      <c r="F1352">
        <v>2</v>
      </c>
      <c r="G1352" t="s">
        <v>50</v>
      </c>
      <c r="H1352">
        <v>1</v>
      </c>
      <c r="I1352">
        <v>1898</v>
      </c>
      <c r="J1352">
        <v>1</v>
      </c>
      <c r="K1352" t="s">
        <v>38</v>
      </c>
      <c r="L1352">
        <v>89</v>
      </c>
      <c r="M1352">
        <v>4</v>
      </c>
      <c r="N1352">
        <v>2</v>
      </c>
      <c r="O1352" t="s">
        <v>39</v>
      </c>
      <c r="P1352">
        <v>3</v>
      </c>
      <c r="Q1352" t="s">
        <v>40</v>
      </c>
      <c r="R1352">
        <v>6500</v>
      </c>
      <c r="S1352">
        <v>26997</v>
      </c>
      <c r="T1352">
        <v>0</v>
      </c>
      <c r="U1352" t="s">
        <v>41</v>
      </c>
      <c r="V1352" t="s">
        <v>42</v>
      </c>
      <c r="W1352">
        <v>14</v>
      </c>
      <c r="X1352">
        <v>3</v>
      </c>
      <c r="Y1352">
        <v>2</v>
      </c>
      <c r="Z1352">
        <v>80</v>
      </c>
      <c r="AA1352">
        <v>0</v>
      </c>
      <c r="AB1352">
        <v>9</v>
      </c>
      <c r="AC1352">
        <v>5</v>
      </c>
      <c r="AD1352">
        <v>2</v>
      </c>
      <c r="AE1352">
        <v>8</v>
      </c>
      <c r="AF1352">
        <v>7</v>
      </c>
      <c r="AG1352">
        <v>0</v>
      </c>
      <c r="AH1352">
        <v>7</v>
      </c>
    </row>
    <row r="1353" spans="1:34" x14ac:dyDescent="0.2">
      <c r="A1353">
        <v>48</v>
      </c>
      <c r="B1353" t="s">
        <v>42</v>
      </c>
      <c r="C1353" t="s">
        <v>43</v>
      </c>
      <c r="D1353" t="s">
        <v>44</v>
      </c>
      <c r="E1353">
        <v>22</v>
      </c>
      <c r="F1353">
        <v>3</v>
      </c>
      <c r="G1353" t="s">
        <v>50</v>
      </c>
      <c r="H1353">
        <v>1</v>
      </c>
      <c r="I1353">
        <v>1900</v>
      </c>
      <c r="J1353">
        <v>4</v>
      </c>
      <c r="K1353" t="s">
        <v>38</v>
      </c>
      <c r="L1353">
        <v>58</v>
      </c>
      <c r="M1353">
        <v>3</v>
      </c>
      <c r="N1353">
        <v>4</v>
      </c>
      <c r="O1353" t="s">
        <v>55</v>
      </c>
      <c r="P1353">
        <v>4</v>
      </c>
      <c r="Q1353" t="s">
        <v>51</v>
      </c>
      <c r="R1353">
        <v>17174</v>
      </c>
      <c r="S1353">
        <v>2437</v>
      </c>
      <c r="T1353">
        <v>3</v>
      </c>
      <c r="U1353" t="s">
        <v>41</v>
      </c>
      <c r="V1353" t="s">
        <v>42</v>
      </c>
      <c r="W1353">
        <v>11</v>
      </c>
      <c r="X1353">
        <v>3</v>
      </c>
      <c r="Y1353">
        <v>2</v>
      </c>
      <c r="Z1353">
        <v>80</v>
      </c>
      <c r="AA1353">
        <v>1</v>
      </c>
      <c r="AB1353">
        <v>24</v>
      </c>
      <c r="AC1353">
        <v>3</v>
      </c>
      <c r="AD1353">
        <v>3</v>
      </c>
      <c r="AE1353">
        <v>22</v>
      </c>
      <c r="AF1353">
        <v>17</v>
      </c>
      <c r="AG1353">
        <v>4</v>
      </c>
      <c r="AH1353">
        <v>7</v>
      </c>
    </row>
    <row r="1354" spans="1:34" x14ac:dyDescent="0.2">
      <c r="A1354">
        <v>44</v>
      </c>
      <c r="B1354" t="s">
        <v>42</v>
      </c>
      <c r="C1354" t="s">
        <v>35</v>
      </c>
      <c r="D1354" t="s">
        <v>44</v>
      </c>
      <c r="E1354">
        <v>1</v>
      </c>
      <c r="F1354">
        <v>4</v>
      </c>
      <c r="G1354" t="s">
        <v>37</v>
      </c>
      <c r="H1354">
        <v>1</v>
      </c>
      <c r="I1354">
        <v>1903</v>
      </c>
      <c r="J1354">
        <v>2</v>
      </c>
      <c r="K1354" t="s">
        <v>45</v>
      </c>
      <c r="L1354">
        <v>78</v>
      </c>
      <c r="M1354">
        <v>4</v>
      </c>
      <c r="N1354">
        <v>2</v>
      </c>
      <c r="O1354" t="s">
        <v>53</v>
      </c>
      <c r="P1354">
        <v>1</v>
      </c>
      <c r="Q1354" t="s">
        <v>47</v>
      </c>
      <c r="R1354">
        <v>5033</v>
      </c>
      <c r="S1354">
        <v>9364</v>
      </c>
      <c r="T1354">
        <v>2</v>
      </c>
      <c r="U1354" t="s">
        <v>41</v>
      </c>
      <c r="V1354" t="s">
        <v>42</v>
      </c>
      <c r="W1354">
        <v>15</v>
      </c>
      <c r="X1354">
        <v>3</v>
      </c>
      <c r="Y1354">
        <v>4</v>
      </c>
      <c r="Z1354">
        <v>80</v>
      </c>
      <c r="AA1354">
        <v>1</v>
      </c>
      <c r="AB1354">
        <v>10</v>
      </c>
      <c r="AC1354">
        <v>5</v>
      </c>
      <c r="AD1354">
        <v>3</v>
      </c>
      <c r="AE1354">
        <v>2</v>
      </c>
      <c r="AF1354">
        <v>0</v>
      </c>
      <c r="AG1354">
        <v>2</v>
      </c>
      <c r="AH1354">
        <v>2</v>
      </c>
    </row>
    <row r="1355" spans="1:34" x14ac:dyDescent="0.2">
      <c r="A1355">
        <v>34</v>
      </c>
      <c r="B1355" t="s">
        <v>34</v>
      </c>
      <c r="C1355" t="s">
        <v>54</v>
      </c>
      <c r="D1355" t="s">
        <v>44</v>
      </c>
      <c r="E1355">
        <v>16</v>
      </c>
      <c r="F1355">
        <v>4</v>
      </c>
      <c r="G1355" t="s">
        <v>59</v>
      </c>
      <c r="H1355">
        <v>1</v>
      </c>
      <c r="I1355">
        <v>1905</v>
      </c>
      <c r="J1355">
        <v>4</v>
      </c>
      <c r="K1355" t="s">
        <v>45</v>
      </c>
      <c r="L1355">
        <v>85</v>
      </c>
      <c r="M1355">
        <v>1</v>
      </c>
      <c r="N1355">
        <v>1</v>
      </c>
      <c r="O1355" t="s">
        <v>46</v>
      </c>
      <c r="P1355">
        <v>1</v>
      </c>
      <c r="Q1355" t="s">
        <v>47</v>
      </c>
      <c r="R1355">
        <v>2307</v>
      </c>
      <c r="S1355">
        <v>14460</v>
      </c>
      <c r="T1355">
        <v>1</v>
      </c>
      <c r="U1355" t="s">
        <v>41</v>
      </c>
      <c r="V1355" t="s">
        <v>34</v>
      </c>
      <c r="W1355">
        <v>23</v>
      </c>
      <c r="X1355">
        <v>4</v>
      </c>
      <c r="Y1355">
        <v>2</v>
      </c>
      <c r="Z1355">
        <v>80</v>
      </c>
      <c r="AA1355">
        <v>1</v>
      </c>
      <c r="AB1355">
        <v>5</v>
      </c>
      <c r="AC1355">
        <v>2</v>
      </c>
      <c r="AD1355">
        <v>3</v>
      </c>
      <c r="AE1355">
        <v>5</v>
      </c>
      <c r="AF1355">
        <v>2</v>
      </c>
      <c r="AG1355">
        <v>3</v>
      </c>
      <c r="AH1355">
        <v>0</v>
      </c>
    </row>
    <row r="1356" spans="1:34" x14ac:dyDescent="0.2">
      <c r="A1356">
        <v>56</v>
      </c>
      <c r="B1356" t="s">
        <v>34</v>
      </c>
      <c r="C1356" t="s">
        <v>35</v>
      </c>
      <c r="D1356" t="s">
        <v>44</v>
      </c>
      <c r="E1356">
        <v>24</v>
      </c>
      <c r="F1356">
        <v>2</v>
      </c>
      <c r="G1356" t="s">
        <v>37</v>
      </c>
      <c r="H1356">
        <v>1</v>
      </c>
      <c r="I1356">
        <v>1907</v>
      </c>
      <c r="J1356">
        <v>1</v>
      </c>
      <c r="K1356" t="s">
        <v>45</v>
      </c>
      <c r="L1356">
        <v>97</v>
      </c>
      <c r="M1356">
        <v>3</v>
      </c>
      <c r="N1356">
        <v>1</v>
      </c>
      <c r="O1356" t="s">
        <v>49</v>
      </c>
      <c r="P1356">
        <v>4</v>
      </c>
      <c r="Q1356" t="s">
        <v>40</v>
      </c>
      <c r="R1356">
        <v>2587</v>
      </c>
      <c r="S1356">
        <v>10261</v>
      </c>
      <c r="T1356">
        <v>1</v>
      </c>
      <c r="U1356" t="s">
        <v>41</v>
      </c>
      <c r="V1356" t="s">
        <v>42</v>
      </c>
      <c r="W1356">
        <v>16</v>
      </c>
      <c r="X1356">
        <v>3</v>
      </c>
      <c r="Y1356">
        <v>4</v>
      </c>
      <c r="Z1356">
        <v>80</v>
      </c>
      <c r="AA1356">
        <v>0</v>
      </c>
      <c r="AB1356">
        <v>5</v>
      </c>
      <c r="AC1356">
        <v>3</v>
      </c>
      <c r="AD1356">
        <v>3</v>
      </c>
      <c r="AE1356">
        <v>4</v>
      </c>
      <c r="AF1356">
        <v>2</v>
      </c>
      <c r="AG1356">
        <v>1</v>
      </c>
      <c r="AH1356">
        <v>0</v>
      </c>
    </row>
    <row r="1357" spans="1:34" x14ac:dyDescent="0.2">
      <c r="A1357">
        <v>36</v>
      </c>
      <c r="B1357" t="s">
        <v>42</v>
      </c>
      <c r="C1357" t="s">
        <v>35</v>
      </c>
      <c r="D1357" t="s">
        <v>36</v>
      </c>
      <c r="E1357">
        <v>17</v>
      </c>
      <c r="F1357">
        <v>2</v>
      </c>
      <c r="G1357" t="s">
        <v>58</v>
      </c>
      <c r="H1357">
        <v>1</v>
      </c>
      <c r="I1357">
        <v>1908</v>
      </c>
      <c r="J1357">
        <v>3</v>
      </c>
      <c r="K1357" t="s">
        <v>45</v>
      </c>
      <c r="L1357">
        <v>33</v>
      </c>
      <c r="M1357">
        <v>2</v>
      </c>
      <c r="N1357">
        <v>2</v>
      </c>
      <c r="O1357" t="s">
        <v>39</v>
      </c>
      <c r="P1357">
        <v>2</v>
      </c>
      <c r="Q1357" t="s">
        <v>47</v>
      </c>
      <c r="R1357">
        <v>5507</v>
      </c>
      <c r="S1357">
        <v>16822</v>
      </c>
      <c r="T1357">
        <v>2</v>
      </c>
      <c r="U1357" t="s">
        <v>41</v>
      </c>
      <c r="V1357" t="s">
        <v>42</v>
      </c>
      <c r="W1357">
        <v>16</v>
      </c>
      <c r="X1357">
        <v>3</v>
      </c>
      <c r="Y1357">
        <v>3</v>
      </c>
      <c r="Z1357">
        <v>80</v>
      </c>
      <c r="AA1357">
        <v>2</v>
      </c>
      <c r="AB1357">
        <v>12</v>
      </c>
      <c r="AC1357">
        <v>1</v>
      </c>
      <c r="AD1357">
        <v>1</v>
      </c>
      <c r="AE1357">
        <v>4</v>
      </c>
      <c r="AF1357">
        <v>2</v>
      </c>
      <c r="AG1357">
        <v>1</v>
      </c>
      <c r="AH1357">
        <v>3</v>
      </c>
    </row>
    <row r="1358" spans="1:34" x14ac:dyDescent="0.2">
      <c r="A1358">
        <v>41</v>
      </c>
      <c r="B1358" t="s">
        <v>42</v>
      </c>
      <c r="C1358" t="s">
        <v>35</v>
      </c>
      <c r="D1358" t="s">
        <v>36</v>
      </c>
      <c r="E1358">
        <v>8</v>
      </c>
      <c r="F1358">
        <v>3</v>
      </c>
      <c r="G1358" t="s">
        <v>58</v>
      </c>
      <c r="H1358">
        <v>1</v>
      </c>
      <c r="I1358">
        <v>1909</v>
      </c>
      <c r="J1358">
        <v>3</v>
      </c>
      <c r="K1358" t="s">
        <v>38</v>
      </c>
      <c r="L1358">
        <v>54</v>
      </c>
      <c r="M1358">
        <v>3</v>
      </c>
      <c r="N1358">
        <v>2</v>
      </c>
      <c r="O1358" t="s">
        <v>39</v>
      </c>
      <c r="P1358">
        <v>2</v>
      </c>
      <c r="Q1358" t="s">
        <v>47</v>
      </c>
      <c r="R1358">
        <v>4393</v>
      </c>
      <c r="S1358">
        <v>26841</v>
      </c>
      <c r="T1358">
        <v>5</v>
      </c>
      <c r="U1358" t="s">
        <v>41</v>
      </c>
      <c r="V1358" t="s">
        <v>42</v>
      </c>
      <c r="W1358">
        <v>21</v>
      </c>
      <c r="X1358">
        <v>4</v>
      </c>
      <c r="Y1358">
        <v>3</v>
      </c>
      <c r="Z1358">
        <v>80</v>
      </c>
      <c r="AA1358">
        <v>1</v>
      </c>
      <c r="AB1358">
        <v>14</v>
      </c>
      <c r="AC1358">
        <v>3</v>
      </c>
      <c r="AD1358">
        <v>3</v>
      </c>
      <c r="AE1358">
        <v>5</v>
      </c>
      <c r="AF1358">
        <v>4</v>
      </c>
      <c r="AG1358">
        <v>1</v>
      </c>
      <c r="AH1358">
        <v>4</v>
      </c>
    </row>
    <row r="1359" spans="1:34" x14ac:dyDescent="0.2">
      <c r="A1359">
        <v>42</v>
      </c>
      <c r="B1359" t="s">
        <v>42</v>
      </c>
      <c r="C1359" t="s">
        <v>35</v>
      </c>
      <c r="D1359" t="s">
        <v>44</v>
      </c>
      <c r="E1359">
        <v>6</v>
      </c>
      <c r="F1359">
        <v>3</v>
      </c>
      <c r="G1359" t="s">
        <v>50</v>
      </c>
      <c r="H1359">
        <v>1</v>
      </c>
      <c r="I1359">
        <v>1911</v>
      </c>
      <c r="J1359">
        <v>3</v>
      </c>
      <c r="K1359" t="s">
        <v>45</v>
      </c>
      <c r="L1359">
        <v>83</v>
      </c>
      <c r="M1359">
        <v>3</v>
      </c>
      <c r="N1359">
        <v>3</v>
      </c>
      <c r="O1359" t="s">
        <v>57</v>
      </c>
      <c r="P1359">
        <v>1</v>
      </c>
      <c r="Q1359" t="s">
        <v>47</v>
      </c>
      <c r="R1359">
        <v>13348</v>
      </c>
      <c r="S1359">
        <v>14842</v>
      </c>
      <c r="T1359">
        <v>9</v>
      </c>
      <c r="U1359" t="s">
        <v>41</v>
      </c>
      <c r="V1359" t="s">
        <v>42</v>
      </c>
      <c r="W1359">
        <v>13</v>
      </c>
      <c r="X1359">
        <v>3</v>
      </c>
      <c r="Y1359">
        <v>2</v>
      </c>
      <c r="Z1359">
        <v>80</v>
      </c>
      <c r="AA1359">
        <v>1</v>
      </c>
      <c r="AB1359">
        <v>18</v>
      </c>
      <c r="AC1359">
        <v>3</v>
      </c>
      <c r="AD1359">
        <v>4</v>
      </c>
      <c r="AE1359">
        <v>13</v>
      </c>
      <c r="AF1359">
        <v>7</v>
      </c>
      <c r="AG1359">
        <v>5</v>
      </c>
      <c r="AH1359">
        <v>7</v>
      </c>
    </row>
    <row r="1360" spans="1:34" x14ac:dyDescent="0.2">
      <c r="A1360">
        <v>31</v>
      </c>
      <c r="B1360" t="s">
        <v>42</v>
      </c>
      <c r="C1360" t="s">
        <v>35</v>
      </c>
      <c r="D1360" t="s">
        <v>36</v>
      </c>
      <c r="E1360">
        <v>10</v>
      </c>
      <c r="F1360">
        <v>2</v>
      </c>
      <c r="G1360" t="s">
        <v>50</v>
      </c>
      <c r="H1360">
        <v>1</v>
      </c>
      <c r="I1360">
        <v>1912</v>
      </c>
      <c r="J1360">
        <v>3</v>
      </c>
      <c r="K1360" t="s">
        <v>38</v>
      </c>
      <c r="L1360">
        <v>86</v>
      </c>
      <c r="M1360">
        <v>3</v>
      </c>
      <c r="N1360">
        <v>2</v>
      </c>
      <c r="O1360" t="s">
        <v>39</v>
      </c>
      <c r="P1360">
        <v>4</v>
      </c>
      <c r="Q1360" t="s">
        <v>51</v>
      </c>
      <c r="R1360">
        <v>6583</v>
      </c>
      <c r="S1360">
        <v>20115</v>
      </c>
      <c r="T1360">
        <v>2</v>
      </c>
      <c r="U1360" t="s">
        <v>41</v>
      </c>
      <c r="V1360" t="s">
        <v>34</v>
      </c>
      <c r="W1360">
        <v>11</v>
      </c>
      <c r="X1360">
        <v>3</v>
      </c>
      <c r="Y1360">
        <v>4</v>
      </c>
      <c r="Z1360">
        <v>80</v>
      </c>
      <c r="AA1360">
        <v>1</v>
      </c>
      <c r="AB1360">
        <v>8</v>
      </c>
      <c r="AC1360">
        <v>2</v>
      </c>
      <c r="AD1360">
        <v>3</v>
      </c>
      <c r="AE1360">
        <v>5</v>
      </c>
      <c r="AF1360">
        <v>2</v>
      </c>
      <c r="AG1360">
        <v>1</v>
      </c>
      <c r="AH1360">
        <v>4</v>
      </c>
    </row>
    <row r="1361" spans="1:34" x14ac:dyDescent="0.2">
      <c r="A1361">
        <v>34</v>
      </c>
      <c r="B1361" t="s">
        <v>42</v>
      </c>
      <c r="C1361" t="s">
        <v>35</v>
      </c>
      <c r="D1361" t="s">
        <v>36</v>
      </c>
      <c r="E1361">
        <v>3</v>
      </c>
      <c r="F1361">
        <v>1</v>
      </c>
      <c r="G1361" t="s">
        <v>50</v>
      </c>
      <c r="H1361">
        <v>1</v>
      </c>
      <c r="I1361">
        <v>1915</v>
      </c>
      <c r="J1361">
        <v>4</v>
      </c>
      <c r="K1361" t="s">
        <v>38</v>
      </c>
      <c r="L1361">
        <v>75</v>
      </c>
      <c r="M1361">
        <v>2</v>
      </c>
      <c r="N1361">
        <v>2</v>
      </c>
      <c r="O1361" t="s">
        <v>39</v>
      </c>
      <c r="P1361">
        <v>4</v>
      </c>
      <c r="Q1361" t="s">
        <v>47</v>
      </c>
      <c r="R1361">
        <v>8103</v>
      </c>
      <c r="S1361">
        <v>16495</v>
      </c>
      <c r="T1361">
        <v>3</v>
      </c>
      <c r="U1361" t="s">
        <v>41</v>
      </c>
      <c r="V1361" t="s">
        <v>34</v>
      </c>
      <c r="W1361">
        <v>12</v>
      </c>
      <c r="X1361">
        <v>3</v>
      </c>
      <c r="Y1361">
        <v>3</v>
      </c>
      <c r="Z1361">
        <v>80</v>
      </c>
      <c r="AA1361">
        <v>0</v>
      </c>
      <c r="AB1361">
        <v>9</v>
      </c>
      <c r="AC1361">
        <v>3</v>
      </c>
      <c r="AD1361">
        <v>2</v>
      </c>
      <c r="AE1361">
        <v>4</v>
      </c>
      <c r="AF1361">
        <v>2</v>
      </c>
      <c r="AG1361">
        <v>0</v>
      </c>
      <c r="AH1361">
        <v>1</v>
      </c>
    </row>
    <row r="1362" spans="1:34" x14ac:dyDescent="0.2">
      <c r="A1362">
        <v>31</v>
      </c>
      <c r="B1362" t="s">
        <v>42</v>
      </c>
      <c r="C1362" t="s">
        <v>35</v>
      </c>
      <c r="D1362" t="s">
        <v>44</v>
      </c>
      <c r="E1362">
        <v>4</v>
      </c>
      <c r="F1362">
        <v>3</v>
      </c>
      <c r="G1362" t="s">
        <v>50</v>
      </c>
      <c r="H1362">
        <v>1</v>
      </c>
      <c r="I1362">
        <v>1916</v>
      </c>
      <c r="J1362">
        <v>1</v>
      </c>
      <c r="K1362" t="s">
        <v>38</v>
      </c>
      <c r="L1362">
        <v>62</v>
      </c>
      <c r="M1362">
        <v>4</v>
      </c>
      <c r="N1362">
        <v>1</v>
      </c>
      <c r="O1362" t="s">
        <v>49</v>
      </c>
      <c r="P1362">
        <v>3</v>
      </c>
      <c r="Q1362" t="s">
        <v>51</v>
      </c>
      <c r="R1362">
        <v>3978</v>
      </c>
      <c r="S1362">
        <v>16031</v>
      </c>
      <c r="T1362">
        <v>8</v>
      </c>
      <c r="U1362" t="s">
        <v>41</v>
      </c>
      <c r="V1362" t="s">
        <v>42</v>
      </c>
      <c r="W1362">
        <v>12</v>
      </c>
      <c r="X1362">
        <v>3</v>
      </c>
      <c r="Y1362">
        <v>2</v>
      </c>
      <c r="Z1362">
        <v>80</v>
      </c>
      <c r="AA1362">
        <v>1</v>
      </c>
      <c r="AB1362">
        <v>4</v>
      </c>
      <c r="AC1362">
        <v>0</v>
      </c>
      <c r="AD1362">
        <v>2</v>
      </c>
      <c r="AE1362">
        <v>2</v>
      </c>
      <c r="AF1362">
        <v>2</v>
      </c>
      <c r="AG1362">
        <v>2</v>
      </c>
      <c r="AH1362">
        <v>2</v>
      </c>
    </row>
    <row r="1363" spans="1:34" x14ac:dyDescent="0.2">
      <c r="A1363">
        <v>26</v>
      </c>
      <c r="B1363" t="s">
        <v>42</v>
      </c>
      <c r="C1363" t="s">
        <v>43</v>
      </c>
      <c r="D1363" t="s">
        <v>44</v>
      </c>
      <c r="E1363">
        <v>6</v>
      </c>
      <c r="F1363">
        <v>3</v>
      </c>
      <c r="G1363" t="s">
        <v>48</v>
      </c>
      <c r="H1363">
        <v>1</v>
      </c>
      <c r="I1363">
        <v>1918</v>
      </c>
      <c r="J1363">
        <v>3</v>
      </c>
      <c r="K1363" t="s">
        <v>45</v>
      </c>
      <c r="L1363">
        <v>61</v>
      </c>
      <c r="M1363">
        <v>4</v>
      </c>
      <c r="N1363">
        <v>1</v>
      </c>
      <c r="O1363" t="s">
        <v>49</v>
      </c>
      <c r="P1363">
        <v>4</v>
      </c>
      <c r="Q1363" t="s">
        <v>47</v>
      </c>
      <c r="R1363">
        <v>2544</v>
      </c>
      <c r="S1363">
        <v>7102</v>
      </c>
      <c r="T1363">
        <v>0</v>
      </c>
      <c r="U1363" t="s">
        <v>41</v>
      </c>
      <c r="V1363" t="s">
        <v>42</v>
      </c>
      <c r="W1363">
        <v>18</v>
      </c>
      <c r="X1363">
        <v>3</v>
      </c>
      <c r="Y1363">
        <v>1</v>
      </c>
      <c r="Z1363">
        <v>80</v>
      </c>
      <c r="AA1363">
        <v>1</v>
      </c>
      <c r="AB1363">
        <v>8</v>
      </c>
      <c r="AC1363">
        <v>3</v>
      </c>
      <c r="AD1363">
        <v>3</v>
      </c>
      <c r="AE1363">
        <v>7</v>
      </c>
      <c r="AF1363">
        <v>7</v>
      </c>
      <c r="AG1363">
        <v>7</v>
      </c>
      <c r="AH1363">
        <v>7</v>
      </c>
    </row>
    <row r="1364" spans="1:34" x14ac:dyDescent="0.2">
      <c r="A1364">
        <v>45</v>
      </c>
      <c r="B1364" t="s">
        <v>42</v>
      </c>
      <c r="C1364" t="s">
        <v>43</v>
      </c>
      <c r="D1364" t="s">
        <v>44</v>
      </c>
      <c r="E1364">
        <v>1</v>
      </c>
      <c r="F1364">
        <v>4</v>
      </c>
      <c r="G1364" t="s">
        <v>50</v>
      </c>
      <c r="H1364">
        <v>1</v>
      </c>
      <c r="I1364">
        <v>1922</v>
      </c>
      <c r="J1364">
        <v>2</v>
      </c>
      <c r="K1364" t="s">
        <v>45</v>
      </c>
      <c r="L1364">
        <v>44</v>
      </c>
      <c r="M1364">
        <v>3</v>
      </c>
      <c r="N1364">
        <v>2</v>
      </c>
      <c r="O1364" t="s">
        <v>53</v>
      </c>
      <c r="P1364">
        <v>3</v>
      </c>
      <c r="Q1364" t="s">
        <v>40</v>
      </c>
      <c r="R1364">
        <v>5399</v>
      </c>
      <c r="S1364">
        <v>14511</v>
      </c>
      <c r="T1364">
        <v>4</v>
      </c>
      <c r="U1364" t="s">
        <v>41</v>
      </c>
      <c r="V1364" t="s">
        <v>42</v>
      </c>
      <c r="W1364">
        <v>12</v>
      </c>
      <c r="X1364">
        <v>3</v>
      </c>
      <c r="Y1364">
        <v>3</v>
      </c>
      <c r="Z1364">
        <v>80</v>
      </c>
      <c r="AA1364">
        <v>0</v>
      </c>
      <c r="AB1364">
        <v>12</v>
      </c>
      <c r="AC1364">
        <v>3</v>
      </c>
      <c r="AD1364">
        <v>3</v>
      </c>
      <c r="AE1364">
        <v>4</v>
      </c>
      <c r="AF1364">
        <v>2</v>
      </c>
      <c r="AG1364">
        <v>0</v>
      </c>
      <c r="AH1364">
        <v>3</v>
      </c>
    </row>
    <row r="1365" spans="1:34" x14ac:dyDescent="0.2">
      <c r="A1365">
        <v>33</v>
      </c>
      <c r="B1365" t="s">
        <v>42</v>
      </c>
      <c r="C1365" t="s">
        <v>35</v>
      </c>
      <c r="D1365" t="s">
        <v>36</v>
      </c>
      <c r="E1365">
        <v>10</v>
      </c>
      <c r="F1365">
        <v>4</v>
      </c>
      <c r="G1365" t="s">
        <v>58</v>
      </c>
      <c r="H1365">
        <v>1</v>
      </c>
      <c r="I1365">
        <v>1924</v>
      </c>
      <c r="J1365">
        <v>2</v>
      </c>
      <c r="K1365" t="s">
        <v>45</v>
      </c>
      <c r="L1365">
        <v>43</v>
      </c>
      <c r="M1365">
        <v>3</v>
      </c>
      <c r="N1365">
        <v>2</v>
      </c>
      <c r="O1365" t="s">
        <v>39</v>
      </c>
      <c r="P1365">
        <v>3</v>
      </c>
      <c r="Q1365" t="s">
        <v>40</v>
      </c>
      <c r="R1365">
        <v>5487</v>
      </c>
      <c r="S1365">
        <v>10410</v>
      </c>
      <c r="T1365">
        <v>1</v>
      </c>
      <c r="U1365" t="s">
        <v>41</v>
      </c>
      <c r="V1365" t="s">
        <v>42</v>
      </c>
      <c r="W1365">
        <v>14</v>
      </c>
      <c r="X1365">
        <v>3</v>
      </c>
      <c r="Y1365">
        <v>2</v>
      </c>
      <c r="Z1365">
        <v>80</v>
      </c>
      <c r="AA1365">
        <v>0</v>
      </c>
      <c r="AB1365">
        <v>10</v>
      </c>
      <c r="AC1365">
        <v>2</v>
      </c>
      <c r="AD1365">
        <v>2</v>
      </c>
      <c r="AE1365">
        <v>10</v>
      </c>
      <c r="AF1365">
        <v>4</v>
      </c>
      <c r="AG1365">
        <v>0</v>
      </c>
      <c r="AH1365">
        <v>9</v>
      </c>
    </row>
    <row r="1366" spans="1:34" x14ac:dyDescent="0.2">
      <c r="A1366">
        <v>28</v>
      </c>
      <c r="B1366" t="s">
        <v>42</v>
      </c>
      <c r="C1366" t="s">
        <v>43</v>
      </c>
      <c r="D1366" t="s">
        <v>36</v>
      </c>
      <c r="E1366">
        <v>1</v>
      </c>
      <c r="F1366">
        <v>2</v>
      </c>
      <c r="G1366" t="s">
        <v>37</v>
      </c>
      <c r="H1366">
        <v>1</v>
      </c>
      <c r="I1366">
        <v>1927</v>
      </c>
      <c r="J1366">
        <v>3</v>
      </c>
      <c r="K1366" t="s">
        <v>45</v>
      </c>
      <c r="L1366">
        <v>42</v>
      </c>
      <c r="M1366">
        <v>2</v>
      </c>
      <c r="N1366">
        <v>2</v>
      </c>
      <c r="O1366" t="s">
        <v>39</v>
      </c>
      <c r="P1366">
        <v>4</v>
      </c>
      <c r="Q1366" t="s">
        <v>47</v>
      </c>
      <c r="R1366">
        <v>6834</v>
      </c>
      <c r="S1366">
        <v>19255</v>
      </c>
      <c r="T1366">
        <v>1</v>
      </c>
      <c r="U1366" t="s">
        <v>41</v>
      </c>
      <c r="V1366" t="s">
        <v>34</v>
      </c>
      <c r="W1366">
        <v>12</v>
      </c>
      <c r="X1366">
        <v>3</v>
      </c>
      <c r="Y1366">
        <v>3</v>
      </c>
      <c r="Z1366">
        <v>80</v>
      </c>
      <c r="AA1366">
        <v>1</v>
      </c>
      <c r="AB1366">
        <v>7</v>
      </c>
      <c r="AC1366">
        <v>2</v>
      </c>
      <c r="AD1366">
        <v>3</v>
      </c>
      <c r="AE1366">
        <v>7</v>
      </c>
      <c r="AF1366">
        <v>7</v>
      </c>
      <c r="AG1366">
        <v>0</v>
      </c>
      <c r="AH1366">
        <v>7</v>
      </c>
    </row>
    <row r="1367" spans="1:34" x14ac:dyDescent="0.2">
      <c r="A1367">
        <v>29</v>
      </c>
      <c r="B1367" t="s">
        <v>34</v>
      </c>
      <c r="C1367" t="s">
        <v>43</v>
      </c>
      <c r="D1367" t="s">
        <v>36</v>
      </c>
      <c r="E1367">
        <v>24</v>
      </c>
      <c r="F1367">
        <v>3</v>
      </c>
      <c r="G1367" t="s">
        <v>59</v>
      </c>
      <c r="H1367">
        <v>1</v>
      </c>
      <c r="I1367">
        <v>1928</v>
      </c>
      <c r="J1367">
        <v>3</v>
      </c>
      <c r="K1367" t="s">
        <v>45</v>
      </c>
      <c r="L1367">
        <v>45</v>
      </c>
      <c r="M1367">
        <v>4</v>
      </c>
      <c r="N1367">
        <v>1</v>
      </c>
      <c r="O1367" t="s">
        <v>56</v>
      </c>
      <c r="P1367">
        <v>1</v>
      </c>
      <c r="Q1367" t="s">
        <v>40</v>
      </c>
      <c r="R1367">
        <v>1091</v>
      </c>
      <c r="S1367">
        <v>10642</v>
      </c>
      <c r="T1367">
        <v>1</v>
      </c>
      <c r="U1367" t="s">
        <v>41</v>
      </c>
      <c r="V1367" t="s">
        <v>42</v>
      </c>
      <c r="W1367">
        <v>17</v>
      </c>
      <c r="X1367">
        <v>3</v>
      </c>
      <c r="Y1367">
        <v>4</v>
      </c>
      <c r="Z1367">
        <v>80</v>
      </c>
      <c r="AA1367">
        <v>0</v>
      </c>
      <c r="AB1367">
        <v>1</v>
      </c>
      <c r="AC1367">
        <v>3</v>
      </c>
      <c r="AD1367">
        <v>3</v>
      </c>
      <c r="AE1367">
        <v>1</v>
      </c>
      <c r="AF1367">
        <v>0</v>
      </c>
      <c r="AG1367">
        <v>0</v>
      </c>
      <c r="AH1367">
        <v>0</v>
      </c>
    </row>
    <row r="1368" spans="1:34" x14ac:dyDescent="0.2">
      <c r="A1368">
        <v>39</v>
      </c>
      <c r="B1368" t="s">
        <v>42</v>
      </c>
      <c r="C1368" t="s">
        <v>54</v>
      </c>
      <c r="D1368" t="s">
        <v>36</v>
      </c>
      <c r="E1368">
        <v>21</v>
      </c>
      <c r="F1368">
        <v>4</v>
      </c>
      <c r="G1368" t="s">
        <v>37</v>
      </c>
      <c r="H1368">
        <v>1</v>
      </c>
      <c r="I1368">
        <v>1929</v>
      </c>
      <c r="J1368">
        <v>1</v>
      </c>
      <c r="K1368" t="s">
        <v>38</v>
      </c>
      <c r="L1368">
        <v>32</v>
      </c>
      <c r="M1368">
        <v>1</v>
      </c>
      <c r="N1368">
        <v>2</v>
      </c>
      <c r="O1368" t="s">
        <v>39</v>
      </c>
      <c r="P1368">
        <v>3</v>
      </c>
      <c r="Q1368" t="s">
        <v>47</v>
      </c>
      <c r="R1368">
        <v>5736</v>
      </c>
      <c r="S1368">
        <v>3987</v>
      </c>
      <c r="T1368">
        <v>6</v>
      </c>
      <c r="U1368" t="s">
        <v>41</v>
      </c>
      <c r="V1368" t="s">
        <v>42</v>
      </c>
      <c r="W1368">
        <v>19</v>
      </c>
      <c r="X1368">
        <v>3</v>
      </c>
      <c r="Y1368">
        <v>3</v>
      </c>
      <c r="Z1368">
        <v>80</v>
      </c>
      <c r="AA1368">
        <v>1</v>
      </c>
      <c r="AB1368">
        <v>10</v>
      </c>
      <c r="AC1368">
        <v>1</v>
      </c>
      <c r="AD1368">
        <v>3</v>
      </c>
      <c r="AE1368">
        <v>3</v>
      </c>
      <c r="AF1368">
        <v>2</v>
      </c>
      <c r="AG1368">
        <v>1</v>
      </c>
      <c r="AH1368">
        <v>2</v>
      </c>
    </row>
    <row r="1369" spans="1:34" x14ac:dyDescent="0.2">
      <c r="A1369">
        <v>27</v>
      </c>
      <c r="B1369" t="s">
        <v>42</v>
      </c>
      <c r="C1369" t="s">
        <v>35</v>
      </c>
      <c r="D1369" t="s">
        <v>44</v>
      </c>
      <c r="E1369">
        <v>2</v>
      </c>
      <c r="F1369">
        <v>4</v>
      </c>
      <c r="G1369" t="s">
        <v>59</v>
      </c>
      <c r="H1369">
        <v>1</v>
      </c>
      <c r="I1369">
        <v>1931</v>
      </c>
      <c r="J1369">
        <v>2</v>
      </c>
      <c r="K1369" t="s">
        <v>45</v>
      </c>
      <c r="L1369">
        <v>41</v>
      </c>
      <c r="M1369">
        <v>3</v>
      </c>
      <c r="N1369">
        <v>1</v>
      </c>
      <c r="O1369" t="s">
        <v>46</v>
      </c>
      <c r="P1369">
        <v>2</v>
      </c>
      <c r="Q1369" t="s">
        <v>47</v>
      </c>
      <c r="R1369">
        <v>2226</v>
      </c>
      <c r="S1369">
        <v>6073</v>
      </c>
      <c r="T1369">
        <v>1</v>
      </c>
      <c r="U1369" t="s">
        <v>41</v>
      </c>
      <c r="V1369" t="s">
        <v>42</v>
      </c>
      <c r="W1369">
        <v>11</v>
      </c>
      <c r="X1369">
        <v>3</v>
      </c>
      <c r="Y1369">
        <v>3</v>
      </c>
      <c r="Z1369">
        <v>80</v>
      </c>
      <c r="AA1369">
        <v>1</v>
      </c>
      <c r="AB1369">
        <v>6</v>
      </c>
      <c r="AC1369">
        <v>3</v>
      </c>
      <c r="AD1369">
        <v>2</v>
      </c>
      <c r="AE1369">
        <v>5</v>
      </c>
      <c r="AF1369">
        <v>3</v>
      </c>
      <c r="AG1369">
        <v>1</v>
      </c>
      <c r="AH1369">
        <v>2</v>
      </c>
    </row>
    <row r="1370" spans="1:34" x14ac:dyDescent="0.2">
      <c r="A1370">
        <v>34</v>
      </c>
      <c r="B1370" t="s">
        <v>42</v>
      </c>
      <c r="C1370" t="s">
        <v>43</v>
      </c>
      <c r="D1370" t="s">
        <v>44</v>
      </c>
      <c r="E1370">
        <v>22</v>
      </c>
      <c r="F1370">
        <v>4</v>
      </c>
      <c r="G1370" t="s">
        <v>48</v>
      </c>
      <c r="H1370">
        <v>1</v>
      </c>
      <c r="I1370">
        <v>1932</v>
      </c>
      <c r="J1370">
        <v>3</v>
      </c>
      <c r="K1370" t="s">
        <v>45</v>
      </c>
      <c r="L1370">
        <v>86</v>
      </c>
      <c r="M1370">
        <v>2</v>
      </c>
      <c r="N1370">
        <v>2</v>
      </c>
      <c r="O1370" t="s">
        <v>46</v>
      </c>
      <c r="P1370">
        <v>4</v>
      </c>
      <c r="Q1370" t="s">
        <v>47</v>
      </c>
      <c r="R1370">
        <v>5747</v>
      </c>
      <c r="S1370">
        <v>26496</v>
      </c>
      <c r="T1370">
        <v>1</v>
      </c>
      <c r="U1370" t="s">
        <v>41</v>
      </c>
      <c r="V1370" t="s">
        <v>34</v>
      </c>
      <c r="W1370">
        <v>15</v>
      </c>
      <c r="X1370">
        <v>3</v>
      </c>
      <c r="Y1370">
        <v>2</v>
      </c>
      <c r="Z1370">
        <v>80</v>
      </c>
      <c r="AA1370">
        <v>0</v>
      </c>
      <c r="AB1370">
        <v>16</v>
      </c>
      <c r="AC1370">
        <v>3</v>
      </c>
      <c r="AD1370">
        <v>3</v>
      </c>
      <c r="AE1370">
        <v>15</v>
      </c>
      <c r="AF1370">
        <v>10</v>
      </c>
      <c r="AG1370">
        <v>6</v>
      </c>
      <c r="AH1370">
        <v>11</v>
      </c>
    </row>
    <row r="1371" spans="1:34" x14ac:dyDescent="0.2">
      <c r="A1371">
        <v>28</v>
      </c>
      <c r="B1371" t="s">
        <v>34</v>
      </c>
      <c r="C1371" t="s">
        <v>35</v>
      </c>
      <c r="D1371" t="s">
        <v>36</v>
      </c>
      <c r="E1371">
        <v>13</v>
      </c>
      <c r="F1371">
        <v>2</v>
      </c>
      <c r="G1371" t="s">
        <v>58</v>
      </c>
      <c r="H1371">
        <v>1</v>
      </c>
      <c r="I1371">
        <v>1933</v>
      </c>
      <c r="J1371">
        <v>4</v>
      </c>
      <c r="K1371" t="s">
        <v>38</v>
      </c>
      <c r="L1371">
        <v>84</v>
      </c>
      <c r="M1371">
        <v>3</v>
      </c>
      <c r="N1371">
        <v>2</v>
      </c>
      <c r="O1371" t="s">
        <v>39</v>
      </c>
      <c r="P1371">
        <v>3</v>
      </c>
      <c r="Q1371" t="s">
        <v>40</v>
      </c>
      <c r="R1371">
        <v>9854</v>
      </c>
      <c r="S1371">
        <v>23352</v>
      </c>
      <c r="T1371">
        <v>3</v>
      </c>
      <c r="U1371" t="s">
        <v>41</v>
      </c>
      <c r="V1371" t="s">
        <v>34</v>
      </c>
      <c r="W1371">
        <v>11</v>
      </c>
      <c r="X1371">
        <v>3</v>
      </c>
      <c r="Y1371">
        <v>4</v>
      </c>
      <c r="Z1371">
        <v>80</v>
      </c>
      <c r="AA1371">
        <v>0</v>
      </c>
      <c r="AB1371">
        <v>6</v>
      </c>
      <c r="AC1371">
        <v>0</v>
      </c>
      <c r="AD1371">
        <v>3</v>
      </c>
      <c r="AE1371">
        <v>2</v>
      </c>
      <c r="AF1371">
        <v>0</v>
      </c>
      <c r="AG1371">
        <v>2</v>
      </c>
      <c r="AH1371">
        <v>2</v>
      </c>
    </row>
    <row r="1372" spans="1:34" x14ac:dyDescent="0.2">
      <c r="A1372">
        <v>47</v>
      </c>
      <c r="B1372" t="s">
        <v>42</v>
      </c>
      <c r="C1372" t="s">
        <v>54</v>
      </c>
      <c r="D1372" t="s">
        <v>44</v>
      </c>
      <c r="E1372">
        <v>14</v>
      </c>
      <c r="F1372">
        <v>4</v>
      </c>
      <c r="G1372" t="s">
        <v>59</v>
      </c>
      <c r="H1372">
        <v>1</v>
      </c>
      <c r="I1372">
        <v>1934</v>
      </c>
      <c r="J1372">
        <v>3</v>
      </c>
      <c r="K1372" t="s">
        <v>45</v>
      </c>
      <c r="L1372">
        <v>64</v>
      </c>
      <c r="M1372">
        <v>3</v>
      </c>
      <c r="N1372">
        <v>2</v>
      </c>
      <c r="O1372" t="s">
        <v>46</v>
      </c>
      <c r="P1372">
        <v>2</v>
      </c>
      <c r="Q1372" t="s">
        <v>47</v>
      </c>
      <c r="R1372">
        <v>5467</v>
      </c>
      <c r="S1372">
        <v>2125</v>
      </c>
      <c r="T1372">
        <v>8</v>
      </c>
      <c r="U1372" t="s">
        <v>41</v>
      </c>
      <c r="V1372" t="s">
        <v>42</v>
      </c>
      <c r="W1372">
        <v>18</v>
      </c>
      <c r="X1372">
        <v>3</v>
      </c>
      <c r="Y1372">
        <v>3</v>
      </c>
      <c r="Z1372">
        <v>80</v>
      </c>
      <c r="AA1372">
        <v>1</v>
      </c>
      <c r="AB1372">
        <v>16</v>
      </c>
      <c r="AC1372">
        <v>4</v>
      </c>
      <c r="AD1372">
        <v>4</v>
      </c>
      <c r="AE1372">
        <v>8</v>
      </c>
      <c r="AF1372">
        <v>7</v>
      </c>
      <c r="AG1372">
        <v>1</v>
      </c>
      <c r="AH1372">
        <v>7</v>
      </c>
    </row>
    <row r="1373" spans="1:34" x14ac:dyDescent="0.2">
      <c r="A1373">
        <v>56</v>
      </c>
      <c r="B1373" t="s">
        <v>42</v>
      </c>
      <c r="C1373" t="s">
        <v>35</v>
      </c>
      <c r="D1373" t="s">
        <v>36</v>
      </c>
      <c r="E1373">
        <v>11</v>
      </c>
      <c r="F1373">
        <v>5</v>
      </c>
      <c r="G1373" t="s">
        <v>58</v>
      </c>
      <c r="H1373">
        <v>1</v>
      </c>
      <c r="I1373">
        <v>1935</v>
      </c>
      <c r="J1373">
        <v>4</v>
      </c>
      <c r="K1373" t="s">
        <v>38</v>
      </c>
      <c r="L1373">
        <v>89</v>
      </c>
      <c r="M1373">
        <v>2</v>
      </c>
      <c r="N1373">
        <v>2</v>
      </c>
      <c r="O1373" t="s">
        <v>39</v>
      </c>
      <c r="P1373">
        <v>1</v>
      </c>
      <c r="Q1373" t="s">
        <v>47</v>
      </c>
      <c r="R1373">
        <v>5380</v>
      </c>
      <c r="S1373">
        <v>20328</v>
      </c>
      <c r="T1373">
        <v>4</v>
      </c>
      <c r="U1373" t="s">
        <v>41</v>
      </c>
      <c r="V1373" t="s">
        <v>42</v>
      </c>
      <c r="W1373">
        <v>16</v>
      </c>
      <c r="X1373">
        <v>3</v>
      </c>
      <c r="Y1373">
        <v>3</v>
      </c>
      <c r="Z1373">
        <v>80</v>
      </c>
      <c r="AA1373">
        <v>1</v>
      </c>
      <c r="AB1373">
        <v>6</v>
      </c>
      <c r="AC1373">
        <v>3</v>
      </c>
      <c r="AD1373">
        <v>3</v>
      </c>
      <c r="AE1373">
        <v>0</v>
      </c>
      <c r="AF1373">
        <v>0</v>
      </c>
      <c r="AG1373">
        <v>0</v>
      </c>
      <c r="AH1373">
        <v>0</v>
      </c>
    </row>
    <row r="1374" spans="1:34" x14ac:dyDescent="0.2">
      <c r="A1374">
        <v>39</v>
      </c>
      <c r="B1374" t="s">
        <v>42</v>
      </c>
      <c r="C1374" t="s">
        <v>35</v>
      </c>
      <c r="D1374" t="s">
        <v>44</v>
      </c>
      <c r="E1374">
        <v>9</v>
      </c>
      <c r="F1374">
        <v>2</v>
      </c>
      <c r="G1374" t="s">
        <v>50</v>
      </c>
      <c r="H1374">
        <v>1</v>
      </c>
      <c r="I1374">
        <v>1936</v>
      </c>
      <c r="J1374">
        <v>1</v>
      </c>
      <c r="K1374" t="s">
        <v>45</v>
      </c>
      <c r="L1374">
        <v>87</v>
      </c>
      <c r="M1374">
        <v>3</v>
      </c>
      <c r="N1374">
        <v>2</v>
      </c>
      <c r="O1374" t="s">
        <v>52</v>
      </c>
      <c r="P1374">
        <v>1</v>
      </c>
      <c r="Q1374" t="s">
        <v>47</v>
      </c>
      <c r="R1374">
        <v>5151</v>
      </c>
      <c r="S1374">
        <v>12315</v>
      </c>
      <c r="T1374">
        <v>1</v>
      </c>
      <c r="U1374" t="s">
        <v>41</v>
      </c>
      <c r="V1374" t="s">
        <v>42</v>
      </c>
      <c r="W1374">
        <v>25</v>
      </c>
      <c r="X1374">
        <v>4</v>
      </c>
      <c r="Y1374">
        <v>4</v>
      </c>
      <c r="Z1374">
        <v>80</v>
      </c>
      <c r="AA1374">
        <v>1</v>
      </c>
      <c r="AB1374">
        <v>10</v>
      </c>
      <c r="AC1374">
        <v>3</v>
      </c>
      <c r="AD1374">
        <v>3</v>
      </c>
      <c r="AE1374">
        <v>10</v>
      </c>
      <c r="AF1374">
        <v>0</v>
      </c>
      <c r="AG1374">
        <v>7</v>
      </c>
      <c r="AH1374">
        <v>9</v>
      </c>
    </row>
    <row r="1375" spans="1:34" x14ac:dyDescent="0.2">
      <c r="A1375">
        <v>38</v>
      </c>
      <c r="B1375" t="s">
        <v>42</v>
      </c>
      <c r="C1375" t="s">
        <v>43</v>
      </c>
      <c r="D1375" t="s">
        <v>44</v>
      </c>
      <c r="E1375">
        <v>8</v>
      </c>
      <c r="F1375">
        <v>3</v>
      </c>
      <c r="G1375" t="s">
        <v>50</v>
      </c>
      <c r="H1375">
        <v>1</v>
      </c>
      <c r="I1375">
        <v>1937</v>
      </c>
      <c r="J1375">
        <v>4</v>
      </c>
      <c r="K1375" t="s">
        <v>38</v>
      </c>
      <c r="L1375">
        <v>58</v>
      </c>
      <c r="M1375">
        <v>2</v>
      </c>
      <c r="N1375">
        <v>2</v>
      </c>
      <c r="O1375" t="s">
        <v>46</v>
      </c>
      <c r="P1375">
        <v>2</v>
      </c>
      <c r="Q1375" t="s">
        <v>51</v>
      </c>
      <c r="R1375">
        <v>2133</v>
      </c>
      <c r="S1375">
        <v>18115</v>
      </c>
      <c r="T1375">
        <v>1</v>
      </c>
      <c r="U1375" t="s">
        <v>41</v>
      </c>
      <c r="V1375" t="s">
        <v>34</v>
      </c>
      <c r="W1375">
        <v>16</v>
      </c>
      <c r="X1375">
        <v>3</v>
      </c>
      <c r="Y1375">
        <v>3</v>
      </c>
      <c r="Z1375">
        <v>80</v>
      </c>
      <c r="AA1375">
        <v>1</v>
      </c>
      <c r="AB1375">
        <v>20</v>
      </c>
      <c r="AC1375">
        <v>3</v>
      </c>
      <c r="AD1375">
        <v>3</v>
      </c>
      <c r="AE1375">
        <v>20</v>
      </c>
      <c r="AF1375">
        <v>11</v>
      </c>
      <c r="AG1375">
        <v>0</v>
      </c>
      <c r="AH1375">
        <v>7</v>
      </c>
    </row>
    <row r="1376" spans="1:34" x14ac:dyDescent="0.2">
      <c r="A1376">
        <v>58</v>
      </c>
      <c r="B1376" t="s">
        <v>42</v>
      </c>
      <c r="C1376" t="s">
        <v>35</v>
      </c>
      <c r="D1376" t="s">
        <v>36</v>
      </c>
      <c r="E1376">
        <v>21</v>
      </c>
      <c r="F1376">
        <v>3</v>
      </c>
      <c r="G1376" t="s">
        <v>37</v>
      </c>
      <c r="H1376">
        <v>1</v>
      </c>
      <c r="I1376">
        <v>1938</v>
      </c>
      <c r="J1376">
        <v>4</v>
      </c>
      <c r="K1376" t="s">
        <v>38</v>
      </c>
      <c r="L1376">
        <v>72</v>
      </c>
      <c r="M1376">
        <v>3</v>
      </c>
      <c r="N1376">
        <v>4</v>
      </c>
      <c r="O1376" t="s">
        <v>55</v>
      </c>
      <c r="P1376">
        <v>4</v>
      </c>
      <c r="Q1376" t="s">
        <v>47</v>
      </c>
      <c r="R1376">
        <v>17875</v>
      </c>
      <c r="S1376">
        <v>11761</v>
      </c>
      <c r="T1376">
        <v>4</v>
      </c>
      <c r="U1376" t="s">
        <v>41</v>
      </c>
      <c r="V1376" t="s">
        <v>34</v>
      </c>
      <c r="W1376">
        <v>13</v>
      </c>
      <c r="X1376">
        <v>3</v>
      </c>
      <c r="Y1376">
        <v>3</v>
      </c>
      <c r="Z1376">
        <v>80</v>
      </c>
      <c r="AA1376">
        <v>1</v>
      </c>
      <c r="AB1376">
        <v>29</v>
      </c>
      <c r="AC1376">
        <v>2</v>
      </c>
      <c r="AD1376">
        <v>2</v>
      </c>
      <c r="AE1376">
        <v>1</v>
      </c>
      <c r="AF1376">
        <v>0</v>
      </c>
      <c r="AG1376">
        <v>0</v>
      </c>
      <c r="AH1376">
        <v>0</v>
      </c>
    </row>
    <row r="1377" spans="1:34" x14ac:dyDescent="0.2">
      <c r="A1377">
        <v>32</v>
      </c>
      <c r="B1377" t="s">
        <v>34</v>
      </c>
      <c r="C1377" t="s">
        <v>43</v>
      </c>
      <c r="D1377" t="s">
        <v>44</v>
      </c>
      <c r="E1377">
        <v>5</v>
      </c>
      <c r="F1377">
        <v>2</v>
      </c>
      <c r="G1377" t="s">
        <v>37</v>
      </c>
      <c r="H1377">
        <v>1</v>
      </c>
      <c r="I1377">
        <v>1939</v>
      </c>
      <c r="J1377">
        <v>1</v>
      </c>
      <c r="K1377" t="s">
        <v>38</v>
      </c>
      <c r="L1377">
        <v>47</v>
      </c>
      <c r="M1377">
        <v>4</v>
      </c>
      <c r="N1377">
        <v>1</v>
      </c>
      <c r="O1377" t="s">
        <v>46</v>
      </c>
      <c r="P1377">
        <v>3</v>
      </c>
      <c r="Q1377" t="s">
        <v>40</v>
      </c>
      <c r="R1377">
        <v>2432</v>
      </c>
      <c r="S1377">
        <v>15318</v>
      </c>
      <c r="T1377">
        <v>3</v>
      </c>
      <c r="U1377" t="s">
        <v>41</v>
      </c>
      <c r="V1377" t="s">
        <v>34</v>
      </c>
      <c r="W1377">
        <v>14</v>
      </c>
      <c r="X1377">
        <v>3</v>
      </c>
      <c r="Y1377">
        <v>1</v>
      </c>
      <c r="Z1377">
        <v>80</v>
      </c>
      <c r="AA1377">
        <v>0</v>
      </c>
      <c r="AB1377">
        <v>8</v>
      </c>
      <c r="AC1377">
        <v>2</v>
      </c>
      <c r="AD1377">
        <v>3</v>
      </c>
      <c r="AE1377">
        <v>4</v>
      </c>
      <c r="AF1377">
        <v>1</v>
      </c>
      <c r="AG1377">
        <v>0</v>
      </c>
      <c r="AH1377">
        <v>3</v>
      </c>
    </row>
    <row r="1378" spans="1:34" x14ac:dyDescent="0.2">
      <c r="A1378">
        <v>38</v>
      </c>
      <c r="B1378" t="s">
        <v>42</v>
      </c>
      <c r="C1378" t="s">
        <v>35</v>
      </c>
      <c r="D1378" t="s">
        <v>44</v>
      </c>
      <c r="E1378">
        <v>9</v>
      </c>
      <c r="F1378">
        <v>2</v>
      </c>
      <c r="G1378" t="s">
        <v>37</v>
      </c>
      <c r="H1378">
        <v>1</v>
      </c>
      <c r="I1378">
        <v>1940</v>
      </c>
      <c r="J1378">
        <v>2</v>
      </c>
      <c r="K1378" t="s">
        <v>45</v>
      </c>
      <c r="L1378">
        <v>71</v>
      </c>
      <c r="M1378">
        <v>3</v>
      </c>
      <c r="N1378">
        <v>1</v>
      </c>
      <c r="O1378" t="s">
        <v>46</v>
      </c>
      <c r="P1378">
        <v>4</v>
      </c>
      <c r="Q1378" t="s">
        <v>51</v>
      </c>
      <c r="R1378">
        <v>4771</v>
      </c>
      <c r="S1378">
        <v>14293</v>
      </c>
      <c r="T1378">
        <v>2</v>
      </c>
      <c r="U1378" t="s">
        <v>41</v>
      </c>
      <c r="V1378" t="s">
        <v>42</v>
      </c>
      <c r="W1378">
        <v>19</v>
      </c>
      <c r="X1378">
        <v>3</v>
      </c>
      <c r="Y1378">
        <v>4</v>
      </c>
      <c r="Z1378">
        <v>80</v>
      </c>
      <c r="AA1378">
        <v>2</v>
      </c>
      <c r="AB1378">
        <v>10</v>
      </c>
      <c r="AC1378">
        <v>0</v>
      </c>
      <c r="AD1378">
        <v>4</v>
      </c>
      <c r="AE1378">
        <v>5</v>
      </c>
      <c r="AF1378">
        <v>2</v>
      </c>
      <c r="AG1378">
        <v>0</v>
      </c>
      <c r="AH1378">
        <v>3</v>
      </c>
    </row>
    <row r="1379" spans="1:34" x14ac:dyDescent="0.2">
      <c r="A1379">
        <v>49</v>
      </c>
      <c r="B1379" t="s">
        <v>42</v>
      </c>
      <c r="C1379" t="s">
        <v>43</v>
      </c>
      <c r="D1379" t="s">
        <v>44</v>
      </c>
      <c r="E1379">
        <v>2</v>
      </c>
      <c r="F1379">
        <v>1</v>
      </c>
      <c r="G1379" t="s">
        <v>37</v>
      </c>
      <c r="H1379">
        <v>1</v>
      </c>
      <c r="I1379">
        <v>1941</v>
      </c>
      <c r="J1379">
        <v>2</v>
      </c>
      <c r="K1379" t="s">
        <v>45</v>
      </c>
      <c r="L1379">
        <v>42</v>
      </c>
      <c r="M1379">
        <v>3</v>
      </c>
      <c r="N1379">
        <v>5</v>
      </c>
      <c r="O1379" t="s">
        <v>57</v>
      </c>
      <c r="P1379">
        <v>4</v>
      </c>
      <c r="Q1379" t="s">
        <v>47</v>
      </c>
      <c r="R1379">
        <v>19161</v>
      </c>
      <c r="S1379">
        <v>13738</v>
      </c>
      <c r="T1379">
        <v>3</v>
      </c>
      <c r="U1379" t="s">
        <v>41</v>
      </c>
      <c r="V1379" t="s">
        <v>42</v>
      </c>
      <c r="W1379">
        <v>15</v>
      </c>
      <c r="X1379">
        <v>3</v>
      </c>
      <c r="Y1379">
        <v>4</v>
      </c>
      <c r="Z1379">
        <v>80</v>
      </c>
      <c r="AA1379">
        <v>0</v>
      </c>
      <c r="AB1379">
        <v>28</v>
      </c>
      <c r="AC1379">
        <v>3</v>
      </c>
      <c r="AD1379">
        <v>3</v>
      </c>
      <c r="AE1379">
        <v>5</v>
      </c>
      <c r="AF1379">
        <v>4</v>
      </c>
      <c r="AG1379">
        <v>4</v>
      </c>
      <c r="AH1379">
        <v>3</v>
      </c>
    </row>
    <row r="1380" spans="1:34" x14ac:dyDescent="0.2">
      <c r="A1380">
        <v>42</v>
      </c>
      <c r="B1380" t="s">
        <v>42</v>
      </c>
      <c r="C1380" t="s">
        <v>35</v>
      </c>
      <c r="D1380" t="s">
        <v>36</v>
      </c>
      <c r="E1380">
        <v>12</v>
      </c>
      <c r="F1380">
        <v>4</v>
      </c>
      <c r="G1380" t="s">
        <v>58</v>
      </c>
      <c r="H1380">
        <v>1</v>
      </c>
      <c r="I1380">
        <v>1943</v>
      </c>
      <c r="J1380">
        <v>2</v>
      </c>
      <c r="K1380" t="s">
        <v>45</v>
      </c>
      <c r="L1380">
        <v>77</v>
      </c>
      <c r="M1380">
        <v>3</v>
      </c>
      <c r="N1380">
        <v>2</v>
      </c>
      <c r="O1380" t="s">
        <v>39</v>
      </c>
      <c r="P1380">
        <v>4</v>
      </c>
      <c r="Q1380" t="s">
        <v>51</v>
      </c>
      <c r="R1380">
        <v>5087</v>
      </c>
      <c r="S1380">
        <v>2900</v>
      </c>
      <c r="T1380">
        <v>3</v>
      </c>
      <c r="U1380" t="s">
        <v>41</v>
      </c>
      <c r="V1380" t="s">
        <v>34</v>
      </c>
      <c r="W1380">
        <v>12</v>
      </c>
      <c r="X1380">
        <v>3</v>
      </c>
      <c r="Y1380">
        <v>3</v>
      </c>
      <c r="Z1380">
        <v>80</v>
      </c>
      <c r="AA1380">
        <v>2</v>
      </c>
      <c r="AB1380">
        <v>14</v>
      </c>
      <c r="AC1380">
        <v>4</v>
      </c>
      <c r="AD1380">
        <v>3</v>
      </c>
      <c r="AE1380">
        <v>0</v>
      </c>
      <c r="AF1380">
        <v>0</v>
      </c>
      <c r="AG1380">
        <v>0</v>
      </c>
      <c r="AH1380">
        <v>0</v>
      </c>
    </row>
    <row r="1381" spans="1:34" x14ac:dyDescent="0.2">
      <c r="A1381">
        <v>27</v>
      </c>
      <c r="B1381" t="s">
        <v>34</v>
      </c>
      <c r="C1381" t="s">
        <v>43</v>
      </c>
      <c r="D1381" t="s">
        <v>60</v>
      </c>
      <c r="E1381">
        <v>22</v>
      </c>
      <c r="F1381">
        <v>3</v>
      </c>
      <c r="G1381" t="s">
        <v>60</v>
      </c>
      <c r="H1381">
        <v>1</v>
      </c>
      <c r="I1381">
        <v>1944</v>
      </c>
      <c r="J1381">
        <v>1</v>
      </c>
      <c r="K1381" t="s">
        <v>38</v>
      </c>
      <c r="L1381">
        <v>58</v>
      </c>
      <c r="M1381">
        <v>2</v>
      </c>
      <c r="N1381">
        <v>1</v>
      </c>
      <c r="O1381" t="s">
        <v>60</v>
      </c>
      <c r="P1381">
        <v>2</v>
      </c>
      <c r="Q1381" t="s">
        <v>47</v>
      </c>
      <c r="R1381">
        <v>2863</v>
      </c>
      <c r="S1381">
        <v>19555</v>
      </c>
      <c r="T1381">
        <v>1</v>
      </c>
      <c r="U1381" t="s">
        <v>41</v>
      </c>
      <c r="V1381" t="s">
        <v>42</v>
      </c>
      <c r="W1381">
        <v>12</v>
      </c>
      <c r="X1381">
        <v>3</v>
      </c>
      <c r="Y1381">
        <v>1</v>
      </c>
      <c r="Z1381">
        <v>80</v>
      </c>
      <c r="AA1381">
        <v>0</v>
      </c>
      <c r="AB1381">
        <v>1</v>
      </c>
      <c r="AC1381">
        <v>2</v>
      </c>
      <c r="AD1381">
        <v>3</v>
      </c>
      <c r="AE1381">
        <v>1</v>
      </c>
      <c r="AF1381">
        <v>0</v>
      </c>
      <c r="AG1381">
        <v>0</v>
      </c>
      <c r="AH1381">
        <v>0</v>
      </c>
    </row>
    <row r="1382" spans="1:34" x14ac:dyDescent="0.2">
      <c r="A1382">
        <v>35</v>
      </c>
      <c r="B1382" t="s">
        <v>42</v>
      </c>
      <c r="C1382" t="s">
        <v>35</v>
      </c>
      <c r="D1382" t="s">
        <v>36</v>
      </c>
      <c r="E1382">
        <v>18</v>
      </c>
      <c r="F1382">
        <v>4</v>
      </c>
      <c r="G1382" t="s">
        <v>50</v>
      </c>
      <c r="H1382">
        <v>1</v>
      </c>
      <c r="I1382">
        <v>1945</v>
      </c>
      <c r="J1382">
        <v>2</v>
      </c>
      <c r="K1382" t="s">
        <v>45</v>
      </c>
      <c r="L1382">
        <v>71</v>
      </c>
      <c r="M1382">
        <v>3</v>
      </c>
      <c r="N1382">
        <v>2</v>
      </c>
      <c r="O1382" t="s">
        <v>39</v>
      </c>
      <c r="P1382">
        <v>1</v>
      </c>
      <c r="Q1382" t="s">
        <v>47</v>
      </c>
      <c r="R1382">
        <v>5561</v>
      </c>
      <c r="S1382">
        <v>15975</v>
      </c>
      <c r="T1382">
        <v>0</v>
      </c>
      <c r="U1382" t="s">
        <v>41</v>
      </c>
      <c r="V1382" t="s">
        <v>42</v>
      </c>
      <c r="W1382">
        <v>16</v>
      </c>
      <c r="X1382">
        <v>3</v>
      </c>
      <c r="Y1382">
        <v>4</v>
      </c>
      <c r="Z1382">
        <v>80</v>
      </c>
      <c r="AA1382">
        <v>1</v>
      </c>
      <c r="AB1382">
        <v>6</v>
      </c>
      <c r="AC1382">
        <v>2</v>
      </c>
      <c r="AD1382">
        <v>1</v>
      </c>
      <c r="AE1382">
        <v>5</v>
      </c>
      <c r="AF1382">
        <v>3</v>
      </c>
      <c r="AG1382">
        <v>0</v>
      </c>
      <c r="AH1382">
        <v>4</v>
      </c>
    </row>
    <row r="1383" spans="1:34" x14ac:dyDescent="0.2">
      <c r="A1383">
        <v>28</v>
      </c>
      <c r="B1383" t="s">
        <v>42</v>
      </c>
      <c r="C1383" t="s">
        <v>54</v>
      </c>
      <c r="D1383" t="s">
        <v>44</v>
      </c>
      <c r="E1383">
        <v>16</v>
      </c>
      <c r="F1383">
        <v>3</v>
      </c>
      <c r="G1383" t="s">
        <v>50</v>
      </c>
      <c r="H1383">
        <v>1</v>
      </c>
      <c r="I1383">
        <v>1947</v>
      </c>
      <c r="J1383">
        <v>3</v>
      </c>
      <c r="K1383" t="s">
        <v>45</v>
      </c>
      <c r="L1383">
        <v>49</v>
      </c>
      <c r="M1383">
        <v>3</v>
      </c>
      <c r="N1383">
        <v>1</v>
      </c>
      <c r="O1383" t="s">
        <v>46</v>
      </c>
      <c r="P1383">
        <v>3</v>
      </c>
      <c r="Q1383" t="s">
        <v>40</v>
      </c>
      <c r="R1383">
        <v>2144</v>
      </c>
      <c r="S1383">
        <v>2122</v>
      </c>
      <c r="T1383">
        <v>1</v>
      </c>
      <c r="U1383" t="s">
        <v>41</v>
      </c>
      <c r="V1383" t="s">
        <v>42</v>
      </c>
      <c r="W1383">
        <v>14</v>
      </c>
      <c r="X1383">
        <v>3</v>
      </c>
      <c r="Y1383">
        <v>3</v>
      </c>
      <c r="Z1383">
        <v>80</v>
      </c>
      <c r="AA1383">
        <v>0</v>
      </c>
      <c r="AB1383">
        <v>5</v>
      </c>
      <c r="AC1383">
        <v>3</v>
      </c>
      <c r="AD1383">
        <v>2</v>
      </c>
      <c r="AE1383">
        <v>5</v>
      </c>
      <c r="AF1383">
        <v>3</v>
      </c>
      <c r="AG1383">
        <v>1</v>
      </c>
      <c r="AH1383">
        <v>4</v>
      </c>
    </row>
    <row r="1384" spans="1:34" x14ac:dyDescent="0.2">
      <c r="A1384">
        <v>31</v>
      </c>
      <c r="B1384" t="s">
        <v>42</v>
      </c>
      <c r="C1384" t="s">
        <v>54</v>
      </c>
      <c r="D1384" t="s">
        <v>44</v>
      </c>
      <c r="E1384">
        <v>3</v>
      </c>
      <c r="F1384">
        <v>2</v>
      </c>
      <c r="G1384" t="s">
        <v>50</v>
      </c>
      <c r="H1384">
        <v>1</v>
      </c>
      <c r="I1384">
        <v>1948</v>
      </c>
      <c r="J1384">
        <v>3</v>
      </c>
      <c r="K1384" t="s">
        <v>45</v>
      </c>
      <c r="L1384">
        <v>48</v>
      </c>
      <c r="M1384">
        <v>3</v>
      </c>
      <c r="N1384">
        <v>1</v>
      </c>
      <c r="O1384" t="s">
        <v>46</v>
      </c>
      <c r="P1384">
        <v>1</v>
      </c>
      <c r="Q1384" t="s">
        <v>51</v>
      </c>
      <c r="R1384">
        <v>3065</v>
      </c>
      <c r="S1384">
        <v>3995</v>
      </c>
      <c r="T1384">
        <v>1</v>
      </c>
      <c r="U1384" t="s">
        <v>41</v>
      </c>
      <c r="V1384" t="s">
        <v>34</v>
      </c>
      <c r="W1384">
        <v>13</v>
      </c>
      <c r="X1384">
        <v>3</v>
      </c>
      <c r="Y1384">
        <v>4</v>
      </c>
      <c r="Z1384">
        <v>80</v>
      </c>
      <c r="AA1384">
        <v>1</v>
      </c>
      <c r="AB1384">
        <v>4</v>
      </c>
      <c r="AC1384">
        <v>3</v>
      </c>
      <c r="AD1384">
        <v>4</v>
      </c>
      <c r="AE1384">
        <v>4</v>
      </c>
      <c r="AF1384">
        <v>2</v>
      </c>
      <c r="AG1384">
        <v>2</v>
      </c>
      <c r="AH1384">
        <v>3</v>
      </c>
    </row>
    <row r="1385" spans="1:34" x14ac:dyDescent="0.2">
      <c r="A1385">
        <v>36</v>
      </c>
      <c r="B1385" t="s">
        <v>42</v>
      </c>
      <c r="C1385" t="s">
        <v>54</v>
      </c>
      <c r="D1385" t="s">
        <v>44</v>
      </c>
      <c r="E1385">
        <v>9</v>
      </c>
      <c r="F1385">
        <v>4</v>
      </c>
      <c r="G1385" t="s">
        <v>37</v>
      </c>
      <c r="H1385">
        <v>1</v>
      </c>
      <c r="I1385">
        <v>1949</v>
      </c>
      <c r="J1385">
        <v>1</v>
      </c>
      <c r="K1385" t="s">
        <v>45</v>
      </c>
      <c r="L1385">
        <v>66</v>
      </c>
      <c r="M1385">
        <v>4</v>
      </c>
      <c r="N1385">
        <v>1</v>
      </c>
      <c r="O1385" t="s">
        <v>49</v>
      </c>
      <c r="P1385">
        <v>2</v>
      </c>
      <c r="Q1385" t="s">
        <v>47</v>
      </c>
      <c r="R1385">
        <v>2810</v>
      </c>
      <c r="S1385">
        <v>9238</v>
      </c>
      <c r="T1385">
        <v>1</v>
      </c>
      <c r="U1385" t="s">
        <v>41</v>
      </c>
      <c r="V1385" t="s">
        <v>42</v>
      </c>
      <c r="W1385">
        <v>22</v>
      </c>
      <c r="X1385">
        <v>4</v>
      </c>
      <c r="Y1385">
        <v>2</v>
      </c>
      <c r="Z1385">
        <v>80</v>
      </c>
      <c r="AA1385">
        <v>0</v>
      </c>
      <c r="AB1385">
        <v>5</v>
      </c>
      <c r="AC1385">
        <v>3</v>
      </c>
      <c r="AD1385">
        <v>3</v>
      </c>
      <c r="AE1385">
        <v>5</v>
      </c>
      <c r="AF1385">
        <v>4</v>
      </c>
      <c r="AG1385">
        <v>0</v>
      </c>
      <c r="AH1385">
        <v>2</v>
      </c>
    </row>
    <row r="1386" spans="1:34" x14ac:dyDescent="0.2">
      <c r="A1386">
        <v>34</v>
      </c>
      <c r="B1386" t="s">
        <v>42</v>
      </c>
      <c r="C1386" t="s">
        <v>35</v>
      </c>
      <c r="D1386" t="s">
        <v>36</v>
      </c>
      <c r="E1386">
        <v>1</v>
      </c>
      <c r="F1386">
        <v>3</v>
      </c>
      <c r="G1386" t="s">
        <v>58</v>
      </c>
      <c r="H1386">
        <v>1</v>
      </c>
      <c r="I1386">
        <v>1950</v>
      </c>
      <c r="J1386">
        <v>1</v>
      </c>
      <c r="K1386" t="s">
        <v>45</v>
      </c>
      <c r="L1386">
        <v>32</v>
      </c>
      <c r="M1386">
        <v>3</v>
      </c>
      <c r="N1386">
        <v>3</v>
      </c>
      <c r="O1386" t="s">
        <v>39</v>
      </c>
      <c r="P1386">
        <v>4</v>
      </c>
      <c r="Q1386" t="s">
        <v>40</v>
      </c>
      <c r="R1386">
        <v>9888</v>
      </c>
      <c r="S1386">
        <v>6770</v>
      </c>
      <c r="T1386">
        <v>1</v>
      </c>
      <c r="U1386" t="s">
        <v>41</v>
      </c>
      <c r="V1386" t="s">
        <v>42</v>
      </c>
      <c r="W1386">
        <v>21</v>
      </c>
      <c r="X1386">
        <v>4</v>
      </c>
      <c r="Y1386">
        <v>1</v>
      </c>
      <c r="Z1386">
        <v>80</v>
      </c>
      <c r="AA1386">
        <v>0</v>
      </c>
      <c r="AB1386">
        <v>14</v>
      </c>
      <c r="AC1386">
        <v>3</v>
      </c>
      <c r="AD1386">
        <v>2</v>
      </c>
      <c r="AE1386">
        <v>14</v>
      </c>
      <c r="AF1386">
        <v>8</v>
      </c>
      <c r="AG1386">
        <v>2</v>
      </c>
      <c r="AH1386">
        <v>1</v>
      </c>
    </row>
    <row r="1387" spans="1:34" x14ac:dyDescent="0.2">
      <c r="A1387">
        <v>34</v>
      </c>
      <c r="B1387" t="s">
        <v>42</v>
      </c>
      <c r="C1387" t="s">
        <v>35</v>
      </c>
      <c r="D1387" t="s">
        <v>36</v>
      </c>
      <c r="E1387">
        <v>13</v>
      </c>
      <c r="F1387">
        <v>4</v>
      </c>
      <c r="G1387" t="s">
        <v>50</v>
      </c>
      <c r="H1387">
        <v>1</v>
      </c>
      <c r="I1387">
        <v>1951</v>
      </c>
      <c r="J1387">
        <v>4</v>
      </c>
      <c r="K1387" t="s">
        <v>45</v>
      </c>
      <c r="L1387">
        <v>39</v>
      </c>
      <c r="M1387">
        <v>3</v>
      </c>
      <c r="N1387">
        <v>3</v>
      </c>
      <c r="O1387" t="s">
        <v>39</v>
      </c>
      <c r="P1387">
        <v>3</v>
      </c>
      <c r="Q1387" t="s">
        <v>51</v>
      </c>
      <c r="R1387">
        <v>8628</v>
      </c>
      <c r="S1387">
        <v>22914</v>
      </c>
      <c r="T1387">
        <v>1</v>
      </c>
      <c r="U1387" t="s">
        <v>41</v>
      </c>
      <c r="V1387" t="s">
        <v>42</v>
      </c>
      <c r="W1387">
        <v>18</v>
      </c>
      <c r="X1387">
        <v>3</v>
      </c>
      <c r="Y1387">
        <v>3</v>
      </c>
      <c r="Z1387">
        <v>80</v>
      </c>
      <c r="AA1387">
        <v>1</v>
      </c>
      <c r="AB1387">
        <v>9</v>
      </c>
      <c r="AC1387">
        <v>2</v>
      </c>
      <c r="AD1387">
        <v>2</v>
      </c>
      <c r="AE1387">
        <v>8</v>
      </c>
      <c r="AF1387">
        <v>7</v>
      </c>
      <c r="AG1387">
        <v>1</v>
      </c>
      <c r="AH1387">
        <v>1</v>
      </c>
    </row>
    <row r="1388" spans="1:34" x14ac:dyDescent="0.2">
      <c r="A1388">
        <v>26</v>
      </c>
      <c r="B1388" t="s">
        <v>42</v>
      </c>
      <c r="C1388" t="s">
        <v>35</v>
      </c>
      <c r="D1388" t="s">
        <v>44</v>
      </c>
      <c r="E1388">
        <v>1</v>
      </c>
      <c r="F1388">
        <v>3</v>
      </c>
      <c r="G1388" t="s">
        <v>50</v>
      </c>
      <c r="H1388">
        <v>1</v>
      </c>
      <c r="I1388">
        <v>1952</v>
      </c>
      <c r="J1388">
        <v>3</v>
      </c>
      <c r="K1388" t="s">
        <v>45</v>
      </c>
      <c r="L1388">
        <v>95</v>
      </c>
      <c r="M1388">
        <v>3</v>
      </c>
      <c r="N1388">
        <v>1</v>
      </c>
      <c r="O1388" t="s">
        <v>49</v>
      </c>
      <c r="P1388">
        <v>1</v>
      </c>
      <c r="Q1388" t="s">
        <v>40</v>
      </c>
      <c r="R1388">
        <v>2867</v>
      </c>
      <c r="S1388">
        <v>20006</v>
      </c>
      <c r="T1388">
        <v>0</v>
      </c>
      <c r="U1388" t="s">
        <v>41</v>
      </c>
      <c r="V1388" t="s">
        <v>42</v>
      </c>
      <c r="W1388">
        <v>13</v>
      </c>
      <c r="X1388">
        <v>3</v>
      </c>
      <c r="Y1388">
        <v>4</v>
      </c>
      <c r="Z1388">
        <v>80</v>
      </c>
      <c r="AA1388">
        <v>0</v>
      </c>
      <c r="AB1388">
        <v>8</v>
      </c>
      <c r="AC1388">
        <v>6</v>
      </c>
      <c r="AD1388">
        <v>2</v>
      </c>
      <c r="AE1388">
        <v>7</v>
      </c>
      <c r="AF1388">
        <v>7</v>
      </c>
      <c r="AG1388">
        <v>7</v>
      </c>
      <c r="AH1388">
        <v>6</v>
      </c>
    </row>
    <row r="1389" spans="1:34" x14ac:dyDescent="0.2">
      <c r="A1389">
        <v>29</v>
      </c>
      <c r="B1389" t="s">
        <v>42</v>
      </c>
      <c r="C1389" t="s">
        <v>35</v>
      </c>
      <c r="D1389" t="s">
        <v>44</v>
      </c>
      <c r="E1389">
        <v>1</v>
      </c>
      <c r="F1389">
        <v>3</v>
      </c>
      <c r="G1389" t="s">
        <v>37</v>
      </c>
      <c r="H1389">
        <v>1</v>
      </c>
      <c r="I1389">
        <v>1954</v>
      </c>
      <c r="J1389">
        <v>1</v>
      </c>
      <c r="K1389" t="s">
        <v>45</v>
      </c>
      <c r="L1389">
        <v>89</v>
      </c>
      <c r="M1389">
        <v>3</v>
      </c>
      <c r="N1389">
        <v>2</v>
      </c>
      <c r="O1389" t="s">
        <v>53</v>
      </c>
      <c r="P1389">
        <v>1</v>
      </c>
      <c r="Q1389" t="s">
        <v>47</v>
      </c>
      <c r="R1389">
        <v>5373</v>
      </c>
      <c r="S1389">
        <v>6225</v>
      </c>
      <c r="T1389">
        <v>0</v>
      </c>
      <c r="U1389" t="s">
        <v>41</v>
      </c>
      <c r="V1389" t="s">
        <v>42</v>
      </c>
      <c r="W1389">
        <v>12</v>
      </c>
      <c r="X1389">
        <v>3</v>
      </c>
      <c r="Y1389">
        <v>1</v>
      </c>
      <c r="Z1389">
        <v>80</v>
      </c>
      <c r="AA1389">
        <v>1</v>
      </c>
      <c r="AB1389">
        <v>6</v>
      </c>
      <c r="AC1389">
        <v>5</v>
      </c>
      <c r="AD1389">
        <v>2</v>
      </c>
      <c r="AE1389">
        <v>5</v>
      </c>
      <c r="AF1389">
        <v>3</v>
      </c>
      <c r="AG1389">
        <v>0</v>
      </c>
      <c r="AH1389">
        <v>2</v>
      </c>
    </row>
    <row r="1390" spans="1:34" x14ac:dyDescent="0.2">
      <c r="A1390">
        <v>32</v>
      </c>
      <c r="B1390" t="s">
        <v>42</v>
      </c>
      <c r="C1390" t="s">
        <v>54</v>
      </c>
      <c r="D1390" t="s">
        <v>44</v>
      </c>
      <c r="E1390">
        <v>15</v>
      </c>
      <c r="F1390">
        <v>4</v>
      </c>
      <c r="G1390" t="s">
        <v>50</v>
      </c>
      <c r="H1390">
        <v>1</v>
      </c>
      <c r="I1390">
        <v>1955</v>
      </c>
      <c r="J1390">
        <v>3</v>
      </c>
      <c r="K1390" t="s">
        <v>38</v>
      </c>
      <c r="L1390">
        <v>34</v>
      </c>
      <c r="M1390">
        <v>3</v>
      </c>
      <c r="N1390">
        <v>2</v>
      </c>
      <c r="O1390" t="s">
        <v>53</v>
      </c>
      <c r="P1390">
        <v>4</v>
      </c>
      <c r="Q1390" t="s">
        <v>51</v>
      </c>
      <c r="R1390">
        <v>6667</v>
      </c>
      <c r="S1390">
        <v>16542</v>
      </c>
      <c r="T1390">
        <v>5</v>
      </c>
      <c r="U1390" t="s">
        <v>41</v>
      </c>
      <c r="V1390" t="s">
        <v>42</v>
      </c>
      <c r="W1390">
        <v>18</v>
      </c>
      <c r="X1390">
        <v>3</v>
      </c>
      <c r="Y1390">
        <v>2</v>
      </c>
      <c r="Z1390">
        <v>80</v>
      </c>
      <c r="AA1390">
        <v>1</v>
      </c>
      <c r="AB1390">
        <v>9</v>
      </c>
      <c r="AC1390">
        <v>6</v>
      </c>
      <c r="AD1390">
        <v>3</v>
      </c>
      <c r="AE1390">
        <v>5</v>
      </c>
      <c r="AF1390">
        <v>1</v>
      </c>
      <c r="AG1390">
        <v>1</v>
      </c>
      <c r="AH1390">
        <v>2</v>
      </c>
    </row>
    <row r="1391" spans="1:34" x14ac:dyDescent="0.2">
      <c r="A1391">
        <v>31</v>
      </c>
      <c r="B1391" t="s">
        <v>42</v>
      </c>
      <c r="C1391" t="s">
        <v>43</v>
      </c>
      <c r="D1391" t="s">
        <v>44</v>
      </c>
      <c r="E1391">
        <v>1</v>
      </c>
      <c r="F1391">
        <v>3</v>
      </c>
      <c r="G1391" t="s">
        <v>37</v>
      </c>
      <c r="H1391">
        <v>1</v>
      </c>
      <c r="I1391">
        <v>1956</v>
      </c>
      <c r="J1391">
        <v>4</v>
      </c>
      <c r="K1391" t="s">
        <v>45</v>
      </c>
      <c r="L1391">
        <v>48</v>
      </c>
      <c r="M1391">
        <v>1</v>
      </c>
      <c r="N1391">
        <v>2</v>
      </c>
      <c r="O1391" t="s">
        <v>46</v>
      </c>
      <c r="P1391">
        <v>1</v>
      </c>
      <c r="Q1391" t="s">
        <v>47</v>
      </c>
      <c r="R1391">
        <v>5003</v>
      </c>
      <c r="S1391">
        <v>5771</v>
      </c>
      <c r="T1391">
        <v>1</v>
      </c>
      <c r="U1391" t="s">
        <v>41</v>
      </c>
      <c r="V1391" t="s">
        <v>42</v>
      </c>
      <c r="W1391">
        <v>21</v>
      </c>
      <c r="X1391">
        <v>4</v>
      </c>
      <c r="Y1391">
        <v>2</v>
      </c>
      <c r="Z1391">
        <v>80</v>
      </c>
      <c r="AA1391">
        <v>0</v>
      </c>
      <c r="AB1391">
        <v>10</v>
      </c>
      <c r="AC1391">
        <v>6</v>
      </c>
      <c r="AD1391">
        <v>3</v>
      </c>
      <c r="AE1391">
        <v>10</v>
      </c>
      <c r="AF1391">
        <v>8</v>
      </c>
      <c r="AG1391">
        <v>8</v>
      </c>
      <c r="AH1391">
        <v>7</v>
      </c>
    </row>
    <row r="1392" spans="1:34" x14ac:dyDescent="0.2">
      <c r="A1392">
        <v>28</v>
      </c>
      <c r="B1392" t="s">
        <v>34</v>
      </c>
      <c r="C1392" t="s">
        <v>35</v>
      </c>
      <c r="D1392" t="s">
        <v>44</v>
      </c>
      <c r="E1392">
        <v>17</v>
      </c>
      <c r="F1392">
        <v>3</v>
      </c>
      <c r="G1392" t="s">
        <v>59</v>
      </c>
      <c r="H1392">
        <v>1</v>
      </c>
      <c r="I1392">
        <v>1960</v>
      </c>
      <c r="J1392">
        <v>3</v>
      </c>
      <c r="K1392" t="s">
        <v>45</v>
      </c>
      <c r="L1392">
        <v>32</v>
      </c>
      <c r="M1392">
        <v>2</v>
      </c>
      <c r="N1392">
        <v>1</v>
      </c>
      <c r="O1392" t="s">
        <v>49</v>
      </c>
      <c r="P1392">
        <v>4</v>
      </c>
      <c r="Q1392" t="s">
        <v>51</v>
      </c>
      <c r="R1392">
        <v>2367</v>
      </c>
      <c r="S1392">
        <v>18779</v>
      </c>
      <c r="T1392">
        <v>5</v>
      </c>
      <c r="U1392" t="s">
        <v>41</v>
      </c>
      <c r="V1392" t="s">
        <v>42</v>
      </c>
      <c r="W1392">
        <v>12</v>
      </c>
      <c r="X1392">
        <v>3</v>
      </c>
      <c r="Y1392">
        <v>1</v>
      </c>
      <c r="Z1392">
        <v>80</v>
      </c>
      <c r="AA1392">
        <v>1</v>
      </c>
      <c r="AB1392">
        <v>6</v>
      </c>
      <c r="AC1392">
        <v>2</v>
      </c>
      <c r="AD1392">
        <v>2</v>
      </c>
      <c r="AE1392">
        <v>4</v>
      </c>
      <c r="AF1392">
        <v>1</v>
      </c>
      <c r="AG1392">
        <v>0</v>
      </c>
      <c r="AH1392">
        <v>3</v>
      </c>
    </row>
    <row r="1393" spans="1:34" x14ac:dyDescent="0.2">
      <c r="A1393">
        <v>38</v>
      </c>
      <c r="B1393" t="s">
        <v>42</v>
      </c>
      <c r="C1393" t="s">
        <v>35</v>
      </c>
      <c r="D1393" t="s">
        <v>36</v>
      </c>
      <c r="E1393">
        <v>1</v>
      </c>
      <c r="F1393">
        <v>3</v>
      </c>
      <c r="G1393" t="s">
        <v>37</v>
      </c>
      <c r="H1393">
        <v>1</v>
      </c>
      <c r="I1393">
        <v>1961</v>
      </c>
      <c r="J1393">
        <v>1</v>
      </c>
      <c r="K1393" t="s">
        <v>45</v>
      </c>
      <c r="L1393">
        <v>59</v>
      </c>
      <c r="M1393">
        <v>2</v>
      </c>
      <c r="N1393">
        <v>1</v>
      </c>
      <c r="O1393" t="s">
        <v>56</v>
      </c>
      <c r="P1393">
        <v>1</v>
      </c>
      <c r="Q1393" t="s">
        <v>40</v>
      </c>
      <c r="R1393">
        <v>2858</v>
      </c>
      <c r="S1393">
        <v>11473</v>
      </c>
      <c r="T1393">
        <v>4</v>
      </c>
      <c r="U1393" t="s">
        <v>41</v>
      </c>
      <c r="V1393" t="s">
        <v>42</v>
      </c>
      <c r="W1393">
        <v>14</v>
      </c>
      <c r="X1393">
        <v>3</v>
      </c>
      <c r="Y1393">
        <v>1</v>
      </c>
      <c r="Z1393">
        <v>80</v>
      </c>
      <c r="AA1393">
        <v>0</v>
      </c>
      <c r="AB1393">
        <v>20</v>
      </c>
      <c r="AC1393">
        <v>3</v>
      </c>
      <c r="AD1393">
        <v>2</v>
      </c>
      <c r="AE1393">
        <v>1</v>
      </c>
      <c r="AF1393">
        <v>0</v>
      </c>
      <c r="AG1393">
        <v>0</v>
      </c>
      <c r="AH1393">
        <v>0</v>
      </c>
    </row>
    <row r="1394" spans="1:34" x14ac:dyDescent="0.2">
      <c r="A1394">
        <v>35</v>
      </c>
      <c r="B1394" t="s">
        <v>42</v>
      </c>
      <c r="C1394" t="s">
        <v>35</v>
      </c>
      <c r="D1394" t="s">
        <v>36</v>
      </c>
      <c r="E1394">
        <v>7</v>
      </c>
      <c r="F1394">
        <v>4</v>
      </c>
      <c r="G1394" t="s">
        <v>37</v>
      </c>
      <c r="H1394">
        <v>1</v>
      </c>
      <c r="I1394">
        <v>1962</v>
      </c>
      <c r="J1394">
        <v>3</v>
      </c>
      <c r="K1394" t="s">
        <v>38</v>
      </c>
      <c r="L1394">
        <v>55</v>
      </c>
      <c r="M1394">
        <v>3</v>
      </c>
      <c r="N1394">
        <v>2</v>
      </c>
      <c r="O1394" t="s">
        <v>39</v>
      </c>
      <c r="P1394">
        <v>4</v>
      </c>
      <c r="Q1394" t="s">
        <v>47</v>
      </c>
      <c r="R1394">
        <v>5204</v>
      </c>
      <c r="S1394">
        <v>13586</v>
      </c>
      <c r="T1394">
        <v>1</v>
      </c>
      <c r="U1394" t="s">
        <v>41</v>
      </c>
      <c r="V1394" t="s">
        <v>34</v>
      </c>
      <c r="W1394">
        <v>11</v>
      </c>
      <c r="X1394">
        <v>3</v>
      </c>
      <c r="Y1394">
        <v>4</v>
      </c>
      <c r="Z1394">
        <v>80</v>
      </c>
      <c r="AA1394">
        <v>0</v>
      </c>
      <c r="AB1394">
        <v>10</v>
      </c>
      <c r="AC1394">
        <v>2</v>
      </c>
      <c r="AD1394">
        <v>3</v>
      </c>
      <c r="AE1394">
        <v>10</v>
      </c>
      <c r="AF1394">
        <v>8</v>
      </c>
      <c r="AG1394">
        <v>0</v>
      </c>
      <c r="AH1394">
        <v>9</v>
      </c>
    </row>
    <row r="1395" spans="1:34" x14ac:dyDescent="0.2">
      <c r="A1395">
        <v>27</v>
      </c>
      <c r="B1395" t="s">
        <v>42</v>
      </c>
      <c r="C1395" t="s">
        <v>35</v>
      </c>
      <c r="D1395" t="s">
        <v>36</v>
      </c>
      <c r="E1395">
        <v>9</v>
      </c>
      <c r="F1395">
        <v>3</v>
      </c>
      <c r="G1395" t="s">
        <v>58</v>
      </c>
      <c r="H1395">
        <v>1</v>
      </c>
      <c r="I1395">
        <v>1965</v>
      </c>
      <c r="J1395">
        <v>4</v>
      </c>
      <c r="K1395" t="s">
        <v>45</v>
      </c>
      <c r="L1395">
        <v>44</v>
      </c>
      <c r="M1395">
        <v>3</v>
      </c>
      <c r="N1395">
        <v>2</v>
      </c>
      <c r="O1395" t="s">
        <v>39</v>
      </c>
      <c r="P1395">
        <v>4</v>
      </c>
      <c r="Q1395" t="s">
        <v>40</v>
      </c>
      <c r="R1395">
        <v>4105</v>
      </c>
      <c r="S1395">
        <v>5099</v>
      </c>
      <c r="T1395">
        <v>1</v>
      </c>
      <c r="U1395" t="s">
        <v>41</v>
      </c>
      <c r="V1395" t="s">
        <v>42</v>
      </c>
      <c r="W1395">
        <v>14</v>
      </c>
      <c r="X1395">
        <v>3</v>
      </c>
      <c r="Y1395">
        <v>1</v>
      </c>
      <c r="Z1395">
        <v>80</v>
      </c>
      <c r="AA1395">
        <v>0</v>
      </c>
      <c r="AB1395">
        <v>7</v>
      </c>
      <c r="AC1395">
        <v>5</v>
      </c>
      <c r="AD1395">
        <v>3</v>
      </c>
      <c r="AE1395">
        <v>7</v>
      </c>
      <c r="AF1395">
        <v>7</v>
      </c>
      <c r="AG1395">
        <v>0</v>
      </c>
      <c r="AH1395">
        <v>7</v>
      </c>
    </row>
    <row r="1396" spans="1:34" x14ac:dyDescent="0.2">
      <c r="A1396">
        <v>32</v>
      </c>
      <c r="B1396" t="s">
        <v>42</v>
      </c>
      <c r="C1396" t="s">
        <v>35</v>
      </c>
      <c r="D1396" t="s">
        <v>44</v>
      </c>
      <c r="E1396">
        <v>5</v>
      </c>
      <c r="F1396">
        <v>4</v>
      </c>
      <c r="G1396" t="s">
        <v>37</v>
      </c>
      <c r="H1396">
        <v>1</v>
      </c>
      <c r="I1396">
        <v>1966</v>
      </c>
      <c r="J1396">
        <v>4</v>
      </c>
      <c r="K1396" t="s">
        <v>45</v>
      </c>
      <c r="L1396">
        <v>56</v>
      </c>
      <c r="M1396">
        <v>2</v>
      </c>
      <c r="N1396">
        <v>2</v>
      </c>
      <c r="O1396" t="s">
        <v>52</v>
      </c>
      <c r="P1396">
        <v>4</v>
      </c>
      <c r="Q1396" t="s">
        <v>40</v>
      </c>
      <c r="R1396">
        <v>9679</v>
      </c>
      <c r="S1396">
        <v>10138</v>
      </c>
      <c r="T1396">
        <v>8</v>
      </c>
      <c r="U1396" t="s">
        <v>41</v>
      </c>
      <c r="V1396" t="s">
        <v>42</v>
      </c>
      <c r="W1396">
        <v>24</v>
      </c>
      <c r="X1396">
        <v>4</v>
      </c>
      <c r="Y1396">
        <v>2</v>
      </c>
      <c r="Z1396">
        <v>80</v>
      </c>
      <c r="AA1396">
        <v>0</v>
      </c>
      <c r="AB1396">
        <v>8</v>
      </c>
      <c r="AC1396">
        <v>1</v>
      </c>
      <c r="AD1396">
        <v>3</v>
      </c>
      <c r="AE1396">
        <v>1</v>
      </c>
      <c r="AF1396">
        <v>0</v>
      </c>
      <c r="AG1396">
        <v>0</v>
      </c>
      <c r="AH1396">
        <v>0</v>
      </c>
    </row>
    <row r="1397" spans="1:34" x14ac:dyDescent="0.2">
      <c r="A1397">
        <v>31</v>
      </c>
      <c r="B1397" t="s">
        <v>34</v>
      </c>
      <c r="C1397" t="s">
        <v>43</v>
      </c>
      <c r="D1397" t="s">
        <v>36</v>
      </c>
      <c r="E1397">
        <v>26</v>
      </c>
      <c r="F1397">
        <v>4</v>
      </c>
      <c r="G1397" t="s">
        <v>58</v>
      </c>
      <c r="H1397">
        <v>1</v>
      </c>
      <c r="I1397">
        <v>1967</v>
      </c>
      <c r="J1397">
        <v>1</v>
      </c>
      <c r="K1397" t="s">
        <v>45</v>
      </c>
      <c r="L1397">
        <v>63</v>
      </c>
      <c r="M1397">
        <v>3</v>
      </c>
      <c r="N1397">
        <v>2</v>
      </c>
      <c r="O1397" t="s">
        <v>39</v>
      </c>
      <c r="P1397">
        <v>4</v>
      </c>
      <c r="Q1397" t="s">
        <v>47</v>
      </c>
      <c r="R1397">
        <v>5617</v>
      </c>
      <c r="S1397">
        <v>21075</v>
      </c>
      <c r="T1397">
        <v>1</v>
      </c>
      <c r="U1397" t="s">
        <v>41</v>
      </c>
      <c r="V1397" t="s">
        <v>34</v>
      </c>
      <c r="W1397">
        <v>11</v>
      </c>
      <c r="X1397">
        <v>3</v>
      </c>
      <c r="Y1397">
        <v>3</v>
      </c>
      <c r="Z1397">
        <v>80</v>
      </c>
      <c r="AA1397">
        <v>0</v>
      </c>
      <c r="AB1397">
        <v>10</v>
      </c>
      <c r="AC1397">
        <v>4</v>
      </c>
      <c r="AD1397">
        <v>3</v>
      </c>
      <c r="AE1397">
        <v>10</v>
      </c>
      <c r="AF1397">
        <v>7</v>
      </c>
      <c r="AG1397">
        <v>0</v>
      </c>
      <c r="AH1397">
        <v>8</v>
      </c>
    </row>
    <row r="1398" spans="1:34" x14ac:dyDescent="0.2">
      <c r="A1398">
        <v>53</v>
      </c>
      <c r="B1398" t="s">
        <v>34</v>
      </c>
      <c r="C1398" t="s">
        <v>35</v>
      </c>
      <c r="D1398" t="s">
        <v>36</v>
      </c>
      <c r="E1398">
        <v>24</v>
      </c>
      <c r="F1398">
        <v>4</v>
      </c>
      <c r="G1398" t="s">
        <v>37</v>
      </c>
      <c r="H1398">
        <v>1</v>
      </c>
      <c r="I1398">
        <v>1968</v>
      </c>
      <c r="J1398">
        <v>1</v>
      </c>
      <c r="K1398" t="s">
        <v>45</v>
      </c>
      <c r="L1398">
        <v>66</v>
      </c>
      <c r="M1398">
        <v>3</v>
      </c>
      <c r="N1398">
        <v>3</v>
      </c>
      <c r="O1398" t="s">
        <v>39</v>
      </c>
      <c r="P1398">
        <v>1</v>
      </c>
      <c r="Q1398" t="s">
        <v>40</v>
      </c>
      <c r="R1398">
        <v>10448</v>
      </c>
      <c r="S1398">
        <v>5843</v>
      </c>
      <c r="T1398">
        <v>6</v>
      </c>
      <c r="U1398" t="s">
        <v>41</v>
      </c>
      <c r="V1398" t="s">
        <v>34</v>
      </c>
      <c r="W1398">
        <v>13</v>
      </c>
      <c r="X1398">
        <v>3</v>
      </c>
      <c r="Y1398">
        <v>2</v>
      </c>
      <c r="Z1398">
        <v>80</v>
      </c>
      <c r="AA1398">
        <v>0</v>
      </c>
      <c r="AB1398">
        <v>15</v>
      </c>
      <c r="AC1398">
        <v>2</v>
      </c>
      <c r="AD1398">
        <v>2</v>
      </c>
      <c r="AE1398">
        <v>2</v>
      </c>
      <c r="AF1398">
        <v>2</v>
      </c>
      <c r="AG1398">
        <v>2</v>
      </c>
      <c r="AH1398">
        <v>2</v>
      </c>
    </row>
    <row r="1399" spans="1:34" x14ac:dyDescent="0.2">
      <c r="A1399">
        <v>54</v>
      </c>
      <c r="B1399" t="s">
        <v>42</v>
      </c>
      <c r="C1399" t="s">
        <v>35</v>
      </c>
      <c r="D1399" t="s">
        <v>44</v>
      </c>
      <c r="E1399">
        <v>9</v>
      </c>
      <c r="F1399">
        <v>2</v>
      </c>
      <c r="G1399" t="s">
        <v>37</v>
      </c>
      <c r="H1399">
        <v>1</v>
      </c>
      <c r="I1399">
        <v>1969</v>
      </c>
      <c r="J1399">
        <v>1</v>
      </c>
      <c r="K1399" t="s">
        <v>38</v>
      </c>
      <c r="L1399">
        <v>67</v>
      </c>
      <c r="M1399">
        <v>3</v>
      </c>
      <c r="N1399">
        <v>2</v>
      </c>
      <c r="O1399" t="s">
        <v>46</v>
      </c>
      <c r="P1399">
        <v>3</v>
      </c>
      <c r="Q1399" t="s">
        <v>47</v>
      </c>
      <c r="R1399">
        <v>2897</v>
      </c>
      <c r="S1399">
        <v>22474</v>
      </c>
      <c r="T1399">
        <v>3</v>
      </c>
      <c r="U1399" t="s">
        <v>41</v>
      </c>
      <c r="V1399" t="s">
        <v>42</v>
      </c>
      <c r="W1399">
        <v>11</v>
      </c>
      <c r="X1399">
        <v>3</v>
      </c>
      <c r="Y1399">
        <v>3</v>
      </c>
      <c r="Z1399">
        <v>80</v>
      </c>
      <c r="AA1399">
        <v>2</v>
      </c>
      <c r="AB1399">
        <v>9</v>
      </c>
      <c r="AC1399">
        <v>6</v>
      </c>
      <c r="AD1399">
        <v>2</v>
      </c>
      <c r="AE1399">
        <v>4</v>
      </c>
      <c r="AF1399">
        <v>3</v>
      </c>
      <c r="AG1399">
        <v>2</v>
      </c>
      <c r="AH1399">
        <v>3</v>
      </c>
    </row>
    <row r="1400" spans="1:34" x14ac:dyDescent="0.2">
      <c r="A1400">
        <v>33</v>
      </c>
      <c r="B1400" t="s">
        <v>42</v>
      </c>
      <c r="C1400" t="s">
        <v>43</v>
      </c>
      <c r="D1400" t="s">
        <v>44</v>
      </c>
      <c r="E1400">
        <v>7</v>
      </c>
      <c r="F1400">
        <v>2</v>
      </c>
      <c r="G1400" t="s">
        <v>37</v>
      </c>
      <c r="H1400">
        <v>1</v>
      </c>
      <c r="I1400">
        <v>1970</v>
      </c>
      <c r="J1400">
        <v>4</v>
      </c>
      <c r="K1400" t="s">
        <v>45</v>
      </c>
      <c r="L1400">
        <v>36</v>
      </c>
      <c r="M1400">
        <v>3</v>
      </c>
      <c r="N1400">
        <v>2</v>
      </c>
      <c r="O1400" t="s">
        <v>53</v>
      </c>
      <c r="P1400">
        <v>3</v>
      </c>
      <c r="Q1400" t="s">
        <v>51</v>
      </c>
      <c r="R1400">
        <v>5968</v>
      </c>
      <c r="S1400">
        <v>18079</v>
      </c>
      <c r="T1400">
        <v>1</v>
      </c>
      <c r="U1400" t="s">
        <v>41</v>
      </c>
      <c r="V1400" t="s">
        <v>42</v>
      </c>
      <c r="W1400">
        <v>20</v>
      </c>
      <c r="X1400">
        <v>4</v>
      </c>
      <c r="Y1400">
        <v>3</v>
      </c>
      <c r="Z1400">
        <v>80</v>
      </c>
      <c r="AA1400">
        <v>3</v>
      </c>
      <c r="AB1400">
        <v>9</v>
      </c>
      <c r="AC1400">
        <v>2</v>
      </c>
      <c r="AD1400">
        <v>3</v>
      </c>
      <c r="AE1400">
        <v>9</v>
      </c>
      <c r="AF1400">
        <v>7</v>
      </c>
      <c r="AG1400">
        <v>2</v>
      </c>
      <c r="AH1400">
        <v>8</v>
      </c>
    </row>
    <row r="1401" spans="1:34" x14ac:dyDescent="0.2">
      <c r="A1401">
        <v>43</v>
      </c>
      <c r="B1401" t="s">
        <v>42</v>
      </c>
      <c r="C1401" t="s">
        <v>35</v>
      </c>
      <c r="D1401" t="s">
        <v>44</v>
      </c>
      <c r="E1401">
        <v>11</v>
      </c>
      <c r="F1401">
        <v>3</v>
      </c>
      <c r="G1401" t="s">
        <v>37</v>
      </c>
      <c r="H1401">
        <v>1</v>
      </c>
      <c r="I1401">
        <v>1971</v>
      </c>
      <c r="J1401">
        <v>1</v>
      </c>
      <c r="K1401" t="s">
        <v>45</v>
      </c>
      <c r="L1401">
        <v>30</v>
      </c>
      <c r="M1401">
        <v>3</v>
      </c>
      <c r="N1401">
        <v>3</v>
      </c>
      <c r="O1401" t="s">
        <v>53</v>
      </c>
      <c r="P1401">
        <v>3</v>
      </c>
      <c r="Q1401" t="s">
        <v>47</v>
      </c>
      <c r="R1401">
        <v>7510</v>
      </c>
      <c r="S1401">
        <v>16873</v>
      </c>
      <c r="T1401">
        <v>1</v>
      </c>
      <c r="U1401" t="s">
        <v>41</v>
      </c>
      <c r="V1401" t="s">
        <v>42</v>
      </c>
      <c r="W1401">
        <v>17</v>
      </c>
      <c r="X1401">
        <v>3</v>
      </c>
      <c r="Y1401">
        <v>2</v>
      </c>
      <c r="Z1401">
        <v>80</v>
      </c>
      <c r="AA1401">
        <v>1</v>
      </c>
      <c r="AB1401">
        <v>10</v>
      </c>
      <c r="AC1401">
        <v>1</v>
      </c>
      <c r="AD1401">
        <v>3</v>
      </c>
      <c r="AE1401">
        <v>10</v>
      </c>
      <c r="AF1401">
        <v>9</v>
      </c>
      <c r="AG1401">
        <v>0</v>
      </c>
      <c r="AH1401">
        <v>9</v>
      </c>
    </row>
    <row r="1402" spans="1:34" x14ac:dyDescent="0.2">
      <c r="A1402">
        <v>38</v>
      </c>
      <c r="B1402" t="s">
        <v>42</v>
      </c>
      <c r="C1402" t="s">
        <v>43</v>
      </c>
      <c r="D1402" t="s">
        <v>60</v>
      </c>
      <c r="E1402">
        <v>1</v>
      </c>
      <c r="F1402">
        <v>4</v>
      </c>
      <c r="G1402" t="s">
        <v>48</v>
      </c>
      <c r="H1402">
        <v>1</v>
      </c>
      <c r="I1402">
        <v>1972</v>
      </c>
      <c r="J1402">
        <v>4</v>
      </c>
      <c r="K1402" t="s">
        <v>45</v>
      </c>
      <c r="L1402">
        <v>88</v>
      </c>
      <c r="M1402">
        <v>3</v>
      </c>
      <c r="N1402">
        <v>1</v>
      </c>
      <c r="O1402" t="s">
        <v>60</v>
      </c>
      <c r="P1402">
        <v>2</v>
      </c>
      <c r="Q1402" t="s">
        <v>47</v>
      </c>
      <c r="R1402">
        <v>2991</v>
      </c>
      <c r="S1402">
        <v>5224</v>
      </c>
      <c r="T1402">
        <v>0</v>
      </c>
      <c r="U1402" t="s">
        <v>41</v>
      </c>
      <c r="V1402" t="s">
        <v>34</v>
      </c>
      <c r="W1402">
        <v>11</v>
      </c>
      <c r="X1402">
        <v>3</v>
      </c>
      <c r="Y1402">
        <v>2</v>
      </c>
      <c r="Z1402">
        <v>80</v>
      </c>
      <c r="AA1402">
        <v>1</v>
      </c>
      <c r="AB1402">
        <v>7</v>
      </c>
      <c r="AC1402">
        <v>2</v>
      </c>
      <c r="AD1402">
        <v>3</v>
      </c>
      <c r="AE1402">
        <v>6</v>
      </c>
      <c r="AF1402">
        <v>2</v>
      </c>
      <c r="AG1402">
        <v>1</v>
      </c>
      <c r="AH1402">
        <v>2</v>
      </c>
    </row>
    <row r="1403" spans="1:34" x14ac:dyDescent="0.2">
      <c r="A1403">
        <v>55</v>
      </c>
      <c r="B1403" t="s">
        <v>42</v>
      </c>
      <c r="C1403" t="s">
        <v>35</v>
      </c>
      <c r="D1403" t="s">
        <v>60</v>
      </c>
      <c r="E1403">
        <v>26</v>
      </c>
      <c r="F1403">
        <v>4</v>
      </c>
      <c r="G1403" t="s">
        <v>60</v>
      </c>
      <c r="H1403">
        <v>1</v>
      </c>
      <c r="I1403">
        <v>1973</v>
      </c>
      <c r="J1403">
        <v>3</v>
      </c>
      <c r="K1403" t="s">
        <v>45</v>
      </c>
      <c r="L1403">
        <v>71</v>
      </c>
      <c r="M1403">
        <v>4</v>
      </c>
      <c r="N1403">
        <v>5</v>
      </c>
      <c r="O1403" t="s">
        <v>55</v>
      </c>
      <c r="P1403">
        <v>2</v>
      </c>
      <c r="Q1403" t="s">
        <v>47</v>
      </c>
      <c r="R1403">
        <v>19636</v>
      </c>
      <c r="S1403">
        <v>25811</v>
      </c>
      <c r="T1403">
        <v>4</v>
      </c>
      <c r="U1403" t="s">
        <v>41</v>
      </c>
      <c r="V1403" t="s">
        <v>34</v>
      </c>
      <c r="W1403">
        <v>18</v>
      </c>
      <c r="X1403">
        <v>3</v>
      </c>
      <c r="Y1403">
        <v>1</v>
      </c>
      <c r="Z1403">
        <v>80</v>
      </c>
      <c r="AA1403">
        <v>1</v>
      </c>
      <c r="AB1403">
        <v>35</v>
      </c>
      <c r="AC1403">
        <v>0</v>
      </c>
      <c r="AD1403">
        <v>3</v>
      </c>
      <c r="AE1403">
        <v>10</v>
      </c>
      <c r="AF1403">
        <v>9</v>
      </c>
      <c r="AG1403">
        <v>1</v>
      </c>
      <c r="AH1403">
        <v>4</v>
      </c>
    </row>
    <row r="1404" spans="1:34" x14ac:dyDescent="0.2">
      <c r="A1404">
        <v>31</v>
      </c>
      <c r="B1404" t="s">
        <v>42</v>
      </c>
      <c r="C1404" t="s">
        <v>35</v>
      </c>
      <c r="D1404" t="s">
        <v>44</v>
      </c>
      <c r="E1404">
        <v>2</v>
      </c>
      <c r="F1404">
        <v>1</v>
      </c>
      <c r="G1404" t="s">
        <v>50</v>
      </c>
      <c r="H1404">
        <v>1</v>
      </c>
      <c r="I1404">
        <v>1974</v>
      </c>
      <c r="J1404">
        <v>4</v>
      </c>
      <c r="K1404" t="s">
        <v>38</v>
      </c>
      <c r="L1404">
        <v>59</v>
      </c>
      <c r="M1404">
        <v>1</v>
      </c>
      <c r="N1404">
        <v>1</v>
      </c>
      <c r="O1404" t="s">
        <v>49</v>
      </c>
      <c r="P1404">
        <v>4</v>
      </c>
      <c r="Q1404" t="s">
        <v>51</v>
      </c>
      <c r="R1404">
        <v>1129</v>
      </c>
      <c r="S1404">
        <v>17536</v>
      </c>
      <c r="T1404">
        <v>1</v>
      </c>
      <c r="U1404" t="s">
        <v>41</v>
      </c>
      <c r="V1404" t="s">
        <v>34</v>
      </c>
      <c r="W1404">
        <v>11</v>
      </c>
      <c r="X1404">
        <v>3</v>
      </c>
      <c r="Y1404">
        <v>3</v>
      </c>
      <c r="Z1404">
        <v>80</v>
      </c>
      <c r="AA1404">
        <v>3</v>
      </c>
      <c r="AB1404">
        <v>1</v>
      </c>
      <c r="AC1404">
        <v>4</v>
      </c>
      <c r="AD1404">
        <v>3</v>
      </c>
      <c r="AE1404">
        <v>1</v>
      </c>
      <c r="AF1404">
        <v>0</v>
      </c>
      <c r="AG1404">
        <v>0</v>
      </c>
      <c r="AH1404">
        <v>0</v>
      </c>
    </row>
    <row r="1405" spans="1:34" x14ac:dyDescent="0.2">
      <c r="A1405">
        <v>39</v>
      </c>
      <c r="B1405" t="s">
        <v>42</v>
      </c>
      <c r="C1405" t="s">
        <v>35</v>
      </c>
      <c r="D1405" t="s">
        <v>36</v>
      </c>
      <c r="E1405">
        <v>15</v>
      </c>
      <c r="F1405">
        <v>4</v>
      </c>
      <c r="G1405" t="s">
        <v>58</v>
      </c>
      <c r="H1405">
        <v>1</v>
      </c>
      <c r="I1405">
        <v>1975</v>
      </c>
      <c r="J1405">
        <v>2</v>
      </c>
      <c r="K1405" t="s">
        <v>45</v>
      </c>
      <c r="L1405">
        <v>77</v>
      </c>
      <c r="M1405">
        <v>3</v>
      </c>
      <c r="N1405">
        <v>4</v>
      </c>
      <c r="O1405" t="s">
        <v>39</v>
      </c>
      <c r="P1405">
        <v>1</v>
      </c>
      <c r="Q1405" t="s">
        <v>40</v>
      </c>
      <c r="R1405">
        <v>13341</v>
      </c>
      <c r="S1405">
        <v>25098</v>
      </c>
      <c r="T1405">
        <v>0</v>
      </c>
      <c r="U1405" t="s">
        <v>41</v>
      </c>
      <c r="V1405" t="s">
        <v>42</v>
      </c>
      <c r="W1405">
        <v>12</v>
      </c>
      <c r="X1405">
        <v>3</v>
      </c>
      <c r="Y1405">
        <v>1</v>
      </c>
      <c r="Z1405">
        <v>80</v>
      </c>
      <c r="AA1405">
        <v>0</v>
      </c>
      <c r="AB1405">
        <v>21</v>
      </c>
      <c r="AC1405">
        <v>3</v>
      </c>
      <c r="AD1405">
        <v>3</v>
      </c>
      <c r="AE1405">
        <v>20</v>
      </c>
      <c r="AF1405">
        <v>8</v>
      </c>
      <c r="AG1405">
        <v>11</v>
      </c>
      <c r="AH1405">
        <v>10</v>
      </c>
    </row>
    <row r="1406" spans="1:34" x14ac:dyDescent="0.2">
      <c r="A1406">
        <v>42</v>
      </c>
      <c r="B1406" t="s">
        <v>42</v>
      </c>
      <c r="C1406" t="s">
        <v>54</v>
      </c>
      <c r="D1406" t="s">
        <v>44</v>
      </c>
      <c r="E1406">
        <v>23</v>
      </c>
      <c r="F1406">
        <v>2</v>
      </c>
      <c r="G1406" t="s">
        <v>37</v>
      </c>
      <c r="H1406">
        <v>1</v>
      </c>
      <c r="I1406">
        <v>1976</v>
      </c>
      <c r="J1406">
        <v>4</v>
      </c>
      <c r="K1406" t="s">
        <v>45</v>
      </c>
      <c r="L1406">
        <v>37</v>
      </c>
      <c r="M1406">
        <v>2</v>
      </c>
      <c r="N1406">
        <v>2</v>
      </c>
      <c r="O1406" t="s">
        <v>46</v>
      </c>
      <c r="P1406">
        <v>3</v>
      </c>
      <c r="Q1406" t="s">
        <v>40</v>
      </c>
      <c r="R1406">
        <v>4332</v>
      </c>
      <c r="S1406">
        <v>14811</v>
      </c>
      <c r="T1406">
        <v>1</v>
      </c>
      <c r="U1406" t="s">
        <v>41</v>
      </c>
      <c r="V1406" t="s">
        <v>42</v>
      </c>
      <c r="W1406">
        <v>12</v>
      </c>
      <c r="X1406">
        <v>3</v>
      </c>
      <c r="Y1406">
        <v>4</v>
      </c>
      <c r="Z1406">
        <v>80</v>
      </c>
      <c r="AA1406">
        <v>0</v>
      </c>
      <c r="AB1406">
        <v>20</v>
      </c>
      <c r="AC1406">
        <v>2</v>
      </c>
      <c r="AD1406">
        <v>3</v>
      </c>
      <c r="AE1406">
        <v>20</v>
      </c>
      <c r="AF1406">
        <v>9</v>
      </c>
      <c r="AG1406">
        <v>3</v>
      </c>
      <c r="AH1406">
        <v>7</v>
      </c>
    </row>
    <row r="1407" spans="1:34" x14ac:dyDescent="0.2">
      <c r="A1407">
        <v>31</v>
      </c>
      <c r="B1407" t="s">
        <v>42</v>
      </c>
      <c r="C1407" t="s">
        <v>54</v>
      </c>
      <c r="D1407" t="s">
        <v>44</v>
      </c>
      <c r="E1407">
        <v>10</v>
      </c>
      <c r="F1407">
        <v>3</v>
      </c>
      <c r="G1407" t="s">
        <v>50</v>
      </c>
      <c r="H1407">
        <v>1</v>
      </c>
      <c r="I1407">
        <v>1979</v>
      </c>
      <c r="J1407">
        <v>3</v>
      </c>
      <c r="K1407" t="s">
        <v>38</v>
      </c>
      <c r="L1407">
        <v>40</v>
      </c>
      <c r="M1407">
        <v>3</v>
      </c>
      <c r="N1407">
        <v>3</v>
      </c>
      <c r="O1407" t="s">
        <v>57</v>
      </c>
      <c r="P1407">
        <v>3</v>
      </c>
      <c r="Q1407" t="s">
        <v>47</v>
      </c>
      <c r="R1407">
        <v>11031</v>
      </c>
      <c r="S1407">
        <v>26862</v>
      </c>
      <c r="T1407">
        <v>4</v>
      </c>
      <c r="U1407" t="s">
        <v>41</v>
      </c>
      <c r="V1407" t="s">
        <v>42</v>
      </c>
      <c r="W1407">
        <v>20</v>
      </c>
      <c r="X1407">
        <v>4</v>
      </c>
      <c r="Y1407">
        <v>3</v>
      </c>
      <c r="Z1407">
        <v>80</v>
      </c>
      <c r="AA1407">
        <v>1</v>
      </c>
      <c r="AB1407">
        <v>13</v>
      </c>
      <c r="AC1407">
        <v>2</v>
      </c>
      <c r="AD1407">
        <v>4</v>
      </c>
      <c r="AE1407">
        <v>11</v>
      </c>
      <c r="AF1407">
        <v>7</v>
      </c>
      <c r="AG1407">
        <v>4</v>
      </c>
      <c r="AH1407">
        <v>8</v>
      </c>
    </row>
    <row r="1408" spans="1:34" x14ac:dyDescent="0.2">
      <c r="A1408">
        <v>54</v>
      </c>
      <c r="B1408" t="s">
        <v>42</v>
      </c>
      <c r="C1408" t="s">
        <v>35</v>
      </c>
      <c r="D1408" t="s">
        <v>44</v>
      </c>
      <c r="E1408">
        <v>10</v>
      </c>
      <c r="F1408">
        <v>3</v>
      </c>
      <c r="G1408" t="s">
        <v>50</v>
      </c>
      <c r="H1408">
        <v>1</v>
      </c>
      <c r="I1408">
        <v>1980</v>
      </c>
      <c r="J1408">
        <v>3</v>
      </c>
      <c r="K1408" t="s">
        <v>38</v>
      </c>
      <c r="L1408">
        <v>77</v>
      </c>
      <c r="M1408">
        <v>3</v>
      </c>
      <c r="N1408">
        <v>2</v>
      </c>
      <c r="O1408" t="s">
        <v>52</v>
      </c>
      <c r="P1408">
        <v>1</v>
      </c>
      <c r="Q1408" t="s">
        <v>40</v>
      </c>
      <c r="R1408">
        <v>4440</v>
      </c>
      <c r="S1408">
        <v>25198</v>
      </c>
      <c r="T1408">
        <v>6</v>
      </c>
      <c r="U1408" t="s">
        <v>41</v>
      </c>
      <c r="V1408" t="s">
        <v>34</v>
      </c>
      <c r="W1408">
        <v>19</v>
      </c>
      <c r="X1408">
        <v>3</v>
      </c>
      <c r="Y1408">
        <v>4</v>
      </c>
      <c r="Z1408">
        <v>80</v>
      </c>
      <c r="AA1408">
        <v>0</v>
      </c>
      <c r="AB1408">
        <v>9</v>
      </c>
      <c r="AC1408">
        <v>3</v>
      </c>
      <c r="AD1408">
        <v>3</v>
      </c>
      <c r="AE1408">
        <v>5</v>
      </c>
      <c r="AF1408">
        <v>2</v>
      </c>
      <c r="AG1408">
        <v>1</v>
      </c>
      <c r="AH1408">
        <v>4</v>
      </c>
    </row>
    <row r="1409" spans="1:34" x14ac:dyDescent="0.2">
      <c r="A1409">
        <v>24</v>
      </c>
      <c r="B1409" t="s">
        <v>42</v>
      </c>
      <c r="C1409" t="s">
        <v>35</v>
      </c>
      <c r="D1409" t="s">
        <v>44</v>
      </c>
      <c r="E1409">
        <v>1</v>
      </c>
      <c r="F1409">
        <v>2</v>
      </c>
      <c r="G1409" t="s">
        <v>37</v>
      </c>
      <c r="H1409">
        <v>1</v>
      </c>
      <c r="I1409">
        <v>1981</v>
      </c>
      <c r="J1409">
        <v>2</v>
      </c>
      <c r="K1409" t="s">
        <v>45</v>
      </c>
      <c r="L1409">
        <v>45</v>
      </c>
      <c r="M1409">
        <v>2</v>
      </c>
      <c r="N1409">
        <v>2</v>
      </c>
      <c r="O1409" t="s">
        <v>53</v>
      </c>
      <c r="P1409">
        <v>3</v>
      </c>
      <c r="Q1409" t="s">
        <v>40</v>
      </c>
      <c r="R1409">
        <v>4617</v>
      </c>
      <c r="S1409">
        <v>14120</v>
      </c>
      <c r="T1409">
        <v>1</v>
      </c>
      <c r="U1409" t="s">
        <v>41</v>
      </c>
      <c r="V1409" t="s">
        <v>42</v>
      </c>
      <c r="W1409">
        <v>12</v>
      </c>
      <c r="X1409">
        <v>3</v>
      </c>
      <c r="Y1409">
        <v>2</v>
      </c>
      <c r="Z1409">
        <v>80</v>
      </c>
      <c r="AA1409">
        <v>0</v>
      </c>
      <c r="AB1409">
        <v>4</v>
      </c>
      <c r="AC1409">
        <v>2</v>
      </c>
      <c r="AD1409">
        <v>2</v>
      </c>
      <c r="AE1409">
        <v>4</v>
      </c>
      <c r="AF1409">
        <v>3</v>
      </c>
      <c r="AG1409">
        <v>1</v>
      </c>
      <c r="AH1409">
        <v>2</v>
      </c>
    </row>
    <row r="1410" spans="1:34" x14ac:dyDescent="0.2">
      <c r="A1410">
        <v>23</v>
      </c>
      <c r="B1410" t="s">
        <v>42</v>
      </c>
      <c r="C1410" t="s">
        <v>35</v>
      </c>
      <c r="D1410" t="s">
        <v>44</v>
      </c>
      <c r="E1410">
        <v>12</v>
      </c>
      <c r="F1410">
        <v>2</v>
      </c>
      <c r="G1410" t="s">
        <v>48</v>
      </c>
      <c r="H1410">
        <v>1</v>
      </c>
      <c r="I1410">
        <v>1982</v>
      </c>
      <c r="J1410">
        <v>4</v>
      </c>
      <c r="K1410" t="s">
        <v>45</v>
      </c>
      <c r="L1410">
        <v>78</v>
      </c>
      <c r="M1410">
        <v>3</v>
      </c>
      <c r="N1410">
        <v>1</v>
      </c>
      <c r="O1410" t="s">
        <v>49</v>
      </c>
      <c r="P1410">
        <v>4</v>
      </c>
      <c r="Q1410" t="s">
        <v>40</v>
      </c>
      <c r="R1410">
        <v>2647</v>
      </c>
      <c r="S1410">
        <v>13672</v>
      </c>
      <c r="T1410">
        <v>1</v>
      </c>
      <c r="U1410" t="s">
        <v>41</v>
      </c>
      <c r="V1410" t="s">
        <v>42</v>
      </c>
      <c r="W1410">
        <v>13</v>
      </c>
      <c r="X1410">
        <v>3</v>
      </c>
      <c r="Y1410">
        <v>3</v>
      </c>
      <c r="Z1410">
        <v>80</v>
      </c>
      <c r="AA1410">
        <v>0</v>
      </c>
      <c r="AB1410">
        <v>5</v>
      </c>
      <c r="AC1410">
        <v>6</v>
      </c>
      <c r="AD1410">
        <v>4</v>
      </c>
      <c r="AE1410">
        <v>5</v>
      </c>
      <c r="AF1410">
        <v>2</v>
      </c>
      <c r="AG1410">
        <v>1</v>
      </c>
      <c r="AH1410">
        <v>4</v>
      </c>
    </row>
    <row r="1411" spans="1:34" x14ac:dyDescent="0.2">
      <c r="A1411">
        <v>40</v>
      </c>
      <c r="B1411" t="s">
        <v>42</v>
      </c>
      <c r="C1411" t="s">
        <v>43</v>
      </c>
      <c r="D1411" t="s">
        <v>44</v>
      </c>
      <c r="E1411">
        <v>11</v>
      </c>
      <c r="F1411">
        <v>3</v>
      </c>
      <c r="G1411" t="s">
        <v>59</v>
      </c>
      <c r="H1411">
        <v>1</v>
      </c>
      <c r="I1411">
        <v>1985</v>
      </c>
      <c r="J1411">
        <v>4</v>
      </c>
      <c r="K1411" t="s">
        <v>38</v>
      </c>
      <c r="L1411">
        <v>73</v>
      </c>
      <c r="M1411">
        <v>3</v>
      </c>
      <c r="N1411">
        <v>2</v>
      </c>
      <c r="O1411" t="s">
        <v>49</v>
      </c>
      <c r="P1411">
        <v>3</v>
      </c>
      <c r="Q1411" t="s">
        <v>47</v>
      </c>
      <c r="R1411">
        <v>6323</v>
      </c>
      <c r="S1411">
        <v>26849</v>
      </c>
      <c r="T1411">
        <v>1</v>
      </c>
      <c r="U1411" t="s">
        <v>41</v>
      </c>
      <c r="V1411" t="s">
        <v>42</v>
      </c>
      <c r="W1411">
        <v>11</v>
      </c>
      <c r="X1411">
        <v>3</v>
      </c>
      <c r="Y1411">
        <v>1</v>
      </c>
      <c r="Z1411">
        <v>80</v>
      </c>
      <c r="AA1411">
        <v>1</v>
      </c>
      <c r="AB1411">
        <v>10</v>
      </c>
      <c r="AC1411">
        <v>2</v>
      </c>
      <c r="AD1411">
        <v>4</v>
      </c>
      <c r="AE1411">
        <v>10</v>
      </c>
      <c r="AF1411">
        <v>9</v>
      </c>
      <c r="AG1411">
        <v>9</v>
      </c>
      <c r="AH1411">
        <v>4</v>
      </c>
    </row>
    <row r="1412" spans="1:34" x14ac:dyDescent="0.2">
      <c r="A1412">
        <v>40</v>
      </c>
      <c r="B1412" t="s">
        <v>42</v>
      </c>
      <c r="C1412" t="s">
        <v>35</v>
      </c>
      <c r="D1412" t="s">
        <v>36</v>
      </c>
      <c r="E1412">
        <v>2</v>
      </c>
      <c r="F1412">
        <v>2</v>
      </c>
      <c r="G1412" t="s">
        <v>58</v>
      </c>
      <c r="H1412">
        <v>1</v>
      </c>
      <c r="I1412">
        <v>1986</v>
      </c>
      <c r="J1412">
        <v>2</v>
      </c>
      <c r="K1412" t="s">
        <v>38</v>
      </c>
      <c r="L1412">
        <v>92</v>
      </c>
      <c r="M1412">
        <v>3</v>
      </c>
      <c r="N1412">
        <v>2</v>
      </c>
      <c r="O1412" t="s">
        <v>39</v>
      </c>
      <c r="P1412">
        <v>2</v>
      </c>
      <c r="Q1412" t="s">
        <v>47</v>
      </c>
      <c r="R1412">
        <v>5677</v>
      </c>
      <c r="S1412">
        <v>4258</v>
      </c>
      <c r="T1412">
        <v>3</v>
      </c>
      <c r="U1412" t="s">
        <v>41</v>
      </c>
      <c r="V1412" t="s">
        <v>42</v>
      </c>
      <c r="W1412">
        <v>14</v>
      </c>
      <c r="X1412">
        <v>3</v>
      </c>
      <c r="Y1412">
        <v>3</v>
      </c>
      <c r="Z1412">
        <v>80</v>
      </c>
      <c r="AA1412">
        <v>1</v>
      </c>
      <c r="AB1412">
        <v>15</v>
      </c>
      <c r="AC1412">
        <v>4</v>
      </c>
      <c r="AD1412">
        <v>3</v>
      </c>
      <c r="AE1412">
        <v>11</v>
      </c>
      <c r="AF1412">
        <v>8</v>
      </c>
      <c r="AG1412">
        <v>5</v>
      </c>
      <c r="AH1412">
        <v>10</v>
      </c>
    </row>
    <row r="1413" spans="1:34" x14ac:dyDescent="0.2">
      <c r="A1413">
        <v>25</v>
      </c>
      <c r="B1413" t="s">
        <v>42</v>
      </c>
      <c r="C1413" t="s">
        <v>35</v>
      </c>
      <c r="D1413" t="s">
        <v>60</v>
      </c>
      <c r="E1413">
        <v>2</v>
      </c>
      <c r="F1413">
        <v>3</v>
      </c>
      <c r="G1413" t="s">
        <v>60</v>
      </c>
      <c r="H1413">
        <v>1</v>
      </c>
      <c r="I1413">
        <v>1987</v>
      </c>
      <c r="J1413">
        <v>3</v>
      </c>
      <c r="K1413" t="s">
        <v>38</v>
      </c>
      <c r="L1413">
        <v>82</v>
      </c>
      <c r="M1413">
        <v>3</v>
      </c>
      <c r="N1413">
        <v>1</v>
      </c>
      <c r="O1413" t="s">
        <v>60</v>
      </c>
      <c r="P1413">
        <v>2</v>
      </c>
      <c r="Q1413" t="s">
        <v>47</v>
      </c>
      <c r="R1413">
        <v>2187</v>
      </c>
      <c r="S1413">
        <v>19655</v>
      </c>
      <c r="T1413">
        <v>4</v>
      </c>
      <c r="U1413" t="s">
        <v>41</v>
      </c>
      <c r="V1413" t="s">
        <v>42</v>
      </c>
      <c r="W1413">
        <v>14</v>
      </c>
      <c r="X1413">
        <v>3</v>
      </c>
      <c r="Y1413">
        <v>3</v>
      </c>
      <c r="Z1413">
        <v>80</v>
      </c>
      <c r="AA1413">
        <v>0</v>
      </c>
      <c r="AB1413">
        <v>6</v>
      </c>
      <c r="AC1413">
        <v>3</v>
      </c>
      <c r="AD1413">
        <v>3</v>
      </c>
      <c r="AE1413">
        <v>2</v>
      </c>
      <c r="AF1413">
        <v>0</v>
      </c>
      <c r="AG1413">
        <v>1</v>
      </c>
      <c r="AH1413">
        <v>2</v>
      </c>
    </row>
    <row r="1414" spans="1:34" x14ac:dyDescent="0.2">
      <c r="A1414">
        <v>30</v>
      </c>
      <c r="B1414" t="s">
        <v>42</v>
      </c>
      <c r="C1414" t="s">
        <v>35</v>
      </c>
      <c r="D1414" t="s">
        <v>44</v>
      </c>
      <c r="E1414">
        <v>1</v>
      </c>
      <c r="F1414">
        <v>2</v>
      </c>
      <c r="G1414" t="s">
        <v>50</v>
      </c>
      <c r="H1414">
        <v>1</v>
      </c>
      <c r="I1414">
        <v>1989</v>
      </c>
      <c r="J1414">
        <v>4</v>
      </c>
      <c r="K1414" t="s">
        <v>45</v>
      </c>
      <c r="L1414">
        <v>76</v>
      </c>
      <c r="M1414">
        <v>3</v>
      </c>
      <c r="N1414">
        <v>1</v>
      </c>
      <c r="O1414" t="s">
        <v>49</v>
      </c>
      <c r="P1414">
        <v>2</v>
      </c>
      <c r="Q1414" t="s">
        <v>47</v>
      </c>
      <c r="R1414">
        <v>3748</v>
      </c>
      <c r="S1414">
        <v>4077</v>
      </c>
      <c r="T1414">
        <v>1</v>
      </c>
      <c r="U1414" t="s">
        <v>41</v>
      </c>
      <c r="V1414" t="s">
        <v>42</v>
      </c>
      <c r="W1414">
        <v>13</v>
      </c>
      <c r="X1414">
        <v>3</v>
      </c>
      <c r="Y1414">
        <v>3</v>
      </c>
      <c r="Z1414">
        <v>80</v>
      </c>
      <c r="AA1414">
        <v>0</v>
      </c>
      <c r="AB1414">
        <v>12</v>
      </c>
      <c r="AC1414">
        <v>6</v>
      </c>
      <c r="AD1414">
        <v>2</v>
      </c>
      <c r="AE1414">
        <v>12</v>
      </c>
      <c r="AF1414">
        <v>8</v>
      </c>
      <c r="AG1414">
        <v>1</v>
      </c>
      <c r="AH1414">
        <v>7</v>
      </c>
    </row>
    <row r="1415" spans="1:34" x14ac:dyDescent="0.2">
      <c r="A1415">
        <v>25</v>
      </c>
      <c r="B1415" t="s">
        <v>42</v>
      </c>
      <c r="C1415" t="s">
        <v>35</v>
      </c>
      <c r="D1415" t="s">
        <v>44</v>
      </c>
      <c r="E1415">
        <v>2</v>
      </c>
      <c r="F1415">
        <v>1</v>
      </c>
      <c r="G1415" t="s">
        <v>48</v>
      </c>
      <c r="H1415">
        <v>1</v>
      </c>
      <c r="I1415">
        <v>1992</v>
      </c>
      <c r="J1415">
        <v>4</v>
      </c>
      <c r="K1415" t="s">
        <v>45</v>
      </c>
      <c r="L1415">
        <v>57</v>
      </c>
      <c r="M1415">
        <v>3</v>
      </c>
      <c r="N1415">
        <v>1</v>
      </c>
      <c r="O1415" t="s">
        <v>49</v>
      </c>
      <c r="P1415">
        <v>3</v>
      </c>
      <c r="Q1415" t="s">
        <v>51</v>
      </c>
      <c r="R1415">
        <v>3977</v>
      </c>
      <c r="S1415">
        <v>7298</v>
      </c>
      <c r="T1415">
        <v>6</v>
      </c>
      <c r="U1415" t="s">
        <v>41</v>
      </c>
      <c r="V1415" t="s">
        <v>34</v>
      </c>
      <c r="W1415">
        <v>19</v>
      </c>
      <c r="X1415">
        <v>3</v>
      </c>
      <c r="Y1415">
        <v>3</v>
      </c>
      <c r="Z1415">
        <v>80</v>
      </c>
      <c r="AA1415">
        <v>1</v>
      </c>
      <c r="AB1415">
        <v>7</v>
      </c>
      <c r="AC1415">
        <v>2</v>
      </c>
      <c r="AD1415">
        <v>2</v>
      </c>
      <c r="AE1415">
        <v>2</v>
      </c>
      <c r="AF1415">
        <v>2</v>
      </c>
      <c r="AG1415">
        <v>0</v>
      </c>
      <c r="AH1415">
        <v>2</v>
      </c>
    </row>
    <row r="1416" spans="1:34" x14ac:dyDescent="0.2">
      <c r="A1416">
        <v>47</v>
      </c>
      <c r="B1416" t="s">
        <v>42</v>
      </c>
      <c r="C1416" t="s">
        <v>35</v>
      </c>
      <c r="D1416" t="s">
        <v>44</v>
      </c>
      <c r="E1416">
        <v>25</v>
      </c>
      <c r="F1416">
        <v>3</v>
      </c>
      <c r="G1416" t="s">
        <v>50</v>
      </c>
      <c r="H1416">
        <v>1</v>
      </c>
      <c r="I1416">
        <v>1993</v>
      </c>
      <c r="J1416">
        <v>1</v>
      </c>
      <c r="K1416" t="s">
        <v>45</v>
      </c>
      <c r="L1416">
        <v>84</v>
      </c>
      <c r="M1416">
        <v>3</v>
      </c>
      <c r="N1416">
        <v>3</v>
      </c>
      <c r="O1416" t="s">
        <v>53</v>
      </c>
      <c r="P1416">
        <v>3</v>
      </c>
      <c r="Q1416" t="s">
        <v>40</v>
      </c>
      <c r="R1416">
        <v>8633</v>
      </c>
      <c r="S1416">
        <v>13084</v>
      </c>
      <c r="T1416">
        <v>2</v>
      </c>
      <c r="U1416" t="s">
        <v>41</v>
      </c>
      <c r="V1416" t="s">
        <v>42</v>
      </c>
      <c r="W1416">
        <v>23</v>
      </c>
      <c r="X1416">
        <v>4</v>
      </c>
      <c r="Y1416">
        <v>2</v>
      </c>
      <c r="Z1416">
        <v>80</v>
      </c>
      <c r="AA1416">
        <v>0</v>
      </c>
      <c r="AB1416">
        <v>25</v>
      </c>
      <c r="AC1416">
        <v>3</v>
      </c>
      <c r="AD1416">
        <v>3</v>
      </c>
      <c r="AE1416">
        <v>17</v>
      </c>
      <c r="AF1416">
        <v>14</v>
      </c>
      <c r="AG1416">
        <v>12</v>
      </c>
      <c r="AH1416">
        <v>11</v>
      </c>
    </row>
    <row r="1417" spans="1:34" x14ac:dyDescent="0.2">
      <c r="A1417">
        <v>33</v>
      </c>
      <c r="B1417" t="s">
        <v>42</v>
      </c>
      <c r="C1417" t="s">
        <v>54</v>
      </c>
      <c r="D1417" t="s">
        <v>44</v>
      </c>
      <c r="E1417">
        <v>1</v>
      </c>
      <c r="F1417">
        <v>2</v>
      </c>
      <c r="G1417" t="s">
        <v>50</v>
      </c>
      <c r="H1417">
        <v>1</v>
      </c>
      <c r="I1417">
        <v>1994</v>
      </c>
      <c r="J1417">
        <v>2</v>
      </c>
      <c r="K1417" t="s">
        <v>45</v>
      </c>
      <c r="L1417">
        <v>59</v>
      </c>
      <c r="M1417">
        <v>2</v>
      </c>
      <c r="N1417">
        <v>1</v>
      </c>
      <c r="O1417" t="s">
        <v>49</v>
      </c>
      <c r="P1417">
        <v>3</v>
      </c>
      <c r="Q1417" t="s">
        <v>51</v>
      </c>
      <c r="R1417">
        <v>2008</v>
      </c>
      <c r="S1417">
        <v>20439</v>
      </c>
      <c r="T1417">
        <v>1</v>
      </c>
      <c r="U1417" t="s">
        <v>41</v>
      </c>
      <c r="V1417" t="s">
        <v>42</v>
      </c>
      <c r="W1417">
        <v>12</v>
      </c>
      <c r="X1417">
        <v>3</v>
      </c>
      <c r="Y1417">
        <v>3</v>
      </c>
      <c r="Z1417">
        <v>80</v>
      </c>
      <c r="AA1417">
        <v>3</v>
      </c>
      <c r="AB1417">
        <v>1</v>
      </c>
      <c r="AC1417">
        <v>2</v>
      </c>
      <c r="AD1417">
        <v>2</v>
      </c>
      <c r="AE1417">
        <v>1</v>
      </c>
      <c r="AF1417">
        <v>1</v>
      </c>
      <c r="AG1417">
        <v>0</v>
      </c>
      <c r="AH1417">
        <v>0</v>
      </c>
    </row>
    <row r="1418" spans="1:34" x14ac:dyDescent="0.2">
      <c r="A1418">
        <v>38</v>
      </c>
      <c r="B1418" t="s">
        <v>42</v>
      </c>
      <c r="C1418" t="s">
        <v>35</v>
      </c>
      <c r="D1418" t="s">
        <v>36</v>
      </c>
      <c r="E1418">
        <v>1</v>
      </c>
      <c r="F1418">
        <v>4</v>
      </c>
      <c r="G1418" t="s">
        <v>37</v>
      </c>
      <c r="H1418">
        <v>1</v>
      </c>
      <c r="I1418">
        <v>1995</v>
      </c>
      <c r="J1418">
        <v>4</v>
      </c>
      <c r="K1418" t="s">
        <v>45</v>
      </c>
      <c r="L1418">
        <v>86</v>
      </c>
      <c r="M1418">
        <v>3</v>
      </c>
      <c r="N1418">
        <v>2</v>
      </c>
      <c r="O1418" t="s">
        <v>39</v>
      </c>
      <c r="P1418">
        <v>2</v>
      </c>
      <c r="Q1418" t="s">
        <v>47</v>
      </c>
      <c r="R1418">
        <v>4440</v>
      </c>
      <c r="S1418">
        <v>7636</v>
      </c>
      <c r="T1418">
        <v>0</v>
      </c>
      <c r="U1418" t="s">
        <v>41</v>
      </c>
      <c r="V1418" t="s">
        <v>42</v>
      </c>
      <c r="W1418">
        <v>15</v>
      </c>
      <c r="X1418">
        <v>3</v>
      </c>
      <c r="Y1418">
        <v>1</v>
      </c>
      <c r="Z1418">
        <v>80</v>
      </c>
      <c r="AA1418">
        <v>2</v>
      </c>
      <c r="AB1418">
        <v>16</v>
      </c>
      <c r="AC1418">
        <v>3</v>
      </c>
      <c r="AD1418">
        <v>3</v>
      </c>
      <c r="AE1418">
        <v>15</v>
      </c>
      <c r="AF1418">
        <v>13</v>
      </c>
      <c r="AG1418">
        <v>5</v>
      </c>
      <c r="AH1418">
        <v>8</v>
      </c>
    </row>
    <row r="1419" spans="1:34" x14ac:dyDescent="0.2">
      <c r="A1419">
        <v>31</v>
      </c>
      <c r="B1419" t="s">
        <v>42</v>
      </c>
      <c r="C1419" t="s">
        <v>35</v>
      </c>
      <c r="D1419" t="s">
        <v>36</v>
      </c>
      <c r="E1419">
        <v>2</v>
      </c>
      <c r="F1419">
        <v>2</v>
      </c>
      <c r="G1419" t="s">
        <v>37</v>
      </c>
      <c r="H1419">
        <v>1</v>
      </c>
      <c r="I1419">
        <v>1996</v>
      </c>
      <c r="J1419">
        <v>1</v>
      </c>
      <c r="K1419" t="s">
        <v>45</v>
      </c>
      <c r="L1419">
        <v>54</v>
      </c>
      <c r="M1419">
        <v>3</v>
      </c>
      <c r="N1419">
        <v>1</v>
      </c>
      <c r="O1419" t="s">
        <v>56</v>
      </c>
      <c r="P1419">
        <v>3</v>
      </c>
      <c r="Q1419" t="s">
        <v>47</v>
      </c>
      <c r="R1419">
        <v>3067</v>
      </c>
      <c r="S1419">
        <v>6393</v>
      </c>
      <c r="T1419">
        <v>0</v>
      </c>
      <c r="U1419" t="s">
        <v>41</v>
      </c>
      <c r="V1419" t="s">
        <v>42</v>
      </c>
      <c r="W1419">
        <v>19</v>
      </c>
      <c r="X1419">
        <v>3</v>
      </c>
      <c r="Y1419">
        <v>3</v>
      </c>
      <c r="Z1419">
        <v>80</v>
      </c>
      <c r="AA1419">
        <v>1</v>
      </c>
      <c r="AB1419">
        <v>3</v>
      </c>
      <c r="AC1419">
        <v>1</v>
      </c>
      <c r="AD1419">
        <v>3</v>
      </c>
      <c r="AE1419">
        <v>2</v>
      </c>
      <c r="AF1419">
        <v>2</v>
      </c>
      <c r="AG1419">
        <v>1</v>
      </c>
      <c r="AH1419">
        <v>2</v>
      </c>
    </row>
    <row r="1420" spans="1:34" x14ac:dyDescent="0.2">
      <c r="A1420">
        <v>38</v>
      </c>
      <c r="B1420" t="s">
        <v>42</v>
      </c>
      <c r="C1420" t="s">
        <v>43</v>
      </c>
      <c r="D1420" t="s">
        <v>44</v>
      </c>
      <c r="E1420">
        <v>6</v>
      </c>
      <c r="F1420">
        <v>4</v>
      </c>
      <c r="G1420" t="s">
        <v>37</v>
      </c>
      <c r="H1420">
        <v>1</v>
      </c>
      <c r="I1420">
        <v>1997</v>
      </c>
      <c r="J1420">
        <v>1</v>
      </c>
      <c r="K1420" t="s">
        <v>45</v>
      </c>
      <c r="L1420">
        <v>72</v>
      </c>
      <c r="M1420">
        <v>2</v>
      </c>
      <c r="N1420">
        <v>2</v>
      </c>
      <c r="O1420" t="s">
        <v>52</v>
      </c>
      <c r="P1420">
        <v>3</v>
      </c>
      <c r="Q1420" t="s">
        <v>47</v>
      </c>
      <c r="R1420">
        <v>5321</v>
      </c>
      <c r="S1420">
        <v>14284</v>
      </c>
      <c r="T1420">
        <v>2</v>
      </c>
      <c r="U1420" t="s">
        <v>41</v>
      </c>
      <c r="V1420" t="s">
        <v>42</v>
      </c>
      <c r="W1420">
        <v>11</v>
      </c>
      <c r="X1420">
        <v>3</v>
      </c>
      <c r="Y1420">
        <v>4</v>
      </c>
      <c r="Z1420">
        <v>80</v>
      </c>
      <c r="AA1420">
        <v>1</v>
      </c>
      <c r="AB1420">
        <v>10</v>
      </c>
      <c r="AC1420">
        <v>1</v>
      </c>
      <c r="AD1420">
        <v>3</v>
      </c>
      <c r="AE1420">
        <v>8</v>
      </c>
      <c r="AF1420">
        <v>3</v>
      </c>
      <c r="AG1420">
        <v>7</v>
      </c>
      <c r="AH1420">
        <v>7</v>
      </c>
    </row>
    <row r="1421" spans="1:34" x14ac:dyDescent="0.2">
      <c r="A1421">
        <v>42</v>
      </c>
      <c r="B1421" t="s">
        <v>42</v>
      </c>
      <c r="C1421" t="s">
        <v>35</v>
      </c>
      <c r="D1421" t="s">
        <v>44</v>
      </c>
      <c r="E1421">
        <v>18</v>
      </c>
      <c r="F1421">
        <v>4</v>
      </c>
      <c r="G1421" t="s">
        <v>37</v>
      </c>
      <c r="H1421">
        <v>1</v>
      </c>
      <c r="I1421">
        <v>1998</v>
      </c>
      <c r="J1421">
        <v>4</v>
      </c>
      <c r="K1421" t="s">
        <v>45</v>
      </c>
      <c r="L1421">
        <v>35</v>
      </c>
      <c r="M1421">
        <v>3</v>
      </c>
      <c r="N1421">
        <v>2</v>
      </c>
      <c r="O1421" t="s">
        <v>46</v>
      </c>
      <c r="P1421">
        <v>1</v>
      </c>
      <c r="Q1421" t="s">
        <v>51</v>
      </c>
      <c r="R1421">
        <v>5410</v>
      </c>
      <c r="S1421">
        <v>11189</v>
      </c>
      <c r="T1421">
        <v>6</v>
      </c>
      <c r="U1421" t="s">
        <v>41</v>
      </c>
      <c r="V1421" t="s">
        <v>34</v>
      </c>
      <c r="W1421">
        <v>17</v>
      </c>
      <c r="X1421">
        <v>3</v>
      </c>
      <c r="Y1421">
        <v>3</v>
      </c>
      <c r="Z1421">
        <v>80</v>
      </c>
      <c r="AA1421">
        <v>1</v>
      </c>
      <c r="AB1421">
        <v>9</v>
      </c>
      <c r="AC1421">
        <v>3</v>
      </c>
      <c r="AD1421">
        <v>2</v>
      </c>
      <c r="AE1421">
        <v>4</v>
      </c>
      <c r="AF1421">
        <v>3</v>
      </c>
      <c r="AG1421">
        <v>1</v>
      </c>
      <c r="AH1421">
        <v>2</v>
      </c>
    </row>
    <row r="1422" spans="1:34" x14ac:dyDescent="0.2">
      <c r="A1422">
        <v>41</v>
      </c>
      <c r="B1422" t="s">
        <v>42</v>
      </c>
      <c r="C1422" t="s">
        <v>35</v>
      </c>
      <c r="D1422" t="s">
        <v>44</v>
      </c>
      <c r="E1422">
        <v>1</v>
      </c>
      <c r="F1422">
        <v>3</v>
      </c>
      <c r="G1422" t="s">
        <v>37</v>
      </c>
      <c r="H1422">
        <v>1</v>
      </c>
      <c r="I1422">
        <v>1999</v>
      </c>
      <c r="J1422">
        <v>4</v>
      </c>
      <c r="K1422" t="s">
        <v>45</v>
      </c>
      <c r="L1422">
        <v>76</v>
      </c>
      <c r="M1422">
        <v>3</v>
      </c>
      <c r="N1422">
        <v>1</v>
      </c>
      <c r="O1422" t="s">
        <v>46</v>
      </c>
      <c r="P1422">
        <v>4</v>
      </c>
      <c r="Q1422" t="s">
        <v>47</v>
      </c>
      <c r="R1422">
        <v>2782</v>
      </c>
      <c r="S1422">
        <v>21412</v>
      </c>
      <c r="T1422">
        <v>3</v>
      </c>
      <c r="U1422" t="s">
        <v>41</v>
      </c>
      <c r="V1422" t="s">
        <v>42</v>
      </c>
      <c r="W1422">
        <v>22</v>
      </c>
      <c r="X1422">
        <v>4</v>
      </c>
      <c r="Y1422">
        <v>1</v>
      </c>
      <c r="Z1422">
        <v>80</v>
      </c>
      <c r="AA1422">
        <v>1</v>
      </c>
      <c r="AB1422">
        <v>12</v>
      </c>
      <c r="AC1422">
        <v>3</v>
      </c>
      <c r="AD1422">
        <v>3</v>
      </c>
      <c r="AE1422">
        <v>5</v>
      </c>
      <c r="AF1422">
        <v>3</v>
      </c>
      <c r="AG1422">
        <v>1</v>
      </c>
      <c r="AH1422">
        <v>0</v>
      </c>
    </row>
    <row r="1423" spans="1:34" x14ac:dyDescent="0.2">
      <c r="A1423">
        <v>47</v>
      </c>
      <c r="B1423" t="s">
        <v>42</v>
      </c>
      <c r="C1423" t="s">
        <v>54</v>
      </c>
      <c r="D1423" t="s">
        <v>44</v>
      </c>
      <c r="E1423">
        <v>1</v>
      </c>
      <c r="F1423">
        <v>1</v>
      </c>
      <c r="G1423" t="s">
        <v>50</v>
      </c>
      <c r="H1423">
        <v>1</v>
      </c>
      <c r="I1423">
        <v>2000</v>
      </c>
      <c r="J1423">
        <v>3</v>
      </c>
      <c r="K1423" t="s">
        <v>38</v>
      </c>
      <c r="L1423">
        <v>98</v>
      </c>
      <c r="M1423">
        <v>3</v>
      </c>
      <c r="N1423">
        <v>3</v>
      </c>
      <c r="O1423" t="s">
        <v>57</v>
      </c>
      <c r="P1423">
        <v>2</v>
      </c>
      <c r="Q1423" t="s">
        <v>47</v>
      </c>
      <c r="R1423">
        <v>11957</v>
      </c>
      <c r="S1423">
        <v>17231</v>
      </c>
      <c r="T1423">
        <v>0</v>
      </c>
      <c r="U1423" t="s">
        <v>41</v>
      </c>
      <c r="V1423" t="s">
        <v>42</v>
      </c>
      <c r="W1423">
        <v>18</v>
      </c>
      <c r="X1423">
        <v>3</v>
      </c>
      <c r="Y1423">
        <v>1</v>
      </c>
      <c r="Z1423">
        <v>80</v>
      </c>
      <c r="AA1423">
        <v>2</v>
      </c>
      <c r="AB1423">
        <v>14</v>
      </c>
      <c r="AC1423">
        <v>3</v>
      </c>
      <c r="AD1423">
        <v>1</v>
      </c>
      <c r="AE1423">
        <v>13</v>
      </c>
      <c r="AF1423">
        <v>8</v>
      </c>
      <c r="AG1423">
        <v>5</v>
      </c>
      <c r="AH1423">
        <v>12</v>
      </c>
    </row>
    <row r="1424" spans="1:34" x14ac:dyDescent="0.2">
      <c r="A1424">
        <v>35</v>
      </c>
      <c r="B1424" t="s">
        <v>42</v>
      </c>
      <c r="C1424" t="s">
        <v>35</v>
      </c>
      <c r="D1424" t="s">
        <v>44</v>
      </c>
      <c r="E1424">
        <v>11</v>
      </c>
      <c r="F1424">
        <v>4</v>
      </c>
      <c r="G1424" t="s">
        <v>50</v>
      </c>
      <c r="H1424">
        <v>1</v>
      </c>
      <c r="I1424">
        <v>2003</v>
      </c>
      <c r="J1424">
        <v>4</v>
      </c>
      <c r="K1424" t="s">
        <v>45</v>
      </c>
      <c r="L1424">
        <v>43</v>
      </c>
      <c r="M1424">
        <v>3</v>
      </c>
      <c r="N1424">
        <v>1</v>
      </c>
      <c r="O1424" t="s">
        <v>49</v>
      </c>
      <c r="P1424">
        <v>3</v>
      </c>
      <c r="Q1424" t="s">
        <v>47</v>
      </c>
      <c r="R1424">
        <v>2660</v>
      </c>
      <c r="S1424">
        <v>20232</v>
      </c>
      <c r="T1424">
        <v>7</v>
      </c>
      <c r="U1424" t="s">
        <v>41</v>
      </c>
      <c r="V1424" t="s">
        <v>34</v>
      </c>
      <c r="W1424">
        <v>11</v>
      </c>
      <c r="X1424">
        <v>3</v>
      </c>
      <c r="Y1424">
        <v>3</v>
      </c>
      <c r="Z1424">
        <v>80</v>
      </c>
      <c r="AA1424">
        <v>1</v>
      </c>
      <c r="AB1424">
        <v>5</v>
      </c>
      <c r="AC1424">
        <v>3</v>
      </c>
      <c r="AD1424">
        <v>3</v>
      </c>
      <c r="AE1424">
        <v>2</v>
      </c>
      <c r="AF1424">
        <v>2</v>
      </c>
      <c r="AG1424">
        <v>2</v>
      </c>
      <c r="AH1424">
        <v>2</v>
      </c>
    </row>
    <row r="1425" spans="1:34" x14ac:dyDescent="0.2">
      <c r="A1425">
        <v>22</v>
      </c>
      <c r="B1425" t="s">
        <v>42</v>
      </c>
      <c r="C1425" t="s">
        <v>35</v>
      </c>
      <c r="D1425" t="s">
        <v>44</v>
      </c>
      <c r="E1425">
        <v>1</v>
      </c>
      <c r="F1425">
        <v>2</v>
      </c>
      <c r="G1425" t="s">
        <v>37</v>
      </c>
      <c r="H1425">
        <v>1</v>
      </c>
      <c r="I1425">
        <v>2007</v>
      </c>
      <c r="J1425">
        <v>4</v>
      </c>
      <c r="K1425" t="s">
        <v>45</v>
      </c>
      <c r="L1425">
        <v>63</v>
      </c>
      <c r="M1425">
        <v>3</v>
      </c>
      <c r="N1425">
        <v>1</v>
      </c>
      <c r="O1425" t="s">
        <v>46</v>
      </c>
      <c r="P1425">
        <v>3</v>
      </c>
      <c r="Q1425" t="s">
        <v>40</v>
      </c>
      <c r="R1425">
        <v>3375</v>
      </c>
      <c r="S1425">
        <v>17624</v>
      </c>
      <c r="T1425">
        <v>0</v>
      </c>
      <c r="U1425" t="s">
        <v>41</v>
      </c>
      <c r="V1425" t="s">
        <v>42</v>
      </c>
      <c r="W1425">
        <v>12</v>
      </c>
      <c r="X1425">
        <v>3</v>
      </c>
      <c r="Y1425">
        <v>4</v>
      </c>
      <c r="Z1425">
        <v>80</v>
      </c>
      <c r="AA1425">
        <v>0</v>
      </c>
      <c r="AB1425">
        <v>4</v>
      </c>
      <c r="AC1425">
        <v>2</v>
      </c>
      <c r="AD1425">
        <v>4</v>
      </c>
      <c r="AE1425">
        <v>3</v>
      </c>
      <c r="AF1425">
        <v>2</v>
      </c>
      <c r="AG1425">
        <v>1</v>
      </c>
      <c r="AH1425">
        <v>2</v>
      </c>
    </row>
    <row r="1426" spans="1:34" x14ac:dyDescent="0.2">
      <c r="A1426">
        <v>35</v>
      </c>
      <c r="B1426" t="s">
        <v>42</v>
      </c>
      <c r="C1426" t="s">
        <v>35</v>
      </c>
      <c r="D1426" t="s">
        <v>44</v>
      </c>
      <c r="E1426">
        <v>9</v>
      </c>
      <c r="F1426">
        <v>4</v>
      </c>
      <c r="G1426" t="s">
        <v>50</v>
      </c>
      <c r="H1426">
        <v>1</v>
      </c>
      <c r="I1426">
        <v>2008</v>
      </c>
      <c r="J1426">
        <v>2</v>
      </c>
      <c r="K1426" t="s">
        <v>45</v>
      </c>
      <c r="L1426">
        <v>48</v>
      </c>
      <c r="M1426">
        <v>3</v>
      </c>
      <c r="N1426">
        <v>2</v>
      </c>
      <c r="O1426" t="s">
        <v>46</v>
      </c>
      <c r="P1426">
        <v>3</v>
      </c>
      <c r="Q1426" t="s">
        <v>40</v>
      </c>
      <c r="R1426">
        <v>5098</v>
      </c>
      <c r="S1426">
        <v>18698</v>
      </c>
      <c r="T1426">
        <v>1</v>
      </c>
      <c r="U1426" t="s">
        <v>41</v>
      </c>
      <c r="V1426" t="s">
        <v>42</v>
      </c>
      <c r="W1426">
        <v>19</v>
      </c>
      <c r="X1426">
        <v>3</v>
      </c>
      <c r="Y1426">
        <v>2</v>
      </c>
      <c r="Z1426">
        <v>80</v>
      </c>
      <c r="AA1426">
        <v>0</v>
      </c>
      <c r="AB1426">
        <v>10</v>
      </c>
      <c r="AC1426">
        <v>5</v>
      </c>
      <c r="AD1426">
        <v>3</v>
      </c>
      <c r="AE1426">
        <v>10</v>
      </c>
      <c r="AF1426">
        <v>7</v>
      </c>
      <c r="AG1426">
        <v>0</v>
      </c>
      <c r="AH1426">
        <v>8</v>
      </c>
    </row>
    <row r="1427" spans="1:34" x14ac:dyDescent="0.2">
      <c r="A1427">
        <v>33</v>
      </c>
      <c r="B1427" t="s">
        <v>42</v>
      </c>
      <c r="C1427" t="s">
        <v>35</v>
      </c>
      <c r="D1427" t="s">
        <v>44</v>
      </c>
      <c r="E1427">
        <v>15</v>
      </c>
      <c r="F1427">
        <v>2</v>
      </c>
      <c r="G1427" t="s">
        <v>50</v>
      </c>
      <c r="H1427">
        <v>1</v>
      </c>
      <c r="I1427">
        <v>2009</v>
      </c>
      <c r="J1427">
        <v>2</v>
      </c>
      <c r="K1427" t="s">
        <v>38</v>
      </c>
      <c r="L1427">
        <v>95</v>
      </c>
      <c r="M1427">
        <v>3</v>
      </c>
      <c r="N1427">
        <v>2</v>
      </c>
      <c r="O1427" t="s">
        <v>53</v>
      </c>
      <c r="P1427">
        <v>4</v>
      </c>
      <c r="Q1427" t="s">
        <v>47</v>
      </c>
      <c r="R1427">
        <v>4878</v>
      </c>
      <c r="S1427">
        <v>21653</v>
      </c>
      <c r="T1427">
        <v>0</v>
      </c>
      <c r="U1427" t="s">
        <v>41</v>
      </c>
      <c r="V1427" t="s">
        <v>34</v>
      </c>
      <c r="W1427">
        <v>13</v>
      </c>
      <c r="X1427">
        <v>3</v>
      </c>
      <c r="Y1427">
        <v>1</v>
      </c>
      <c r="Z1427">
        <v>80</v>
      </c>
      <c r="AA1427">
        <v>1</v>
      </c>
      <c r="AB1427">
        <v>10</v>
      </c>
      <c r="AC1427">
        <v>6</v>
      </c>
      <c r="AD1427">
        <v>3</v>
      </c>
      <c r="AE1427">
        <v>9</v>
      </c>
      <c r="AF1427">
        <v>7</v>
      </c>
      <c r="AG1427">
        <v>8</v>
      </c>
      <c r="AH1427">
        <v>1</v>
      </c>
    </row>
    <row r="1428" spans="1:34" x14ac:dyDescent="0.2">
      <c r="A1428">
        <v>32</v>
      </c>
      <c r="B1428" t="s">
        <v>42</v>
      </c>
      <c r="C1428" t="s">
        <v>35</v>
      </c>
      <c r="D1428" t="s">
        <v>44</v>
      </c>
      <c r="E1428">
        <v>29</v>
      </c>
      <c r="F1428">
        <v>4</v>
      </c>
      <c r="G1428" t="s">
        <v>37</v>
      </c>
      <c r="H1428">
        <v>1</v>
      </c>
      <c r="I1428">
        <v>2010</v>
      </c>
      <c r="J1428">
        <v>3</v>
      </c>
      <c r="K1428" t="s">
        <v>38</v>
      </c>
      <c r="L1428">
        <v>49</v>
      </c>
      <c r="M1428">
        <v>2</v>
      </c>
      <c r="N1428">
        <v>1</v>
      </c>
      <c r="O1428" t="s">
        <v>49</v>
      </c>
      <c r="P1428">
        <v>2</v>
      </c>
      <c r="Q1428" t="s">
        <v>40</v>
      </c>
      <c r="R1428">
        <v>2837</v>
      </c>
      <c r="S1428">
        <v>15919</v>
      </c>
      <c r="T1428">
        <v>1</v>
      </c>
      <c r="U1428" t="s">
        <v>41</v>
      </c>
      <c r="V1428" t="s">
        <v>42</v>
      </c>
      <c r="W1428">
        <v>13</v>
      </c>
      <c r="X1428">
        <v>3</v>
      </c>
      <c r="Y1428">
        <v>3</v>
      </c>
      <c r="Z1428">
        <v>80</v>
      </c>
      <c r="AA1428">
        <v>0</v>
      </c>
      <c r="AB1428">
        <v>6</v>
      </c>
      <c r="AC1428">
        <v>3</v>
      </c>
      <c r="AD1428">
        <v>3</v>
      </c>
      <c r="AE1428">
        <v>6</v>
      </c>
      <c r="AF1428">
        <v>2</v>
      </c>
      <c r="AG1428">
        <v>4</v>
      </c>
      <c r="AH1428">
        <v>1</v>
      </c>
    </row>
    <row r="1429" spans="1:34" x14ac:dyDescent="0.2">
      <c r="A1429">
        <v>40</v>
      </c>
      <c r="B1429" t="s">
        <v>42</v>
      </c>
      <c r="C1429" t="s">
        <v>35</v>
      </c>
      <c r="D1429" t="s">
        <v>44</v>
      </c>
      <c r="E1429">
        <v>1</v>
      </c>
      <c r="F1429">
        <v>4</v>
      </c>
      <c r="G1429" t="s">
        <v>37</v>
      </c>
      <c r="H1429">
        <v>1</v>
      </c>
      <c r="I1429">
        <v>2012</v>
      </c>
      <c r="J1429">
        <v>1</v>
      </c>
      <c r="K1429" t="s">
        <v>45</v>
      </c>
      <c r="L1429">
        <v>83</v>
      </c>
      <c r="M1429">
        <v>3</v>
      </c>
      <c r="N1429">
        <v>1</v>
      </c>
      <c r="O1429" t="s">
        <v>49</v>
      </c>
      <c r="P1429">
        <v>4</v>
      </c>
      <c r="Q1429" t="s">
        <v>47</v>
      </c>
      <c r="R1429">
        <v>2406</v>
      </c>
      <c r="S1429">
        <v>4060</v>
      </c>
      <c r="T1429">
        <v>8</v>
      </c>
      <c r="U1429" t="s">
        <v>41</v>
      </c>
      <c r="V1429" t="s">
        <v>42</v>
      </c>
      <c r="W1429">
        <v>19</v>
      </c>
      <c r="X1429">
        <v>3</v>
      </c>
      <c r="Y1429">
        <v>3</v>
      </c>
      <c r="Z1429">
        <v>80</v>
      </c>
      <c r="AA1429">
        <v>2</v>
      </c>
      <c r="AB1429">
        <v>8</v>
      </c>
      <c r="AC1429">
        <v>3</v>
      </c>
      <c r="AD1429">
        <v>2</v>
      </c>
      <c r="AE1429">
        <v>1</v>
      </c>
      <c r="AF1429">
        <v>0</v>
      </c>
      <c r="AG1429">
        <v>0</v>
      </c>
      <c r="AH1429">
        <v>0</v>
      </c>
    </row>
    <row r="1430" spans="1:34" x14ac:dyDescent="0.2">
      <c r="A1430">
        <v>32</v>
      </c>
      <c r="B1430" t="s">
        <v>42</v>
      </c>
      <c r="C1430" t="s">
        <v>35</v>
      </c>
      <c r="D1430" t="s">
        <v>36</v>
      </c>
      <c r="E1430">
        <v>1</v>
      </c>
      <c r="F1430">
        <v>4</v>
      </c>
      <c r="G1430" t="s">
        <v>50</v>
      </c>
      <c r="H1430">
        <v>1</v>
      </c>
      <c r="I1430">
        <v>2013</v>
      </c>
      <c r="J1430">
        <v>2</v>
      </c>
      <c r="K1430" t="s">
        <v>45</v>
      </c>
      <c r="L1430">
        <v>68</v>
      </c>
      <c r="M1430">
        <v>2</v>
      </c>
      <c r="N1430">
        <v>1</v>
      </c>
      <c r="O1430" t="s">
        <v>56</v>
      </c>
      <c r="P1430">
        <v>2</v>
      </c>
      <c r="Q1430" t="s">
        <v>47</v>
      </c>
      <c r="R1430">
        <v>2269</v>
      </c>
      <c r="S1430">
        <v>18024</v>
      </c>
      <c r="T1430">
        <v>0</v>
      </c>
      <c r="U1430" t="s">
        <v>41</v>
      </c>
      <c r="V1430" t="s">
        <v>42</v>
      </c>
      <c r="W1430">
        <v>14</v>
      </c>
      <c r="X1430">
        <v>3</v>
      </c>
      <c r="Y1430">
        <v>2</v>
      </c>
      <c r="Z1430">
        <v>80</v>
      </c>
      <c r="AA1430">
        <v>1</v>
      </c>
      <c r="AB1430">
        <v>3</v>
      </c>
      <c r="AC1430">
        <v>2</v>
      </c>
      <c r="AD1430">
        <v>3</v>
      </c>
      <c r="AE1430">
        <v>2</v>
      </c>
      <c r="AF1430">
        <v>2</v>
      </c>
      <c r="AG1430">
        <v>2</v>
      </c>
      <c r="AH1430">
        <v>2</v>
      </c>
    </row>
    <row r="1431" spans="1:34" x14ac:dyDescent="0.2">
      <c r="A1431">
        <v>39</v>
      </c>
      <c r="B1431" t="s">
        <v>42</v>
      </c>
      <c r="C1431" t="s">
        <v>35</v>
      </c>
      <c r="D1431" t="s">
        <v>44</v>
      </c>
      <c r="E1431">
        <v>24</v>
      </c>
      <c r="F1431">
        <v>1</v>
      </c>
      <c r="G1431" t="s">
        <v>37</v>
      </c>
      <c r="H1431">
        <v>1</v>
      </c>
      <c r="I1431">
        <v>2014</v>
      </c>
      <c r="J1431">
        <v>1</v>
      </c>
      <c r="K1431" t="s">
        <v>45</v>
      </c>
      <c r="L1431">
        <v>52</v>
      </c>
      <c r="M1431">
        <v>3</v>
      </c>
      <c r="N1431">
        <v>2</v>
      </c>
      <c r="O1431" t="s">
        <v>46</v>
      </c>
      <c r="P1431">
        <v>4</v>
      </c>
      <c r="Q1431" t="s">
        <v>40</v>
      </c>
      <c r="R1431">
        <v>4108</v>
      </c>
      <c r="S1431">
        <v>5340</v>
      </c>
      <c r="T1431">
        <v>7</v>
      </c>
      <c r="U1431" t="s">
        <v>41</v>
      </c>
      <c r="V1431" t="s">
        <v>42</v>
      </c>
      <c r="W1431">
        <v>13</v>
      </c>
      <c r="X1431">
        <v>3</v>
      </c>
      <c r="Y1431">
        <v>1</v>
      </c>
      <c r="Z1431">
        <v>80</v>
      </c>
      <c r="AA1431">
        <v>0</v>
      </c>
      <c r="AB1431">
        <v>18</v>
      </c>
      <c r="AC1431">
        <v>2</v>
      </c>
      <c r="AD1431">
        <v>3</v>
      </c>
      <c r="AE1431">
        <v>7</v>
      </c>
      <c r="AF1431">
        <v>7</v>
      </c>
      <c r="AG1431">
        <v>1</v>
      </c>
      <c r="AH1431">
        <v>7</v>
      </c>
    </row>
    <row r="1432" spans="1:34" x14ac:dyDescent="0.2">
      <c r="A1432">
        <v>38</v>
      </c>
      <c r="B1432" t="s">
        <v>42</v>
      </c>
      <c r="C1432" t="s">
        <v>35</v>
      </c>
      <c r="D1432" t="s">
        <v>44</v>
      </c>
      <c r="E1432">
        <v>10</v>
      </c>
      <c r="F1432">
        <v>3</v>
      </c>
      <c r="G1432" t="s">
        <v>50</v>
      </c>
      <c r="H1432">
        <v>1</v>
      </c>
      <c r="I1432">
        <v>2015</v>
      </c>
      <c r="J1432">
        <v>2</v>
      </c>
      <c r="K1432" t="s">
        <v>38</v>
      </c>
      <c r="L1432">
        <v>99</v>
      </c>
      <c r="M1432">
        <v>1</v>
      </c>
      <c r="N1432">
        <v>3</v>
      </c>
      <c r="O1432" t="s">
        <v>57</v>
      </c>
      <c r="P1432">
        <v>3</v>
      </c>
      <c r="Q1432" t="s">
        <v>47</v>
      </c>
      <c r="R1432">
        <v>13206</v>
      </c>
      <c r="S1432">
        <v>3376</v>
      </c>
      <c r="T1432">
        <v>3</v>
      </c>
      <c r="U1432" t="s">
        <v>41</v>
      </c>
      <c r="V1432" t="s">
        <v>42</v>
      </c>
      <c r="W1432">
        <v>12</v>
      </c>
      <c r="X1432">
        <v>3</v>
      </c>
      <c r="Y1432">
        <v>1</v>
      </c>
      <c r="Z1432">
        <v>80</v>
      </c>
      <c r="AA1432">
        <v>1</v>
      </c>
      <c r="AB1432">
        <v>20</v>
      </c>
      <c r="AC1432">
        <v>3</v>
      </c>
      <c r="AD1432">
        <v>3</v>
      </c>
      <c r="AE1432">
        <v>18</v>
      </c>
      <c r="AF1432">
        <v>16</v>
      </c>
      <c r="AG1432">
        <v>1</v>
      </c>
      <c r="AH1432">
        <v>11</v>
      </c>
    </row>
    <row r="1433" spans="1:34" x14ac:dyDescent="0.2">
      <c r="A1433">
        <v>32</v>
      </c>
      <c r="B1433" t="s">
        <v>42</v>
      </c>
      <c r="C1433" t="s">
        <v>35</v>
      </c>
      <c r="D1433" t="s">
        <v>36</v>
      </c>
      <c r="E1433">
        <v>1</v>
      </c>
      <c r="F1433">
        <v>4</v>
      </c>
      <c r="G1433" t="s">
        <v>58</v>
      </c>
      <c r="H1433">
        <v>1</v>
      </c>
      <c r="I1433">
        <v>2016</v>
      </c>
      <c r="J1433">
        <v>3</v>
      </c>
      <c r="K1433" t="s">
        <v>38</v>
      </c>
      <c r="L1433">
        <v>48</v>
      </c>
      <c r="M1433">
        <v>3</v>
      </c>
      <c r="N1433">
        <v>3</v>
      </c>
      <c r="O1433" t="s">
        <v>39</v>
      </c>
      <c r="P1433">
        <v>4</v>
      </c>
      <c r="Q1433" t="s">
        <v>47</v>
      </c>
      <c r="R1433">
        <v>10422</v>
      </c>
      <c r="S1433">
        <v>24032</v>
      </c>
      <c r="T1433">
        <v>1</v>
      </c>
      <c r="U1433" t="s">
        <v>41</v>
      </c>
      <c r="V1433" t="s">
        <v>42</v>
      </c>
      <c r="W1433">
        <v>19</v>
      </c>
      <c r="X1433">
        <v>3</v>
      </c>
      <c r="Y1433">
        <v>3</v>
      </c>
      <c r="Z1433">
        <v>80</v>
      </c>
      <c r="AA1433">
        <v>2</v>
      </c>
      <c r="AB1433">
        <v>14</v>
      </c>
      <c r="AC1433">
        <v>3</v>
      </c>
      <c r="AD1433">
        <v>3</v>
      </c>
      <c r="AE1433">
        <v>14</v>
      </c>
      <c r="AF1433">
        <v>10</v>
      </c>
      <c r="AG1433">
        <v>5</v>
      </c>
      <c r="AH1433">
        <v>7</v>
      </c>
    </row>
    <row r="1434" spans="1:34" x14ac:dyDescent="0.2">
      <c r="A1434">
        <v>37</v>
      </c>
      <c r="B1434" t="s">
        <v>42</v>
      </c>
      <c r="C1434" t="s">
        <v>35</v>
      </c>
      <c r="D1434" t="s">
        <v>44</v>
      </c>
      <c r="E1434">
        <v>10</v>
      </c>
      <c r="F1434">
        <v>3</v>
      </c>
      <c r="G1434" t="s">
        <v>37</v>
      </c>
      <c r="H1434">
        <v>1</v>
      </c>
      <c r="I1434">
        <v>2017</v>
      </c>
      <c r="J1434">
        <v>3</v>
      </c>
      <c r="K1434" t="s">
        <v>38</v>
      </c>
      <c r="L1434">
        <v>42</v>
      </c>
      <c r="M1434">
        <v>4</v>
      </c>
      <c r="N1434">
        <v>3</v>
      </c>
      <c r="O1434" t="s">
        <v>57</v>
      </c>
      <c r="P1434">
        <v>4</v>
      </c>
      <c r="Q1434" t="s">
        <v>47</v>
      </c>
      <c r="R1434">
        <v>13744</v>
      </c>
      <c r="S1434">
        <v>15471</v>
      </c>
      <c r="T1434">
        <v>1</v>
      </c>
      <c r="U1434" t="s">
        <v>41</v>
      </c>
      <c r="V1434" t="s">
        <v>34</v>
      </c>
      <c r="W1434">
        <v>25</v>
      </c>
      <c r="X1434">
        <v>4</v>
      </c>
      <c r="Y1434">
        <v>1</v>
      </c>
      <c r="Z1434">
        <v>80</v>
      </c>
      <c r="AA1434">
        <v>1</v>
      </c>
      <c r="AB1434">
        <v>16</v>
      </c>
      <c r="AC1434">
        <v>2</v>
      </c>
      <c r="AD1434">
        <v>3</v>
      </c>
      <c r="AE1434">
        <v>16</v>
      </c>
      <c r="AF1434">
        <v>11</v>
      </c>
      <c r="AG1434">
        <v>6</v>
      </c>
      <c r="AH1434">
        <v>8</v>
      </c>
    </row>
    <row r="1435" spans="1:34" x14ac:dyDescent="0.2">
      <c r="A1435">
        <v>25</v>
      </c>
      <c r="B1435" t="s">
        <v>42</v>
      </c>
      <c r="C1435" t="s">
        <v>35</v>
      </c>
      <c r="D1435" t="s">
        <v>36</v>
      </c>
      <c r="E1435">
        <v>8</v>
      </c>
      <c r="F1435">
        <v>2</v>
      </c>
      <c r="G1435" t="s">
        <v>48</v>
      </c>
      <c r="H1435">
        <v>1</v>
      </c>
      <c r="I1435">
        <v>2018</v>
      </c>
      <c r="J1435">
        <v>1</v>
      </c>
      <c r="K1435" t="s">
        <v>38</v>
      </c>
      <c r="L1435">
        <v>85</v>
      </c>
      <c r="M1435">
        <v>3</v>
      </c>
      <c r="N1435">
        <v>2</v>
      </c>
      <c r="O1435" t="s">
        <v>39</v>
      </c>
      <c r="P1435">
        <v>3</v>
      </c>
      <c r="Q1435" t="s">
        <v>51</v>
      </c>
      <c r="R1435">
        <v>4907</v>
      </c>
      <c r="S1435">
        <v>13684</v>
      </c>
      <c r="T1435">
        <v>0</v>
      </c>
      <c r="U1435" t="s">
        <v>41</v>
      </c>
      <c r="V1435" t="s">
        <v>34</v>
      </c>
      <c r="W1435">
        <v>22</v>
      </c>
      <c r="X1435">
        <v>4</v>
      </c>
      <c r="Y1435">
        <v>2</v>
      </c>
      <c r="Z1435">
        <v>80</v>
      </c>
      <c r="AA1435">
        <v>1</v>
      </c>
      <c r="AB1435">
        <v>6</v>
      </c>
      <c r="AC1435">
        <v>3</v>
      </c>
      <c r="AD1435">
        <v>2</v>
      </c>
      <c r="AE1435">
        <v>5</v>
      </c>
      <c r="AF1435">
        <v>3</v>
      </c>
      <c r="AG1435">
        <v>0</v>
      </c>
      <c r="AH1435">
        <v>4</v>
      </c>
    </row>
    <row r="1436" spans="1:34" x14ac:dyDescent="0.2">
      <c r="A1436">
        <v>52</v>
      </c>
      <c r="B1436" t="s">
        <v>42</v>
      </c>
      <c r="C1436" t="s">
        <v>54</v>
      </c>
      <c r="D1436" t="s">
        <v>36</v>
      </c>
      <c r="E1436">
        <v>29</v>
      </c>
      <c r="F1436">
        <v>4</v>
      </c>
      <c r="G1436" t="s">
        <v>37</v>
      </c>
      <c r="H1436">
        <v>1</v>
      </c>
      <c r="I1436">
        <v>2019</v>
      </c>
      <c r="J1436">
        <v>1</v>
      </c>
      <c r="K1436" t="s">
        <v>45</v>
      </c>
      <c r="L1436">
        <v>40</v>
      </c>
      <c r="M1436">
        <v>3</v>
      </c>
      <c r="N1436">
        <v>1</v>
      </c>
      <c r="O1436" t="s">
        <v>56</v>
      </c>
      <c r="P1436">
        <v>4</v>
      </c>
      <c r="Q1436" t="s">
        <v>51</v>
      </c>
      <c r="R1436">
        <v>3482</v>
      </c>
      <c r="S1436">
        <v>19788</v>
      </c>
      <c r="T1436">
        <v>2</v>
      </c>
      <c r="U1436" t="s">
        <v>41</v>
      </c>
      <c r="V1436" t="s">
        <v>42</v>
      </c>
      <c r="W1436">
        <v>15</v>
      </c>
      <c r="X1436">
        <v>3</v>
      </c>
      <c r="Y1436">
        <v>2</v>
      </c>
      <c r="Z1436">
        <v>80</v>
      </c>
      <c r="AA1436">
        <v>2</v>
      </c>
      <c r="AB1436">
        <v>16</v>
      </c>
      <c r="AC1436">
        <v>3</v>
      </c>
      <c r="AD1436">
        <v>2</v>
      </c>
      <c r="AE1436">
        <v>9</v>
      </c>
      <c r="AF1436">
        <v>8</v>
      </c>
      <c r="AG1436">
        <v>0</v>
      </c>
      <c r="AH1436">
        <v>0</v>
      </c>
    </row>
    <row r="1437" spans="1:34" x14ac:dyDescent="0.2">
      <c r="A1437">
        <v>44</v>
      </c>
      <c r="B1437" t="s">
        <v>42</v>
      </c>
      <c r="C1437" t="s">
        <v>35</v>
      </c>
      <c r="D1437" t="s">
        <v>44</v>
      </c>
      <c r="E1437">
        <v>1</v>
      </c>
      <c r="F1437">
        <v>3</v>
      </c>
      <c r="G1437" t="s">
        <v>50</v>
      </c>
      <c r="H1437">
        <v>1</v>
      </c>
      <c r="I1437">
        <v>2020</v>
      </c>
      <c r="J1437">
        <v>2</v>
      </c>
      <c r="K1437" t="s">
        <v>45</v>
      </c>
      <c r="L1437">
        <v>42</v>
      </c>
      <c r="M1437">
        <v>3</v>
      </c>
      <c r="N1437">
        <v>1</v>
      </c>
      <c r="O1437" t="s">
        <v>46</v>
      </c>
      <c r="P1437">
        <v>4</v>
      </c>
      <c r="Q1437" t="s">
        <v>40</v>
      </c>
      <c r="R1437">
        <v>2436</v>
      </c>
      <c r="S1437">
        <v>13422</v>
      </c>
      <c r="T1437">
        <v>6</v>
      </c>
      <c r="U1437" t="s">
        <v>41</v>
      </c>
      <c r="V1437" t="s">
        <v>34</v>
      </c>
      <c r="W1437">
        <v>12</v>
      </c>
      <c r="X1437">
        <v>3</v>
      </c>
      <c r="Y1437">
        <v>3</v>
      </c>
      <c r="Z1437">
        <v>80</v>
      </c>
      <c r="AA1437">
        <v>0</v>
      </c>
      <c r="AB1437">
        <v>6</v>
      </c>
      <c r="AC1437">
        <v>2</v>
      </c>
      <c r="AD1437">
        <v>3</v>
      </c>
      <c r="AE1437">
        <v>4</v>
      </c>
      <c r="AF1437">
        <v>3</v>
      </c>
      <c r="AG1437">
        <v>1</v>
      </c>
      <c r="AH1437">
        <v>2</v>
      </c>
    </row>
    <row r="1438" spans="1:34" x14ac:dyDescent="0.2">
      <c r="A1438">
        <v>21</v>
      </c>
      <c r="B1438" t="s">
        <v>42</v>
      </c>
      <c r="C1438" t="s">
        <v>35</v>
      </c>
      <c r="D1438" t="s">
        <v>36</v>
      </c>
      <c r="E1438">
        <v>5</v>
      </c>
      <c r="F1438">
        <v>1</v>
      </c>
      <c r="G1438" t="s">
        <v>50</v>
      </c>
      <c r="H1438">
        <v>1</v>
      </c>
      <c r="I1438">
        <v>2021</v>
      </c>
      <c r="J1438">
        <v>3</v>
      </c>
      <c r="K1438" t="s">
        <v>45</v>
      </c>
      <c r="L1438">
        <v>58</v>
      </c>
      <c r="M1438">
        <v>3</v>
      </c>
      <c r="N1438">
        <v>1</v>
      </c>
      <c r="O1438" t="s">
        <v>56</v>
      </c>
      <c r="P1438">
        <v>1</v>
      </c>
      <c r="Q1438" t="s">
        <v>40</v>
      </c>
      <c r="R1438">
        <v>2380</v>
      </c>
      <c r="S1438">
        <v>25479</v>
      </c>
      <c r="T1438">
        <v>1</v>
      </c>
      <c r="U1438" t="s">
        <v>41</v>
      </c>
      <c r="V1438" t="s">
        <v>34</v>
      </c>
      <c r="W1438">
        <v>11</v>
      </c>
      <c r="X1438">
        <v>3</v>
      </c>
      <c r="Y1438">
        <v>4</v>
      </c>
      <c r="Z1438">
        <v>80</v>
      </c>
      <c r="AA1438">
        <v>0</v>
      </c>
      <c r="AB1438">
        <v>2</v>
      </c>
      <c r="AC1438">
        <v>6</v>
      </c>
      <c r="AD1438">
        <v>3</v>
      </c>
      <c r="AE1438">
        <v>2</v>
      </c>
      <c r="AF1438">
        <v>2</v>
      </c>
      <c r="AG1438">
        <v>1</v>
      </c>
      <c r="AH1438">
        <v>2</v>
      </c>
    </row>
    <row r="1439" spans="1:34" x14ac:dyDescent="0.2">
      <c r="A1439">
        <v>39</v>
      </c>
      <c r="B1439" t="s">
        <v>42</v>
      </c>
      <c r="C1439" t="s">
        <v>54</v>
      </c>
      <c r="D1439" t="s">
        <v>44</v>
      </c>
      <c r="E1439">
        <v>9</v>
      </c>
      <c r="F1439">
        <v>3</v>
      </c>
      <c r="G1439" t="s">
        <v>37</v>
      </c>
      <c r="H1439">
        <v>1</v>
      </c>
      <c r="I1439">
        <v>2022</v>
      </c>
      <c r="J1439">
        <v>4</v>
      </c>
      <c r="K1439" t="s">
        <v>45</v>
      </c>
      <c r="L1439">
        <v>87</v>
      </c>
      <c r="M1439">
        <v>3</v>
      </c>
      <c r="N1439">
        <v>5</v>
      </c>
      <c r="O1439" t="s">
        <v>55</v>
      </c>
      <c r="P1439">
        <v>4</v>
      </c>
      <c r="Q1439" t="s">
        <v>40</v>
      </c>
      <c r="R1439">
        <v>19431</v>
      </c>
      <c r="S1439">
        <v>15302</v>
      </c>
      <c r="T1439">
        <v>2</v>
      </c>
      <c r="U1439" t="s">
        <v>41</v>
      </c>
      <c r="V1439" t="s">
        <v>42</v>
      </c>
      <c r="W1439">
        <v>13</v>
      </c>
      <c r="X1439">
        <v>3</v>
      </c>
      <c r="Y1439">
        <v>3</v>
      </c>
      <c r="Z1439">
        <v>80</v>
      </c>
      <c r="AA1439">
        <v>0</v>
      </c>
      <c r="AB1439">
        <v>21</v>
      </c>
      <c r="AC1439">
        <v>3</v>
      </c>
      <c r="AD1439">
        <v>2</v>
      </c>
      <c r="AE1439">
        <v>6</v>
      </c>
      <c r="AF1439">
        <v>0</v>
      </c>
      <c r="AG1439">
        <v>1</v>
      </c>
      <c r="AH1439">
        <v>3</v>
      </c>
    </row>
    <row r="1440" spans="1:34" x14ac:dyDescent="0.2">
      <c r="A1440">
        <v>23</v>
      </c>
      <c r="B1440" t="s">
        <v>34</v>
      </c>
      <c r="C1440" t="s">
        <v>43</v>
      </c>
      <c r="D1440" t="s">
        <v>36</v>
      </c>
      <c r="E1440">
        <v>9</v>
      </c>
      <c r="F1440">
        <v>3</v>
      </c>
      <c r="G1440" t="s">
        <v>58</v>
      </c>
      <c r="H1440">
        <v>1</v>
      </c>
      <c r="I1440">
        <v>2023</v>
      </c>
      <c r="J1440">
        <v>4</v>
      </c>
      <c r="K1440" t="s">
        <v>45</v>
      </c>
      <c r="L1440">
        <v>33</v>
      </c>
      <c r="M1440">
        <v>3</v>
      </c>
      <c r="N1440">
        <v>1</v>
      </c>
      <c r="O1440" t="s">
        <v>56</v>
      </c>
      <c r="P1440">
        <v>1</v>
      </c>
      <c r="Q1440" t="s">
        <v>47</v>
      </c>
      <c r="R1440">
        <v>1790</v>
      </c>
      <c r="S1440">
        <v>26956</v>
      </c>
      <c r="T1440">
        <v>1</v>
      </c>
      <c r="U1440" t="s">
        <v>41</v>
      </c>
      <c r="V1440" t="s">
        <v>42</v>
      </c>
      <c r="W1440">
        <v>19</v>
      </c>
      <c r="X1440">
        <v>3</v>
      </c>
      <c r="Y1440">
        <v>1</v>
      </c>
      <c r="Z1440">
        <v>80</v>
      </c>
      <c r="AA1440">
        <v>1</v>
      </c>
      <c r="AB1440">
        <v>1</v>
      </c>
      <c r="AC1440">
        <v>3</v>
      </c>
      <c r="AD1440">
        <v>2</v>
      </c>
      <c r="AE1440">
        <v>1</v>
      </c>
      <c r="AF1440">
        <v>0</v>
      </c>
      <c r="AG1440">
        <v>1</v>
      </c>
      <c r="AH1440">
        <v>0</v>
      </c>
    </row>
    <row r="1441" spans="1:34" x14ac:dyDescent="0.2">
      <c r="A1441">
        <v>36</v>
      </c>
      <c r="B1441" t="s">
        <v>42</v>
      </c>
      <c r="C1441" t="s">
        <v>35</v>
      </c>
      <c r="D1441" t="s">
        <v>36</v>
      </c>
      <c r="E1441">
        <v>3</v>
      </c>
      <c r="F1441">
        <v>3</v>
      </c>
      <c r="G1441" t="s">
        <v>50</v>
      </c>
      <c r="H1441">
        <v>1</v>
      </c>
      <c r="I1441">
        <v>2024</v>
      </c>
      <c r="J1441">
        <v>1</v>
      </c>
      <c r="K1441" t="s">
        <v>38</v>
      </c>
      <c r="L1441">
        <v>94</v>
      </c>
      <c r="M1441">
        <v>2</v>
      </c>
      <c r="N1441">
        <v>3</v>
      </c>
      <c r="O1441" t="s">
        <v>39</v>
      </c>
      <c r="P1441">
        <v>4</v>
      </c>
      <c r="Q1441" t="s">
        <v>47</v>
      </c>
      <c r="R1441">
        <v>7644</v>
      </c>
      <c r="S1441">
        <v>12695</v>
      </c>
      <c r="T1441">
        <v>0</v>
      </c>
      <c r="U1441" t="s">
        <v>41</v>
      </c>
      <c r="V1441" t="s">
        <v>42</v>
      </c>
      <c r="W1441">
        <v>19</v>
      </c>
      <c r="X1441">
        <v>3</v>
      </c>
      <c r="Y1441">
        <v>3</v>
      </c>
      <c r="Z1441">
        <v>80</v>
      </c>
      <c r="AA1441">
        <v>2</v>
      </c>
      <c r="AB1441">
        <v>10</v>
      </c>
      <c r="AC1441">
        <v>2</v>
      </c>
      <c r="AD1441">
        <v>3</v>
      </c>
      <c r="AE1441">
        <v>9</v>
      </c>
      <c r="AF1441">
        <v>7</v>
      </c>
      <c r="AG1441">
        <v>3</v>
      </c>
      <c r="AH1441">
        <v>4</v>
      </c>
    </row>
    <row r="1442" spans="1:34" x14ac:dyDescent="0.2">
      <c r="A1442">
        <v>36</v>
      </c>
      <c r="B1442" t="s">
        <v>42</v>
      </c>
      <c r="C1442" t="s">
        <v>43</v>
      </c>
      <c r="D1442" t="s">
        <v>44</v>
      </c>
      <c r="E1442">
        <v>4</v>
      </c>
      <c r="F1442">
        <v>2</v>
      </c>
      <c r="G1442" t="s">
        <v>37</v>
      </c>
      <c r="H1442">
        <v>1</v>
      </c>
      <c r="I1442">
        <v>2025</v>
      </c>
      <c r="J1442">
        <v>4</v>
      </c>
      <c r="K1442" t="s">
        <v>38</v>
      </c>
      <c r="L1442">
        <v>97</v>
      </c>
      <c r="M1442">
        <v>3</v>
      </c>
      <c r="N1442">
        <v>2</v>
      </c>
      <c r="O1442" t="s">
        <v>52</v>
      </c>
      <c r="P1442">
        <v>2</v>
      </c>
      <c r="Q1442" t="s">
        <v>51</v>
      </c>
      <c r="R1442">
        <v>5131</v>
      </c>
      <c r="S1442">
        <v>9192</v>
      </c>
      <c r="T1442">
        <v>7</v>
      </c>
      <c r="U1442" t="s">
        <v>41</v>
      </c>
      <c r="V1442" t="s">
        <v>42</v>
      </c>
      <c r="W1442">
        <v>13</v>
      </c>
      <c r="X1442">
        <v>3</v>
      </c>
      <c r="Y1442">
        <v>2</v>
      </c>
      <c r="Z1442">
        <v>80</v>
      </c>
      <c r="AA1442">
        <v>3</v>
      </c>
      <c r="AB1442">
        <v>18</v>
      </c>
      <c r="AC1442">
        <v>3</v>
      </c>
      <c r="AD1442">
        <v>3</v>
      </c>
      <c r="AE1442">
        <v>4</v>
      </c>
      <c r="AF1442">
        <v>2</v>
      </c>
      <c r="AG1442">
        <v>0</v>
      </c>
      <c r="AH1442">
        <v>2</v>
      </c>
    </row>
    <row r="1443" spans="1:34" x14ac:dyDescent="0.2">
      <c r="A1443">
        <v>56</v>
      </c>
      <c r="B1443" t="s">
        <v>42</v>
      </c>
      <c r="C1443" t="s">
        <v>54</v>
      </c>
      <c r="D1443" t="s">
        <v>44</v>
      </c>
      <c r="E1443">
        <v>1</v>
      </c>
      <c r="F1443">
        <v>4</v>
      </c>
      <c r="G1443" t="s">
        <v>37</v>
      </c>
      <c r="H1443">
        <v>1</v>
      </c>
      <c r="I1443">
        <v>2026</v>
      </c>
      <c r="J1443">
        <v>3</v>
      </c>
      <c r="K1443" t="s">
        <v>45</v>
      </c>
      <c r="L1443">
        <v>57</v>
      </c>
      <c r="M1443">
        <v>3</v>
      </c>
      <c r="N1443">
        <v>2</v>
      </c>
      <c r="O1443" t="s">
        <v>53</v>
      </c>
      <c r="P1443">
        <v>3</v>
      </c>
      <c r="Q1443" t="s">
        <v>51</v>
      </c>
      <c r="R1443">
        <v>6306</v>
      </c>
      <c r="S1443">
        <v>26236</v>
      </c>
      <c r="T1443">
        <v>1</v>
      </c>
      <c r="U1443" t="s">
        <v>41</v>
      </c>
      <c r="V1443" t="s">
        <v>42</v>
      </c>
      <c r="W1443">
        <v>21</v>
      </c>
      <c r="X1443">
        <v>4</v>
      </c>
      <c r="Y1443">
        <v>1</v>
      </c>
      <c r="Z1443">
        <v>80</v>
      </c>
      <c r="AA1443">
        <v>1</v>
      </c>
      <c r="AB1443">
        <v>13</v>
      </c>
      <c r="AC1443">
        <v>2</v>
      </c>
      <c r="AD1443">
        <v>2</v>
      </c>
      <c r="AE1443">
        <v>13</v>
      </c>
      <c r="AF1443">
        <v>12</v>
      </c>
      <c r="AG1443">
        <v>1</v>
      </c>
      <c r="AH1443">
        <v>9</v>
      </c>
    </row>
    <row r="1444" spans="1:34" x14ac:dyDescent="0.2">
      <c r="A1444">
        <v>29</v>
      </c>
      <c r="B1444" t="s">
        <v>34</v>
      </c>
      <c r="C1444" t="s">
        <v>35</v>
      </c>
      <c r="D1444" t="s">
        <v>44</v>
      </c>
      <c r="E1444">
        <v>1</v>
      </c>
      <c r="F1444">
        <v>4</v>
      </c>
      <c r="G1444" t="s">
        <v>50</v>
      </c>
      <c r="H1444">
        <v>1</v>
      </c>
      <c r="I1444">
        <v>2027</v>
      </c>
      <c r="J1444">
        <v>1</v>
      </c>
      <c r="K1444" t="s">
        <v>45</v>
      </c>
      <c r="L1444">
        <v>36</v>
      </c>
      <c r="M1444">
        <v>3</v>
      </c>
      <c r="N1444">
        <v>1</v>
      </c>
      <c r="O1444" t="s">
        <v>46</v>
      </c>
      <c r="P1444">
        <v>4</v>
      </c>
      <c r="Q1444" t="s">
        <v>47</v>
      </c>
      <c r="R1444">
        <v>4787</v>
      </c>
      <c r="S1444">
        <v>26124</v>
      </c>
      <c r="T1444">
        <v>9</v>
      </c>
      <c r="U1444" t="s">
        <v>41</v>
      </c>
      <c r="V1444" t="s">
        <v>34</v>
      </c>
      <c r="W1444">
        <v>14</v>
      </c>
      <c r="X1444">
        <v>3</v>
      </c>
      <c r="Y1444">
        <v>2</v>
      </c>
      <c r="Z1444">
        <v>80</v>
      </c>
      <c r="AA1444">
        <v>3</v>
      </c>
      <c r="AB1444">
        <v>4</v>
      </c>
      <c r="AC1444">
        <v>3</v>
      </c>
      <c r="AD1444">
        <v>4</v>
      </c>
      <c r="AE1444">
        <v>2</v>
      </c>
      <c r="AF1444">
        <v>2</v>
      </c>
      <c r="AG1444">
        <v>2</v>
      </c>
      <c r="AH1444">
        <v>2</v>
      </c>
    </row>
    <row r="1445" spans="1:34" x14ac:dyDescent="0.2">
      <c r="A1445">
        <v>42</v>
      </c>
      <c r="B1445" t="s">
        <v>42</v>
      </c>
      <c r="C1445" t="s">
        <v>35</v>
      </c>
      <c r="D1445" t="s">
        <v>44</v>
      </c>
      <c r="E1445">
        <v>2</v>
      </c>
      <c r="F1445">
        <v>3</v>
      </c>
      <c r="G1445" t="s">
        <v>37</v>
      </c>
      <c r="H1445">
        <v>1</v>
      </c>
      <c r="I1445">
        <v>2031</v>
      </c>
      <c r="J1445">
        <v>1</v>
      </c>
      <c r="K1445" t="s">
        <v>45</v>
      </c>
      <c r="L1445">
        <v>56</v>
      </c>
      <c r="M1445">
        <v>3</v>
      </c>
      <c r="N1445">
        <v>5</v>
      </c>
      <c r="O1445" t="s">
        <v>55</v>
      </c>
      <c r="P1445">
        <v>3</v>
      </c>
      <c r="Q1445" t="s">
        <v>47</v>
      </c>
      <c r="R1445">
        <v>18880</v>
      </c>
      <c r="S1445">
        <v>17312</v>
      </c>
      <c r="T1445">
        <v>5</v>
      </c>
      <c r="U1445" t="s">
        <v>41</v>
      </c>
      <c r="V1445" t="s">
        <v>42</v>
      </c>
      <c r="W1445">
        <v>11</v>
      </c>
      <c r="X1445">
        <v>3</v>
      </c>
      <c r="Y1445">
        <v>1</v>
      </c>
      <c r="Z1445">
        <v>80</v>
      </c>
      <c r="AA1445">
        <v>0</v>
      </c>
      <c r="AB1445">
        <v>24</v>
      </c>
      <c r="AC1445">
        <v>2</v>
      </c>
      <c r="AD1445">
        <v>2</v>
      </c>
      <c r="AE1445">
        <v>22</v>
      </c>
      <c r="AF1445">
        <v>6</v>
      </c>
      <c r="AG1445">
        <v>4</v>
      </c>
      <c r="AH1445">
        <v>14</v>
      </c>
    </row>
    <row r="1446" spans="1:34" x14ac:dyDescent="0.2">
      <c r="A1446">
        <v>56</v>
      </c>
      <c r="B1446" t="s">
        <v>34</v>
      </c>
      <c r="C1446" t="s">
        <v>35</v>
      </c>
      <c r="D1446" t="s">
        <v>44</v>
      </c>
      <c r="E1446">
        <v>7</v>
      </c>
      <c r="F1446">
        <v>2</v>
      </c>
      <c r="G1446" t="s">
        <v>59</v>
      </c>
      <c r="H1446">
        <v>1</v>
      </c>
      <c r="I1446">
        <v>2032</v>
      </c>
      <c r="J1446">
        <v>4</v>
      </c>
      <c r="K1446" t="s">
        <v>45</v>
      </c>
      <c r="L1446">
        <v>72</v>
      </c>
      <c r="M1446">
        <v>3</v>
      </c>
      <c r="N1446">
        <v>1</v>
      </c>
      <c r="O1446" t="s">
        <v>49</v>
      </c>
      <c r="P1446">
        <v>3</v>
      </c>
      <c r="Q1446" t="s">
        <v>47</v>
      </c>
      <c r="R1446">
        <v>2339</v>
      </c>
      <c r="S1446">
        <v>3666</v>
      </c>
      <c r="T1446">
        <v>8</v>
      </c>
      <c r="U1446" t="s">
        <v>41</v>
      </c>
      <c r="V1446" t="s">
        <v>42</v>
      </c>
      <c r="W1446">
        <v>11</v>
      </c>
      <c r="X1446">
        <v>3</v>
      </c>
      <c r="Y1446">
        <v>4</v>
      </c>
      <c r="Z1446">
        <v>80</v>
      </c>
      <c r="AA1446">
        <v>1</v>
      </c>
      <c r="AB1446">
        <v>14</v>
      </c>
      <c r="AC1446">
        <v>4</v>
      </c>
      <c r="AD1446">
        <v>1</v>
      </c>
      <c r="AE1446">
        <v>10</v>
      </c>
      <c r="AF1446">
        <v>9</v>
      </c>
      <c r="AG1446">
        <v>9</v>
      </c>
      <c r="AH1446">
        <v>8</v>
      </c>
    </row>
    <row r="1447" spans="1:34" x14ac:dyDescent="0.2">
      <c r="A1447">
        <v>41</v>
      </c>
      <c r="B1447" t="s">
        <v>42</v>
      </c>
      <c r="C1447" t="s">
        <v>35</v>
      </c>
      <c r="D1447" t="s">
        <v>44</v>
      </c>
      <c r="E1447">
        <v>28</v>
      </c>
      <c r="F1447">
        <v>4</v>
      </c>
      <c r="G1447" t="s">
        <v>37</v>
      </c>
      <c r="H1447">
        <v>1</v>
      </c>
      <c r="I1447">
        <v>2034</v>
      </c>
      <c r="J1447">
        <v>1</v>
      </c>
      <c r="K1447" t="s">
        <v>38</v>
      </c>
      <c r="L1447">
        <v>60</v>
      </c>
      <c r="M1447">
        <v>2</v>
      </c>
      <c r="N1447">
        <v>4</v>
      </c>
      <c r="O1447" t="s">
        <v>52</v>
      </c>
      <c r="P1447">
        <v>2</v>
      </c>
      <c r="Q1447" t="s">
        <v>47</v>
      </c>
      <c r="R1447">
        <v>13570</v>
      </c>
      <c r="S1447">
        <v>5640</v>
      </c>
      <c r="T1447">
        <v>0</v>
      </c>
      <c r="U1447" t="s">
        <v>41</v>
      </c>
      <c r="V1447" t="s">
        <v>42</v>
      </c>
      <c r="W1447">
        <v>23</v>
      </c>
      <c r="X1447">
        <v>4</v>
      </c>
      <c r="Y1447">
        <v>3</v>
      </c>
      <c r="Z1447">
        <v>80</v>
      </c>
      <c r="AA1447">
        <v>1</v>
      </c>
      <c r="AB1447">
        <v>21</v>
      </c>
      <c r="AC1447">
        <v>3</v>
      </c>
      <c r="AD1447">
        <v>3</v>
      </c>
      <c r="AE1447">
        <v>20</v>
      </c>
      <c r="AF1447">
        <v>7</v>
      </c>
      <c r="AG1447">
        <v>0</v>
      </c>
      <c r="AH1447">
        <v>10</v>
      </c>
    </row>
    <row r="1448" spans="1:34" x14ac:dyDescent="0.2">
      <c r="A1448">
        <v>34</v>
      </c>
      <c r="B1448" t="s">
        <v>42</v>
      </c>
      <c r="C1448" t="s">
        <v>35</v>
      </c>
      <c r="D1448" t="s">
        <v>36</v>
      </c>
      <c r="E1448">
        <v>28</v>
      </c>
      <c r="F1448">
        <v>3</v>
      </c>
      <c r="G1448" t="s">
        <v>58</v>
      </c>
      <c r="H1448">
        <v>1</v>
      </c>
      <c r="I1448">
        <v>2035</v>
      </c>
      <c r="J1448">
        <v>4</v>
      </c>
      <c r="K1448" t="s">
        <v>38</v>
      </c>
      <c r="L1448">
        <v>95</v>
      </c>
      <c r="M1448">
        <v>2</v>
      </c>
      <c r="N1448">
        <v>2</v>
      </c>
      <c r="O1448" t="s">
        <v>39</v>
      </c>
      <c r="P1448">
        <v>3</v>
      </c>
      <c r="Q1448" t="s">
        <v>47</v>
      </c>
      <c r="R1448">
        <v>6712</v>
      </c>
      <c r="S1448">
        <v>8978</v>
      </c>
      <c r="T1448">
        <v>1</v>
      </c>
      <c r="U1448" t="s">
        <v>41</v>
      </c>
      <c r="V1448" t="s">
        <v>42</v>
      </c>
      <c r="W1448">
        <v>21</v>
      </c>
      <c r="X1448">
        <v>4</v>
      </c>
      <c r="Y1448">
        <v>4</v>
      </c>
      <c r="Z1448">
        <v>80</v>
      </c>
      <c r="AA1448">
        <v>2</v>
      </c>
      <c r="AB1448">
        <v>8</v>
      </c>
      <c r="AC1448">
        <v>2</v>
      </c>
      <c r="AD1448">
        <v>3</v>
      </c>
      <c r="AE1448">
        <v>8</v>
      </c>
      <c r="AF1448">
        <v>7</v>
      </c>
      <c r="AG1448">
        <v>1</v>
      </c>
      <c r="AH1448">
        <v>7</v>
      </c>
    </row>
    <row r="1449" spans="1:34" x14ac:dyDescent="0.2">
      <c r="A1449">
        <v>36</v>
      </c>
      <c r="B1449" t="s">
        <v>42</v>
      </c>
      <c r="C1449" t="s">
        <v>54</v>
      </c>
      <c r="D1449" t="s">
        <v>36</v>
      </c>
      <c r="E1449">
        <v>15</v>
      </c>
      <c r="F1449">
        <v>4</v>
      </c>
      <c r="G1449" t="s">
        <v>58</v>
      </c>
      <c r="H1449">
        <v>1</v>
      </c>
      <c r="I1449">
        <v>2036</v>
      </c>
      <c r="J1449">
        <v>4</v>
      </c>
      <c r="K1449" t="s">
        <v>45</v>
      </c>
      <c r="L1449">
        <v>88</v>
      </c>
      <c r="M1449">
        <v>1</v>
      </c>
      <c r="N1449">
        <v>2</v>
      </c>
      <c r="O1449" t="s">
        <v>39</v>
      </c>
      <c r="P1449">
        <v>4</v>
      </c>
      <c r="Q1449" t="s">
        <v>51</v>
      </c>
      <c r="R1449">
        <v>5406</v>
      </c>
      <c r="S1449">
        <v>10436</v>
      </c>
      <c r="T1449">
        <v>1</v>
      </c>
      <c r="U1449" t="s">
        <v>41</v>
      </c>
      <c r="V1449" t="s">
        <v>42</v>
      </c>
      <c r="W1449">
        <v>24</v>
      </c>
      <c r="X1449">
        <v>4</v>
      </c>
      <c r="Y1449">
        <v>1</v>
      </c>
      <c r="Z1449">
        <v>80</v>
      </c>
      <c r="AA1449">
        <v>1</v>
      </c>
      <c r="AB1449">
        <v>15</v>
      </c>
      <c r="AC1449">
        <v>4</v>
      </c>
      <c r="AD1449">
        <v>2</v>
      </c>
      <c r="AE1449">
        <v>15</v>
      </c>
      <c r="AF1449">
        <v>12</v>
      </c>
      <c r="AG1449">
        <v>11</v>
      </c>
      <c r="AH1449">
        <v>11</v>
      </c>
    </row>
    <row r="1450" spans="1:34" x14ac:dyDescent="0.2">
      <c r="A1450">
        <v>41</v>
      </c>
      <c r="B1450" t="s">
        <v>42</v>
      </c>
      <c r="C1450" t="s">
        <v>35</v>
      </c>
      <c r="D1450" t="s">
        <v>36</v>
      </c>
      <c r="E1450">
        <v>3</v>
      </c>
      <c r="F1450">
        <v>3</v>
      </c>
      <c r="G1450" t="s">
        <v>37</v>
      </c>
      <c r="H1450">
        <v>1</v>
      </c>
      <c r="I1450">
        <v>2037</v>
      </c>
      <c r="J1450">
        <v>3</v>
      </c>
      <c r="K1450" t="s">
        <v>45</v>
      </c>
      <c r="L1450">
        <v>57</v>
      </c>
      <c r="M1450">
        <v>2</v>
      </c>
      <c r="N1450">
        <v>2</v>
      </c>
      <c r="O1450" t="s">
        <v>39</v>
      </c>
      <c r="P1450">
        <v>2</v>
      </c>
      <c r="Q1450" t="s">
        <v>51</v>
      </c>
      <c r="R1450">
        <v>8938</v>
      </c>
      <c r="S1450">
        <v>12227</v>
      </c>
      <c r="T1450">
        <v>2</v>
      </c>
      <c r="U1450" t="s">
        <v>41</v>
      </c>
      <c r="V1450" t="s">
        <v>42</v>
      </c>
      <c r="W1450">
        <v>11</v>
      </c>
      <c r="X1450">
        <v>3</v>
      </c>
      <c r="Y1450">
        <v>3</v>
      </c>
      <c r="Z1450">
        <v>80</v>
      </c>
      <c r="AA1450">
        <v>1</v>
      </c>
      <c r="AB1450">
        <v>14</v>
      </c>
      <c r="AC1450">
        <v>5</v>
      </c>
      <c r="AD1450">
        <v>3</v>
      </c>
      <c r="AE1450">
        <v>5</v>
      </c>
      <c r="AF1450">
        <v>4</v>
      </c>
      <c r="AG1450">
        <v>0</v>
      </c>
      <c r="AH1450">
        <v>4</v>
      </c>
    </row>
    <row r="1451" spans="1:34" x14ac:dyDescent="0.2">
      <c r="A1451">
        <v>32</v>
      </c>
      <c r="B1451" t="s">
        <v>42</v>
      </c>
      <c r="C1451" t="s">
        <v>35</v>
      </c>
      <c r="D1451" t="s">
        <v>44</v>
      </c>
      <c r="E1451">
        <v>2</v>
      </c>
      <c r="F1451">
        <v>3</v>
      </c>
      <c r="G1451" t="s">
        <v>59</v>
      </c>
      <c r="H1451">
        <v>1</v>
      </c>
      <c r="I1451">
        <v>2038</v>
      </c>
      <c r="J1451">
        <v>4</v>
      </c>
      <c r="K1451" t="s">
        <v>45</v>
      </c>
      <c r="L1451">
        <v>78</v>
      </c>
      <c r="M1451">
        <v>3</v>
      </c>
      <c r="N1451">
        <v>1</v>
      </c>
      <c r="O1451" t="s">
        <v>46</v>
      </c>
      <c r="P1451">
        <v>1</v>
      </c>
      <c r="Q1451" t="s">
        <v>40</v>
      </c>
      <c r="R1451">
        <v>2439</v>
      </c>
      <c r="S1451">
        <v>11288</v>
      </c>
      <c r="T1451">
        <v>1</v>
      </c>
      <c r="U1451" t="s">
        <v>41</v>
      </c>
      <c r="V1451" t="s">
        <v>42</v>
      </c>
      <c r="W1451">
        <v>14</v>
      </c>
      <c r="X1451">
        <v>3</v>
      </c>
      <c r="Y1451">
        <v>4</v>
      </c>
      <c r="Z1451">
        <v>80</v>
      </c>
      <c r="AA1451">
        <v>0</v>
      </c>
      <c r="AB1451">
        <v>4</v>
      </c>
      <c r="AC1451">
        <v>4</v>
      </c>
      <c r="AD1451">
        <v>3</v>
      </c>
      <c r="AE1451">
        <v>4</v>
      </c>
      <c r="AF1451">
        <v>2</v>
      </c>
      <c r="AG1451">
        <v>1</v>
      </c>
      <c r="AH1451">
        <v>2</v>
      </c>
    </row>
    <row r="1452" spans="1:34" x14ac:dyDescent="0.2">
      <c r="A1452">
        <v>35</v>
      </c>
      <c r="B1452" t="s">
        <v>42</v>
      </c>
      <c r="C1452" t="s">
        <v>35</v>
      </c>
      <c r="D1452" t="s">
        <v>60</v>
      </c>
      <c r="E1452">
        <v>26</v>
      </c>
      <c r="F1452">
        <v>4</v>
      </c>
      <c r="G1452" t="s">
        <v>37</v>
      </c>
      <c r="H1452">
        <v>1</v>
      </c>
      <c r="I1452">
        <v>2040</v>
      </c>
      <c r="J1452">
        <v>3</v>
      </c>
      <c r="K1452" t="s">
        <v>38</v>
      </c>
      <c r="L1452">
        <v>31</v>
      </c>
      <c r="M1452">
        <v>3</v>
      </c>
      <c r="N1452">
        <v>3</v>
      </c>
      <c r="O1452" t="s">
        <v>60</v>
      </c>
      <c r="P1452">
        <v>4</v>
      </c>
      <c r="Q1452" t="s">
        <v>40</v>
      </c>
      <c r="R1452">
        <v>8837</v>
      </c>
      <c r="S1452">
        <v>16642</v>
      </c>
      <c r="T1452">
        <v>1</v>
      </c>
      <c r="U1452" t="s">
        <v>41</v>
      </c>
      <c r="V1452" t="s">
        <v>34</v>
      </c>
      <c r="W1452">
        <v>16</v>
      </c>
      <c r="X1452">
        <v>3</v>
      </c>
      <c r="Y1452">
        <v>3</v>
      </c>
      <c r="Z1452">
        <v>80</v>
      </c>
      <c r="AA1452">
        <v>0</v>
      </c>
      <c r="AB1452">
        <v>9</v>
      </c>
      <c r="AC1452">
        <v>2</v>
      </c>
      <c r="AD1452">
        <v>3</v>
      </c>
      <c r="AE1452">
        <v>9</v>
      </c>
      <c r="AF1452">
        <v>0</v>
      </c>
      <c r="AG1452">
        <v>1</v>
      </c>
      <c r="AH1452">
        <v>7</v>
      </c>
    </row>
    <row r="1453" spans="1:34" x14ac:dyDescent="0.2">
      <c r="A1453">
        <v>38</v>
      </c>
      <c r="B1453" t="s">
        <v>42</v>
      </c>
      <c r="C1453" t="s">
        <v>35</v>
      </c>
      <c r="D1453" t="s">
        <v>36</v>
      </c>
      <c r="E1453">
        <v>10</v>
      </c>
      <c r="F1453">
        <v>2</v>
      </c>
      <c r="G1453" t="s">
        <v>37</v>
      </c>
      <c r="H1453">
        <v>1</v>
      </c>
      <c r="I1453">
        <v>2041</v>
      </c>
      <c r="J1453">
        <v>1</v>
      </c>
      <c r="K1453" t="s">
        <v>38</v>
      </c>
      <c r="L1453">
        <v>100</v>
      </c>
      <c r="M1453">
        <v>3</v>
      </c>
      <c r="N1453">
        <v>2</v>
      </c>
      <c r="O1453" t="s">
        <v>39</v>
      </c>
      <c r="P1453">
        <v>4</v>
      </c>
      <c r="Q1453" t="s">
        <v>47</v>
      </c>
      <c r="R1453">
        <v>5343</v>
      </c>
      <c r="S1453">
        <v>5982</v>
      </c>
      <c r="T1453">
        <v>1</v>
      </c>
      <c r="U1453" t="s">
        <v>41</v>
      </c>
      <c r="V1453" t="s">
        <v>42</v>
      </c>
      <c r="W1453">
        <v>11</v>
      </c>
      <c r="X1453">
        <v>3</v>
      </c>
      <c r="Y1453">
        <v>3</v>
      </c>
      <c r="Z1453">
        <v>80</v>
      </c>
      <c r="AA1453">
        <v>1</v>
      </c>
      <c r="AB1453">
        <v>10</v>
      </c>
      <c r="AC1453">
        <v>1</v>
      </c>
      <c r="AD1453">
        <v>3</v>
      </c>
      <c r="AE1453">
        <v>10</v>
      </c>
      <c r="AF1453">
        <v>7</v>
      </c>
      <c r="AG1453">
        <v>1</v>
      </c>
      <c r="AH1453">
        <v>9</v>
      </c>
    </row>
    <row r="1454" spans="1:34" x14ac:dyDescent="0.2">
      <c r="A1454">
        <v>50</v>
      </c>
      <c r="B1454" t="s">
        <v>34</v>
      </c>
      <c r="C1454" t="s">
        <v>43</v>
      </c>
      <c r="D1454" t="s">
        <v>36</v>
      </c>
      <c r="E1454">
        <v>1</v>
      </c>
      <c r="F1454">
        <v>4</v>
      </c>
      <c r="G1454" t="s">
        <v>37</v>
      </c>
      <c r="H1454">
        <v>1</v>
      </c>
      <c r="I1454">
        <v>2044</v>
      </c>
      <c r="J1454">
        <v>2</v>
      </c>
      <c r="K1454" t="s">
        <v>45</v>
      </c>
      <c r="L1454">
        <v>94</v>
      </c>
      <c r="M1454">
        <v>3</v>
      </c>
      <c r="N1454">
        <v>2</v>
      </c>
      <c r="O1454" t="s">
        <v>39</v>
      </c>
      <c r="P1454">
        <v>3</v>
      </c>
      <c r="Q1454" t="s">
        <v>51</v>
      </c>
      <c r="R1454">
        <v>6728</v>
      </c>
      <c r="S1454">
        <v>14255</v>
      </c>
      <c r="T1454">
        <v>7</v>
      </c>
      <c r="U1454" t="s">
        <v>41</v>
      </c>
      <c r="V1454" t="s">
        <v>42</v>
      </c>
      <c r="W1454">
        <v>12</v>
      </c>
      <c r="X1454">
        <v>3</v>
      </c>
      <c r="Y1454">
        <v>4</v>
      </c>
      <c r="Z1454">
        <v>80</v>
      </c>
      <c r="AA1454">
        <v>2</v>
      </c>
      <c r="AB1454">
        <v>12</v>
      </c>
      <c r="AC1454">
        <v>3</v>
      </c>
      <c r="AD1454">
        <v>3</v>
      </c>
      <c r="AE1454">
        <v>6</v>
      </c>
      <c r="AF1454">
        <v>3</v>
      </c>
      <c r="AG1454">
        <v>0</v>
      </c>
      <c r="AH1454">
        <v>1</v>
      </c>
    </row>
    <row r="1455" spans="1:34" x14ac:dyDescent="0.2">
      <c r="A1455">
        <v>36</v>
      </c>
      <c r="B1455" t="s">
        <v>42</v>
      </c>
      <c r="C1455" t="s">
        <v>35</v>
      </c>
      <c r="D1455" t="s">
        <v>36</v>
      </c>
      <c r="E1455">
        <v>11</v>
      </c>
      <c r="F1455">
        <v>4</v>
      </c>
      <c r="G1455" t="s">
        <v>58</v>
      </c>
      <c r="H1455">
        <v>1</v>
      </c>
      <c r="I1455">
        <v>2045</v>
      </c>
      <c r="J1455">
        <v>2</v>
      </c>
      <c r="K1455" t="s">
        <v>38</v>
      </c>
      <c r="L1455">
        <v>100</v>
      </c>
      <c r="M1455">
        <v>2</v>
      </c>
      <c r="N1455">
        <v>2</v>
      </c>
      <c r="O1455" t="s">
        <v>39</v>
      </c>
      <c r="P1455">
        <v>4</v>
      </c>
      <c r="Q1455" t="s">
        <v>47</v>
      </c>
      <c r="R1455">
        <v>6652</v>
      </c>
      <c r="S1455">
        <v>14369</v>
      </c>
      <c r="T1455">
        <v>4</v>
      </c>
      <c r="U1455" t="s">
        <v>41</v>
      </c>
      <c r="V1455" t="s">
        <v>42</v>
      </c>
      <c r="W1455">
        <v>13</v>
      </c>
      <c r="X1455">
        <v>3</v>
      </c>
      <c r="Y1455">
        <v>1</v>
      </c>
      <c r="Z1455">
        <v>80</v>
      </c>
      <c r="AA1455">
        <v>1</v>
      </c>
      <c r="AB1455">
        <v>8</v>
      </c>
      <c r="AC1455">
        <v>2</v>
      </c>
      <c r="AD1455">
        <v>2</v>
      </c>
      <c r="AE1455">
        <v>6</v>
      </c>
      <c r="AF1455">
        <v>3</v>
      </c>
      <c r="AG1455">
        <v>0</v>
      </c>
      <c r="AH1455">
        <v>0</v>
      </c>
    </row>
    <row r="1456" spans="1:34" x14ac:dyDescent="0.2">
      <c r="A1456">
        <v>45</v>
      </c>
      <c r="B1456" t="s">
        <v>42</v>
      </c>
      <c r="C1456" t="s">
        <v>35</v>
      </c>
      <c r="D1456" t="s">
        <v>36</v>
      </c>
      <c r="E1456">
        <v>20</v>
      </c>
      <c r="F1456">
        <v>3</v>
      </c>
      <c r="G1456" t="s">
        <v>37</v>
      </c>
      <c r="H1456">
        <v>1</v>
      </c>
      <c r="I1456">
        <v>2046</v>
      </c>
      <c r="J1456">
        <v>4</v>
      </c>
      <c r="K1456" t="s">
        <v>38</v>
      </c>
      <c r="L1456">
        <v>50</v>
      </c>
      <c r="M1456">
        <v>3</v>
      </c>
      <c r="N1456">
        <v>2</v>
      </c>
      <c r="O1456" t="s">
        <v>39</v>
      </c>
      <c r="P1456">
        <v>3</v>
      </c>
      <c r="Q1456" t="s">
        <v>40</v>
      </c>
      <c r="R1456">
        <v>4850</v>
      </c>
      <c r="S1456">
        <v>23333</v>
      </c>
      <c r="T1456">
        <v>8</v>
      </c>
      <c r="U1456" t="s">
        <v>41</v>
      </c>
      <c r="V1456" t="s">
        <v>42</v>
      </c>
      <c r="W1456">
        <v>15</v>
      </c>
      <c r="X1456">
        <v>3</v>
      </c>
      <c r="Y1456">
        <v>3</v>
      </c>
      <c r="Z1456">
        <v>80</v>
      </c>
      <c r="AA1456">
        <v>0</v>
      </c>
      <c r="AB1456">
        <v>8</v>
      </c>
      <c r="AC1456">
        <v>3</v>
      </c>
      <c r="AD1456">
        <v>3</v>
      </c>
      <c r="AE1456">
        <v>5</v>
      </c>
      <c r="AF1456">
        <v>3</v>
      </c>
      <c r="AG1456">
        <v>0</v>
      </c>
      <c r="AH1456">
        <v>1</v>
      </c>
    </row>
    <row r="1457" spans="1:34" x14ac:dyDescent="0.2">
      <c r="A1457">
        <v>40</v>
      </c>
      <c r="B1457" t="s">
        <v>42</v>
      </c>
      <c r="C1457" t="s">
        <v>35</v>
      </c>
      <c r="D1457" t="s">
        <v>44</v>
      </c>
      <c r="E1457">
        <v>2</v>
      </c>
      <c r="F1457">
        <v>4</v>
      </c>
      <c r="G1457" t="s">
        <v>37</v>
      </c>
      <c r="H1457">
        <v>1</v>
      </c>
      <c r="I1457">
        <v>2048</v>
      </c>
      <c r="J1457">
        <v>3</v>
      </c>
      <c r="K1457" t="s">
        <v>45</v>
      </c>
      <c r="L1457">
        <v>52</v>
      </c>
      <c r="M1457">
        <v>2</v>
      </c>
      <c r="N1457">
        <v>1</v>
      </c>
      <c r="O1457" t="s">
        <v>46</v>
      </c>
      <c r="P1457">
        <v>3</v>
      </c>
      <c r="Q1457" t="s">
        <v>40</v>
      </c>
      <c r="R1457">
        <v>2809</v>
      </c>
      <c r="S1457">
        <v>2725</v>
      </c>
      <c r="T1457">
        <v>2</v>
      </c>
      <c r="U1457" t="s">
        <v>41</v>
      </c>
      <c r="V1457" t="s">
        <v>42</v>
      </c>
      <c r="W1457">
        <v>14</v>
      </c>
      <c r="X1457">
        <v>3</v>
      </c>
      <c r="Y1457">
        <v>4</v>
      </c>
      <c r="Z1457">
        <v>80</v>
      </c>
      <c r="AA1457">
        <v>0</v>
      </c>
      <c r="AB1457">
        <v>8</v>
      </c>
      <c r="AC1457">
        <v>2</v>
      </c>
      <c r="AD1457">
        <v>3</v>
      </c>
      <c r="AE1457">
        <v>2</v>
      </c>
      <c r="AF1457">
        <v>2</v>
      </c>
      <c r="AG1457">
        <v>2</v>
      </c>
      <c r="AH1457">
        <v>2</v>
      </c>
    </row>
    <row r="1458" spans="1:34" x14ac:dyDescent="0.2">
      <c r="A1458">
        <v>35</v>
      </c>
      <c r="B1458" t="s">
        <v>42</v>
      </c>
      <c r="C1458" t="s">
        <v>43</v>
      </c>
      <c r="D1458" t="s">
        <v>44</v>
      </c>
      <c r="E1458">
        <v>18</v>
      </c>
      <c r="F1458">
        <v>4</v>
      </c>
      <c r="G1458" t="s">
        <v>37</v>
      </c>
      <c r="H1458">
        <v>1</v>
      </c>
      <c r="I1458">
        <v>2049</v>
      </c>
      <c r="J1458">
        <v>3</v>
      </c>
      <c r="K1458" t="s">
        <v>45</v>
      </c>
      <c r="L1458">
        <v>80</v>
      </c>
      <c r="M1458">
        <v>3</v>
      </c>
      <c r="N1458">
        <v>2</v>
      </c>
      <c r="O1458" t="s">
        <v>53</v>
      </c>
      <c r="P1458">
        <v>3</v>
      </c>
      <c r="Q1458" t="s">
        <v>47</v>
      </c>
      <c r="R1458">
        <v>5689</v>
      </c>
      <c r="S1458">
        <v>24594</v>
      </c>
      <c r="T1458">
        <v>1</v>
      </c>
      <c r="U1458" t="s">
        <v>41</v>
      </c>
      <c r="V1458" t="s">
        <v>34</v>
      </c>
      <c r="W1458">
        <v>14</v>
      </c>
      <c r="X1458">
        <v>3</v>
      </c>
      <c r="Y1458">
        <v>4</v>
      </c>
      <c r="Z1458">
        <v>80</v>
      </c>
      <c r="AA1458">
        <v>2</v>
      </c>
      <c r="AB1458">
        <v>10</v>
      </c>
      <c r="AC1458">
        <v>2</v>
      </c>
      <c r="AD1458">
        <v>4</v>
      </c>
      <c r="AE1458">
        <v>10</v>
      </c>
      <c r="AF1458">
        <v>2</v>
      </c>
      <c r="AG1458">
        <v>0</v>
      </c>
      <c r="AH1458">
        <v>2</v>
      </c>
    </row>
    <row r="1459" spans="1:34" x14ac:dyDescent="0.2">
      <c r="A1459">
        <v>40</v>
      </c>
      <c r="B1459" t="s">
        <v>42</v>
      </c>
      <c r="C1459" t="s">
        <v>35</v>
      </c>
      <c r="D1459" t="s">
        <v>44</v>
      </c>
      <c r="E1459">
        <v>2</v>
      </c>
      <c r="F1459">
        <v>4</v>
      </c>
      <c r="G1459" t="s">
        <v>50</v>
      </c>
      <c r="H1459">
        <v>1</v>
      </c>
      <c r="I1459">
        <v>2051</v>
      </c>
      <c r="J1459">
        <v>3</v>
      </c>
      <c r="K1459" t="s">
        <v>38</v>
      </c>
      <c r="L1459">
        <v>98</v>
      </c>
      <c r="M1459">
        <v>3</v>
      </c>
      <c r="N1459">
        <v>1</v>
      </c>
      <c r="O1459" t="s">
        <v>46</v>
      </c>
      <c r="P1459">
        <v>3</v>
      </c>
      <c r="Q1459" t="s">
        <v>47</v>
      </c>
      <c r="R1459">
        <v>2001</v>
      </c>
      <c r="S1459">
        <v>12549</v>
      </c>
      <c r="T1459">
        <v>2</v>
      </c>
      <c r="U1459" t="s">
        <v>41</v>
      </c>
      <c r="V1459" t="s">
        <v>42</v>
      </c>
      <c r="W1459">
        <v>14</v>
      </c>
      <c r="X1459">
        <v>3</v>
      </c>
      <c r="Y1459">
        <v>2</v>
      </c>
      <c r="Z1459">
        <v>80</v>
      </c>
      <c r="AA1459">
        <v>3</v>
      </c>
      <c r="AB1459">
        <v>20</v>
      </c>
      <c r="AC1459">
        <v>2</v>
      </c>
      <c r="AD1459">
        <v>3</v>
      </c>
      <c r="AE1459">
        <v>5</v>
      </c>
      <c r="AF1459">
        <v>3</v>
      </c>
      <c r="AG1459">
        <v>0</v>
      </c>
      <c r="AH1459">
        <v>2</v>
      </c>
    </row>
    <row r="1460" spans="1:34" x14ac:dyDescent="0.2">
      <c r="A1460">
        <v>35</v>
      </c>
      <c r="B1460" t="s">
        <v>42</v>
      </c>
      <c r="C1460" t="s">
        <v>35</v>
      </c>
      <c r="D1460" t="s">
        <v>44</v>
      </c>
      <c r="E1460">
        <v>1</v>
      </c>
      <c r="F1460">
        <v>4</v>
      </c>
      <c r="G1460" t="s">
        <v>37</v>
      </c>
      <c r="H1460">
        <v>1</v>
      </c>
      <c r="I1460">
        <v>2052</v>
      </c>
      <c r="J1460">
        <v>3</v>
      </c>
      <c r="K1460" t="s">
        <v>38</v>
      </c>
      <c r="L1460">
        <v>62</v>
      </c>
      <c r="M1460">
        <v>1</v>
      </c>
      <c r="N1460">
        <v>1</v>
      </c>
      <c r="O1460" t="s">
        <v>46</v>
      </c>
      <c r="P1460">
        <v>4</v>
      </c>
      <c r="Q1460" t="s">
        <v>47</v>
      </c>
      <c r="R1460">
        <v>2977</v>
      </c>
      <c r="S1460">
        <v>8952</v>
      </c>
      <c r="T1460">
        <v>1</v>
      </c>
      <c r="U1460" t="s">
        <v>41</v>
      </c>
      <c r="V1460" t="s">
        <v>42</v>
      </c>
      <c r="W1460">
        <v>12</v>
      </c>
      <c r="X1460">
        <v>3</v>
      </c>
      <c r="Y1460">
        <v>4</v>
      </c>
      <c r="Z1460">
        <v>80</v>
      </c>
      <c r="AA1460">
        <v>1</v>
      </c>
      <c r="AB1460">
        <v>4</v>
      </c>
      <c r="AC1460">
        <v>5</v>
      </c>
      <c r="AD1460">
        <v>3</v>
      </c>
      <c r="AE1460">
        <v>4</v>
      </c>
      <c r="AF1460">
        <v>3</v>
      </c>
      <c r="AG1460">
        <v>1</v>
      </c>
      <c r="AH1460">
        <v>1</v>
      </c>
    </row>
    <row r="1461" spans="1:34" x14ac:dyDescent="0.2">
      <c r="A1461">
        <v>29</v>
      </c>
      <c r="B1461" t="s">
        <v>42</v>
      </c>
      <c r="C1461" t="s">
        <v>35</v>
      </c>
      <c r="D1461" t="s">
        <v>44</v>
      </c>
      <c r="E1461">
        <v>13</v>
      </c>
      <c r="F1461">
        <v>2</v>
      </c>
      <c r="G1461" t="s">
        <v>48</v>
      </c>
      <c r="H1461">
        <v>1</v>
      </c>
      <c r="I1461">
        <v>2053</v>
      </c>
      <c r="J1461">
        <v>4</v>
      </c>
      <c r="K1461" t="s">
        <v>45</v>
      </c>
      <c r="L1461">
        <v>46</v>
      </c>
      <c r="M1461">
        <v>2</v>
      </c>
      <c r="N1461">
        <v>2</v>
      </c>
      <c r="O1461" t="s">
        <v>49</v>
      </c>
      <c r="P1461">
        <v>2</v>
      </c>
      <c r="Q1461" t="s">
        <v>47</v>
      </c>
      <c r="R1461">
        <v>4025</v>
      </c>
      <c r="S1461">
        <v>23679</v>
      </c>
      <c r="T1461">
        <v>4</v>
      </c>
      <c r="U1461" t="s">
        <v>41</v>
      </c>
      <c r="V1461" t="s">
        <v>34</v>
      </c>
      <c r="W1461">
        <v>13</v>
      </c>
      <c r="X1461">
        <v>3</v>
      </c>
      <c r="Y1461">
        <v>1</v>
      </c>
      <c r="Z1461">
        <v>80</v>
      </c>
      <c r="AA1461">
        <v>1</v>
      </c>
      <c r="AB1461">
        <v>10</v>
      </c>
      <c r="AC1461">
        <v>2</v>
      </c>
      <c r="AD1461">
        <v>3</v>
      </c>
      <c r="AE1461">
        <v>4</v>
      </c>
      <c r="AF1461">
        <v>3</v>
      </c>
      <c r="AG1461">
        <v>0</v>
      </c>
      <c r="AH1461">
        <v>3</v>
      </c>
    </row>
    <row r="1462" spans="1:34" x14ac:dyDescent="0.2">
      <c r="A1462">
        <v>29</v>
      </c>
      <c r="B1462" t="s">
        <v>42</v>
      </c>
      <c r="C1462" t="s">
        <v>35</v>
      </c>
      <c r="D1462" t="s">
        <v>44</v>
      </c>
      <c r="E1462">
        <v>28</v>
      </c>
      <c r="F1462">
        <v>4</v>
      </c>
      <c r="G1462" t="s">
        <v>50</v>
      </c>
      <c r="H1462">
        <v>1</v>
      </c>
      <c r="I1462">
        <v>2054</v>
      </c>
      <c r="J1462">
        <v>4</v>
      </c>
      <c r="K1462" t="s">
        <v>38</v>
      </c>
      <c r="L1462">
        <v>73</v>
      </c>
      <c r="M1462">
        <v>2</v>
      </c>
      <c r="N1462">
        <v>1</v>
      </c>
      <c r="O1462" t="s">
        <v>46</v>
      </c>
      <c r="P1462">
        <v>1</v>
      </c>
      <c r="Q1462" t="s">
        <v>40</v>
      </c>
      <c r="R1462">
        <v>3785</v>
      </c>
      <c r="S1462">
        <v>8489</v>
      </c>
      <c r="T1462">
        <v>1</v>
      </c>
      <c r="U1462" t="s">
        <v>41</v>
      </c>
      <c r="V1462" t="s">
        <v>42</v>
      </c>
      <c r="W1462">
        <v>14</v>
      </c>
      <c r="X1462">
        <v>3</v>
      </c>
      <c r="Y1462">
        <v>2</v>
      </c>
      <c r="Z1462">
        <v>80</v>
      </c>
      <c r="AA1462">
        <v>0</v>
      </c>
      <c r="AB1462">
        <v>5</v>
      </c>
      <c r="AC1462">
        <v>3</v>
      </c>
      <c r="AD1462">
        <v>1</v>
      </c>
      <c r="AE1462">
        <v>5</v>
      </c>
      <c r="AF1462">
        <v>4</v>
      </c>
      <c r="AG1462">
        <v>0</v>
      </c>
      <c r="AH1462">
        <v>4</v>
      </c>
    </row>
    <row r="1463" spans="1:34" x14ac:dyDescent="0.2">
      <c r="A1463">
        <v>50</v>
      </c>
      <c r="B1463" t="s">
        <v>34</v>
      </c>
      <c r="C1463" t="s">
        <v>35</v>
      </c>
      <c r="D1463" t="s">
        <v>36</v>
      </c>
      <c r="E1463">
        <v>28</v>
      </c>
      <c r="F1463">
        <v>3</v>
      </c>
      <c r="G1463" t="s">
        <v>58</v>
      </c>
      <c r="H1463">
        <v>1</v>
      </c>
      <c r="I1463">
        <v>2055</v>
      </c>
      <c r="J1463">
        <v>4</v>
      </c>
      <c r="K1463" t="s">
        <v>45</v>
      </c>
      <c r="L1463">
        <v>39</v>
      </c>
      <c r="M1463">
        <v>2</v>
      </c>
      <c r="N1463">
        <v>3</v>
      </c>
      <c r="O1463" t="s">
        <v>39</v>
      </c>
      <c r="P1463">
        <v>1</v>
      </c>
      <c r="Q1463" t="s">
        <v>51</v>
      </c>
      <c r="R1463">
        <v>10854</v>
      </c>
      <c r="S1463">
        <v>16586</v>
      </c>
      <c r="T1463">
        <v>4</v>
      </c>
      <c r="U1463" t="s">
        <v>41</v>
      </c>
      <c r="V1463" t="s">
        <v>34</v>
      </c>
      <c r="W1463">
        <v>13</v>
      </c>
      <c r="X1463">
        <v>3</v>
      </c>
      <c r="Y1463">
        <v>2</v>
      </c>
      <c r="Z1463">
        <v>80</v>
      </c>
      <c r="AA1463">
        <v>1</v>
      </c>
      <c r="AB1463">
        <v>20</v>
      </c>
      <c r="AC1463">
        <v>3</v>
      </c>
      <c r="AD1463">
        <v>3</v>
      </c>
      <c r="AE1463">
        <v>3</v>
      </c>
      <c r="AF1463">
        <v>2</v>
      </c>
      <c r="AG1463">
        <v>2</v>
      </c>
      <c r="AH1463">
        <v>0</v>
      </c>
    </row>
    <row r="1464" spans="1:34" x14ac:dyDescent="0.2">
      <c r="A1464">
        <v>39</v>
      </c>
      <c r="B1464" t="s">
        <v>42</v>
      </c>
      <c r="C1464" t="s">
        <v>35</v>
      </c>
      <c r="D1464" t="s">
        <v>36</v>
      </c>
      <c r="E1464">
        <v>24</v>
      </c>
      <c r="F1464">
        <v>1</v>
      </c>
      <c r="G1464" t="s">
        <v>58</v>
      </c>
      <c r="H1464">
        <v>1</v>
      </c>
      <c r="I1464">
        <v>2056</v>
      </c>
      <c r="J1464">
        <v>2</v>
      </c>
      <c r="K1464" t="s">
        <v>38</v>
      </c>
      <c r="L1464">
        <v>60</v>
      </c>
      <c r="M1464">
        <v>2</v>
      </c>
      <c r="N1464">
        <v>4</v>
      </c>
      <c r="O1464" t="s">
        <v>39</v>
      </c>
      <c r="P1464">
        <v>4</v>
      </c>
      <c r="Q1464" t="s">
        <v>47</v>
      </c>
      <c r="R1464">
        <v>12031</v>
      </c>
      <c r="S1464">
        <v>8828</v>
      </c>
      <c r="T1464">
        <v>0</v>
      </c>
      <c r="U1464" t="s">
        <v>41</v>
      </c>
      <c r="V1464" t="s">
        <v>42</v>
      </c>
      <c r="W1464">
        <v>11</v>
      </c>
      <c r="X1464">
        <v>3</v>
      </c>
      <c r="Y1464">
        <v>1</v>
      </c>
      <c r="Z1464">
        <v>80</v>
      </c>
      <c r="AA1464">
        <v>1</v>
      </c>
      <c r="AB1464">
        <v>21</v>
      </c>
      <c r="AC1464">
        <v>2</v>
      </c>
      <c r="AD1464">
        <v>2</v>
      </c>
      <c r="AE1464">
        <v>20</v>
      </c>
      <c r="AF1464">
        <v>9</v>
      </c>
      <c r="AG1464">
        <v>9</v>
      </c>
      <c r="AH1464">
        <v>6</v>
      </c>
    </row>
    <row r="1465" spans="1:34" x14ac:dyDescent="0.2">
      <c r="A1465">
        <v>31</v>
      </c>
      <c r="B1465" t="s">
        <v>42</v>
      </c>
      <c r="C1465" t="s">
        <v>54</v>
      </c>
      <c r="D1465" t="s">
        <v>44</v>
      </c>
      <c r="E1465">
        <v>5</v>
      </c>
      <c r="F1465">
        <v>3</v>
      </c>
      <c r="G1465" t="s">
        <v>50</v>
      </c>
      <c r="H1465">
        <v>1</v>
      </c>
      <c r="I1465">
        <v>2057</v>
      </c>
      <c r="J1465">
        <v>2</v>
      </c>
      <c r="K1465" t="s">
        <v>45</v>
      </c>
      <c r="L1465">
        <v>74</v>
      </c>
      <c r="M1465">
        <v>3</v>
      </c>
      <c r="N1465">
        <v>2</v>
      </c>
      <c r="O1465" t="s">
        <v>52</v>
      </c>
      <c r="P1465">
        <v>1</v>
      </c>
      <c r="Q1465" t="s">
        <v>40</v>
      </c>
      <c r="R1465">
        <v>9936</v>
      </c>
      <c r="S1465">
        <v>3787</v>
      </c>
      <c r="T1465">
        <v>0</v>
      </c>
      <c r="U1465" t="s">
        <v>41</v>
      </c>
      <c r="V1465" t="s">
        <v>42</v>
      </c>
      <c r="W1465">
        <v>19</v>
      </c>
      <c r="X1465">
        <v>3</v>
      </c>
      <c r="Y1465">
        <v>2</v>
      </c>
      <c r="Z1465">
        <v>80</v>
      </c>
      <c r="AA1465">
        <v>0</v>
      </c>
      <c r="AB1465">
        <v>10</v>
      </c>
      <c r="AC1465">
        <v>2</v>
      </c>
      <c r="AD1465">
        <v>3</v>
      </c>
      <c r="AE1465">
        <v>9</v>
      </c>
      <c r="AF1465">
        <v>4</v>
      </c>
      <c r="AG1465">
        <v>1</v>
      </c>
      <c r="AH1465">
        <v>7</v>
      </c>
    </row>
    <row r="1466" spans="1:34" x14ac:dyDescent="0.2">
      <c r="A1466">
        <v>26</v>
      </c>
      <c r="B1466" t="s">
        <v>42</v>
      </c>
      <c r="C1466" t="s">
        <v>35</v>
      </c>
      <c r="D1466" t="s">
        <v>36</v>
      </c>
      <c r="E1466">
        <v>5</v>
      </c>
      <c r="F1466">
        <v>3</v>
      </c>
      <c r="G1466" t="s">
        <v>48</v>
      </c>
      <c r="H1466">
        <v>1</v>
      </c>
      <c r="I1466">
        <v>2060</v>
      </c>
      <c r="J1466">
        <v>4</v>
      </c>
      <c r="K1466" t="s">
        <v>38</v>
      </c>
      <c r="L1466">
        <v>30</v>
      </c>
      <c r="M1466">
        <v>2</v>
      </c>
      <c r="N1466">
        <v>1</v>
      </c>
      <c r="O1466" t="s">
        <v>56</v>
      </c>
      <c r="P1466">
        <v>3</v>
      </c>
      <c r="Q1466" t="s">
        <v>40</v>
      </c>
      <c r="R1466">
        <v>2966</v>
      </c>
      <c r="S1466">
        <v>21378</v>
      </c>
      <c r="T1466">
        <v>0</v>
      </c>
      <c r="U1466" t="s">
        <v>41</v>
      </c>
      <c r="V1466" t="s">
        <v>42</v>
      </c>
      <c r="W1466">
        <v>18</v>
      </c>
      <c r="X1466">
        <v>3</v>
      </c>
      <c r="Y1466">
        <v>4</v>
      </c>
      <c r="Z1466">
        <v>80</v>
      </c>
      <c r="AA1466">
        <v>0</v>
      </c>
      <c r="AB1466">
        <v>5</v>
      </c>
      <c r="AC1466">
        <v>2</v>
      </c>
      <c r="AD1466">
        <v>3</v>
      </c>
      <c r="AE1466">
        <v>4</v>
      </c>
      <c r="AF1466">
        <v>2</v>
      </c>
      <c r="AG1466">
        <v>0</v>
      </c>
      <c r="AH1466">
        <v>0</v>
      </c>
    </row>
    <row r="1467" spans="1:34" x14ac:dyDescent="0.2">
      <c r="A1467">
        <v>36</v>
      </c>
      <c r="B1467" t="s">
        <v>42</v>
      </c>
      <c r="C1467" t="s">
        <v>43</v>
      </c>
      <c r="D1467" t="s">
        <v>44</v>
      </c>
      <c r="E1467">
        <v>23</v>
      </c>
      <c r="F1467">
        <v>2</v>
      </c>
      <c r="G1467" t="s">
        <v>50</v>
      </c>
      <c r="H1467">
        <v>1</v>
      </c>
      <c r="I1467">
        <v>2061</v>
      </c>
      <c r="J1467">
        <v>3</v>
      </c>
      <c r="K1467" t="s">
        <v>45</v>
      </c>
      <c r="L1467">
        <v>41</v>
      </c>
      <c r="M1467">
        <v>4</v>
      </c>
      <c r="N1467">
        <v>2</v>
      </c>
      <c r="O1467" t="s">
        <v>49</v>
      </c>
      <c r="P1467">
        <v>4</v>
      </c>
      <c r="Q1467" t="s">
        <v>47</v>
      </c>
      <c r="R1467">
        <v>2571</v>
      </c>
      <c r="S1467">
        <v>12290</v>
      </c>
      <c r="T1467">
        <v>4</v>
      </c>
      <c r="U1467" t="s">
        <v>41</v>
      </c>
      <c r="V1467" t="s">
        <v>42</v>
      </c>
      <c r="W1467">
        <v>17</v>
      </c>
      <c r="X1467">
        <v>3</v>
      </c>
      <c r="Y1467">
        <v>3</v>
      </c>
      <c r="Z1467">
        <v>80</v>
      </c>
      <c r="AA1467">
        <v>1</v>
      </c>
      <c r="AB1467">
        <v>17</v>
      </c>
      <c r="AC1467">
        <v>3</v>
      </c>
      <c r="AD1467">
        <v>3</v>
      </c>
      <c r="AE1467">
        <v>5</v>
      </c>
      <c r="AF1467">
        <v>2</v>
      </c>
      <c r="AG1467">
        <v>0</v>
      </c>
      <c r="AH1467">
        <v>3</v>
      </c>
    </row>
    <row r="1468" spans="1:34" x14ac:dyDescent="0.2">
      <c r="A1468">
        <v>39</v>
      </c>
      <c r="B1468" t="s">
        <v>42</v>
      </c>
      <c r="C1468" t="s">
        <v>35</v>
      </c>
      <c r="D1468" t="s">
        <v>44</v>
      </c>
      <c r="E1468">
        <v>6</v>
      </c>
      <c r="F1468">
        <v>1</v>
      </c>
      <c r="G1468" t="s">
        <v>50</v>
      </c>
      <c r="H1468">
        <v>1</v>
      </c>
      <c r="I1468">
        <v>2062</v>
      </c>
      <c r="J1468">
        <v>4</v>
      </c>
      <c r="K1468" t="s">
        <v>45</v>
      </c>
      <c r="L1468">
        <v>42</v>
      </c>
      <c r="M1468">
        <v>2</v>
      </c>
      <c r="N1468">
        <v>3</v>
      </c>
      <c r="O1468" t="s">
        <v>53</v>
      </c>
      <c r="P1468">
        <v>1</v>
      </c>
      <c r="Q1468" t="s">
        <v>47</v>
      </c>
      <c r="R1468">
        <v>9991</v>
      </c>
      <c r="S1468">
        <v>21457</v>
      </c>
      <c r="T1468">
        <v>4</v>
      </c>
      <c r="U1468" t="s">
        <v>41</v>
      </c>
      <c r="V1468" t="s">
        <v>42</v>
      </c>
      <c r="W1468">
        <v>15</v>
      </c>
      <c r="X1468">
        <v>3</v>
      </c>
      <c r="Y1468">
        <v>1</v>
      </c>
      <c r="Z1468">
        <v>80</v>
      </c>
      <c r="AA1468">
        <v>1</v>
      </c>
      <c r="AB1468">
        <v>9</v>
      </c>
      <c r="AC1468">
        <v>5</v>
      </c>
      <c r="AD1468">
        <v>3</v>
      </c>
      <c r="AE1468">
        <v>7</v>
      </c>
      <c r="AF1468">
        <v>7</v>
      </c>
      <c r="AG1468">
        <v>1</v>
      </c>
      <c r="AH1468">
        <v>7</v>
      </c>
    </row>
    <row r="1469" spans="1:34" x14ac:dyDescent="0.2">
      <c r="A1469">
        <v>27</v>
      </c>
      <c r="B1469" t="s">
        <v>42</v>
      </c>
      <c r="C1469" t="s">
        <v>35</v>
      </c>
      <c r="D1469" t="s">
        <v>44</v>
      </c>
      <c r="E1469">
        <v>4</v>
      </c>
      <c r="F1469">
        <v>3</v>
      </c>
      <c r="G1469" t="s">
        <v>37</v>
      </c>
      <c r="H1469">
        <v>1</v>
      </c>
      <c r="I1469">
        <v>2064</v>
      </c>
      <c r="J1469">
        <v>2</v>
      </c>
      <c r="K1469" t="s">
        <v>45</v>
      </c>
      <c r="L1469">
        <v>87</v>
      </c>
      <c r="M1469">
        <v>4</v>
      </c>
      <c r="N1469">
        <v>2</v>
      </c>
      <c r="O1469" t="s">
        <v>52</v>
      </c>
      <c r="P1469">
        <v>2</v>
      </c>
      <c r="Q1469" t="s">
        <v>47</v>
      </c>
      <c r="R1469">
        <v>6142</v>
      </c>
      <c r="S1469">
        <v>5174</v>
      </c>
      <c r="T1469">
        <v>1</v>
      </c>
      <c r="U1469" t="s">
        <v>41</v>
      </c>
      <c r="V1469" t="s">
        <v>34</v>
      </c>
      <c r="W1469">
        <v>20</v>
      </c>
      <c r="X1469">
        <v>4</v>
      </c>
      <c r="Y1469">
        <v>2</v>
      </c>
      <c r="Z1469">
        <v>80</v>
      </c>
      <c r="AA1469">
        <v>1</v>
      </c>
      <c r="AB1469">
        <v>6</v>
      </c>
      <c r="AC1469">
        <v>0</v>
      </c>
      <c r="AD1469">
        <v>3</v>
      </c>
      <c r="AE1469">
        <v>6</v>
      </c>
      <c r="AF1469">
        <v>2</v>
      </c>
      <c r="AG1469">
        <v>0</v>
      </c>
      <c r="AH1469">
        <v>3</v>
      </c>
    </row>
    <row r="1470" spans="1:34" x14ac:dyDescent="0.2">
      <c r="A1470">
        <v>49</v>
      </c>
      <c r="B1470" t="s">
        <v>42</v>
      </c>
      <c r="C1470" t="s">
        <v>43</v>
      </c>
      <c r="D1470" t="s">
        <v>36</v>
      </c>
      <c r="E1470">
        <v>2</v>
      </c>
      <c r="F1470">
        <v>3</v>
      </c>
      <c r="G1470" t="s">
        <v>50</v>
      </c>
      <c r="H1470">
        <v>1</v>
      </c>
      <c r="I1470">
        <v>2065</v>
      </c>
      <c r="J1470">
        <v>4</v>
      </c>
      <c r="K1470" t="s">
        <v>45</v>
      </c>
      <c r="L1470">
        <v>63</v>
      </c>
      <c r="M1470">
        <v>2</v>
      </c>
      <c r="N1470">
        <v>2</v>
      </c>
      <c r="O1470" t="s">
        <v>39</v>
      </c>
      <c r="P1470">
        <v>2</v>
      </c>
      <c r="Q1470" t="s">
        <v>47</v>
      </c>
      <c r="R1470">
        <v>5390</v>
      </c>
      <c r="S1470">
        <v>13243</v>
      </c>
      <c r="T1470">
        <v>2</v>
      </c>
      <c r="U1470" t="s">
        <v>41</v>
      </c>
      <c r="V1470" t="s">
        <v>42</v>
      </c>
      <c r="W1470">
        <v>14</v>
      </c>
      <c r="X1470">
        <v>3</v>
      </c>
      <c r="Y1470">
        <v>4</v>
      </c>
      <c r="Z1470">
        <v>80</v>
      </c>
      <c r="AA1470">
        <v>0</v>
      </c>
      <c r="AB1470">
        <v>17</v>
      </c>
      <c r="AC1470">
        <v>3</v>
      </c>
      <c r="AD1470">
        <v>2</v>
      </c>
      <c r="AE1470">
        <v>9</v>
      </c>
      <c r="AF1470">
        <v>6</v>
      </c>
      <c r="AG1470">
        <v>0</v>
      </c>
      <c r="AH1470">
        <v>8</v>
      </c>
    </row>
    <row r="1471" spans="1:34" x14ac:dyDescent="0.2">
      <c r="A1471">
        <v>34</v>
      </c>
      <c r="B1471" t="s">
        <v>42</v>
      </c>
      <c r="C1471" t="s">
        <v>35</v>
      </c>
      <c r="D1471" t="s">
        <v>44</v>
      </c>
      <c r="E1471">
        <v>8</v>
      </c>
      <c r="F1471">
        <v>3</v>
      </c>
      <c r="G1471" t="s">
        <v>50</v>
      </c>
      <c r="H1471">
        <v>1</v>
      </c>
      <c r="I1471">
        <v>2068</v>
      </c>
      <c r="J1471">
        <v>2</v>
      </c>
      <c r="K1471" t="s">
        <v>45</v>
      </c>
      <c r="L1471">
        <v>82</v>
      </c>
      <c r="M1471">
        <v>4</v>
      </c>
      <c r="N1471">
        <v>2</v>
      </c>
      <c r="O1471" t="s">
        <v>49</v>
      </c>
      <c r="P1471">
        <v>3</v>
      </c>
      <c r="Q1471" t="s">
        <v>47</v>
      </c>
      <c r="R1471">
        <v>4404</v>
      </c>
      <c r="S1471">
        <v>10228</v>
      </c>
      <c r="T1471">
        <v>2</v>
      </c>
      <c r="U1471" t="s">
        <v>41</v>
      </c>
      <c r="V1471" t="s">
        <v>42</v>
      </c>
      <c r="W1471">
        <v>12</v>
      </c>
      <c r="X1471">
        <v>3</v>
      </c>
      <c r="Y1471">
        <v>1</v>
      </c>
      <c r="Z1471">
        <v>80</v>
      </c>
      <c r="AA1471">
        <v>0</v>
      </c>
      <c r="AB1471">
        <v>6</v>
      </c>
      <c r="AC1471">
        <v>3</v>
      </c>
      <c r="AD1471">
        <v>4</v>
      </c>
      <c r="AE1471">
        <v>4</v>
      </c>
      <c r="AF1471">
        <v>3</v>
      </c>
      <c r="AG1471">
        <v>1</v>
      </c>
      <c r="AH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F6C7F-BDE0-684D-9A9D-6937E745780A}">
  <dimension ref="A1:R1524"/>
  <sheetViews>
    <sheetView topLeftCell="F1" workbookViewId="0">
      <selection activeCell="H1497" sqref="H1497"/>
    </sheetView>
  </sheetViews>
  <sheetFormatPr baseColWidth="10" defaultRowHeight="16" x14ac:dyDescent="0.2"/>
  <cols>
    <col min="1" max="1" width="6.83203125" bestFit="1" customWidth="1"/>
    <col min="2" max="2" width="6.83203125" customWidth="1"/>
    <col min="3" max="3" width="10.5" bestFit="1" customWidth="1"/>
    <col min="4" max="4" width="26.5" customWidth="1"/>
    <col min="5" max="5" width="28.5" customWidth="1"/>
    <col min="6" max="6" width="29.33203125" customWidth="1"/>
    <col min="7" max="7" width="23.33203125" bestFit="1" customWidth="1"/>
    <col min="8" max="8" width="16.1640625" customWidth="1"/>
    <col min="9" max="9" width="17.83203125" customWidth="1"/>
    <col min="10" max="11" width="25" customWidth="1"/>
    <col min="12" max="12" width="20.33203125" customWidth="1"/>
    <col min="13" max="13" width="11.1640625" customWidth="1"/>
    <col min="14" max="14" width="17.6640625" customWidth="1"/>
    <col min="15" max="15" width="11.83203125" customWidth="1"/>
    <col min="16" max="16" width="14" customWidth="1"/>
    <col min="18" max="18" width="12" bestFit="1" customWidth="1"/>
  </cols>
  <sheetData>
    <row r="1" spans="1:18" x14ac:dyDescent="0.2">
      <c r="A1" t="s">
        <v>0</v>
      </c>
      <c r="B1" t="s">
        <v>127</v>
      </c>
      <c r="C1" t="s">
        <v>1</v>
      </c>
      <c r="D1" t="s">
        <v>3</v>
      </c>
      <c r="E1" t="s">
        <v>61</v>
      </c>
      <c r="F1" t="s">
        <v>62</v>
      </c>
      <c r="G1" t="s">
        <v>14</v>
      </c>
      <c r="H1" t="s">
        <v>15</v>
      </c>
      <c r="I1" t="s">
        <v>30</v>
      </c>
      <c r="J1" t="s">
        <v>32</v>
      </c>
      <c r="K1" t="s">
        <v>124</v>
      </c>
      <c r="L1" t="s">
        <v>4</v>
      </c>
      <c r="M1" t="s">
        <v>63</v>
      </c>
      <c r="N1" t="s">
        <v>29</v>
      </c>
      <c r="O1" t="s">
        <v>64</v>
      </c>
      <c r="P1" t="s">
        <v>65</v>
      </c>
      <c r="Q1" t="s">
        <v>99</v>
      </c>
      <c r="R1" t="s">
        <v>98</v>
      </c>
    </row>
    <row r="2" spans="1:18" hidden="1" x14ac:dyDescent="0.2">
      <c r="A2">
        <f>Table1[[#This Row],[Age]]</f>
        <v>41</v>
      </c>
      <c r="B2">
        <f>IF(Table3[[#This Row],[Attrition]] = "Yes", 1,0)</f>
        <v>1</v>
      </c>
      <c r="C2" t="str">
        <f>Table1[[#This Row],[Attrition]]</f>
        <v>Yes</v>
      </c>
      <c r="D2" t="str">
        <f>Table1[[#This Row],[Department]]</f>
        <v>Sales</v>
      </c>
      <c r="E2">
        <f>Table1[[#This Row],[EnvironmentSatisfaction]]</f>
        <v>2</v>
      </c>
      <c r="F2">
        <f>Table1[[#This Row],[HourlyRate]]</f>
        <v>94</v>
      </c>
      <c r="G2" t="str">
        <f>Table1[[#This Row],[JobRole]]</f>
        <v>Sales Executive</v>
      </c>
      <c r="H2">
        <f>Table1[[#This Row],[JobSatisfaction]]</f>
        <v>4</v>
      </c>
      <c r="I2">
        <f>Table1[[#This Row],[YearsAtCompany]]</f>
        <v>6</v>
      </c>
      <c r="J2">
        <f>Table1[[#This Row],[YearsSinceLastPromotion]]</f>
        <v>0</v>
      </c>
      <c r="K2">
        <f>Table1[[#This Row],[EmployeeNumber]]</f>
        <v>1</v>
      </c>
      <c r="L2">
        <f>Table1[[#This Row],[DistanceFromHome]]</f>
        <v>1</v>
      </c>
      <c r="M2" t="str">
        <f>Table1[[#This Row],[OverTime]]</f>
        <v>Yes</v>
      </c>
      <c r="N2">
        <f>Table1[[#This Row],[WorkLifeBalance]]</f>
        <v>1</v>
      </c>
      <c r="O2" t="str" cm="1">
        <f t="array" ref="O2">_xlfn.IFS(A2&lt;=30,"18-30",A2&lt;=40,"31-40",A2&lt;=50,"41-50",A2&gt;50,"51+")</f>
        <v>41-50</v>
      </c>
      <c r="P2" t="str" cm="1">
        <f t="array" ref="P2">_xlfn.IFS(F2&lt;=45,"45 or below",F2&lt;= 60,"46-60",F2&lt;=75,"61-75",F2&lt;=90,"76-90",F2&gt;90,"91 or above")</f>
        <v>91 or above</v>
      </c>
      <c r="Q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 t="str" cm="1">
        <f t="array" ref="R2" xml:space="preserve"> _xlfn.IFS(Table3[[#This Row],[Flight Risk Score]] = "NA","NA",Table3[[#This Row],[Flight Risk Score]] &gt;= 70,"High Risk",Table3[[#This Row],[Flight Risk Score]] &gt;= 50, "Medium Risk", Table3[[#This Row],[Flight Risk Score]] &gt;= 30,"Low Risk",Table3[[#This Row],[Flight Risk Score]] &lt; 30,"Very Low Risk")</f>
        <v>NA</v>
      </c>
    </row>
    <row r="3" spans="1:18" x14ac:dyDescent="0.2">
      <c r="A3">
        <f>Table1[[#This Row],[Age]]</f>
        <v>49</v>
      </c>
      <c r="B3">
        <f>IF(Table3[[#This Row],[Attrition]] = "Yes", 1,0)</f>
        <v>0</v>
      </c>
      <c r="C3" t="str">
        <f>Table1[[#This Row],[Attrition]]</f>
        <v>No</v>
      </c>
      <c r="D3" t="str">
        <f>Table1[[#This Row],[Department]]</f>
        <v>Research &amp; Development</v>
      </c>
      <c r="E3">
        <f>Table1[[#This Row],[EnvironmentSatisfaction]]</f>
        <v>3</v>
      </c>
      <c r="F3">
        <f>Table1[[#This Row],[HourlyRate]]</f>
        <v>61</v>
      </c>
      <c r="G3" t="str">
        <f>Table1[[#This Row],[JobRole]]</f>
        <v>Research Scientist</v>
      </c>
      <c r="H3">
        <f>Table1[[#This Row],[JobSatisfaction]]</f>
        <v>2</v>
      </c>
      <c r="I3">
        <f>Table1[[#This Row],[YearsAtCompany]]</f>
        <v>10</v>
      </c>
      <c r="J3">
        <f>Table1[[#This Row],[YearsSinceLastPromotion]]</f>
        <v>1</v>
      </c>
      <c r="K3">
        <f>Table1[[#This Row],[EmployeeNumber]]</f>
        <v>2</v>
      </c>
      <c r="L3">
        <f>Table1[[#This Row],[DistanceFromHome]]</f>
        <v>8</v>
      </c>
      <c r="M3" t="str">
        <f>Table1[[#This Row],[OverTime]]</f>
        <v>No</v>
      </c>
      <c r="N3">
        <f>Table1[[#This Row],[WorkLifeBalance]]</f>
        <v>3</v>
      </c>
      <c r="O3" t="str" cm="1">
        <f t="array" ref="O3">_xlfn.IFS(A3&lt;=30,"18-30",A3&lt;=40,"31-40",A3&lt;=50,"41-50",A3&gt;50,"51+")</f>
        <v>41-50</v>
      </c>
      <c r="P3" t="str" cm="1">
        <f t="array" ref="P3">_xlfn.IFS(F3&lt;=45,"45 or below",F3&lt;= 60,"46-60",F3&lt;=75,"61-75",F3&lt;=90,"76-90",F3&gt;90,"91 or above")</f>
        <v>61-75</v>
      </c>
      <c r="Q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 t="str" cm="1">
        <f t="array" ref="R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 spans="1:18" hidden="1" x14ac:dyDescent="0.2">
      <c r="A4">
        <f>Table1[[#This Row],[Age]]</f>
        <v>37</v>
      </c>
      <c r="B4">
        <f>IF(Table3[[#This Row],[Attrition]] = "Yes", 1,0)</f>
        <v>1</v>
      </c>
      <c r="C4" t="str">
        <f>Table1[[#This Row],[Attrition]]</f>
        <v>Yes</v>
      </c>
      <c r="D4" t="str">
        <f>Table1[[#This Row],[Department]]</f>
        <v>Research &amp; Development</v>
      </c>
      <c r="E4">
        <f>Table1[[#This Row],[EnvironmentSatisfaction]]</f>
        <v>4</v>
      </c>
      <c r="F4">
        <f>Table1[[#This Row],[HourlyRate]]</f>
        <v>92</v>
      </c>
      <c r="G4" t="str">
        <f>Table1[[#This Row],[JobRole]]</f>
        <v>Laboratory Technician</v>
      </c>
      <c r="H4">
        <f>Table1[[#This Row],[JobSatisfaction]]</f>
        <v>3</v>
      </c>
      <c r="I4">
        <f>Table1[[#This Row],[YearsAtCompany]]</f>
        <v>0</v>
      </c>
      <c r="J4">
        <f>Table1[[#This Row],[YearsSinceLastPromotion]]</f>
        <v>0</v>
      </c>
      <c r="K4">
        <f>Table1[[#This Row],[EmployeeNumber]]</f>
        <v>4</v>
      </c>
      <c r="L4">
        <f>Table1[[#This Row],[DistanceFromHome]]</f>
        <v>2</v>
      </c>
      <c r="M4" t="str">
        <f>Table1[[#This Row],[OverTime]]</f>
        <v>Yes</v>
      </c>
      <c r="N4">
        <f>Table1[[#This Row],[WorkLifeBalance]]</f>
        <v>3</v>
      </c>
      <c r="O4" t="str" cm="1">
        <f t="array" ref="O4">_xlfn.IFS(A4&lt;=30,"18-30",A4&lt;=40,"31-40",A4&lt;=50,"41-50",A4&gt;50,"51+")</f>
        <v>31-40</v>
      </c>
      <c r="P4" t="str" cm="1">
        <f t="array" ref="P4">_xlfn.IFS(F4&lt;=45,"45 or below",F4&lt;= 60,"46-60",F4&lt;=75,"61-75",F4&lt;=90,"76-90",F4&gt;90,"91 or above")</f>
        <v>91 or above</v>
      </c>
      <c r="Q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 t="str" cm="1">
        <f t="array" ref="R4" xml:space="preserve"> _xlfn.IFS(Table3[[#This Row],[Flight Risk Score]] = "NA","NA",Table3[[#This Row],[Flight Risk Score]] &gt;= 70,"High Risk",Table3[[#This Row],[Flight Risk Score]] &gt;= 50, "Medium Risk", Table3[[#This Row],[Flight Risk Score]] &gt;= 30,"Low Risk",Table3[[#This Row],[Flight Risk Score]] &lt; 30,"Very Low Risk")</f>
        <v>NA</v>
      </c>
    </row>
    <row r="5" spans="1:18" x14ac:dyDescent="0.2">
      <c r="A5">
        <f>Table1[[#This Row],[Age]]</f>
        <v>33</v>
      </c>
      <c r="B5">
        <f>IF(Table3[[#This Row],[Attrition]] = "Yes", 1,0)</f>
        <v>0</v>
      </c>
      <c r="C5" t="str">
        <f>Table1[[#This Row],[Attrition]]</f>
        <v>No</v>
      </c>
      <c r="D5" t="str">
        <f>Table1[[#This Row],[Department]]</f>
        <v>Research &amp; Development</v>
      </c>
      <c r="E5">
        <f>Table1[[#This Row],[EnvironmentSatisfaction]]</f>
        <v>4</v>
      </c>
      <c r="F5">
        <f>Table1[[#This Row],[HourlyRate]]</f>
        <v>56</v>
      </c>
      <c r="G5" t="str">
        <f>Table1[[#This Row],[JobRole]]</f>
        <v>Research Scientist</v>
      </c>
      <c r="H5">
        <f>Table1[[#This Row],[JobSatisfaction]]</f>
        <v>3</v>
      </c>
      <c r="I5">
        <f>Table1[[#This Row],[YearsAtCompany]]</f>
        <v>8</v>
      </c>
      <c r="J5">
        <f>Table1[[#This Row],[YearsSinceLastPromotion]]</f>
        <v>3</v>
      </c>
      <c r="K5">
        <f>Table1[[#This Row],[EmployeeNumber]]</f>
        <v>5</v>
      </c>
      <c r="L5">
        <f>Table1[[#This Row],[DistanceFromHome]]</f>
        <v>3</v>
      </c>
      <c r="M5" t="str">
        <f>Table1[[#This Row],[OverTime]]</f>
        <v>Yes</v>
      </c>
      <c r="N5">
        <f>Table1[[#This Row],[WorkLifeBalance]]</f>
        <v>3</v>
      </c>
      <c r="O5" t="str" cm="1">
        <f t="array" ref="O5">_xlfn.IFS(A5&lt;=30,"18-30",A5&lt;=40,"31-40",A5&lt;=50,"41-50",A5&gt;50,"51+")</f>
        <v>31-40</v>
      </c>
      <c r="P5" t="str" cm="1">
        <f t="array" ref="P5">_xlfn.IFS(F5&lt;=45,"45 or below",F5&lt;= 60,"46-60",F5&lt;=75,"61-75",F5&lt;=90,"76-90",F5&gt;90,"91 or above")</f>
        <v>46-60</v>
      </c>
      <c r="Q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 t="str" cm="1">
        <f t="array" ref="R5" xml:space="preserve"> _xlfn.IFS(Table3[[#This Row],[Flight Risk Score]] = "NA","NA",Table3[[#This Row],[Flight Risk Score]] &gt;= 70,"High Risk",Table3[[#This Row],[Flight Risk Score]] &gt;= 50, "Medium Risk", Table3[[#This Row],[Flight Risk Score]] &gt;= 30,"Low Risk",Table3[[#This Row],[Flight Risk Score]] &lt; 30,"Very Low Risk")</f>
        <v>Low Risk</v>
      </c>
    </row>
    <row r="6" spans="1:18" x14ac:dyDescent="0.2">
      <c r="A6">
        <f>Table1[[#This Row],[Age]]</f>
        <v>27</v>
      </c>
      <c r="B6">
        <f>IF(Table3[[#This Row],[Attrition]] = "Yes", 1,0)</f>
        <v>0</v>
      </c>
      <c r="C6" t="str">
        <f>Table1[[#This Row],[Attrition]]</f>
        <v>No</v>
      </c>
      <c r="D6" t="str">
        <f>Table1[[#This Row],[Department]]</f>
        <v>Research &amp; Development</v>
      </c>
      <c r="E6">
        <f>Table1[[#This Row],[EnvironmentSatisfaction]]</f>
        <v>1</v>
      </c>
      <c r="F6">
        <f>Table1[[#This Row],[HourlyRate]]</f>
        <v>40</v>
      </c>
      <c r="G6" t="str">
        <f>Table1[[#This Row],[JobRole]]</f>
        <v>Laboratory Technician</v>
      </c>
      <c r="H6">
        <f>Table1[[#This Row],[JobSatisfaction]]</f>
        <v>2</v>
      </c>
      <c r="I6">
        <f>Table1[[#This Row],[YearsAtCompany]]</f>
        <v>2</v>
      </c>
      <c r="J6">
        <f>Table1[[#This Row],[YearsSinceLastPromotion]]</f>
        <v>2</v>
      </c>
      <c r="K6">
        <f>Table1[[#This Row],[EmployeeNumber]]</f>
        <v>7</v>
      </c>
      <c r="L6">
        <f>Table1[[#This Row],[DistanceFromHome]]</f>
        <v>2</v>
      </c>
      <c r="M6" t="str">
        <f>Table1[[#This Row],[OverTime]]</f>
        <v>No</v>
      </c>
      <c r="N6">
        <f>Table1[[#This Row],[WorkLifeBalance]]</f>
        <v>3</v>
      </c>
      <c r="O6" t="str" cm="1">
        <f t="array" ref="O6">_xlfn.IFS(A6&lt;=30,"18-30",A6&lt;=40,"31-40",A6&lt;=50,"41-50",A6&gt;50,"51+")</f>
        <v>18-30</v>
      </c>
      <c r="P6" t="str" cm="1">
        <f t="array" ref="P6">_xlfn.IFS(F6&lt;=45,"45 or below",F6&lt;= 60,"46-60",F6&lt;=75,"61-75",F6&lt;=90,"76-90",F6&gt;90,"91 or above")</f>
        <v>45 or below</v>
      </c>
      <c r="Q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 t="str" cm="1">
        <f t="array" ref="R6" xml:space="preserve"> _xlfn.IFS(Table3[[#This Row],[Flight Risk Score]] = "NA","NA",Table3[[#This Row],[Flight Risk Score]] &gt;= 70,"High Risk",Table3[[#This Row],[Flight Risk Score]] &gt;= 50, "Medium Risk", Table3[[#This Row],[Flight Risk Score]] &gt;= 30,"Low Risk",Table3[[#This Row],[Flight Risk Score]] &lt; 30,"Very Low Risk")</f>
        <v>Low Risk</v>
      </c>
    </row>
    <row r="7" spans="1:18" x14ac:dyDescent="0.2">
      <c r="A7">
        <f>Table1[[#This Row],[Age]]</f>
        <v>32</v>
      </c>
      <c r="B7">
        <f>IF(Table3[[#This Row],[Attrition]] = "Yes", 1,0)</f>
        <v>0</v>
      </c>
      <c r="C7" t="str">
        <f>Table1[[#This Row],[Attrition]]</f>
        <v>No</v>
      </c>
      <c r="D7" t="str">
        <f>Table1[[#This Row],[Department]]</f>
        <v>Research &amp; Development</v>
      </c>
      <c r="E7">
        <f>Table1[[#This Row],[EnvironmentSatisfaction]]</f>
        <v>4</v>
      </c>
      <c r="F7">
        <f>Table1[[#This Row],[HourlyRate]]</f>
        <v>79</v>
      </c>
      <c r="G7" t="str">
        <f>Table1[[#This Row],[JobRole]]</f>
        <v>Laboratory Technician</v>
      </c>
      <c r="H7">
        <f>Table1[[#This Row],[JobSatisfaction]]</f>
        <v>4</v>
      </c>
      <c r="I7">
        <f>Table1[[#This Row],[YearsAtCompany]]</f>
        <v>7</v>
      </c>
      <c r="J7">
        <f>Table1[[#This Row],[YearsSinceLastPromotion]]</f>
        <v>3</v>
      </c>
      <c r="K7">
        <f>Table1[[#This Row],[EmployeeNumber]]</f>
        <v>8</v>
      </c>
      <c r="L7">
        <f>Table1[[#This Row],[DistanceFromHome]]</f>
        <v>2</v>
      </c>
      <c r="M7" t="str">
        <f>Table1[[#This Row],[OverTime]]</f>
        <v>No</v>
      </c>
      <c r="N7">
        <f>Table1[[#This Row],[WorkLifeBalance]]</f>
        <v>2</v>
      </c>
      <c r="O7" t="str" cm="1">
        <f t="array" ref="O7">_xlfn.IFS(A7&lt;=30,"18-30",A7&lt;=40,"31-40",A7&lt;=50,"41-50",A7&gt;50,"51+")</f>
        <v>31-40</v>
      </c>
      <c r="P7" t="str" cm="1">
        <f t="array" ref="P7">_xlfn.IFS(F7&lt;=45,"45 or below",F7&lt;= 60,"46-60",F7&lt;=75,"61-75",F7&lt;=90,"76-90",F7&gt;90,"91 or above")</f>
        <v>76-90</v>
      </c>
      <c r="Q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 t="str" cm="1">
        <f t="array" ref="R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 spans="1:18" x14ac:dyDescent="0.2">
      <c r="A8">
        <f>Table1[[#This Row],[Age]]</f>
        <v>59</v>
      </c>
      <c r="B8">
        <f>IF(Table3[[#This Row],[Attrition]] = "Yes", 1,0)</f>
        <v>0</v>
      </c>
      <c r="C8" t="str">
        <f>Table1[[#This Row],[Attrition]]</f>
        <v>No</v>
      </c>
      <c r="D8" t="str">
        <f>Table1[[#This Row],[Department]]</f>
        <v>Research &amp; Development</v>
      </c>
      <c r="E8">
        <f>Table1[[#This Row],[EnvironmentSatisfaction]]</f>
        <v>3</v>
      </c>
      <c r="F8">
        <f>Table1[[#This Row],[HourlyRate]]</f>
        <v>81</v>
      </c>
      <c r="G8" t="str">
        <f>Table1[[#This Row],[JobRole]]</f>
        <v>Laboratory Technician</v>
      </c>
      <c r="H8">
        <f>Table1[[#This Row],[JobSatisfaction]]</f>
        <v>1</v>
      </c>
      <c r="I8">
        <f>Table1[[#This Row],[YearsAtCompany]]</f>
        <v>1</v>
      </c>
      <c r="J8">
        <f>Table1[[#This Row],[YearsSinceLastPromotion]]</f>
        <v>0</v>
      </c>
      <c r="K8">
        <f>Table1[[#This Row],[EmployeeNumber]]</f>
        <v>10</v>
      </c>
      <c r="L8">
        <f>Table1[[#This Row],[DistanceFromHome]]</f>
        <v>3</v>
      </c>
      <c r="M8" t="str">
        <f>Table1[[#This Row],[OverTime]]</f>
        <v>Yes</v>
      </c>
      <c r="N8">
        <f>Table1[[#This Row],[WorkLifeBalance]]</f>
        <v>2</v>
      </c>
      <c r="O8" t="str" cm="1">
        <f t="array" ref="O8">_xlfn.IFS(A8&lt;=30,"18-30",A8&lt;=40,"31-40",A8&lt;=50,"41-50",A8&gt;50,"51+")</f>
        <v>51+</v>
      </c>
      <c r="P8" t="str" cm="1">
        <f t="array" ref="P8">_xlfn.IFS(F8&lt;=45,"45 or below",F8&lt;= 60,"46-60",F8&lt;=75,"61-75",F8&lt;=90,"76-90",F8&gt;90,"91 or above")</f>
        <v>76-90</v>
      </c>
      <c r="Q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 t="str" cm="1">
        <f t="array" ref="R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 spans="1:18" x14ac:dyDescent="0.2">
      <c r="A9">
        <f>Table1[[#This Row],[Age]]</f>
        <v>30</v>
      </c>
      <c r="B9">
        <f>IF(Table3[[#This Row],[Attrition]] = "Yes", 1,0)</f>
        <v>0</v>
      </c>
      <c r="C9" t="str">
        <f>Table1[[#This Row],[Attrition]]</f>
        <v>No</v>
      </c>
      <c r="D9" t="str">
        <f>Table1[[#This Row],[Department]]</f>
        <v>Research &amp; Development</v>
      </c>
      <c r="E9">
        <f>Table1[[#This Row],[EnvironmentSatisfaction]]</f>
        <v>4</v>
      </c>
      <c r="F9">
        <f>Table1[[#This Row],[HourlyRate]]</f>
        <v>67</v>
      </c>
      <c r="G9" t="str">
        <f>Table1[[#This Row],[JobRole]]</f>
        <v>Laboratory Technician</v>
      </c>
      <c r="H9">
        <f>Table1[[#This Row],[JobSatisfaction]]</f>
        <v>3</v>
      </c>
      <c r="I9">
        <f>Table1[[#This Row],[YearsAtCompany]]</f>
        <v>1</v>
      </c>
      <c r="J9">
        <f>Table1[[#This Row],[YearsSinceLastPromotion]]</f>
        <v>0</v>
      </c>
      <c r="K9">
        <f>Table1[[#This Row],[EmployeeNumber]]</f>
        <v>11</v>
      </c>
      <c r="L9">
        <f>Table1[[#This Row],[DistanceFromHome]]</f>
        <v>24</v>
      </c>
      <c r="M9" t="str">
        <f>Table1[[#This Row],[OverTime]]</f>
        <v>No</v>
      </c>
      <c r="N9">
        <f>Table1[[#This Row],[WorkLifeBalance]]</f>
        <v>3</v>
      </c>
      <c r="O9" t="str" cm="1">
        <f t="array" ref="O9">_xlfn.IFS(A9&lt;=30,"18-30",A9&lt;=40,"31-40",A9&lt;=50,"41-50",A9&gt;50,"51+")</f>
        <v>18-30</v>
      </c>
      <c r="P9" t="str" cm="1">
        <f t="array" ref="P9">_xlfn.IFS(F9&lt;=45,"45 or below",F9&lt;= 60,"46-60",F9&lt;=75,"61-75",F9&lt;=90,"76-90",F9&gt;90,"91 or above")</f>
        <v>61-75</v>
      </c>
      <c r="Q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 t="str" cm="1">
        <f t="array" ref="R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 spans="1:18" x14ac:dyDescent="0.2">
      <c r="A10">
        <f>Table1[[#This Row],[Age]]</f>
        <v>38</v>
      </c>
      <c r="B10">
        <f>IF(Table3[[#This Row],[Attrition]] = "Yes", 1,0)</f>
        <v>0</v>
      </c>
      <c r="C10" t="str">
        <f>Table1[[#This Row],[Attrition]]</f>
        <v>No</v>
      </c>
      <c r="D10" t="str">
        <f>Table1[[#This Row],[Department]]</f>
        <v>Research &amp; Development</v>
      </c>
      <c r="E10">
        <f>Table1[[#This Row],[EnvironmentSatisfaction]]</f>
        <v>4</v>
      </c>
      <c r="F10">
        <f>Table1[[#This Row],[HourlyRate]]</f>
        <v>44</v>
      </c>
      <c r="G10" t="str">
        <f>Table1[[#This Row],[JobRole]]</f>
        <v>Manufacturing Director</v>
      </c>
      <c r="H10">
        <f>Table1[[#This Row],[JobSatisfaction]]</f>
        <v>3</v>
      </c>
      <c r="I10">
        <f>Table1[[#This Row],[YearsAtCompany]]</f>
        <v>9</v>
      </c>
      <c r="J10">
        <f>Table1[[#This Row],[YearsSinceLastPromotion]]</f>
        <v>1</v>
      </c>
      <c r="K10">
        <f>Table1[[#This Row],[EmployeeNumber]]</f>
        <v>12</v>
      </c>
      <c r="L10">
        <f>Table1[[#This Row],[DistanceFromHome]]</f>
        <v>23</v>
      </c>
      <c r="M10" t="str">
        <f>Table1[[#This Row],[OverTime]]</f>
        <v>No</v>
      </c>
      <c r="N10">
        <f>Table1[[#This Row],[WorkLifeBalance]]</f>
        <v>3</v>
      </c>
      <c r="O10" t="str" cm="1">
        <f t="array" ref="O10">_xlfn.IFS(A10&lt;=30,"18-30",A10&lt;=40,"31-40",A10&lt;=50,"41-50",A10&gt;50,"51+")</f>
        <v>31-40</v>
      </c>
      <c r="P10" t="str" cm="1">
        <f t="array" ref="P10">_xlfn.IFS(F10&lt;=45,"45 or below",F10&lt;= 60,"46-60",F10&lt;=75,"61-75",F10&lt;=90,"76-90",F10&gt;90,"91 or above")</f>
        <v>45 or below</v>
      </c>
      <c r="Q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 t="str" cm="1">
        <f t="array" ref="R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 spans="1:18" x14ac:dyDescent="0.2">
      <c r="A11">
        <f>Table1[[#This Row],[Age]]</f>
        <v>36</v>
      </c>
      <c r="B11">
        <f>IF(Table3[[#This Row],[Attrition]] = "Yes", 1,0)</f>
        <v>0</v>
      </c>
      <c r="C11" t="str">
        <f>Table1[[#This Row],[Attrition]]</f>
        <v>No</v>
      </c>
      <c r="D11" t="str">
        <f>Table1[[#This Row],[Department]]</f>
        <v>Research &amp; Development</v>
      </c>
      <c r="E11">
        <f>Table1[[#This Row],[EnvironmentSatisfaction]]</f>
        <v>3</v>
      </c>
      <c r="F11">
        <f>Table1[[#This Row],[HourlyRate]]</f>
        <v>94</v>
      </c>
      <c r="G11" t="str">
        <f>Table1[[#This Row],[JobRole]]</f>
        <v>Healthcare Representative</v>
      </c>
      <c r="H11">
        <f>Table1[[#This Row],[JobSatisfaction]]</f>
        <v>3</v>
      </c>
      <c r="I11">
        <f>Table1[[#This Row],[YearsAtCompany]]</f>
        <v>7</v>
      </c>
      <c r="J11">
        <f>Table1[[#This Row],[YearsSinceLastPromotion]]</f>
        <v>7</v>
      </c>
      <c r="K11">
        <f>Table1[[#This Row],[EmployeeNumber]]</f>
        <v>13</v>
      </c>
      <c r="L11">
        <f>Table1[[#This Row],[DistanceFromHome]]</f>
        <v>27</v>
      </c>
      <c r="M11" t="str">
        <f>Table1[[#This Row],[OverTime]]</f>
        <v>No</v>
      </c>
      <c r="N11">
        <f>Table1[[#This Row],[WorkLifeBalance]]</f>
        <v>2</v>
      </c>
      <c r="O11" t="str" cm="1">
        <f t="array" ref="O11">_xlfn.IFS(A11&lt;=30,"18-30",A11&lt;=40,"31-40",A11&lt;=50,"41-50",A11&gt;50,"51+")</f>
        <v>31-40</v>
      </c>
      <c r="P11" t="str" cm="1">
        <f t="array" ref="P11">_xlfn.IFS(F11&lt;=45,"45 or below",F11&lt;= 60,"46-60",F11&lt;=75,"61-75",F11&lt;=90,"76-90",F11&gt;90,"91 or above")</f>
        <v>91 or above</v>
      </c>
      <c r="Q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 t="str" cm="1">
        <f t="array" ref="R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 spans="1:18" x14ac:dyDescent="0.2">
      <c r="A12">
        <f>Table1[[#This Row],[Age]]</f>
        <v>35</v>
      </c>
      <c r="B12">
        <f>IF(Table3[[#This Row],[Attrition]] = "Yes", 1,0)</f>
        <v>0</v>
      </c>
      <c r="C12" t="str">
        <f>Table1[[#This Row],[Attrition]]</f>
        <v>No</v>
      </c>
      <c r="D12" t="str">
        <f>Table1[[#This Row],[Department]]</f>
        <v>Research &amp; Development</v>
      </c>
      <c r="E12">
        <f>Table1[[#This Row],[EnvironmentSatisfaction]]</f>
        <v>1</v>
      </c>
      <c r="F12">
        <f>Table1[[#This Row],[HourlyRate]]</f>
        <v>84</v>
      </c>
      <c r="G12" t="str">
        <f>Table1[[#This Row],[JobRole]]</f>
        <v>Laboratory Technician</v>
      </c>
      <c r="H12">
        <f>Table1[[#This Row],[JobSatisfaction]]</f>
        <v>2</v>
      </c>
      <c r="I12">
        <f>Table1[[#This Row],[YearsAtCompany]]</f>
        <v>5</v>
      </c>
      <c r="J12">
        <f>Table1[[#This Row],[YearsSinceLastPromotion]]</f>
        <v>0</v>
      </c>
      <c r="K12">
        <f>Table1[[#This Row],[EmployeeNumber]]</f>
        <v>14</v>
      </c>
      <c r="L12">
        <f>Table1[[#This Row],[DistanceFromHome]]</f>
        <v>16</v>
      </c>
      <c r="M12" t="str">
        <f>Table1[[#This Row],[OverTime]]</f>
        <v>No</v>
      </c>
      <c r="N12">
        <f>Table1[[#This Row],[WorkLifeBalance]]</f>
        <v>3</v>
      </c>
      <c r="O12" t="str" cm="1">
        <f t="array" ref="O12">_xlfn.IFS(A12&lt;=30,"18-30",A12&lt;=40,"31-40",A12&lt;=50,"41-50",A12&gt;50,"51+")</f>
        <v>31-40</v>
      </c>
      <c r="P12" t="str" cm="1">
        <f t="array" ref="P12">_xlfn.IFS(F12&lt;=45,"45 or below",F12&lt;= 60,"46-60",F12&lt;=75,"61-75",F12&lt;=90,"76-90",F12&gt;90,"91 or above")</f>
        <v>76-90</v>
      </c>
      <c r="Q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 t="str" cm="1">
        <f t="array" ref="R1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 spans="1:18" x14ac:dyDescent="0.2">
      <c r="A13">
        <f>Table1[[#This Row],[Age]]</f>
        <v>29</v>
      </c>
      <c r="B13">
        <f>IF(Table3[[#This Row],[Attrition]] = "Yes", 1,0)</f>
        <v>0</v>
      </c>
      <c r="C13" t="str">
        <f>Table1[[#This Row],[Attrition]]</f>
        <v>No</v>
      </c>
      <c r="D13" t="str">
        <f>Table1[[#This Row],[Department]]</f>
        <v>Research &amp; Development</v>
      </c>
      <c r="E13">
        <f>Table1[[#This Row],[EnvironmentSatisfaction]]</f>
        <v>4</v>
      </c>
      <c r="F13">
        <f>Table1[[#This Row],[HourlyRate]]</f>
        <v>49</v>
      </c>
      <c r="G13" t="str">
        <f>Table1[[#This Row],[JobRole]]</f>
        <v>Laboratory Technician</v>
      </c>
      <c r="H13">
        <f>Table1[[#This Row],[JobSatisfaction]]</f>
        <v>3</v>
      </c>
      <c r="I13">
        <f>Table1[[#This Row],[YearsAtCompany]]</f>
        <v>9</v>
      </c>
      <c r="J13">
        <f>Table1[[#This Row],[YearsSinceLastPromotion]]</f>
        <v>0</v>
      </c>
      <c r="K13">
        <f>Table1[[#This Row],[EmployeeNumber]]</f>
        <v>15</v>
      </c>
      <c r="L13">
        <f>Table1[[#This Row],[DistanceFromHome]]</f>
        <v>15</v>
      </c>
      <c r="M13" t="str">
        <f>Table1[[#This Row],[OverTime]]</f>
        <v>Yes</v>
      </c>
      <c r="N13">
        <f>Table1[[#This Row],[WorkLifeBalance]]</f>
        <v>3</v>
      </c>
      <c r="O13" t="str" cm="1">
        <f t="array" ref="O13">_xlfn.IFS(A13&lt;=30,"18-30",A13&lt;=40,"31-40",A13&lt;=50,"41-50",A13&gt;50,"51+")</f>
        <v>18-30</v>
      </c>
      <c r="P13" t="str" cm="1">
        <f t="array" ref="P13">_xlfn.IFS(F13&lt;=45,"45 or below",F13&lt;= 60,"46-60",F13&lt;=75,"61-75",F13&lt;=90,"76-90",F13&gt;90,"91 or above")</f>
        <v>46-60</v>
      </c>
      <c r="Q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 t="str" cm="1">
        <f t="array" ref="R1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 spans="1:18" x14ac:dyDescent="0.2">
      <c r="A14">
        <f>Table1[[#This Row],[Age]]</f>
        <v>31</v>
      </c>
      <c r="B14">
        <f>IF(Table3[[#This Row],[Attrition]] = "Yes", 1,0)</f>
        <v>0</v>
      </c>
      <c r="C14" t="str">
        <f>Table1[[#This Row],[Attrition]]</f>
        <v>No</v>
      </c>
      <c r="D14" t="str">
        <f>Table1[[#This Row],[Department]]</f>
        <v>Research &amp; Development</v>
      </c>
      <c r="E14">
        <f>Table1[[#This Row],[EnvironmentSatisfaction]]</f>
        <v>1</v>
      </c>
      <c r="F14">
        <f>Table1[[#This Row],[HourlyRate]]</f>
        <v>31</v>
      </c>
      <c r="G14" t="str">
        <f>Table1[[#This Row],[JobRole]]</f>
        <v>Research Scientist</v>
      </c>
      <c r="H14">
        <f>Table1[[#This Row],[JobSatisfaction]]</f>
        <v>3</v>
      </c>
      <c r="I14">
        <f>Table1[[#This Row],[YearsAtCompany]]</f>
        <v>5</v>
      </c>
      <c r="J14">
        <f>Table1[[#This Row],[YearsSinceLastPromotion]]</f>
        <v>4</v>
      </c>
      <c r="K14">
        <f>Table1[[#This Row],[EmployeeNumber]]</f>
        <v>16</v>
      </c>
      <c r="L14">
        <f>Table1[[#This Row],[DistanceFromHome]]</f>
        <v>26</v>
      </c>
      <c r="M14" t="str">
        <f>Table1[[#This Row],[OverTime]]</f>
        <v>No</v>
      </c>
      <c r="N14">
        <f>Table1[[#This Row],[WorkLifeBalance]]</f>
        <v>2</v>
      </c>
      <c r="O14" t="str" cm="1">
        <f t="array" ref="O14">_xlfn.IFS(A14&lt;=30,"18-30",A14&lt;=40,"31-40",A14&lt;=50,"41-50",A14&gt;50,"51+")</f>
        <v>31-40</v>
      </c>
      <c r="P14" t="str" cm="1">
        <f t="array" ref="P14">_xlfn.IFS(F14&lt;=45,"45 or below",F14&lt;= 60,"46-60",F14&lt;=75,"61-75",F14&lt;=90,"76-90",F14&gt;90,"91 or above")</f>
        <v>45 or below</v>
      </c>
      <c r="Q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 t="str" cm="1">
        <f t="array" ref="R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 spans="1:18" x14ac:dyDescent="0.2">
      <c r="A15">
        <f>Table1[[#This Row],[Age]]</f>
        <v>34</v>
      </c>
      <c r="B15">
        <f>IF(Table3[[#This Row],[Attrition]] = "Yes", 1,0)</f>
        <v>0</v>
      </c>
      <c r="C15" t="str">
        <f>Table1[[#This Row],[Attrition]]</f>
        <v>No</v>
      </c>
      <c r="D15" t="str">
        <f>Table1[[#This Row],[Department]]</f>
        <v>Research &amp; Development</v>
      </c>
      <c r="E15">
        <f>Table1[[#This Row],[EnvironmentSatisfaction]]</f>
        <v>2</v>
      </c>
      <c r="F15">
        <f>Table1[[#This Row],[HourlyRate]]</f>
        <v>93</v>
      </c>
      <c r="G15" t="str">
        <f>Table1[[#This Row],[JobRole]]</f>
        <v>Laboratory Technician</v>
      </c>
      <c r="H15">
        <f>Table1[[#This Row],[JobSatisfaction]]</f>
        <v>4</v>
      </c>
      <c r="I15">
        <f>Table1[[#This Row],[YearsAtCompany]]</f>
        <v>2</v>
      </c>
      <c r="J15">
        <f>Table1[[#This Row],[YearsSinceLastPromotion]]</f>
        <v>1</v>
      </c>
      <c r="K15">
        <f>Table1[[#This Row],[EmployeeNumber]]</f>
        <v>18</v>
      </c>
      <c r="L15">
        <f>Table1[[#This Row],[DistanceFromHome]]</f>
        <v>19</v>
      </c>
      <c r="M15" t="str">
        <f>Table1[[#This Row],[OverTime]]</f>
        <v>No</v>
      </c>
      <c r="N15">
        <f>Table1[[#This Row],[WorkLifeBalance]]</f>
        <v>3</v>
      </c>
      <c r="O15" t="str" cm="1">
        <f t="array" ref="O15">_xlfn.IFS(A15&lt;=30,"18-30",A15&lt;=40,"31-40",A15&lt;=50,"41-50",A15&gt;50,"51+")</f>
        <v>31-40</v>
      </c>
      <c r="P15" t="str" cm="1">
        <f t="array" ref="P15">_xlfn.IFS(F15&lt;=45,"45 or below",F15&lt;= 60,"46-60",F15&lt;=75,"61-75",F15&lt;=90,"76-90",F15&gt;90,"91 or above")</f>
        <v>91 or above</v>
      </c>
      <c r="Q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5" t="str" cm="1">
        <f t="array" ref="R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6" spans="1:18" hidden="1" x14ac:dyDescent="0.2">
      <c r="A16">
        <f>Table1[[#This Row],[Age]]</f>
        <v>28</v>
      </c>
      <c r="B16">
        <f>IF(Table3[[#This Row],[Attrition]] = "Yes", 1,0)</f>
        <v>1</v>
      </c>
      <c r="C16" t="str">
        <f>Table1[[#This Row],[Attrition]]</f>
        <v>Yes</v>
      </c>
      <c r="D16" t="str">
        <f>Table1[[#This Row],[Department]]</f>
        <v>Research &amp; Development</v>
      </c>
      <c r="E16">
        <f>Table1[[#This Row],[EnvironmentSatisfaction]]</f>
        <v>3</v>
      </c>
      <c r="F16">
        <f>Table1[[#This Row],[HourlyRate]]</f>
        <v>50</v>
      </c>
      <c r="G16" t="str">
        <f>Table1[[#This Row],[JobRole]]</f>
        <v>Laboratory Technician</v>
      </c>
      <c r="H16">
        <f>Table1[[#This Row],[JobSatisfaction]]</f>
        <v>3</v>
      </c>
      <c r="I16">
        <f>Table1[[#This Row],[YearsAtCompany]]</f>
        <v>4</v>
      </c>
      <c r="J16">
        <f>Table1[[#This Row],[YearsSinceLastPromotion]]</f>
        <v>0</v>
      </c>
      <c r="K16">
        <f>Table1[[#This Row],[EmployeeNumber]]</f>
        <v>19</v>
      </c>
      <c r="L16">
        <f>Table1[[#This Row],[DistanceFromHome]]</f>
        <v>24</v>
      </c>
      <c r="M16" t="str">
        <f>Table1[[#This Row],[OverTime]]</f>
        <v>Yes</v>
      </c>
      <c r="N16">
        <f>Table1[[#This Row],[WorkLifeBalance]]</f>
        <v>3</v>
      </c>
      <c r="O16" t="str" cm="1">
        <f t="array" ref="O16">_xlfn.IFS(A16&lt;=30,"18-30",A16&lt;=40,"31-40",A16&lt;=50,"41-50",A16&gt;50,"51+")</f>
        <v>18-30</v>
      </c>
      <c r="P16" t="str" cm="1">
        <f t="array" ref="P16">_xlfn.IFS(F16&lt;=45,"45 or below",F16&lt;= 60,"46-60",F16&lt;=75,"61-75",F16&lt;=90,"76-90",F16&gt;90,"91 or above")</f>
        <v>46-60</v>
      </c>
      <c r="Q1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6" t="str" cm="1">
        <f t="array" ref="R16" xml:space="preserve"> _xlfn.IFS(Table3[[#This Row],[Flight Risk Score]] = "NA","NA",Table3[[#This Row],[Flight Risk Score]] &gt;= 70,"High Risk",Table3[[#This Row],[Flight Risk Score]] &gt;= 50, "Medium Risk", Table3[[#This Row],[Flight Risk Score]] &gt;= 30,"Low Risk",Table3[[#This Row],[Flight Risk Score]] &lt; 30,"Very Low Risk")</f>
        <v>NA</v>
      </c>
    </row>
    <row r="17" spans="1:18" x14ac:dyDescent="0.2">
      <c r="A17">
        <f>Table1[[#This Row],[Age]]</f>
        <v>29</v>
      </c>
      <c r="B17">
        <f>IF(Table3[[#This Row],[Attrition]] = "Yes", 1,0)</f>
        <v>0</v>
      </c>
      <c r="C17" t="str">
        <f>Table1[[#This Row],[Attrition]]</f>
        <v>No</v>
      </c>
      <c r="D17" t="str">
        <f>Table1[[#This Row],[Department]]</f>
        <v>Research &amp; Development</v>
      </c>
      <c r="E17">
        <f>Table1[[#This Row],[EnvironmentSatisfaction]]</f>
        <v>2</v>
      </c>
      <c r="F17">
        <f>Table1[[#This Row],[HourlyRate]]</f>
        <v>51</v>
      </c>
      <c r="G17" t="str">
        <f>Table1[[#This Row],[JobRole]]</f>
        <v>Manufacturing Director</v>
      </c>
      <c r="H17">
        <f>Table1[[#This Row],[JobSatisfaction]]</f>
        <v>1</v>
      </c>
      <c r="I17">
        <f>Table1[[#This Row],[YearsAtCompany]]</f>
        <v>10</v>
      </c>
      <c r="J17">
        <f>Table1[[#This Row],[YearsSinceLastPromotion]]</f>
        <v>8</v>
      </c>
      <c r="K17">
        <f>Table1[[#This Row],[EmployeeNumber]]</f>
        <v>20</v>
      </c>
      <c r="L17">
        <f>Table1[[#This Row],[DistanceFromHome]]</f>
        <v>21</v>
      </c>
      <c r="M17" t="str">
        <f>Table1[[#This Row],[OverTime]]</f>
        <v>No</v>
      </c>
      <c r="N17">
        <f>Table1[[#This Row],[WorkLifeBalance]]</f>
        <v>3</v>
      </c>
      <c r="O17" t="str" cm="1">
        <f t="array" ref="O17">_xlfn.IFS(A17&lt;=30,"18-30",A17&lt;=40,"31-40",A17&lt;=50,"41-50",A17&gt;50,"51+")</f>
        <v>18-30</v>
      </c>
      <c r="P17" t="str" cm="1">
        <f t="array" ref="P17">_xlfn.IFS(F17&lt;=45,"45 or below",F17&lt;= 60,"46-60",F17&lt;=75,"61-75",F17&lt;=90,"76-90",F17&gt;90,"91 or above")</f>
        <v>46-60</v>
      </c>
      <c r="Q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7" t="str" cm="1">
        <f t="array" ref="R1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8" spans="1:18" x14ac:dyDescent="0.2">
      <c r="A18">
        <f>Table1[[#This Row],[Age]]</f>
        <v>32</v>
      </c>
      <c r="B18">
        <f>IF(Table3[[#This Row],[Attrition]] = "Yes", 1,0)</f>
        <v>0</v>
      </c>
      <c r="C18" t="str">
        <f>Table1[[#This Row],[Attrition]]</f>
        <v>No</v>
      </c>
      <c r="D18" t="str">
        <f>Table1[[#This Row],[Department]]</f>
        <v>Research &amp; Development</v>
      </c>
      <c r="E18">
        <f>Table1[[#This Row],[EnvironmentSatisfaction]]</f>
        <v>1</v>
      </c>
      <c r="F18">
        <f>Table1[[#This Row],[HourlyRate]]</f>
        <v>80</v>
      </c>
      <c r="G18" t="str">
        <f>Table1[[#This Row],[JobRole]]</f>
        <v>Research Scientist</v>
      </c>
      <c r="H18">
        <f>Table1[[#This Row],[JobSatisfaction]]</f>
        <v>2</v>
      </c>
      <c r="I18">
        <f>Table1[[#This Row],[YearsAtCompany]]</f>
        <v>6</v>
      </c>
      <c r="J18">
        <f>Table1[[#This Row],[YearsSinceLastPromotion]]</f>
        <v>0</v>
      </c>
      <c r="K18">
        <f>Table1[[#This Row],[EmployeeNumber]]</f>
        <v>21</v>
      </c>
      <c r="L18">
        <f>Table1[[#This Row],[DistanceFromHome]]</f>
        <v>5</v>
      </c>
      <c r="M18" t="str">
        <f>Table1[[#This Row],[OverTime]]</f>
        <v>Yes</v>
      </c>
      <c r="N18">
        <f>Table1[[#This Row],[WorkLifeBalance]]</f>
        <v>2</v>
      </c>
      <c r="O18" t="str" cm="1">
        <f t="array" ref="O18">_xlfn.IFS(A18&lt;=30,"18-30",A18&lt;=40,"31-40",A18&lt;=50,"41-50",A18&gt;50,"51+")</f>
        <v>31-40</v>
      </c>
      <c r="P18" t="str" cm="1">
        <f t="array" ref="P18">_xlfn.IFS(F18&lt;=45,"45 or below",F18&lt;= 60,"46-60",F18&lt;=75,"61-75",F18&lt;=90,"76-90",F18&gt;90,"91 or above")</f>
        <v>76-90</v>
      </c>
      <c r="Q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8" t="str" cm="1">
        <f t="array" ref="R1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9" spans="1:18" x14ac:dyDescent="0.2">
      <c r="A19">
        <f>Table1[[#This Row],[Age]]</f>
        <v>22</v>
      </c>
      <c r="B19">
        <f>IF(Table3[[#This Row],[Attrition]] = "Yes", 1,0)</f>
        <v>0</v>
      </c>
      <c r="C19" t="str">
        <f>Table1[[#This Row],[Attrition]]</f>
        <v>No</v>
      </c>
      <c r="D19" t="str">
        <f>Table1[[#This Row],[Department]]</f>
        <v>Research &amp; Development</v>
      </c>
      <c r="E19">
        <f>Table1[[#This Row],[EnvironmentSatisfaction]]</f>
        <v>4</v>
      </c>
      <c r="F19">
        <f>Table1[[#This Row],[HourlyRate]]</f>
        <v>96</v>
      </c>
      <c r="G19" t="str">
        <f>Table1[[#This Row],[JobRole]]</f>
        <v>Laboratory Technician</v>
      </c>
      <c r="H19">
        <f>Table1[[#This Row],[JobSatisfaction]]</f>
        <v>4</v>
      </c>
      <c r="I19">
        <f>Table1[[#This Row],[YearsAtCompany]]</f>
        <v>1</v>
      </c>
      <c r="J19">
        <f>Table1[[#This Row],[YearsSinceLastPromotion]]</f>
        <v>0</v>
      </c>
      <c r="K19">
        <f>Table1[[#This Row],[EmployeeNumber]]</f>
        <v>22</v>
      </c>
      <c r="L19">
        <f>Table1[[#This Row],[DistanceFromHome]]</f>
        <v>16</v>
      </c>
      <c r="M19" t="str">
        <f>Table1[[#This Row],[OverTime]]</f>
        <v>Yes</v>
      </c>
      <c r="N19">
        <f>Table1[[#This Row],[WorkLifeBalance]]</f>
        <v>2</v>
      </c>
      <c r="O19" t="str" cm="1">
        <f t="array" ref="O19">_xlfn.IFS(A19&lt;=30,"18-30",A19&lt;=40,"31-40",A19&lt;=50,"41-50",A19&gt;50,"51+")</f>
        <v>18-30</v>
      </c>
      <c r="P19" t="str" cm="1">
        <f t="array" ref="P19">_xlfn.IFS(F19&lt;=45,"45 or below",F19&lt;= 60,"46-60",F19&lt;=75,"61-75",F19&lt;=90,"76-90",F19&gt;90,"91 or above")</f>
        <v>91 or above</v>
      </c>
      <c r="Q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9" t="str" cm="1">
        <f t="array" ref="R19" xml:space="preserve"> _xlfn.IFS(Table3[[#This Row],[Flight Risk Score]] = "NA","NA",Table3[[#This Row],[Flight Risk Score]] &gt;= 70,"High Risk",Table3[[#This Row],[Flight Risk Score]] &gt;= 50, "Medium Risk", Table3[[#This Row],[Flight Risk Score]] &gt;= 30,"Low Risk",Table3[[#This Row],[Flight Risk Score]] &lt; 30,"Very Low Risk")</f>
        <v>Low Risk</v>
      </c>
    </row>
    <row r="20" spans="1:18" x14ac:dyDescent="0.2">
      <c r="A20">
        <f>Table1[[#This Row],[Age]]</f>
        <v>53</v>
      </c>
      <c r="B20">
        <f>IF(Table3[[#This Row],[Attrition]] = "Yes", 1,0)</f>
        <v>0</v>
      </c>
      <c r="C20" t="str">
        <f>Table1[[#This Row],[Attrition]]</f>
        <v>No</v>
      </c>
      <c r="D20" t="str">
        <f>Table1[[#This Row],[Department]]</f>
        <v>Sales</v>
      </c>
      <c r="E20">
        <f>Table1[[#This Row],[EnvironmentSatisfaction]]</f>
        <v>1</v>
      </c>
      <c r="F20">
        <f>Table1[[#This Row],[HourlyRate]]</f>
        <v>78</v>
      </c>
      <c r="G20" t="str">
        <f>Table1[[#This Row],[JobRole]]</f>
        <v>Manager</v>
      </c>
      <c r="H20">
        <f>Table1[[#This Row],[JobSatisfaction]]</f>
        <v>4</v>
      </c>
      <c r="I20">
        <f>Table1[[#This Row],[YearsAtCompany]]</f>
        <v>25</v>
      </c>
      <c r="J20">
        <f>Table1[[#This Row],[YearsSinceLastPromotion]]</f>
        <v>3</v>
      </c>
      <c r="K20">
        <f>Table1[[#This Row],[EmployeeNumber]]</f>
        <v>23</v>
      </c>
      <c r="L20">
        <f>Table1[[#This Row],[DistanceFromHome]]</f>
        <v>2</v>
      </c>
      <c r="M20" t="str">
        <f>Table1[[#This Row],[OverTime]]</f>
        <v>No</v>
      </c>
      <c r="N20">
        <f>Table1[[#This Row],[WorkLifeBalance]]</f>
        <v>3</v>
      </c>
      <c r="O20" t="str" cm="1">
        <f t="array" ref="O20">_xlfn.IFS(A20&lt;=30,"18-30",A20&lt;=40,"31-40",A20&lt;=50,"41-50",A20&gt;50,"51+")</f>
        <v>51+</v>
      </c>
      <c r="P20" t="str" cm="1">
        <f t="array" ref="P20">_xlfn.IFS(F20&lt;=45,"45 or below",F20&lt;= 60,"46-60",F20&lt;=75,"61-75",F20&lt;=90,"76-90",F20&gt;90,"91 or above")</f>
        <v>76-90</v>
      </c>
      <c r="Q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0" t="str" cm="1">
        <f t="array" ref="R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1" spans="1:18" x14ac:dyDescent="0.2">
      <c r="A21">
        <f>Table1[[#This Row],[Age]]</f>
        <v>38</v>
      </c>
      <c r="B21">
        <f>IF(Table3[[#This Row],[Attrition]] = "Yes", 1,0)</f>
        <v>0</v>
      </c>
      <c r="C21" t="str">
        <f>Table1[[#This Row],[Attrition]]</f>
        <v>No</v>
      </c>
      <c r="D21" t="str">
        <f>Table1[[#This Row],[Department]]</f>
        <v>Research &amp; Development</v>
      </c>
      <c r="E21">
        <f>Table1[[#This Row],[EnvironmentSatisfaction]]</f>
        <v>4</v>
      </c>
      <c r="F21">
        <f>Table1[[#This Row],[HourlyRate]]</f>
        <v>45</v>
      </c>
      <c r="G21" t="str">
        <f>Table1[[#This Row],[JobRole]]</f>
        <v>Research Scientist</v>
      </c>
      <c r="H21">
        <f>Table1[[#This Row],[JobSatisfaction]]</f>
        <v>4</v>
      </c>
      <c r="I21">
        <f>Table1[[#This Row],[YearsAtCompany]]</f>
        <v>3</v>
      </c>
      <c r="J21">
        <f>Table1[[#This Row],[YearsSinceLastPromotion]]</f>
        <v>1</v>
      </c>
      <c r="K21">
        <f>Table1[[#This Row],[EmployeeNumber]]</f>
        <v>24</v>
      </c>
      <c r="L21">
        <f>Table1[[#This Row],[DistanceFromHome]]</f>
        <v>2</v>
      </c>
      <c r="M21" t="str">
        <f>Table1[[#This Row],[OverTime]]</f>
        <v>Yes</v>
      </c>
      <c r="N21">
        <f>Table1[[#This Row],[WorkLifeBalance]]</f>
        <v>3</v>
      </c>
      <c r="O21" t="str" cm="1">
        <f t="array" ref="O21">_xlfn.IFS(A21&lt;=30,"18-30",A21&lt;=40,"31-40",A21&lt;=50,"41-50",A21&gt;50,"51+")</f>
        <v>31-40</v>
      </c>
      <c r="P21" t="str" cm="1">
        <f t="array" ref="P21">_xlfn.IFS(F21&lt;=45,"45 or below",F21&lt;= 60,"46-60",F21&lt;=75,"61-75",F21&lt;=90,"76-90",F21&gt;90,"91 or above")</f>
        <v>45 or below</v>
      </c>
      <c r="Q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1" t="str" cm="1">
        <f t="array" ref="R21" xml:space="preserve"> _xlfn.IFS(Table3[[#This Row],[Flight Risk Score]] = "NA","NA",Table3[[#This Row],[Flight Risk Score]] &gt;= 70,"High Risk",Table3[[#This Row],[Flight Risk Score]] &gt;= 50, "Medium Risk", Table3[[#This Row],[Flight Risk Score]] &gt;= 30,"Low Risk",Table3[[#This Row],[Flight Risk Score]] &lt; 30,"Very Low Risk")</f>
        <v>Low Risk</v>
      </c>
    </row>
    <row r="22" spans="1:18" x14ac:dyDescent="0.2">
      <c r="A22">
        <f>Table1[[#This Row],[Age]]</f>
        <v>24</v>
      </c>
      <c r="B22">
        <f>IF(Table3[[#This Row],[Attrition]] = "Yes", 1,0)</f>
        <v>0</v>
      </c>
      <c r="C22" t="str">
        <f>Table1[[#This Row],[Attrition]]</f>
        <v>No</v>
      </c>
      <c r="D22" t="str">
        <f>Table1[[#This Row],[Department]]</f>
        <v>Research &amp; Development</v>
      </c>
      <c r="E22">
        <f>Table1[[#This Row],[EnvironmentSatisfaction]]</f>
        <v>1</v>
      </c>
      <c r="F22">
        <f>Table1[[#This Row],[HourlyRate]]</f>
        <v>96</v>
      </c>
      <c r="G22" t="str">
        <f>Table1[[#This Row],[JobRole]]</f>
        <v>Manufacturing Director</v>
      </c>
      <c r="H22">
        <f>Table1[[#This Row],[JobSatisfaction]]</f>
        <v>3</v>
      </c>
      <c r="I22">
        <f>Table1[[#This Row],[YearsAtCompany]]</f>
        <v>4</v>
      </c>
      <c r="J22">
        <f>Table1[[#This Row],[YearsSinceLastPromotion]]</f>
        <v>1</v>
      </c>
      <c r="K22">
        <f>Table1[[#This Row],[EmployeeNumber]]</f>
        <v>26</v>
      </c>
      <c r="L22">
        <f>Table1[[#This Row],[DistanceFromHome]]</f>
        <v>11</v>
      </c>
      <c r="M22" t="str">
        <f>Table1[[#This Row],[OverTime]]</f>
        <v>No</v>
      </c>
      <c r="N22">
        <f>Table1[[#This Row],[WorkLifeBalance]]</f>
        <v>2</v>
      </c>
      <c r="O22" t="str" cm="1">
        <f t="array" ref="O22">_xlfn.IFS(A22&lt;=30,"18-30",A22&lt;=40,"31-40",A22&lt;=50,"41-50",A22&gt;50,"51+")</f>
        <v>18-30</v>
      </c>
      <c r="P22" t="str" cm="1">
        <f t="array" ref="P22">_xlfn.IFS(F22&lt;=45,"45 or below",F22&lt;= 60,"46-60",F22&lt;=75,"61-75",F22&lt;=90,"76-90",F22&gt;90,"91 or above")</f>
        <v>91 or above</v>
      </c>
      <c r="Q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 t="str" cm="1">
        <f t="array" ref="R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 spans="1:18" hidden="1" x14ac:dyDescent="0.2">
      <c r="A23">
        <f>Table1[[#This Row],[Age]]</f>
        <v>36</v>
      </c>
      <c r="B23">
        <f>IF(Table3[[#This Row],[Attrition]] = "Yes", 1,0)</f>
        <v>1</v>
      </c>
      <c r="C23" t="str">
        <f>Table1[[#This Row],[Attrition]]</f>
        <v>Yes</v>
      </c>
      <c r="D23" t="str">
        <f>Table1[[#This Row],[Department]]</f>
        <v>Sales</v>
      </c>
      <c r="E23">
        <f>Table1[[#This Row],[EnvironmentSatisfaction]]</f>
        <v>3</v>
      </c>
      <c r="F23">
        <f>Table1[[#This Row],[HourlyRate]]</f>
        <v>82</v>
      </c>
      <c r="G23" t="str">
        <f>Table1[[#This Row],[JobRole]]</f>
        <v>Sales Representative</v>
      </c>
      <c r="H23">
        <f>Table1[[#This Row],[JobSatisfaction]]</f>
        <v>1</v>
      </c>
      <c r="I23">
        <f>Table1[[#This Row],[YearsAtCompany]]</f>
        <v>5</v>
      </c>
      <c r="J23">
        <f>Table1[[#This Row],[YearsSinceLastPromotion]]</f>
        <v>0</v>
      </c>
      <c r="K23">
        <f>Table1[[#This Row],[EmployeeNumber]]</f>
        <v>27</v>
      </c>
      <c r="L23">
        <f>Table1[[#This Row],[DistanceFromHome]]</f>
        <v>9</v>
      </c>
      <c r="M23" t="str">
        <f>Table1[[#This Row],[OverTime]]</f>
        <v>No</v>
      </c>
      <c r="N23">
        <f>Table1[[#This Row],[WorkLifeBalance]]</f>
        <v>3</v>
      </c>
      <c r="O23" t="str" cm="1">
        <f t="array" ref="O23">_xlfn.IFS(A23&lt;=30,"18-30",A23&lt;=40,"31-40",A23&lt;=50,"41-50",A23&gt;50,"51+")</f>
        <v>31-40</v>
      </c>
      <c r="P23" t="str" cm="1">
        <f t="array" ref="P23">_xlfn.IFS(F23&lt;=45,"45 or below",F23&lt;= 60,"46-60",F23&lt;=75,"61-75",F23&lt;=90,"76-90",F23&gt;90,"91 or above")</f>
        <v>76-90</v>
      </c>
      <c r="Q2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3" t="str" cm="1">
        <f t="array" ref="R23" xml:space="preserve"> _xlfn.IFS(Table3[[#This Row],[Flight Risk Score]] = "NA","NA",Table3[[#This Row],[Flight Risk Score]] &gt;= 70,"High Risk",Table3[[#This Row],[Flight Risk Score]] &gt;= 50, "Medium Risk", Table3[[#This Row],[Flight Risk Score]] &gt;= 30,"Low Risk",Table3[[#This Row],[Flight Risk Score]] &lt; 30,"Very Low Risk")</f>
        <v>NA</v>
      </c>
    </row>
    <row r="24" spans="1:18" x14ac:dyDescent="0.2">
      <c r="A24">
        <f>Table1[[#This Row],[Age]]</f>
        <v>34</v>
      </c>
      <c r="B24">
        <f>IF(Table3[[#This Row],[Attrition]] = "Yes", 1,0)</f>
        <v>0</v>
      </c>
      <c r="C24" t="str">
        <f>Table1[[#This Row],[Attrition]]</f>
        <v>No</v>
      </c>
      <c r="D24" t="str">
        <f>Table1[[#This Row],[Department]]</f>
        <v>Research &amp; Development</v>
      </c>
      <c r="E24">
        <f>Table1[[#This Row],[EnvironmentSatisfaction]]</f>
        <v>1</v>
      </c>
      <c r="F24">
        <f>Table1[[#This Row],[HourlyRate]]</f>
        <v>53</v>
      </c>
      <c r="G24" t="str">
        <f>Table1[[#This Row],[JobRole]]</f>
        <v>Research Director</v>
      </c>
      <c r="H24">
        <f>Table1[[#This Row],[JobSatisfaction]]</f>
        <v>2</v>
      </c>
      <c r="I24">
        <f>Table1[[#This Row],[YearsAtCompany]]</f>
        <v>12</v>
      </c>
      <c r="J24">
        <f>Table1[[#This Row],[YearsSinceLastPromotion]]</f>
        <v>2</v>
      </c>
      <c r="K24">
        <f>Table1[[#This Row],[EmployeeNumber]]</f>
        <v>28</v>
      </c>
      <c r="L24">
        <f>Table1[[#This Row],[DistanceFromHome]]</f>
        <v>7</v>
      </c>
      <c r="M24" t="str">
        <f>Table1[[#This Row],[OverTime]]</f>
        <v>No</v>
      </c>
      <c r="N24">
        <f>Table1[[#This Row],[WorkLifeBalance]]</f>
        <v>3</v>
      </c>
      <c r="O24" t="str" cm="1">
        <f t="array" ref="O24">_xlfn.IFS(A24&lt;=30,"18-30",A24&lt;=40,"31-40",A24&lt;=50,"41-50",A24&gt;50,"51+")</f>
        <v>31-40</v>
      </c>
      <c r="P24" t="str" cm="1">
        <f t="array" ref="P24">_xlfn.IFS(F24&lt;=45,"45 or below",F24&lt;= 60,"46-60",F24&lt;=75,"61-75",F24&lt;=90,"76-90",F24&gt;90,"91 or above")</f>
        <v>46-60</v>
      </c>
      <c r="Q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24" t="str" cm="1">
        <f t="array" ref="R24" xml:space="preserve"> _xlfn.IFS(Table3[[#This Row],[Flight Risk Score]] = "NA","NA",Table3[[#This Row],[Flight Risk Score]] &gt;= 70,"High Risk",Table3[[#This Row],[Flight Risk Score]] &gt;= 50, "Medium Risk", Table3[[#This Row],[Flight Risk Score]] &gt;= 30,"Low Risk",Table3[[#This Row],[Flight Risk Score]] &lt; 30,"Very Low Risk")</f>
        <v>Low Risk</v>
      </c>
    </row>
    <row r="25" spans="1:18" x14ac:dyDescent="0.2">
      <c r="A25">
        <f>Table1[[#This Row],[Age]]</f>
        <v>21</v>
      </c>
      <c r="B25">
        <f>IF(Table3[[#This Row],[Attrition]] = "Yes", 1,0)</f>
        <v>0</v>
      </c>
      <c r="C25" t="str">
        <f>Table1[[#This Row],[Attrition]]</f>
        <v>No</v>
      </c>
      <c r="D25" t="str">
        <f>Table1[[#This Row],[Department]]</f>
        <v>Research &amp; Development</v>
      </c>
      <c r="E25">
        <f>Table1[[#This Row],[EnvironmentSatisfaction]]</f>
        <v>3</v>
      </c>
      <c r="F25">
        <f>Table1[[#This Row],[HourlyRate]]</f>
        <v>96</v>
      </c>
      <c r="G25" t="str">
        <f>Table1[[#This Row],[JobRole]]</f>
        <v>Research Scientist</v>
      </c>
      <c r="H25">
        <f>Table1[[#This Row],[JobSatisfaction]]</f>
        <v>4</v>
      </c>
      <c r="I25">
        <f>Table1[[#This Row],[YearsAtCompany]]</f>
        <v>0</v>
      </c>
      <c r="J25">
        <f>Table1[[#This Row],[YearsSinceLastPromotion]]</f>
        <v>0</v>
      </c>
      <c r="K25">
        <f>Table1[[#This Row],[EmployeeNumber]]</f>
        <v>30</v>
      </c>
      <c r="L25">
        <f>Table1[[#This Row],[DistanceFromHome]]</f>
        <v>15</v>
      </c>
      <c r="M25" t="str">
        <f>Table1[[#This Row],[OverTime]]</f>
        <v>No</v>
      </c>
      <c r="N25">
        <f>Table1[[#This Row],[WorkLifeBalance]]</f>
        <v>3</v>
      </c>
      <c r="O25" t="str" cm="1">
        <f t="array" ref="O25">_xlfn.IFS(A25&lt;=30,"18-30",A25&lt;=40,"31-40",A25&lt;=50,"41-50",A25&gt;50,"51+")</f>
        <v>18-30</v>
      </c>
      <c r="P25" t="str" cm="1">
        <f t="array" ref="P25">_xlfn.IFS(F25&lt;=45,"45 or below",F25&lt;= 60,"46-60",F25&lt;=75,"61-75",F25&lt;=90,"76-90",F25&gt;90,"91 or above")</f>
        <v>91 or above</v>
      </c>
      <c r="Q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5" t="str" cm="1">
        <f t="array" ref="R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6" spans="1:18" hidden="1" x14ac:dyDescent="0.2">
      <c r="A26">
        <f>Table1[[#This Row],[Age]]</f>
        <v>34</v>
      </c>
      <c r="B26">
        <f>IF(Table3[[#This Row],[Attrition]] = "Yes", 1,0)</f>
        <v>1</v>
      </c>
      <c r="C26" t="str">
        <f>Table1[[#This Row],[Attrition]]</f>
        <v>Yes</v>
      </c>
      <c r="D26" t="str">
        <f>Table1[[#This Row],[Department]]</f>
        <v>Research &amp; Development</v>
      </c>
      <c r="E26">
        <f>Table1[[#This Row],[EnvironmentSatisfaction]]</f>
        <v>2</v>
      </c>
      <c r="F26">
        <f>Table1[[#This Row],[HourlyRate]]</f>
        <v>83</v>
      </c>
      <c r="G26" t="str">
        <f>Table1[[#This Row],[JobRole]]</f>
        <v>Research Scientist</v>
      </c>
      <c r="H26">
        <f>Table1[[#This Row],[JobSatisfaction]]</f>
        <v>1</v>
      </c>
      <c r="I26">
        <f>Table1[[#This Row],[YearsAtCompany]]</f>
        <v>4</v>
      </c>
      <c r="J26">
        <f>Table1[[#This Row],[YearsSinceLastPromotion]]</f>
        <v>1</v>
      </c>
      <c r="K26">
        <f>Table1[[#This Row],[EmployeeNumber]]</f>
        <v>31</v>
      </c>
      <c r="L26">
        <f>Table1[[#This Row],[DistanceFromHome]]</f>
        <v>6</v>
      </c>
      <c r="M26" t="str">
        <f>Table1[[#This Row],[OverTime]]</f>
        <v>No</v>
      </c>
      <c r="N26">
        <f>Table1[[#This Row],[WorkLifeBalance]]</f>
        <v>3</v>
      </c>
      <c r="O26" t="str" cm="1">
        <f t="array" ref="O26">_xlfn.IFS(A26&lt;=30,"18-30",A26&lt;=40,"31-40",A26&lt;=50,"41-50",A26&gt;50,"51+")</f>
        <v>31-40</v>
      </c>
      <c r="P26" t="str" cm="1">
        <f t="array" ref="P26">_xlfn.IFS(F26&lt;=45,"45 or below",F26&lt;= 60,"46-60",F26&lt;=75,"61-75",F26&lt;=90,"76-90",F26&gt;90,"91 or above")</f>
        <v>76-90</v>
      </c>
      <c r="Q2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6" t="str" cm="1">
        <f t="array" ref="R26" xml:space="preserve"> _xlfn.IFS(Table3[[#This Row],[Flight Risk Score]] = "NA","NA",Table3[[#This Row],[Flight Risk Score]] &gt;= 70,"High Risk",Table3[[#This Row],[Flight Risk Score]] &gt;= 50, "Medium Risk", Table3[[#This Row],[Flight Risk Score]] &gt;= 30,"Low Risk",Table3[[#This Row],[Flight Risk Score]] &lt; 30,"Very Low Risk")</f>
        <v>NA</v>
      </c>
    </row>
    <row r="27" spans="1:18" x14ac:dyDescent="0.2">
      <c r="A27">
        <f>Table1[[#This Row],[Age]]</f>
        <v>53</v>
      </c>
      <c r="B27">
        <f>IF(Table3[[#This Row],[Attrition]] = "Yes", 1,0)</f>
        <v>0</v>
      </c>
      <c r="C27" t="str">
        <f>Table1[[#This Row],[Attrition]]</f>
        <v>No</v>
      </c>
      <c r="D27" t="str">
        <f>Table1[[#This Row],[Department]]</f>
        <v>Research &amp; Development</v>
      </c>
      <c r="E27">
        <f>Table1[[#This Row],[EnvironmentSatisfaction]]</f>
        <v>3</v>
      </c>
      <c r="F27">
        <f>Table1[[#This Row],[HourlyRate]]</f>
        <v>58</v>
      </c>
      <c r="G27" t="str">
        <f>Table1[[#This Row],[JobRole]]</f>
        <v>Manager</v>
      </c>
      <c r="H27">
        <f>Table1[[#This Row],[JobSatisfaction]]</f>
        <v>3</v>
      </c>
      <c r="I27">
        <f>Table1[[#This Row],[YearsAtCompany]]</f>
        <v>14</v>
      </c>
      <c r="J27">
        <f>Table1[[#This Row],[YearsSinceLastPromotion]]</f>
        <v>4</v>
      </c>
      <c r="K27">
        <f>Table1[[#This Row],[EmployeeNumber]]</f>
        <v>32</v>
      </c>
      <c r="L27">
        <f>Table1[[#This Row],[DistanceFromHome]]</f>
        <v>5</v>
      </c>
      <c r="M27" t="str">
        <f>Table1[[#This Row],[OverTime]]</f>
        <v>No</v>
      </c>
      <c r="N27">
        <f>Table1[[#This Row],[WorkLifeBalance]]</f>
        <v>2</v>
      </c>
      <c r="O27" t="str" cm="1">
        <f t="array" ref="O27">_xlfn.IFS(A27&lt;=30,"18-30",A27&lt;=40,"31-40",A27&lt;=50,"41-50",A27&gt;50,"51+")</f>
        <v>51+</v>
      </c>
      <c r="P27" t="str" cm="1">
        <f t="array" ref="P27">_xlfn.IFS(F27&lt;=45,"45 or below",F27&lt;= 60,"46-60",F27&lt;=75,"61-75",F27&lt;=90,"76-90",F27&gt;90,"91 or above")</f>
        <v>46-60</v>
      </c>
      <c r="Q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7" t="str" cm="1">
        <f t="array" ref="R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8" spans="1:18" hidden="1" x14ac:dyDescent="0.2">
      <c r="A28">
        <f>Table1[[#This Row],[Age]]</f>
        <v>32</v>
      </c>
      <c r="B28">
        <f>IF(Table3[[#This Row],[Attrition]] = "Yes", 1,0)</f>
        <v>1</v>
      </c>
      <c r="C28" t="str">
        <f>Table1[[#This Row],[Attrition]]</f>
        <v>Yes</v>
      </c>
      <c r="D28" t="str">
        <f>Table1[[#This Row],[Department]]</f>
        <v>Research &amp; Development</v>
      </c>
      <c r="E28">
        <f>Table1[[#This Row],[EnvironmentSatisfaction]]</f>
        <v>2</v>
      </c>
      <c r="F28">
        <f>Table1[[#This Row],[HourlyRate]]</f>
        <v>72</v>
      </c>
      <c r="G28" t="str">
        <f>Table1[[#This Row],[JobRole]]</f>
        <v>Research Scientist</v>
      </c>
      <c r="H28">
        <f>Table1[[#This Row],[JobSatisfaction]]</f>
        <v>1</v>
      </c>
      <c r="I28">
        <f>Table1[[#This Row],[YearsAtCompany]]</f>
        <v>10</v>
      </c>
      <c r="J28">
        <f>Table1[[#This Row],[YearsSinceLastPromotion]]</f>
        <v>6</v>
      </c>
      <c r="K28">
        <f>Table1[[#This Row],[EmployeeNumber]]</f>
        <v>33</v>
      </c>
      <c r="L28">
        <f>Table1[[#This Row],[DistanceFromHome]]</f>
        <v>16</v>
      </c>
      <c r="M28" t="str">
        <f>Table1[[#This Row],[OverTime]]</f>
        <v>Yes</v>
      </c>
      <c r="N28">
        <f>Table1[[#This Row],[WorkLifeBalance]]</f>
        <v>3</v>
      </c>
      <c r="O28" t="str" cm="1">
        <f t="array" ref="O28">_xlfn.IFS(A28&lt;=30,"18-30",A28&lt;=40,"31-40",A28&lt;=50,"41-50",A28&gt;50,"51+")</f>
        <v>31-40</v>
      </c>
      <c r="P28" t="str" cm="1">
        <f t="array" ref="P28">_xlfn.IFS(F28&lt;=45,"45 or below",F28&lt;= 60,"46-60",F28&lt;=75,"61-75",F28&lt;=90,"76-90",F28&gt;90,"91 or above")</f>
        <v>61-75</v>
      </c>
      <c r="Q2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8" t="str" cm="1">
        <f t="array" ref="R28" xml:space="preserve"> _xlfn.IFS(Table3[[#This Row],[Flight Risk Score]] = "NA","NA",Table3[[#This Row],[Flight Risk Score]] &gt;= 70,"High Risk",Table3[[#This Row],[Flight Risk Score]] &gt;= 50, "Medium Risk", Table3[[#This Row],[Flight Risk Score]] &gt;= 30,"Low Risk",Table3[[#This Row],[Flight Risk Score]] &lt; 30,"Very Low Risk")</f>
        <v>NA</v>
      </c>
    </row>
    <row r="29" spans="1:18" x14ac:dyDescent="0.2">
      <c r="A29">
        <f>Table1[[#This Row],[Age]]</f>
        <v>42</v>
      </c>
      <c r="B29">
        <f>IF(Table3[[#This Row],[Attrition]] = "Yes", 1,0)</f>
        <v>0</v>
      </c>
      <c r="C29" t="str">
        <f>Table1[[#This Row],[Attrition]]</f>
        <v>No</v>
      </c>
      <c r="D29" t="str">
        <f>Table1[[#This Row],[Department]]</f>
        <v>Sales</v>
      </c>
      <c r="E29">
        <f>Table1[[#This Row],[EnvironmentSatisfaction]]</f>
        <v>3</v>
      </c>
      <c r="F29">
        <f>Table1[[#This Row],[HourlyRate]]</f>
        <v>48</v>
      </c>
      <c r="G29" t="str">
        <f>Table1[[#This Row],[JobRole]]</f>
        <v>Sales Executive</v>
      </c>
      <c r="H29">
        <f>Table1[[#This Row],[JobSatisfaction]]</f>
        <v>2</v>
      </c>
      <c r="I29">
        <f>Table1[[#This Row],[YearsAtCompany]]</f>
        <v>9</v>
      </c>
      <c r="J29">
        <f>Table1[[#This Row],[YearsSinceLastPromotion]]</f>
        <v>4</v>
      </c>
      <c r="K29">
        <f>Table1[[#This Row],[EmployeeNumber]]</f>
        <v>35</v>
      </c>
      <c r="L29">
        <f>Table1[[#This Row],[DistanceFromHome]]</f>
        <v>8</v>
      </c>
      <c r="M29" t="str">
        <f>Table1[[#This Row],[OverTime]]</f>
        <v>No</v>
      </c>
      <c r="N29">
        <f>Table1[[#This Row],[WorkLifeBalance]]</f>
        <v>3</v>
      </c>
      <c r="O29" t="str" cm="1">
        <f t="array" ref="O29">_xlfn.IFS(A29&lt;=30,"18-30",A29&lt;=40,"31-40",A29&lt;=50,"41-50",A29&gt;50,"51+")</f>
        <v>41-50</v>
      </c>
      <c r="P29" t="str" cm="1">
        <f t="array" ref="P29">_xlfn.IFS(F29&lt;=45,"45 or below",F29&lt;= 60,"46-60",F29&lt;=75,"61-75",F29&lt;=90,"76-90",F29&gt;90,"91 or above")</f>
        <v>46-60</v>
      </c>
      <c r="Q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9" t="str" cm="1">
        <f t="array" ref="R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 spans="1:18" x14ac:dyDescent="0.2">
      <c r="A30">
        <f>Table1[[#This Row],[Age]]</f>
        <v>44</v>
      </c>
      <c r="B30">
        <f>IF(Table3[[#This Row],[Attrition]] = "Yes", 1,0)</f>
        <v>0</v>
      </c>
      <c r="C30" t="str">
        <f>Table1[[#This Row],[Attrition]]</f>
        <v>No</v>
      </c>
      <c r="D30" t="str">
        <f>Table1[[#This Row],[Department]]</f>
        <v>Research &amp; Development</v>
      </c>
      <c r="E30">
        <f>Table1[[#This Row],[EnvironmentSatisfaction]]</f>
        <v>1</v>
      </c>
      <c r="F30">
        <f>Table1[[#This Row],[HourlyRate]]</f>
        <v>42</v>
      </c>
      <c r="G30" t="str">
        <f>Table1[[#This Row],[JobRole]]</f>
        <v>Healthcare Representative</v>
      </c>
      <c r="H30">
        <f>Table1[[#This Row],[JobSatisfaction]]</f>
        <v>4</v>
      </c>
      <c r="I30">
        <f>Table1[[#This Row],[YearsAtCompany]]</f>
        <v>22</v>
      </c>
      <c r="J30">
        <f>Table1[[#This Row],[YearsSinceLastPromotion]]</f>
        <v>5</v>
      </c>
      <c r="K30">
        <f>Table1[[#This Row],[EmployeeNumber]]</f>
        <v>36</v>
      </c>
      <c r="L30">
        <f>Table1[[#This Row],[DistanceFromHome]]</f>
        <v>7</v>
      </c>
      <c r="M30" t="str">
        <f>Table1[[#This Row],[OverTime]]</f>
        <v>No</v>
      </c>
      <c r="N30">
        <f>Table1[[#This Row],[WorkLifeBalance]]</f>
        <v>3</v>
      </c>
      <c r="O30" t="str" cm="1">
        <f t="array" ref="O30">_xlfn.IFS(A30&lt;=30,"18-30",A30&lt;=40,"31-40",A30&lt;=50,"41-50",A30&gt;50,"51+")</f>
        <v>41-50</v>
      </c>
      <c r="P30" t="str" cm="1">
        <f t="array" ref="P30">_xlfn.IFS(F30&lt;=45,"45 or below",F30&lt;= 60,"46-60",F30&lt;=75,"61-75",F30&lt;=90,"76-90",F30&gt;90,"91 or above")</f>
        <v>45 or below</v>
      </c>
      <c r="Q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0" t="str" cm="1">
        <f t="array" ref="R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1" spans="1:18" x14ac:dyDescent="0.2">
      <c r="A31">
        <f>Table1[[#This Row],[Age]]</f>
        <v>46</v>
      </c>
      <c r="B31">
        <f>IF(Table3[[#This Row],[Attrition]] = "Yes", 1,0)</f>
        <v>0</v>
      </c>
      <c r="C31" t="str">
        <f>Table1[[#This Row],[Attrition]]</f>
        <v>No</v>
      </c>
      <c r="D31" t="str">
        <f>Table1[[#This Row],[Department]]</f>
        <v>Sales</v>
      </c>
      <c r="E31">
        <f>Table1[[#This Row],[EnvironmentSatisfaction]]</f>
        <v>2</v>
      </c>
      <c r="F31">
        <f>Table1[[#This Row],[HourlyRate]]</f>
        <v>83</v>
      </c>
      <c r="G31" t="str">
        <f>Table1[[#This Row],[JobRole]]</f>
        <v>Manager</v>
      </c>
      <c r="H31">
        <f>Table1[[#This Row],[JobSatisfaction]]</f>
        <v>1</v>
      </c>
      <c r="I31">
        <f>Table1[[#This Row],[YearsAtCompany]]</f>
        <v>2</v>
      </c>
      <c r="J31">
        <f>Table1[[#This Row],[YearsSinceLastPromotion]]</f>
        <v>2</v>
      </c>
      <c r="K31">
        <f>Table1[[#This Row],[EmployeeNumber]]</f>
        <v>38</v>
      </c>
      <c r="L31">
        <f>Table1[[#This Row],[DistanceFromHome]]</f>
        <v>2</v>
      </c>
      <c r="M31" t="str">
        <f>Table1[[#This Row],[OverTime]]</f>
        <v>No</v>
      </c>
      <c r="N31">
        <f>Table1[[#This Row],[WorkLifeBalance]]</f>
        <v>2</v>
      </c>
      <c r="O31" t="str" cm="1">
        <f t="array" ref="O31">_xlfn.IFS(A31&lt;=30,"18-30",A31&lt;=40,"31-40",A31&lt;=50,"41-50",A31&gt;50,"51+")</f>
        <v>41-50</v>
      </c>
      <c r="P31" t="str" cm="1">
        <f t="array" ref="P31">_xlfn.IFS(F31&lt;=45,"45 or below",F31&lt;= 60,"46-60",F31&lt;=75,"61-75",F31&lt;=90,"76-90",F31&gt;90,"91 or above")</f>
        <v>76-90</v>
      </c>
      <c r="Q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1" t="str" cm="1">
        <f t="array" ref="R31" xml:space="preserve"> _xlfn.IFS(Table3[[#This Row],[Flight Risk Score]] = "NA","NA",Table3[[#This Row],[Flight Risk Score]] &gt;= 70,"High Risk",Table3[[#This Row],[Flight Risk Score]] &gt;= 50, "Medium Risk", Table3[[#This Row],[Flight Risk Score]] &gt;= 30,"Low Risk",Table3[[#This Row],[Flight Risk Score]] &lt; 30,"Very Low Risk")</f>
        <v>Low Risk</v>
      </c>
    </row>
    <row r="32" spans="1:18" x14ac:dyDescent="0.2">
      <c r="A32">
        <f>Table1[[#This Row],[Age]]</f>
        <v>33</v>
      </c>
      <c r="B32">
        <f>IF(Table3[[#This Row],[Attrition]] = "Yes", 1,0)</f>
        <v>0</v>
      </c>
      <c r="C32" t="str">
        <f>Table1[[#This Row],[Attrition]]</f>
        <v>No</v>
      </c>
      <c r="D32" t="str">
        <f>Table1[[#This Row],[Department]]</f>
        <v>Research &amp; Development</v>
      </c>
      <c r="E32">
        <f>Table1[[#This Row],[EnvironmentSatisfaction]]</f>
        <v>3</v>
      </c>
      <c r="F32">
        <f>Table1[[#This Row],[HourlyRate]]</f>
        <v>78</v>
      </c>
      <c r="G32" t="str">
        <f>Table1[[#This Row],[JobRole]]</f>
        <v>Laboratory Technician</v>
      </c>
      <c r="H32">
        <f>Table1[[#This Row],[JobSatisfaction]]</f>
        <v>4</v>
      </c>
      <c r="I32">
        <f>Table1[[#This Row],[YearsAtCompany]]</f>
        <v>1</v>
      </c>
      <c r="J32">
        <f>Table1[[#This Row],[YearsSinceLastPromotion]]</f>
        <v>0</v>
      </c>
      <c r="K32">
        <f>Table1[[#This Row],[EmployeeNumber]]</f>
        <v>39</v>
      </c>
      <c r="L32">
        <f>Table1[[#This Row],[DistanceFromHome]]</f>
        <v>2</v>
      </c>
      <c r="M32" t="str">
        <f>Table1[[#This Row],[OverTime]]</f>
        <v>No</v>
      </c>
      <c r="N32">
        <f>Table1[[#This Row],[WorkLifeBalance]]</f>
        <v>3</v>
      </c>
      <c r="O32" t="str" cm="1">
        <f t="array" ref="O32">_xlfn.IFS(A32&lt;=30,"18-30",A32&lt;=40,"31-40",A32&lt;=50,"41-50",A32&gt;50,"51+")</f>
        <v>31-40</v>
      </c>
      <c r="P32" t="str" cm="1">
        <f t="array" ref="P32">_xlfn.IFS(F32&lt;=45,"45 or below",F32&lt;= 60,"46-60",F32&lt;=75,"61-75",F32&lt;=90,"76-90",F32&gt;90,"91 or above")</f>
        <v>76-90</v>
      </c>
      <c r="Q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2" t="str" cm="1">
        <f t="array" ref="R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 spans="1:18" x14ac:dyDescent="0.2">
      <c r="A33">
        <f>Table1[[#This Row],[Age]]</f>
        <v>44</v>
      </c>
      <c r="B33">
        <f>IF(Table3[[#This Row],[Attrition]] = "Yes", 1,0)</f>
        <v>0</v>
      </c>
      <c r="C33" t="str">
        <f>Table1[[#This Row],[Attrition]]</f>
        <v>No</v>
      </c>
      <c r="D33" t="str">
        <f>Table1[[#This Row],[Department]]</f>
        <v>Research &amp; Development</v>
      </c>
      <c r="E33">
        <f>Table1[[#This Row],[EnvironmentSatisfaction]]</f>
        <v>4</v>
      </c>
      <c r="F33">
        <f>Table1[[#This Row],[HourlyRate]]</f>
        <v>41</v>
      </c>
      <c r="G33" t="str">
        <f>Table1[[#This Row],[JobRole]]</f>
        <v>Healthcare Representative</v>
      </c>
      <c r="H33">
        <f>Table1[[#This Row],[JobSatisfaction]]</f>
        <v>4</v>
      </c>
      <c r="I33">
        <f>Table1[[#This Row],[YearsAtCompany]]</f>
        <v>4</v>
      </c>
      <c r="J33">
        <f>Table1[[#This Row],[YearsSinceLastPromotion]]</f>
        <v>1</v>
      </c>
      <c r="K33">
        <f>Table1[[#This Row],[EmployeeNumber]]</f>
        <v>40</v>
      </c>
      <c r="L33">
        <f>Table1[[#This Row],[DistanceFromHome]]</f>
        <v>10</v>
      </c>
      <c r="M33" t="str">
        <f>Table1[[#This Row],[OverTime]]</f>
        <v>Yes</v>
      </c>
      <c r="N33">
        <f>Table1[[#This Row],[WorkLifeBalance]]</f>
        <v>4</v>
      </c>
      <c r="O33" t="str" cm="1">
        <f t="array" ref="O33">_xlfn.IFS(A33&lt;=30,"18-30",A33&lt;=40,"31-40",A33&lt;=50,"41-50",A33&gt;50,"51+")</f>
        <v>41-50</v>
      </c>
      <c r="P33" t="str" cm="1">
        <f t="array" ref="P33">_xlfn.IFS(F33&lt;=45,"45 or below",F33&lt;= 60,"46-60",F33&lt;=75,"61-75",F33&lt;=90,"76-90",F33&gt;90,"91 or above")</f>
        <v>45 or below</v>
      </c>
      <c r="Q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3" t="str" cm="1">
        <f t="array" ref="R33" xml:space="preserve"> _xlfn.IFS(Table3[[#This Row],[Flight Risk Score]] = "NA","NA",Table3[[#This Row],[Flight Risk Score]] &gt;= 70,"High Risk",Table3[[#This Row],[Flight Risk Score]] &gt;= 50, "Medium Risk", Table3[[#This Row],[Flight Risk Score]] &gt;= 30,"Low Risk",Table3[[#This Row],[Flight Risk Score]] &lt; 30,"Very Low Risk")</f>
        <v>Low Risk</v>
      </c>
    </row>
    <row r="34" spans="1:18" x14ac:dyDescent="0.2">
      <c r="A34">
        <f>Table1[[#This Row],[Age]]</f>
        <v>30</v>
      </c>
      <c r="B34">
        <f>IF(Table3[[#This Row],[Attrition]] = "Yes", 1,0)</f>
        <v>0</v>
      </c>
      <c r="C34" t="str">
        <f>Table1[[#This Row],[Attrition]]</f>
        <v>No</v>
      </c>
      <c r="D34" t="str">
        <f>Table1[[#This Row],[Department]]</f>
        <v>Research &amp; Development</v>
      </c>
      <c r="E34">
        <f>Table1[[#This Row],[EnvironmentSatisfaction]]</f>
        <v>4</v>
      </c>
      <c r="F34">
        <f>Table1[[#This Row],[HourlyRate]]</f>
        <v>83</v>
      </c>
      <c r="G34" t="str">
        <f>Table1[[#This Row],[JobRole]]</f>
        <v>Laboratory Technician</v>
      </c>
      <c r="H34">
        <f>Table1[[#This Row],[JobSatisfaction]]</f>
        <v>3</v>
      </c>
      <c r="I34">
        <f>Table1[[#This Row],[YearsAtCompany]]</f>
        <v>10</v>
      </c>
      <c r="J34">
        <f>Table1[[#This Row],[YearsSinceLastPromotion]]</f>
        <v>1</v>
      </c>
      <c r="K34">
        <f>Table1[[#This Row],[EmployeeNumber]]</f>
        <v>41</v>
      </c>
      <c r="L34">
        <f>Table1[[#This Row],[DistanceFromHome]]</f>
        <v>9</v>
      </c>
      <c r="M34" t="str">
        <f>Table1[[#This Row],[OverTime]]</f>
        <v>No</v>
      </c>
      <c r="N34">
        <f>Table1[[#This Row],[WorkLifeBalance]]</f>
        <v>3</v>
      </c>
      <c r="O34" t="str" cm="1">
        <f t="array" ref="O34">_xlfn.IFS(A34&lt;=30,"18-30",A34&lt;=40,"31-40",A34&lt;=50,"41-50",A34&gt;50,"51+")</f>
        <v>18-30</v>
      </c>
      <c r="P34" t="str" cm="1">
        <f t="array" ref="P34">_xlfn.IFS(F34&lt;=45,"45 or below",F34&lt;= 60,"46-60",F34&lt;=75,"61-75",F34&lt;=90,"76-90",F34&gt;90,"91 or above")</f>
        <v>76-90</v>
      </c>
      <c r="Q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4" t="str" cm="1">
        <f t="array" ref="R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 spans="1:18" hidden="1" x14ac:dyDescent="0.2">
      <c r="A35">
        <f>Table1[[#This Row],[Age]]</f>
        <v>39</v>
      </c>
      <c r="B35">
        <f>IF(Table3[[#This Row],[Attrition]] = "Yes", 1,0)</f>
        <v>1</v>
      </c>
      <c r="C35" t="str">
        <f>Table1[[#This Row],[Attrition]]</f>
        <v>Yes</v>
      </c>
      <c r="D35" t="str">
        <f>Table1[[#This Row],[Department]]</f>
        <v>Sales</v>
      </c>
      <c r="E35">
        <f>Table1[[#This Row],[EnvironmentSatisfaction]]</f>
        <v>4</v>
      </c>
      <c r="F35">
        <f>Table1[[#This Row],[HourlyRate]]</f>
        <v>56</v>
      </c>
      <c r="G35" t="str">
        <f>Table1[[#This Row],[JobRole]]</f>
        <v>Sales Representative</v>
      </c>
      <c r="H35">
        <f>Table1[[#This Row],[JobSatisfaction]]</f>
        <v>4</v>
      </c>
      <c r="I35">
        <f>Table1[[#This Row],[YearsAtCompany]]</f>
        <v>1</v>
      </c>
      <c r="J35">
        <f>Table1[[#This Row],[YearsSinceLastPromotion]]</f>
        <v>0</v>
      </c>
      <c r="K35">
        <f>Table1[[#This Row],[EmployeeNumber]]</f>
        <v>42</v>
      </c>
      <c r="L35">
        <f>Table1[[#This Row],[DistanceFromHome]]</f>
        <v>5</v>
      </c>
      <c r="M35" t="str">
        <f>Table1[[#This Row],[OverTime]]</f>
        <v>No</v>
      </c>
      <c r="N35">
        <f>Table1[[#This Row],[WorkLifeBalance]]</f>
        <v>4</v>
      </c>
      <c r="O35" t="str" cm="1">
        <f t="array" ref="O35">_xlfn.IFS(A35&lt;=30,"18-30",A35&lt;=40,"31-40",A35&lt;=50,"41-50",A35&gt;50,"51+")</f>
        <v>31-40</v>
      </c>
      <c r="P35" t="str" cm="1">
        <f t="array" ref="P35">_xlfn.IFS(F35&lt;=45,"45 or below",F35&lt;= 60,"46-60",F35&lt;=75,"61-75",F35&lt;=90,"76-90",F35&gt;90,"91 or above")</f>
        <v>46-60</v>
      </c>
      <c r="Q3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5" t="str" cm="1">
        <f t="array" ref="R35" xml:space="preserve"> _xlfn.IFS(Table3[[#This Row],[Flight Risk Score]] = "NA","NA",Table3[[#This Row],[Flight Risk Score]] &gt;= 70,"High Risk",Table3[[#This Row],[Flight Risk Score]] &gt;= 50, "Medium Risk", Table3[[#This Row],[Flight Risk Score]] &gt;= 30,"Low Risk",Table3[[#This Row],[Flight Risk Score]] &lt; 30,"Very Low Risk")</f>
        <v>NA</v>
      </c>
    </row>
    <row r="36" spans="1:18" hidden="1" x14ac:dyDescent="0.2">
      <c r="A36">
        <f>Table1[[#This Row],[Age]]</f>
        <v>24</v>
      </c>
      <c r="B36">
        <f>IF(Table3[[#This Row],[Attrition]] = "Yes", 1,0)</f>
        <v>1</v>
      </c>
      <c r="C36" t="str">
        <f>Table1[[#This Row],[Attrition]]</f>
        <v>Yes</v>
      </c>
      <c r="D36" t="str">
        <f>Table1[[#This Row],[Department]]</f>
        <v>Research &amp; Development</v>
      </c>
      <c r="E36">
        <f>Table1[[#This Row],[EnvironmentSatisfaction]]</f>
        <v>2</v>
      </c>
      <c r="F36">
        <f>Table1[[#This Row],[HourlyRate]]</f>
        <v>61</v>
      </c>
      <c r="G36" t="str">
        <f>Table1[[#This Row],[JobRole]]</f>
        <v>Research Scientist</v>
      </c>
      <c r="H36">
        <f>Table1[[#This Row],[JobSatisfaction]]</f>
        <v>4</v>
      </c>
      <c r="I36">
        <f>Table1[[#This Row],[YearsAtCompany]]</f>
        <v>2</v>
      </c>
      <c r="J36">
        <f>Table1[[#This Row],[YearsSinceLastPromotion]]</f>
        <v>2</v>
      </c>
      <c r="K36">
        <f>Table1[[#This Row],[EmployeeNumber]]</f>
        <v>45</v>
      </c>
      <c r="L36">
        <f>Table1[[#This Row],[DistanceFromHome]]</f>
        <v>1</v>
      </c>
      <c r="M36" t="str">
        <f>Table1[[#This Row],[OverTime]]</f>
        <v>Yes</v>
      </c>
      <c r="N36">
        <f>Table1[[#This Row],[WorkLifeBalance]]</f>
        <v>2</v>
      </c>
      <c r="O36" t="str" cm="1">
        <f t="array" ref="O36">_xlfn.IFS(A36&lt;=30,"18-30",A36&lt;=40,"31-40",A36&lt;=50,"41-50",A36&gt;50,"51+")</f>
        <v>18-30</v>
      </c>
      <c r="P36" t="str" cm="1">
        <f t="array" ref="P36">_xlfn.IFS(F36&lt;=45,"45 or below",F36&lt;= 60,"46-60",F36&lt;=75,"61-75",F36&lt;=90,"76-90",F36&gt;90,"91 or above")</f>
        <v>61-75</v>
      </c>
      <c r="Q3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6" t="str" cm="1">
        <f t="array" ref="R36" xml:space="preserve"> _xlfn.IFS(Table3[[#This Row],[Flight Risk Score]] = "NA","NA",Table3[[#This Row],[Flight Risk Score]] &gt;= 70,"High Risk",Table3[[#This Row],[Flight Risk Score]] &gt;= 50, "Medium Risk", Table3[[#This Row],[Flight Risk Score]] &gt;= 30,"Low Risk",Table3[[#This Row],[Flight Risk Score]] &lt; 30,"Very Low Risk")</f>
        <v>NA</v>
      </c>
    </row>
    <row r="37" spans="1:18" x14ac:dyDescent="0.2">
      <c r="A37">
        <f>Table1[[#This Row],[Age]]</f>
        <v>43</v>
      </c>
      <c r="B37">
        <f>IF(Table3[[#This Row],[Attrition]] = "Yes", 1,0)</f>
        <v>0</v>
      </c>
      <c r="C37" t="str">
        <f>Table1[[#This Row],[Attrition]]</f>
        <v>No</v>
      </c>
      <c r="D37" t="str">
        <f>Table1[[#This Row],[Department]]</f>
        <v>Research &amp; Development</v>
      </c>
      <c r="E37">
        <f>Table1[[#This Row],[EnvironmentSatisfaction]]</f>
        <v>4</v>
      </c>
      <c r="F37">
        <f>Table1[[#This Row],[HourlyRate]]</f>
        <v>72</v>
      </c>
      <c r="G37" t="str">
        <f>Table1[[#This Row],[JobRole]]</f>
        <v>Research Scientist</v>
      </c>
      <c r="H37">
        <f>Table1[[#This Row],[JobSatisfaction]]</f>
        <v>3</v>
      </c>
      <c r="I37">
        <f>Table1[[#This Row],[YearsAtCompany]]</f>
        <v>5</v>
      </c>
      <c r="J37">
        <f>Table1[[#This Row],[YearsSinceLastPromotion]]</f>
        <v>1</v>
      </c>
      <c r="K37">
        <f>Table1[[#This Row],[EmployeeNumber]]</f>
        <v>46</v>
      </c>
      <c r="L37">
        <f>Table1[[#This Row],[DistanceFromHome]]</f>
        <v>2</v>
      </c>
      <c r="M37" t="str">
        <f>Table1[[#This Row],[OverTime]]</f>
        <v>No</v>
      </c>
      <c r="N37">
        <f>Table1[[#This Row],[WorkLifeBalance]]</f>
        <v>2</v>
      </c>
      <c r="O37" t="str" cm="1">
        <f t="array" ref="O37">_xlfn.IFS(A37&lt;=30,"18-30",A37&lt;=40,"31-40",A37&lt;=50,"41-50",A37&gt;50,"51+")</f>
        <v>41-50</v>
      </c>
      <c r="P37" t="str" cm="1">
        <f t="array" ref="P37">_xlfn.IFS(F37&lt;=45,"45 or below",F37&lt;= 60,"46-60",F37&lt;=75,"61-75",F37&lt;=90,"76-90",F37&gt;90,"91 or above")</f>
        <v>61-75</v>
      </c>
      <c r="Q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7" t="str" cm="1">
        <f t="array" ref="R3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8" spans="1:18" hidden="1" x14ac:dyDescent="0.2">
      <c r="A38">
        <f>Table1[[#This Row],[Age]]</f>
        <v>50</v>
      </c>
      <c r="B38">
        <f>IF(Table3[[#This Row],[Attrition]] = "Yes", 1,0)</f>
        <v>1</v>
      </c>
      <c r="C38" t="str">
        <f>Table1[[#This Row],[Attrition]]</f>
        <v>Yes</v>
      </c>
      <c r="D38" t="str">
        <f>Table1[[#This Row],[Department]]</f>
        <v>Sales</v>
      </c>
      <c r="E38">
        <f>Table1[[#This Row],[EnvironmentSatisfaction]]</f>
        <v>1</v>
      </c>
      <c r="F38">
        <f>Table1[[#This Row],[HourlyRate]]</f>
        <v>86</v>
      </c>
      <c r="G38" t="str">
        <f>Table1[[#This Row],[JobRole]]</f>
        <v>Sales Representative</v>
      </c>
      <c r="H38">
        <f>Table1[[#This Row],[JobSatisfaction]]</f>
        <v>3</v>
      </c>
      <c r="I38">
        <f>Table1[[#This Row],[YearsAtCompany]]</f>
        <v>3</v>
      </c>
      <c r="J38">
        <f>Table1[[#This Row],[YearsSinceLastPromotion]]</f>
        <v>0</v>
      </c>
      <c r="K38">
        <f>Table1[[#This Row],[EmployeeNumber]]</f>
        <v>47</v>
      </c>
      <c r="L38">
        <f>Table1[[#This Row],[DistanceFromHome]]</f>
        <v>3</v>
      </c>
      <c r="M38" t="str">
        <f>Table1[[#This Row],[OverTime]]</f>
        <v>Yes</v>
      </c>
      <c r="N38">
        <f>Table1[[#This Row],[WorkLifeBalance]]</f>
        <v>3</v>
      </c>
      <c r="O38" t="str" cm="1">
        <f t="array" ref="O38">_xlfn.IFS(A38&lt;=30,"18-30",A38&lt;=40,"31-40",A38&lt;=50,"41-50",A38&gt;50,"51+")</f>
        <v>41-50</v>
      </c>
      <c r="P38" t="str" cm="1">
        <f t="array" ref="P38">_xlfn.IFS(F38&lt;=45,"45 or below",F38&lt;= 60,"46-60",F38&lt;=75,"61-75",F38&lt;=90,"76-90",F38&gt;90,"91 or above")</f>
        <v>76-90</v>
      </c>
      <c r="Q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8" t="str" cm="1">
        <f t="array" ref="R38" xml:space="preserve"> _xlfn.IFS(Table3[[#This Row],[Flight Risk Score]] = "NA","NA",Table3[[#This Row],[Flight Risk Score]] &gt;= 70,"High Risk",Table3[[#This Row],[Flight Risk Score]] &gt;= 50, "Medium Risk", Table3[[#This Row],[Flight Risk Score]] &gt;= 30,"Low Risk",Table3[[#This Row],[Flight Risk Score]] &lt; 30,"Very Low Risk")</f>
        <v>NA</v>
      </c>
    </row>
    <row r="39" spans="1:18" x14ac:dyDescent="0.2">
      <c r="A39">
        <f>Table1[[#This Row],[Age]]</f>
        <v>35</v>
      </c>
      <c r="B39">
        <f>IF(Table3[[#This Row],[Attrition]] = "Yes", 1,0)</f>
        <v>0</v>
      </c>
      <c r="C39" t="str">
        <f>Table1[[#This Row],[Attrition]]</f>
        <v>No</v>
      </c>
      <c r="D39" t="str">
        <f>Table1[[#This Row],[Department]]</f>
        <v>Sales</v>
      </c>
      <c r="E39">
        <f>Table1[[#This Row],[EnvironmentSatisfaction]]</f>
        <v>4</v>
      </c>
      <c r="F39">
        <f>Table1[[#This Row],[HourlyRate]]</f>
        <v>97</v>
      </c>
      <c r="G39" t="str">
        <f>Table1[[#This Row],[JobRole]]</f>
        <v>Sales Representative</v>
      </c>
      <c r="H39">
        <f>Table1[[#This Row],[JobSatisfaction]]</f>
        <v>4</v>
      </c>
      <c r="I39">
        <f>Table1[[#This Row],[YearsAtCompany]]</f>
        <v>2</v>
      </c>
      <c r="J39">
        <f>Table1[[#This Row],[YearsSinceLastPromotion]]</f>
        <v>2</v>
      </c>
      <c r="K39">
        <f>Table1[[#This Row],[EmployeeNumber]]</f>
        <v>49</v>
      </c>
      <c r="L39">
        <f>Table1[[#This Row],[DistanceFromHome]]</f>
        <v>2</v>
      </c>
      <c r="M39" t="str">
        <f>Table1[[#This Row],[OverTime]]</f>
        <v>No</v>
      </c>
      <c r="N39">
        <f>Table1[[#This Row],[WorkLifeBalance]]</f>
        <v>3</v>
      </c>
      <c r="O39" t="str" cm="1">
        <f t="array" ref="O39">_xlfn.IFS(A39&lt;=30,"18-30",A39&lt;=40,"31-40",A39&lt;=50,"41-50",A39&gt;50,"51+")</f>
        <v>31-40</v>
      </c>
      <c r="P39" t="str" cm="1">
        <f t="array" ref="P39">_xlfn.IFS(F39&lt;=45,"45 or below",F39&lt;= 60,"46-60",F39&lt;=75,"61-75",F39&lt;=90,"76-90",F39&gt;90,"91 or above")</f>
        <v>91 or above</v>
      </c>
      <c r="Q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9" t="str" cm="1">
        <f t="array" ref="R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0" spans="1:18" x14ac:dyDescent="0.2">
      <c r="A40">
        <f>Table1[[#This Row],[Age]]</f>
        <v>36</v>
      </c>
      <c r="B40">
        <f>IF(Table3[[#This Row],[Attrition]] = "Yes", 1,0)</f>
        <v>0</v>
      </c>
      <c r="C40" t="str">
        <f>Table1[[#This Row],[Attrition]]</f>
        <v>No</v>
      </c>
      <c r="D40" t="str">
        <f>Table1[[#This Row],[Department]]</f>
        <v>Research &amp; Development</v>
      </c>
      <c r="E40">
        <f>Table1[[#This Row],[EnvironmentSatisfaction]]</f>
        <v>2</v>
      </c>
      <c r="F40">
        <f>Table1[[#This Row],[HourlyRate]]</f>
        <v>82</v>
      </c>
      <c r="G40" t="str">
        <f>Table1[[#This Row],[JobRole]]</f>
        <v>Research Scientist</v>
      </c>
      <c r="H40">
        <f>Table1[[#This Row],[JobSatisfaction]]</f>
        <v>1</v>
      </c>
      <c r="I40">
        <f>Table1[[#This Row],[YearsAtCompany]]</f>
        <v>1</v>
      </c>
      <c r="J40">
        <f>Table1[[#This Row],[YearsSinceLastPromotion]]</f>
        <v>0</v>
      </c>
      <c r="K40">
        <f>Table1[[#This Row],[EmployeeNumber]]</f>
        <v>51</v>
      </c>
      <c r="L40">
        <f>Table1[[#This Row],[DistanceFromHome]]</f>
        <v>5</v>
      </c>
      <c r="M40" t="str">
        <f>Table1[[#This Row],[OverTime]]</f>
        <v>Yes</v>
      </c>
      <c r="N40">
        <f>Table1[[#This Row],[WorkLifeBalance]]</f>
        <v>4</v>
      </c>
      <c r="O40" t="str" cm="1">
        <f t="array" ref="O40">_xlfn.IFS(A40&lt;=30,"18-30",A40&lt;=40,"31-40",A40&lt;=50,"41-50",A40&gt;50,"51+")</f>
        <v>31-40</v>
      </c>
      <c r="P40" t="str" cm="1">
        <f t="array" ref="P40">_xlfn.IFS(F40&lt;=45,"45 or below",F40&lt;= 60,"46-60",F40&lt;=75,"61-75",F40&lt;=90,"76-90",F40&gt;90,"91 or above")</f>
        <v>76-90</v>
      </c>
      <c r="Q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40" t="str" cm="1">
        <f t="array" ref="R4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1" spans="1:18" x14ac:dyDescent="0.2">
      <c r="A41">
        <f>Table1[[#This Row],[Age]]</f>
        <v>33</v>
      </c>
      <c r="B41">
        <f>IF(Table3[[#This Row],[Attrition]] = "Yes", 1,0)</f>
        <v>0</v>
      </c>
      <c r="C41" t="str">
        <f>Table1[[#This Row],[Attrition]]</f>
        <v>No</v>
      </c>
      <c r="D41" t="str">
        <f>Table1[[#This Row],[Department]]</f>
        <v>Sales</v>
      </c>
      <c r="E41">
        <f>Table1[[#This Row],[EnvironmentSatisfaction]]</f>
        <v>3</v>
      </c>
      <c r="F41">
        <f>Table1[[#This Row],[HourlyRate]]</f>
        <v>42</v>
      </c>
      <c r="G41" t="str">
        <f>Table1[[#This Row],[JobRole]]</f>
        <v>Sales Executive</v>
      </c>
      <c r="H41">
        <f>Table1[[#This Row],[JobSatisfaction]]</f>
        <v>1</v>
      </c>
      <c r="I41">
        <f>Table1[[#This Row],[YearsAtCompany]]</f>
        <v>5</v>
      </c>
      <c r="J41">
        <f>Table1[[#This Row],[YearsSinceLastPromotion]]</f>
        <v>1</v>
      </c>
      <c r="K41">
        <f>Table1[[#This Row],[EmployeeNumber]]</f>
        <v>52</v>
      </c>
      <c r="L41">
        <f>Table1[[#This Row],[DistanceFromHome]]</f>
        <v>1</v>
      </c>
      <c r="M41" t="str">
        <f>Table1[[#This Row],[OverTime]]</f>
        <v>No</v>
      </c>
      <c r="N41">
        <f>Table1[[#This Row],[WorkLifeBalance]]</f>
        <v>3</v>
      </c>
      <c r="O41" t="str" cm="1">
        <f t="array" ref="O41">_xlfn.IFS(A41&lt;=30,"18-30",A41&lt;=40,"31-40",A41&lt;=50,"41-50",A41&gt;50,"51+")</f>
        <v>31-40</v>
      </c>
      <c r="P41" t="str" cm="1">
        <f t="array" ref="P41">_xlfn.IFS(F41&lt;=45,"45 or below",F41&lt;= 60,"46-60",F41&lt;=75,"61-75",F41&lt;=90,"76-90",F41&gt;90,"91 or above")</f>
        <v>45 or below</v>
      </c>
      <c r="Q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1" t="str" cm="1">
        <f t="array" ref="R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 spans="1:18" x14ac:dyDescent="0.2">
      <c r="A42">
        <f>Table1[[#This Row],[Age]]</f>
        <v>35</v>
      </c>
      <c r="B42">
        <f>IF(Table3[[#This Row],[Attrition]] = "Yes", 1,0)</f>
        <v>0</v>
      </c>
      <c r="C42" t="str">
        <f>Table1[[#This Row],[Attrition]]</f>
        <v>No</v>
      </c>
      <c r="D42" t="str">
        <f>Table1[[#This Row],[Department]]</f>
        <v>Research &amp; Development</v>
      </c>
      <c r="E42">
        <f>Table1[[#This Row],[EnvironmentSatisfaction]]</f>
        <v>3</v>
      </c>
      <c r="F42">
        <f>Table1[[#This Row],[HourlyRate]]</f>
        <v>75</v>
      </c>
      <c r="G42" t="str">
        <f>Table1[[#This Row],[JobRole]]</f>
        <v>Laboratory Technician</v>
      </c>
      <c r="H42">
        <f>Table1[[#This Row],[JobSatisfaction]]</f>
        <v>4</v>
      </c>
      <c r="I42">
        <f>Table1[[#This Row],[YearsAtCompany]]</f>
        <v>1</v>
      </c>
      <c r="J42">
        <f>Table1[[#This Row],[YearsSinceLastPromotion]]</f>
        <v>0</v>
      </c>
      <c r="K42">
        <f>Table1[[#This Row],[EmployeeNumber]]</f>
        <v>53</v>
      </c>
      <c r="L42">
        <f>Table1[[#This Row],[DistanceFromHome]]</f>
        <v>4</v>
      </c>
      <c r="M42" t="str">
        <f>Table1[[#This Row],[OverTime]]</f>
        <v>No</v>
      </c>
      <c r="N42">
        <f>Table1[[#This Row],[WorkLifeBalance]]</f>
        <v>3</v>
      </c>
      <c r="O42" t="str" cm="1">
        <f t="array" ref="O42">_xlfn.IFS(A42&lt;=30,"18-30",A42&lt;=40,"31-40",A42&lt;=50,"41-50",A42&gt;50,"51+")</f>
        <v>31-40</v>
      </c>
      <c r="P42" t="str" cm="1">
        <f t="array" ref="P42">_xlfn.IFS(F42&lt;=45,"45 or below",F42&lt;= 60,"46-60",F42&lt;=75,"61-75",F42&lt;=90,"76-90",F42&gt;90,"91 or above")</f>
        <v>61-75</v>
      </c>
      <c r="Q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2" t="str" cm="1">
        <f t="array" ref="R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 spans="1:18" x14ac:dyDescent="0.2">
      <c r="A43">
        <f>Table1[[#This Row],[Age]]</f>
        <v>27</v>
      </c>
      <c r="B43">
        <f>IF(Table3[[#This Row],[Attrition]] = "Yes", 1,0)</f>
        <v>0</v>
      </c>
      <c r="C43" t="str">
        <f>Table1[[#This Row],[Attrition]]</f>
        <v>No</v>
      </c>
      <c r="D43" t="str">
        <f>Table1[[#This Row],[Department]]</f>
        <v>Research &amp; Development</v>
      </c>
      <c r="E43">
        <f>Table1[[#This Row],[EnvironmentSatisfaction]]</f>
        <v>4</v>
      </c>
      <c r="F43">
        <f>Table1[[#This Row],[HourlyRate]]</f>
        <v>33</v>
      </c>
      <c r="G43" t="str">
        <f>Table1[[#This Row],[JobRole]]</f>
        <v>Laboratory Technician</v>
      </c>
      <c r="H43">
        <f>Table1[[#This Row],[JobSatisfaction]]</f>
        <v>1</v>
      </c>
      <c r="I43">
        <f>Table1[[#This Row],[YearsAtCompany]]</f>
        <v>1</v>
      </c>
      <c r="J43">
        <f>Table1[[#This Row],[YearsSinceLastPromotion]]</f>
        <v>0</v>
      </c>
      <c r="K43">
        <f>Table1[[#This Row],[EmployeeNumber]]</f>
        <v>54</v>
      </c>
      <c r="L43">
        <f>Table1[[#This Row],[DistanceFromHome]]</f>
        <v>2</v>
      </c>
      <c r="M43" t="str">
        <f>Table1[[#This Row],[OverTime]]</f>
        <v>No</v>
      </c>
      <c r="N43">
        <f>Table1[[#This Row],[WorkLifeBalance]]</f>
        <v>3</v>
      </c>
      <c r="O43" t="str" cm="1">
        <f t="array" ref="O43">_xlfn.IFS(A43&lt;=30,"18-30",A43&lt;=40,"31-40",A43&lt;=50,"41-50",A43&gt;50,"51+")</f>
        <v>18-30</v>
      </c>
      <c r="P43" t="str" cm="1">
        <f t="array" ref="P43">_xlfn.IFS(F43&lt;=45,"45 or below",F43&lt;= 60,"46-60",F43&lt;=75,"61-75",F43&lt;=90,"76-90",F43&gt;90,"91 or above")</f>
        <v>45 or below</v>
      </c>
      <c r="Q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3" t="str" cm="1">
        <f t="array" ref="R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4" spans="1:18" hidden="1" x14ac:dyDescent="0.2">
      <c r="A44">
        <f>Table1[[#This Row],[Age]]</f>
        <v>26</v>
      </c>
      <c r="B44">
        <f>IF(Table3[[#This Row],[Attrition]] = "Yes", 1,0)</f>
        <v>1</v>
      </c>
      <c r="C44" t="str">
        <f>Table1[[#This Row],[Attrition]]</f>
        <v>Yes</v>
      </c>
      <c r="D44" t="str">
        <f>Table1[[#This Row],[Department]]</f>
        <v>Research &amp; Development</v>
      </c>
      <c r="E44">
        <f>Table1[[#This Row],[EnvironmentSatisfaction]]</f>
        <v>1</v>
      </c>
      <c r="F44">
        <f>Table1[[#This Row],[HourlyRate]]</f>
        <v>48</v>
      </c>
      <c r="G44" t="str">
        <f>Table1[[#This Row],[JobRole]]</f>
        <v>Laboratory Technician</v>
      </c>
      <c r="H44">
        <f>Table1[[#This Row],[JobSatisfaction]]</f>
        <v>3</v>
      </c>
      <c r="I44">
        <f>Table1[[#This Row],[YearsAtCompany]]</f>
        <v>1</v>
      </c>
      <c r="J44">
        <f>Table1[[#This Row],[YearsSinceLastPromotion]]</f>
        <v>0</v>
      </c>
      <c r="K44">
        <f>Table1[[#This Row],[EmployeeNumber]]</f>
        <v>55</v>
      </c>
      <c r="L44">
        <f>Table1[[#This Row],[DistanceFromHome]]</f>
        <v>25</v>
      </c>
      <c r="M44" t="str">
        <f>Table1[[#This Row],[OverTime]]</f>
        <v>No</v>
      </c>
      <c r="N44">
        <f>Table1[[#This Row],[WorkLifeBalance]]</f>
        <v>2</v>
      </c>
      <c r="O44" t="str" cm="1">
        <f t="array" ref="O44">_xlfn.IFS(A44&lt;=30,"18-30",A44&lt;=40,"31-40",A44&lt;=50,"41-50",A44&gt;50,"51+")</f>
        <v>18-30</v>
      </c>
      <c r="P44" t="str" cm="1">
        <f t="array" ref="P44">_xlfn.IFS(F44&lt;=45,"45 or below",F44&lt;= 60,"46-60",F44&lt;=75,"61-75",F44&lt;=90,"76-90",F44&gt;90,"91 or above")</f>
        <v>46-60</v>
      </c>
      <c r="Q4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4" t="str" cm="1">
        <f t="array" ref="R44" xml:space="preserve"> _xlfn.IFS(Table3[[#This Row],[Flight Risk Score]] = "NA","NA",Table3[[#This Row],[Flight Risk Score]] &gt;= 70,"High Risk",Table3[[#This Row],[Flight Risk Score]] &gt;= 50, "Medium Risk", Table3[[#This Row],[Flight Risk Score]] &gt;= 30,"Low Risk",Table3[[#This Row],[Flight Risk Score]] &lt; 30,"Very Low Risk")</f>
        <v>NA</v>
      </c>
    </row>
    <row r="45" spans="1:18" x14ac:dyDescent="0.2">
      <c r="A45">
        <f>Table1[[#This Row],[Age]]</f>
        <v>27</v>
      </c>
      <c r="B45">
        <f>IF(Table3[[#This Row],[Attrition]] = "Yes", 1,0)</f>
        <v>0</v>
      </c>
      <c r="C45" t="str">
        <f>Table1[[#This Row],[Attrition]]</f>
        <v>No</v>
      </c>
      <c r="D45" t="str">
        <f>Table1[[#This Row],[Department]]</f>
        <v>Sales</v>
      </c>
      <c r="E45">
        <f>Table1[[#This Row],[EnvironmentSatisfaction]]</f>
        <v>4</v>
      </c>
      <c r="F45">
        <f>Table1[[#This Row],[HourlyRate]]</f>
        <v>37</v>
      </c>
      <c r="G45" t="str">
        <f>Table1[[#This Row],[JobRole]]</f>
        <v>Sales Executive</v>
      </c>
      <c r="H45">
        <f>Table1[[#This Row],[JobSatisfaction]]</f>
        <v>3</v>
      </c>
      <c r="I45">
        <f>Table1[[#This Row],[YearsAtCompany]]</f>
        <v>9</v>
      </c>
      <c r="J45">
        <f>Table1[[#This Row],[YearsSinceLastPromotion]]</f>
        <v>1</v>
      </c>
      <c r="K45">
        <f>Table1[[#This Row],[EmployeeNumber]]</f>
        <v>56</v>
      </c>
      <c r="L45">
        <f>Table1[[#This Row],[DistanceFromHome]]</f>
        <v>8</v>
      </c>
      <c r="M45" t="str">
        <f>Table1[[#This Row],[OverTime]]</f>
        <v>No</v>
      </c>
      <c r="N45">
        <f>Table1[[#This Row],[WorkLifeBalance]]</f>
        <v>3</v>
      </c>
      <c r="O45" t="str" cm="1">
        <f t="array" ref="O45">_xlfn.IFS(A45&lt;=30,"18-30",A45&lt;=40,"31-40",A45&lt;=50,"41-50",A45&gt;50,"51+")</f>
        <v>18-30</v>
      </c>
      <c r="P45" t="str" cm="1">
        <f t="array" ref="P45">_xlfn.IFS(F45&lt;=45,"45 or below",F45&lt;= 60,"46-60",F45&lt;=75,"61-75",F45&lt;=90,"76-90",F45&gt;90,"91 or above")</f>
        <v>45 or below</v>
      </c>
      <c r="Q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5" t="str" cm="1">
        <f t="array" ref="R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 spans="1:18" x14ac:dyDescent="0.2">
      <c r="A46">
        <f>Table1[[#This Row],[Age]]</f>
        <v>30</v>
      </c>
      <c r="B46">
        <f>IF(Table3[[#This Row],[Attrition]] = "Yes", 1,0)</f>
        <v>0</v>
      </c>
      <c r="C46" t="str">
        <f>Table1[[#This Row],[Attrition]]</f>
        <v>No</v>
      </c>
      <c r="D46" t="str">
        <f>Table1[[#This Row],[Department]]</f>
        <v>Research &amp; Development</v>
      </c>
      <c r="E46">
        <f>Table1[[#This Row],[EnvironmentSatisfaction]]</f>
        <v>3</v>
      </c>
      <c r="F46">
        <f>Table1[[#This Row],[HourlyRate]]</f>
        <v>58</v>
      </c>
      <c r="G46" t="str">
        <f>Table1[[#This Row],[JobRole]]</f>
        <v>Laboratory Technician</v>
      </c>
      <c r="H46">
        <f>Table1[[#This Row],[JobSatisfaction]]</f>
        <v>4</v>
      </c>
      <c r="I46">
        <f>Table1[[#This Row],[YearsAtCompany]]</f>
        <v>12</v>
      </c>
      <c r="J46">
        <f>Table1[[#This Row],[YearsSinceLastPromotion]]</f>
        <v>3</v>
      </c>
      <c r="K46">
        <f>Table1[[#This Row],[EmployeeNumber]]</f>
        <v>57</v>
      </c>
      <c r="L46">
        <f>Table1[[#This Row],[DistanceFromHome]]</f>
        <v>1</v>
      </c>
      <c r="M46" t="str">
        <f>Table1[[#This Row],[OverTime]]</f>
        <v>No</v>
      </c>
      <c r="N46">
        <f>Table1[[#This Row],[WorkLifeBalance]]</f>
        <v>3</v>
      </c>
      <c r="O46" t="str" cm="1">
        <f t="array" ref="O46">_xlfn.IFS(A46&lt;=30,"18-30",A46&lt;=40,"31-40",A46&lt;=50,"41-50",A46&gt;50,"51+")</f>
        <v>18-30</v>
      </c>
      <c r="P46" t="str" cm="1">
        <f t="array" ref="P46">_xlfn.IFS(F46&lt;=45,"45 or below",F46&lt;= 60,"46-60",F46&lt;=75,"61-75",F46&lt;=90,"76-90",F46&gt;90,"91 or above")</f>
        <v>46-60</v>
      </c>
      <c r="Q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6" t="str" cm="1">
        <f t="array" ref="R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7" spans="1:18" hidden="1" x14ac:dyDescent="0.2">
      <c r="A47">
        <f>Table1[[#This Row],[Age]]</f>
        <v>41</v>
      </c>
      <c r="B47">
        <f>IF(Table3[[#This Row],[Attrition]] = "Yes", 1,0)</f>
        <v>1</v>
      </c>
      <c r="C47" t="str">
        <f>Table1[[#This Row],[Attrition]]</f>
        <v>Yes</v>
      </c>
      <c r="D47" t="str">
        <f>Table1[[#This Row],[Department]]</f>
        <v>Research &amp; Development</v>
      </c>
      <c r="E47">
        <f>Table1[[#This Row],[EnvironmentSatisfaction]]</f>
        <v>2</v>
      </c>
      <c r="F47">
        <f>Table1[[#This Row],[HourlyRate]]</f>
        <v>49</v>
      </c>
      <c r="G47" t="str">
        <f>Table1[[#This Row],[JobRole]]</f>
        <v>Research Director</v>
      </c>
      <c r="H47">
        <f>Table1[[#This Row],[JobSatisfaction]]</f>
        <v>3</v>
      </c>
      <c r="I47">
        <f>Table1[[#This Row],[YearsAtCompany]]</f>
        <v>22</v>
      </c>
      <c r="J47">
        <f>Table1[[#This Row],[YearsSinceLastPromotion]]</f>
        <v>15</v>
      </c>
      <c r="K47">
        <f>Table1[[#This Row],[EmployeeNumber]]</f>
        <v>58</v>
      </c>
      <c r="L47">
        <f>Table1[[#This Row],[DistanceFromHome]]</f>
        <v>12</v>
      </c>
      <c r="M47" t="str">
        <f>Table1[[#This Row],[OverTime]]</f>
        <v>No</v>
      </c>
      <c r="N47">
        <f>Table1[[#This Row],[WorkLifeBalance]]</f>
        <v>3</v>
      </c>
      <c r="O47" t="str" cm="1">
        <f t="array" ref="O47">_xlfn.IFS(A47&lt;=30,"18-30",A47&lt;=40,"31-40",A47&lt;=50,"41-50",A47&gt;50,"51+")</f>
        <v>41-50</v>
      </c>
      <c r="P47" t="str" cm="1">
        <f t="array" ref="P47">_xlfn.IFS(F47&lt;=45,"45 or below",F47&lt;= 60,"46-60",F47&lt;=75,"61-75",F47&lt;=90,"76-90",F47&gt;90,"91 or above")</f>
        <v>46-60</v>
      </c>
      <c r="Q4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7" t="str" cm="1">
        <f t="array" ref="R47" xml:space="preserve"> _xlfn.IFS(Table3[[#This Row],[Flight Risk Score]] = "NA","NA",Table3[[#This Row],[Flight Risk Score]] &gt;= 70,"High Risk",Table3[[#This Row],[Flight Risk Score]] &gt;= 50, "Medium Risk", Table3[[#This Row],[Flight Risk Score]] &gt;= 30,"Low Risk",Table3[[#This Row],[Flight Risk Score]] &lt; 30,"Very Low Risk")</f>
        <v>NA</v>
      </c>
    </row>
    <row r="48" spans="1:18" x14ac:dyDescent="0.2">
      <c r="A48">
        <f>Table1[[#This Row],[Age]]</f>
        <v>34</v>
      </c>
      <c r="B48">
        <f>IF(Table3[[#This Row],[Attrition]] = "Yes", 1,0)</f>
        <v>0</v>
      </c>
      <c r="C48" t="str">
        <f>Table1[[#This Row],[Attrition]]</f>
        <v>No</v>
      </c>
      <c r="D48" t="str">
        <f>Table1[[#This Row],[Department]]</f>
        <v>Sales</v>
      </c>
      <c r="E48">
        <f>Table1[[#This Row],[EnvironmentSatisfaction]]</f>
        <v>2</v>
      </c>
      <c r="F48">
        <f>Table1[[#This Row],[HourlyRate]]</f>
        <v>72</v>
      </c>
      <c r="G48" t="str">
        <f>Table1[[#This Row],[JobRole]]</f>
        <v>Sales Executive</v>
      </c>
      <c r="H48">
        <f>Table1[[#This Row],[JobSatisfaction]]</f>
        <v>3</v>
      </c>
      <c r="I48">
        <f>Table1[[#This Row],[YearsAtCompany]]</f>
        <v>9</v>
      </c>
      <c r="J48">
        <f>Table1[[#This Row],[YearsSinceLastPromotion]]</f>
        <v>8</v>
      </c>
      <c r="K48">
        <f>Table1[[#This Row],[EmployeeNumber]]</f>
        <v>60</v>
      </c>
      <c r="L48">
        <f>Table1[[#This Row],[DistanceFromHome]]</f>
        <v>23</v>
      </c>
      <c r="M48" t="str">
        <f>Table1[[#This Row],[OverTime]]</f>
        <v>No</v>
      </c>
      <c r="N48">
        <f>Table1[[#This Row],[WorkLifeBalance]]</f>
        <v>3</v>
      </c>
      <c r="O48" t="str" cm="1">
        <f t="array" ref="O48">_xlfn.IFS(A48&lt;=30,"18-30",A48&lt;=40,"31-40",A48&lt;=50,"41-50",A48&gt;50,"51+")</f>
        <v>31-40</v>
      </c>
      <c r="P48" t="str" cm="1">
        <f t="array" ref="P48">_xlfn.IFS(F48&lt;=45,"45 or below",F48&lt;= 60,"46-60",F48&lt;=75,"61-75",F48&lt;=90,"76-90",F48&gt;90,"91 or above")</f>
        <v>61-75</v>
      </c>
      <c r="Q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8" t="str" cm="1">
        <f t="array" ref="R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9" spans="1:18" x14ac:dyDescent="0.2">
      <c r="A49">
        <f>Table1[[#This Row],[Age]]</f>
        <v>37</v>
      </c>
      <c r="B49">
        <f>IF(Table3[[#This Row],[Attrition]] = "Yes", 1,0)</f>
        <v>0</v>
      </c>
      <c r="C49" t="str">
        <f>Table1[[#This Row],[Attrition]]</f>
        <v>No</v>
      </c>
      <c r="D49" t="str">
        <f>Table1[[#This Row],[Department]]</f>
        <v>Research &amp; Development</v>
      </c>
      <c r="E49">
        <f>Table1[[#This Row],[EnvironmentSatisfaction]]</f>
        <v>2</v>
      </c>
      <c r="F49">
        <f>Table1[[#This Row],[HourlyRate]]</f>
        <v>73</v>
      </c>
      <c r="G49" t="str">
        <f>Table1[[#This Row],[JobRole]]</f>
        <v>Research Scientist</v>
      </c>
      <c r="H49">
        <f>Table1[[#This Row],[JobSatisfaction]]</f>
        <v>2</v>
      </c>
      <c r="I49">
        <f>Table1[[#This Row],[YearsAtCompany]]</f>
        <v>1</v>
      </c>
      <c r="J49">
        <f>Table1[[#This Row],[YearsSinceLastPromotion]]</f>
        <v>0</v>
      </c>
      <c r="K49">
        <f>Table1[[#This Row],[EmployeeNumber]]</f>
        <v>61</v>
      </c>
      <c r="L49">
        <f>Table1[[#This Row],[DistanceFromHome]]</f>
        <v>19</v>
      </c>
      <c r="M49" t="str">
        <f>Table1[[#This Row],[OverTime]]</f>
        <v>No</v>
      </c>
      <c r="N49">
        <f>Table1[[#This Row],[WorkLifeBalance]]</f>
        <v>3</v>
      </c>
      <c r="O49" t="str" cm="1">
        <f t="array" ref="O49">_xlfn.IFS(A49&lt;=30,"18-30",A49&lt;=40,"31-40",A49&lt;=50,"41-50",A49&gt;50,"51+")</f>
        <v>31-40</v>
      </c>
      <c r="P49" t="str" cm="1">
        <f t="array" ref="P49">_xlfn.IFS(F49&lt;=45,"45 or below",F49&lt;= 60,"46-60",F49&lt;=75,"61-75",F49&lt;=90,"76-90",F49&gt;90,"91 or above")</f>
        <v>61-75</v>
      </c>
      <c r="Q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9" t="str" cm="1">
        <f t="array" ref="R49" xml:space="preserve"> _xlfn.IFS(Table3[[#This Row],[Flight Risk Score]] = "NA","NA",Table3[[#This Row],[Flight Risk Score]] &gt;= 70,"High Risk",Table3[[#This Row],[Flight Risk Score]] &gt;= 50, "Medium Risk", Table3[[#This Row],[Flight Risk Score]] &gt;= 30,"Low Risk",Table3[[#This Row],[Flight Risk Score]] &lt; 30,"Very Low Risk")</f>
        <v>Low Risk</v>
      </c>
    </row>
    <row r="50" spans="1:18" x14ac:dyDescent="0.2">
      <c r="A50">
        <f>Table1[[#This Row],[Age]]</f>
        <v>46</v>
      </c>
      <c r="B50">
        <f>IF(Table3[[#This Row],[Attrition]] = "Yes", 1,0)</f>
        <v>0</v>
      </c>
      <c r="C50" t="str">
        <f>Table1[[#This Row],[Attrition]]</f>
        <v>No</v>
      </c>
      <c r="D50" t="str">
        <f>Table1[[#This Row],[Department]]</f>
        <v>Sales</v>
      </c>
      <c r="E50">
        <f>Table1[[#This Row],[EnvironmentSatisfaction]]</f>
        <v>1</v>
      </c>
      <c r="F50">
        <f>Table1[[#This Row],[HourlyRate]]</f>
        <v>98</v>
      </c>
      <c r="G50" t="str">
        <f>Table1[[#This Row],[JobRole]]</f>
        <v>Sales Executive</v>
      </c>
      <c r="H50">
        <f>Table1[[#This Row],[JobSatisfaction]]</f>
        <v>4</v>
      </c>
      <c r="I50">
        <f>Table1[[#This Row],[YearsAtCompany]]</f>
        <v>9</v>
      </c>
      <c r="J50">
        <f>Table1[[#This Row],[YearsSinceLastPromotion]]</f>
        <v>0</v>
      </c>
      <c r="K50">
        <f>Table1[[#This Row],[EmployeeNumber]]</f>
        <v>62</v>
      </c>
      <c r="L50">
        <f>Table1[[#This Row],[DistanceFromHome]]</f>
        <v>5</v>
      </c>
      <c r="M50" t="str">
        <f>Table1[[#This Row],[OverTime]]</f>
        <v>Yes</v>
      </c>
      <c r="N50">
        <f>Table1[[#This Row],[WorkLifeBalance]]</f>
        <v>3</v>
      </c>
      <c r="O50" t="str" cm="1">
        <f t="array" ref="O50">_xlfn.IFS(A50&lt;=30,"18-30",A50&lt;=40,"31-40",A50&lt;=50,"41-50",A50&gt;50,"51+")</f>
        <v>41-50</v>
      </c>
      <c r="P50" t="str" cm="1">
        <f t="array" ref="P50">_xlfn.IFS(F50&lt;=45,"45 or below",F50&lt;= 60,"46-60",F50&lt;=75,"61-75",F50&lt;=90,"76-90",F50&gt;90,"91 or above")</f>
        <v>91 or above</v>
      </c>
      <c r="Q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0" t="str" cm="1">
        <f t="array" ref="R5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1" spans="1:18" x14ac:dyDescent="0.2">
      <c r="A51">
        <f>Table1[[#This Row],[Age]]</f>
        <v>35</v>
      </c>
      <c r="B51">
        <f>IF(Table3[[#This Row],[Attrition]] = "Yes", 1,0)</f>
        <v>0</v>
      </c>
      <c r="C51" t="str">
        <f>Table1[[#This Row],[Attrition]]</f>
        <v>No</v>
      </c>
      <c r="D51" t="str">
        <f>Table1[[#This Row],[Department]]</f>
        <v>Research &amp; Development</v>
      </c>
      <c r="E51">
        <f>Table1[[#This Row],[EnvironmentSatisfaction]]</f>
        <v>4</v>
      </c>
      <c r="F51">
        <f>Table1[[#This Row],[HourlyRate]]</f>
        <v>36</v>
      </c>
      <c r="G51" t="str">
        <f>Table1[[#This Row],[JobRole]]</f>
        <v>Laboratory Technician</v>
      </c>
      <c r="H51">
        <f>Table1[[#This Row],[JobSatisfaction]]</f>
        <v>4</v>
      </c>
      <c r="I51">
        <f>Table1[[#This Row],[YearsAtCompany]]</f>
        <v>1</v>
      </c>
      <c r="J51">
        <f>Table1[[#This Row],[YearsSinceLastPromotion]]</f>
        <v>0</v>
      </c>
      <c r="K51">
        <f>Table1[[#This Row],[EmployeeNumber]]</f>
        <v>63</v>
      </c>
      <c r="L51">
        <f>Table1[[#This Row],[DistanceFromHome]]</f>
        <v>8</v>
      </c>
      <c r="M51" t="str">
        <f>Table1[[#This Row],[OverTime]]</f>
        <v>No</v>
      </c>
      <c r="N51">
        <f>Table1[[#This Row],[WorkLifeBalance]]</f>
        <v>3</v>
      </c>
      <c r="O51" t="str" cm="1">
        <f t="array" ref="O51">_xlfn.IFS(A51&lt;=30,"18-30",A51&lt;=40,"31-40",A51&lt;=50,"41-50",A51&gt;50,"51+")</f>
        <v>31-40</v>
      </c>
      <c r="P51" t="str" cm="1">
        <f t="array" ref="P51">_xlfn.IFS(F51&lt;=45,"45 or below",F51&lt;= 60,"46-60",F51&lt;=75,"61-75",F51&lt;=90,"76-90",F51&gt;90,"91 or above")</f>
        <v>45 or below</v>
      </c>
      <c r="Q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1" t="str" cm="1">
        <f t="array" ref="R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 spans="1:18" hidden="1" x14ac:dyDescent="0.2">
      <c r="A52">
        <f>Table1[[#This Row],[Age]]</f>
        <v>48</v>
      </c>
      <c r="B52">
        <f>IF(Table3[[#This Row],[Attrition]] = "Yes", 1,0)</f>
        <v>1</v>
      </c>
      <c r="C52" t="str">
        <f>Table1[[#This Row],[Attrition]]</f>
        <v>Yes</v>
      </c>
      <c r="D52" t="str">
        <f>Table1[[#This Row],[Department]]</f>
        <v>Research &amp; Development</v>
      </c>
      <c r="E52">
        <f>Table1[[#This Row],[EnvironmentSatisfaction]]</f>
        <v>1</v>
      </c>
      <c r="F52">
        <f>Table1[[#This Row],[HourlyRate]]</f>
        <v>98</v>
      </c>
      <c r="G52" t="str">
        <f>Table1[[#This Row],[JobRole]]</f>
        <v>Laboratory Technician</v>
      </c>
      <c r="H52">
        <f>Table1[[#This Row],[JobSatisfaction]]</f>
        <v>3</v>
      </c>
      <c r="I52">
        <f>Table1[[#This Row],[YearsAtCompany]]</f>
        <v>1</v>
      </c>
      <c r="J52">
        <f>Table1[[#This Row],[YearsSinceLastPromotion]]</f>
        <v>0</v>
      </c>
      <c r="K52">
        <f>Table1[[#This Row],[EmployeeNumber]]</f>
        <v>64</v>
      </c>
      <c r="L52">
        <f>Table1[[#This Row],[DistanceFromHome]]</f>
        <v>1</v>
      </c>
      <c r="M52" t="str">
        <f>Table1[[#This Row],[OverTime]]</f>
        <v>Yes</v>
      </c>
      <c r="N52">
        <f>Table1[[#This Row],[WorkLifeBalance]]</f>
        <v>3</v>
      </c>
      <c r="O52" t="str" cm="1">
        <f t="array" ref="O52">_xlfn.IFS(A52&lt;=30,"18-30",A52&lt;=40,"31-40",A52&lt;=50,"41-50",A52&gt;50,"51+")</f>
        <v>41-50</v>
      </c>
      <c r="P52" t="str" cm="1">
        <f t="array" ref="P52">_xlfn.IFS(F52&lt;=45,"45 or below",F52&lt;= 60,"46-60",F52&lt;=75,"61-75",F52&lt;=90,"76-90",F52&gt;90,"91 or above")</f>
        <v>91 or above</v>
      </c>
      <c r="Q5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2" t="str" cm="1">
        <f t="array" ref="R52" xml:space="preserve"> _xlfn.IFS(Table3[[#This Row],[Flight Risk Score]] = "NA","NA",Table3[[#This Row],[Flight Risk Score]] &gt;= 70,"High Risk",Table3[[#This Row],[Flight Risk Score]] &gt;= 50, "Medium Risk", Table3[[#This Row],[Flight Risk Score]] &gt;= 30,"Low Risk",Table3[[#This Row],[Flight Risk Score]] &lt; 30,"Very Low Risk")</f>
        <v>NA</v>
      </c>
    </row>
    <row r="53" spans="1:18" hidden="1" x14ac:dyDescent="0.2">
      <c r="A53">
        <f>Table1[[#This Row],[Age]]</f>
        <v>28</v>
      </c>
      <c r="B53">
        <f>IF(Table3[[#This Row],[Attrition]] = "Yes", 1,0)</f>
        <v>1</v>
      </c>
      <c r="C53" t="str">
        <f>Table1[[#This Row],[Attrition]]</f>
        <v>Yes</v>
      </c>
      <c r="D53" t="str">
        <f>Table1[[#This Row],[Department]]</f>
        <v>Research &amp; Development</v>
      </c>
      <c r="E53">
        <f>Table1[[#This Row],[EnvironmentSatisfaction]]</f>
        <v>3</v>
      </c>
      <c r="F53">
        <f>Table1[[#This Row],[HourlyRate]]</f>
        <v>50</v>
      </c>
      <c r="G53" t="str">
        <f>Table1[[#This Row],[JobRole]]</f>
        <v>Laboratory Technician</v>
      </c>
      <c r="H53">
        <f>Table1[[#This Row],[JobSatisfaction]]</f>
        <v>3</v>
      </c>
      <c r="I53">
        <f>Table1[[#This Row],[YearsAtCompany]]</f>
        <v>2</v>
      </c>
      <c r="J53">
        <f>Table1[[#This Row],[YearsSinceLastPromotion]]</f>
        <v>2</v>
      </c>
      <c r="K53">
        <f>Table1[[#This Row],[EmployeeNumber]]</f>
        <v>65</v>
      </c>
      <c r="L53">
        <f>Table1[[#This Row],[DistanceFromHome]]</f>
        <v>5</v>
      </c>
      <c r="M53" t="str">
        <f>Table1[[#This Row],[OverTime]]</f>
        <v>Yes</v>
      </c>
      <c r="N53">
        <f>Table1[[#This Row],[WorkLifeBalance]]</f>
        <v>2</v>
      </c>
      <c r="O53" t="str" cm="1">
        <f t="array" ref="O53">_xlfn.IFS(A53&lt;=30,"18-30",A53&lt;=40,"31-40",A53&lt;=50,"41-50",A53&gt;50,"51+")</f>
        <v>18-30</v>
      </c>
      <c r="P53" t="str" cm="1">
        <f t="array" ref="P53">_xlfn.IFS(F53&lt;=45,"45 or below",F53&lt;= 60,"46-60",F53&lt;=75,"61-75",F53&lt;=90,"76-90",F53&gt;90,"91 or above")</f>
        <v>46-60</v>
      </c>
      <c r="Q5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3" t="str" cm="1">
        <f t="array" ref="R53" xml:space="preserve"> _xlfn.IFS(Table3[[#This Row],[Flight Risk Score]] = "NA","NA",Table3[[#This Row],[Flight Risk Score]] &gt;= 70,"High Risk",Table3[[#This Row],[Flight Risk Score]] &gt;= 50, "Medium Risk", Table3[[#This Row],[Flight Risk Score]] &gt;= 30,"Low Risk",Table3[[#This Row],[Flight Risk Score]] &lt; 30,"Very Low Risk")</f>
        <v>NA</v>
      </c>
    </row>
    <row r="54" spans="1:18" x14ac:dyDescent="0.2">
      <c r="A54">
        <f>Table1[[#This Row],[Age]]</f>
        <v>44</v>
      </c>
      <c r="B54">
        <f>IF(Table3[[#This Row],[Attrition]] = "Yes", 1,0)</f>
        <v>0</v>
      </c>
      <c r="C54" t="str">
        <f>Table1[[#This Row],[Attrition]]</f>
        <v>No</v>
      </c>
      <c r="D54" t="str">
        <f>Table1[[#This Row],[Department]]</f>
        <v>Sales</v>
      </c>
      <c r="E54">
        <f>Table1[[#This Row],[EnvironmentSatisfaction]]</f>
        <v>2</v>
      </c>
      <c r="F54">
        <f>Table1[[#This Row],[HourlyRate]]</f>
        <v>75</v>
      </c>
      <c r="G54" t="str">
        <f>Table1[[#This Row],[JobRole]]</f>
        <v>Sales Executive</v>
      </c>
      <c r="H54">
        <f>Table1[[#This Row],[JobSatisfaction]]</f>
        <v>1</v>
      </c>
      <c r="I54">
        <f>Table1[[#This Row],[YearsAtCompany]]</f>
        <v>4</v>
      </c>
      <c r="J54">
        <f>Table1[[#This Row],[YearsSinceLastPromotion]]</f>
        <v>1</v>
      </c>
      <c r="K54">
        <f>Table1[[#This Row],[EmployeeNumber]]</f>
        <v>68</v>
      </c>
      <c r="L54">
        <f>Table1[[#This Row],[DistanceFromHome]]</f>
        <v>1</v>
      </c>
      <c r="M54" t="str">
        <f>Table1[[#This Row],[OverTime]]</f>
        <v>Yes</v>
      </c>
      <c r="N54">
        <f>Table1[[#This Row],[WorkLifeBalance]]</f>
        <v>2</v>
      </c>
      <c r="O54" t="str" cm="1">
        <f t="array" ref="O54">_xlfn.IFS(A54&lt;=30,"18-30",A54&lt;=40,"31-40",A54&lt;=50,"41-50",A54&gt;50,"51+")</f>
        <v>41-50</v>
      </c>
      <c r="P54" t="str" cm="1">
        <f t="array" ref="P54">_xlfn.IFS(F54&lt;=45,"45 or below",F54&lt;= 60,"46-60",F54&lt;=75,"61-75",F54&lt;=90,"76-90",F54&gt;90,"91 or above")</f>
        <v>61-75</v>
      </c>
      <c r="Q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54" t="str" cm="1">
        <f t="array" ref="R5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5" spans="1:18" x14ac:dyDescent="0.2">
      <c r="A55">
        <f>Table1[[#This Row],[Age]]</f>
        <v>35</v>
      </c>
      <c r="B55">
        <f>IF(Table3[[#This Row],[Attrition]] = "Yes", 1,0)</f>
        <v>0</v>
      </c>
      <c r="C55" t="str">
        <f>Table1[[#This Row],[Attrition]]</f>
        <v>No</v>
      </c>
      <c r="D55" t="str">
        <f>Table1[[#This Row],[Department]]</f>
        <v>Research &amp; Development</v>
      </c>
      <c r="E55">
        <f>Table1[[#This Row],[EnvironmentSatisfaction]]</f>
        <v>3</v>
      </c>
      <c r="F55">
        <f>Table1[[#This Row],[HourlyRate]]</f>
        <v>79</v>
      </c>
      <c r="G55" t="str">
        <f>Table1[[#This Row],[JobRole]]</f>
        <v>Healthcare Representative</v>
      </c>
      <c r="H55">
        <f>Table1[[#This Row],[JobSatisfaction]]</f>
        <v>1</v>
      </c>
      <c r="I55">
        <f>Table1[[#This Row],[YearsAtCompany]]</f>
        <v>4</v>
      </c>
      <c r="J55">
        <f>Table1[[#This Row],[YearsSinceLastPromotion]]</f>
        <v>2</v>
      </c>
      <c r="K55">
        <f>Table1[[#This Row],[EmployeeNumber]]</f>
        <v>70</v>
      </c>
      <c r="L55">
        <f>Table1[[#This Row],[DistanceFromHome]]</f>
        <v>11</v>
      </c>
      <c r="M55" t="str">
        <f>Table1[[#This Row],[OverTime]]</f>
        <v>Yes</v>
      </c>
      <c r="N55">
        <f>Table1[[#This Row],[WorkLifeBalance]]</f>
        <v>3</v>
      </c>
      <c r="O55" t="str" cm="1">
        <f t="array" ref="O55">_xlfn.IFS(A55&lt;=30,"18-30",A55&lt;=40,"31-40",A55&lt;=50,"41-50",A55&gt;50,"51+")</f>
        <v>31-40</v>
      </c>
      <c r="P55" t="str" cm="1">
        <f t="array" ref="P55">_xlfn.IFS(F55&lt;=45,"45 or below",F55&lt;= 60,"46-60",F55&lt;=75,"61-75",F55&lt;=90,"76-90",F55&gt;90,"91 or above")</f>
        <v>76-90</v>
      </c>
      <c r="Q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5" t="str" cm="1">
        <f t="array" ref="R5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6" spans="1:18" x14ac:dyDescent="0.2">
      <c r="A56">
        <f>Table1[[#This Row],[Age]]</f>
        <v>26</v>
      </c>
      <c r="B56">
        <f>IF(Table3[[#This Row],[Attrition]] = "Yes", 1,0)</f>
        <v>0</v>
      </c>
      <c r="C56" t="str">
        <f>Table1[[#This Row],[Attrition]]</f>
        <v>No</v>
      </c>
      <c r="D56" t="str">
        <f>Table1[[#This Row],[Department]]</f>
        <v>Sales</v>
      </c>
      <c r="E56">
        <f>Table1[[#This Row],[EnvironmentSatisfaction]]</f>
        <v>3</v>
      </c>
      <c r="F56">
        <f>Table1[[#This Row],[HourlyRate]]</f>
        <v>47</v>
      </c>
      <c r="G56" t="str">
        <f>Table1[[#This Row],[JobRole]]</f>
        <v>Sales Executive</v>
      </c>
      <c r="H56">
        <f>Table1[[#This Row],[JobSatisfaction]]</f>
        <v>4</v>
      </c>
      <c r="I56">
        <f>Table1[[#This Row],[YearsAtCompany]]</f>
        <v>2</v>
      </c>
      <c r="J56">
        <f>Table1[[#This Row],[YearsSinceLastPromotion]]</f>
        <v>0</v>
      </c>
      <c r="K56">
        <f>Table1[[#This Row],[EmployeeNumber]]</f>
        <v>72</v>
      </c>
      <c r="L56">
        <f>Table1[[#This Row],[DistanceFromHome]]</f>
        <v>23</v>
      </c>
      <c r="M56" t="str">
        <f>Table1[[#This Row],[OverTime]]</f>
        <v>Yes</v>
      </c>
      <c r="N56">
        <f>Table1[[#This Row],[WorkLifeBalance]]</f>
        <v>2</v>
      </c>
      <c r="O56" t="str" cm="1">
        <f t="array" ref="O56">_xlfn.IFS(A56&lt;=30,"18-30",A56&lt;=40,"31-40",A56&lt;=50,"41-50",A56&gt;50,"51+")</f>
        <v>18-30</v>
      </c>
      <c r="P56" t="str" cm="1">
        <f t="array" ref="P56">_xlfn.IFS(F56&lt;=45,"45 or below",F56&lt;= 60,"46-60",F56&lt;=75,"61-75",F56&lt;=90,"76-90",F56&gt;90,"91 or above")</f>
        <v>46-60</v>
      </c>
      <c r="Q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6" t="str" cm="1">
        <f t="array" ref="R56" xml:space="preserve"> _xlfn.IFS(Table3[[#This Row],[Flight Risk Score]] = "NA","NA",Table3[[#This Row],[Flight Risk Score]] &gt;= 70,"High Risk",Table3[[#This Row],[Flight Risk Score]] &gt;= 50, "Medium Risk", Table3[[#This Row],[Flight Risk Score]] &gt;= 30,"Low Risk",Table3[[#This Row],[Flight Risk Score]] &lt; 30,"Very Low Risk")</f>
        <v>Low Risk</v>
      </c>
    </row>
    <row r="57" spans="1:18" x14ac:dyDescent="0.2">
      <c r="A57">
        <f>Table1[[#This Row],[Age]]</f>
        <v>33</v>
      </c>
      <c r="B57">
        <f>IF(Table3[[#This Row],[Attrition]] = "Yes", 1,0)</f>
        <v>0</v>
      </c>
      <c r="C57" t="str">
        <f>Table1[[#This Row],[Attrition]]</f>
        <v>No</v>
      </c>
      <c r="D57" t="str">
        <f>Table1[[#This Row],[Department]]</f>
        <v>Research &amp; Development</v>
      </c>
      <c r="E57">
        <f>Table1[[#This Row],[EnvironmentSatisfaction]]</f>
        <v>1</v>
      </c>
      <c r="F57">
        <f>Table1[[#This Row],[HourlyRate]]</f>
        <v>98</v>
      </c>
      <c r="G57" t="str">
        <f>Table1[[#This Row],[JobRole]]</f>
        <v>Research Director</v>
      </c>
      <c r="H57">
        <f>Table1[[#This Row],[JobSatisfaction]]</f>
        <v>4</v>
      </c>
      <c r="I57">
        <f>Table1[[#This Row],[YearsAtCompany]]</f>
        <v>15</v>
      </c>
      <c r="J57">
        <f>Table1[[#This Row],[YearsSinceLastPromotion]]</f>
        <v>8</v>
      </c>
      <c r="K57">
        <f>Table1[[#This Row],[EmployeeNumber]]</f>
        <v>73</v>
      </c>
      <c r="L57">
        <f>Table1[[#This Row],[DistanceFromHome]]</f>
        <v>1</v>
      </c>
      <c r="M57" t="str">
        <f>Table1[[#This Row],[OverTime]]</f>
        <v>Yes</v>
      </c>
      <c r="N57">
        <f>Table1[[#This Row],[WorkLifeBalance]]</f>
        <v>3</v>
      </c>
      <c r="O57" t="str" cm="1">
        <f t="array" ref="O57">_xlfn.IFS(A57&lt;=30,"18-30",A57&lt;=40,"31-40",A57&lt;=50,"41-50",A57&gt;50,"51+")</f>
        <v>31-40</v>
      </c>
      <c r="P57" t="str" cm="1">
        <f t="array" ref="P57">_xlfn.IFS(F57&lt;=45,"45 or below",F57&lt;= 60,"46-60",F57&lt;=75,"61-75",F57&lt;=90,"76-90",F57&gt;90,"91 or above")</f>
        <v>91 or above</v>
      </c>
      <c r="Q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7" t="str" cm="1">
        <f t="array" ref="R5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8" spans="1:18" x14ac:dyDescent="0.2">
      <c r="A58">
        <f>Table1[[#This Row],[Age]]</f>
        <v>35</v>
      </c>
      <c r="B58">
        <f>IF(Table3[[#This Row],[Attrition]] = "Yes", 1,0)</f>
        <v>0</v>
      </c>
      <c r="C58" t="str">
        <f>Table1[[#This Row],[Attrition]]</f>
        <v>No</v>
      </c>
      <c r="D58" t="str">
        <f>Table1[[#This Row],[Department]]</f>
        <v>Sales</v>
      </c>
      <c r="E58">
        <f>Table1[[#This Row],[EnvironmentSatisfaction]]</f>
        <v>2</v>
      </c>
      <c r="F58">
        <f>Table1[[#This Row],[HourlyRate]]</f>
        <v>71</v>
      </c>
      <c r="G58" t="str">
        <f>Table1[[#This Row],[JobRole]]</f>
        <v>Sales Executive</v>
      </c>
      <c r="H58">
        <f>Table1[[#This Row],[JobSatisfaction]]</f>
        <v>1</v>
      </c>
      <c r="I58">
        <f>Table1[[#This Row],[YearsAtCompany]]</f>
        <v>9</v>
      </c>
      <c r="J58">
        <f>Table1[[#This Row],[YearsSinceLastPromotion]]</f>
        <v>1</v>
      </c>
      <c r="K58">
        <f>Table1[[#This Row],[EmployeeNumber]]</f>
        <v>74</v>
      </c>
      <c r="L58">
        <f>Table1[[#This Row],[DistanceFromHome]]</f>
        <v>18</v>
      </c>
      <c r="M58" t="str">
        <f>Table1[[#This Row],[OverTime]]</f>
        <v>No</v>
      </c>
      <c r="N58">
        <f>Table1[[#This Row],[WorkLifeBalance]]</f>
        <v>2</v>
      </c>
      <c r="O58" t="str" cm="1">
        <f t="array" ref="O58">_xlfn.IFS(A58&lt;=30,"18-30",A58&lt;=40,"31-40",A58&lt;=50,"41-50",A58&gt;50,"51+")</f>
        <v>31-40</v>
      </c>
      <c r="P58" t="str" cm="1">
        <f t="array" ref="P58">_xlfn.IFS(F58&lt;=45,"45 or below",F58&lt;= 60,"46-60",F58&lt;=75,"61-75",F58&lt;=90,"76-90",F58&gt;90,"91 or above")</f>
        <v>61-75</v>
      </c>
      <c r="Q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8" t="str" cm="1">
        <f t="array" ref="R58" xml:space="preserve"> _xlfn.IFS(Table3[[#This Row],[Flight Risk Score]] = "NA","NA",Table3[[#This Row],[Flight Risk Score]] &gt;= 70,"High Risk",Table3[[#This Row],[Flight Risk Score]] &gt;= 50, "Medium Risk", Table3[[#This Row],[Flight Risk Score]] &gt;= 30,"Low Risk",Table3[[#This Row],[Flight Risk Score]] &lt; 30,"Very Low Risk")</f>
        <v>Low Risk</v>
      </c>
    </row>
    <row r="59" spans="1:18" x14ac:dyDescent="0.2">
      <c r="A59">
        <f>Table1[[#This Row],[Age]]</f>
        <v>35</v>
      </c>
      <c r="B59">
        <f>IF(Table3[[#This Row],[Attrition]] = "Yes", 1,0)</f>
        <v>0</v>
      </c>
      <c r="C59" t="str">
        <f>Table1[[#This Row],[Attrition]]</f>
        <v>No</v>
      </c>
      <c r="D59" t="str">
        <f>Table1[[#This Row],[Department]]</f>
        <v>Research &amp; Development</v>
      </c>
      <c r="E59">
        <f>Table1[[#This Row],[EnvironmentSatisfaction]]</f>
        <v>3</v>
      </c>
      <c r="F59">
        <f>Table1[[#This Row],[HourlyRate]]</f>
        <v>30</v>
      </c>
      <c r="G59" t="str">
        <f>Table1[[#This Row],[JobRole]]</f>
        <v>Laboratory Technician</v>
      </c>
      <c r="H59">
        <f>Table1[[#This Row],[JobSatisfaction]]</f>
        <v>1</v>
      </c>
      <c r="I59">
        <f>Table1[[#This Row],[YearsAtCompany]]</f>
        <v>2</v>
      </c>
      <c r="J59">
        <f>Table1[[#This Row],[YearsSinceLastPromotion]]</f>
        <v>2</v>
      </c>
      <c r="K59">
        <f>Table1[[#This Row],[EmployeeNumber]]</f>
        <v>75</v>
      </c>
      <c r="L59">
        <f>Table1[[#This Row],[DistanceFromHome]]</f>
        <v>23</v>
      </c>
      <c r="M59" t="str">
        <f>Table1[[#This Row],[OverTime]]</f>
        <v>Yes</v>
      </c>
      <c r="N59">
        <f>Table1[[#This Row],[WorkLifeBalance]]</f>
        <v>3</v>
      </c>
      <c r="O59" t="str" cm="1">
        <f t="array" ref="O59">_xlfn.IFS(A59&lt;=30,"18-30",A59&lt;=40,"31-40",A59&lt;=50,"41-50",A59&gt;50,"51+")</f>
        <v>31-40</v>
      </c>
      <c r="P59" t="str" cm="1">
        <f t="array" ref="P59">_xlfn.IFS(F59&lt;=45,"45 or below",F59&lt;= 60,"46-60",F59&lt;=75,"61-75",F59&lt;=90,"76-90",F59&gt;90,"91 or above")</f>
        <v>45 or below</v>
      </c>
      <c r="Q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9" t="str" cm="1">
        <f t="array" ref="R5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0" spans="1:18" x14ac:dyDescent="0.2">
      <c r="A60">
        <f>Table1[[#This Row],[Age]]</f>
        <v>31</v>
      </c>
      <c r="B60">
        <f>IF(Table3[[#This Row],[Attrition]] = "Yes", 1,0)</f>
        <v>0</v>
      </c>
      <c r="C60" t="str">
        <f>Table1[[#This Row],[Attrition]]</f>
        <v>No</v>
      </c>
      <c r="D60" t="str">
        <f>Table1[[#This Row],[Department]]</f>
        <v>Research &amp; Development</v>
      </c>
      <c r="E60">
        <f>Table1[[#This Row],[EnvironmentSatisfaction]]</f>
        <v>4</v>
      </c>
      <c r="F60">
        <f>Table1[[#This Row],[HourlyRate]]</f>
        <v>48</v>
      </c>
      <c r="G60" t="str">
        <f>Table1[[#This Row],[JobRole]]</f>
        <v>Laboratory Technician</v>
      </c>
      <c r="H60">
        <f>Table1[[#This Row],[JobSatisfaction]]</f>
        <v>4</v>
      </c>
      <c r="I60">
        <f>Table1[[#This Row],[YearsAtCompany]]</f>
        <v>7</v>
      </c>
      <c r="J60">
        <f>Table1[[#This Row],[YearsSinceLastPromotion]]</f>
        <v>1</v>
      </c>
      <c r="K60">
        <f>Table1[[#This Row],[EmployeeNumber]]</f>
        <v>76</v>
      </c>
      <c r="L60">
        <f>Table1[[#This Row],[DistanceFromHome]]</f>
        <v>7</v>
      </c>
      <c r="M60" t="str">
        <f>Table1[[#This Row],[OverTime]]</f>
        <v>No</v>
      </c>
      <c r="N60">
        <f>Table1[[#This Row],[WorkLifeBalance]]</f>
        <v>2</v>
      </c>
      <c r="O60" t="str" cm="1">
        <f t="array" ref="O60">_xlfn.IFS(A60&lt;=30,"18-30",A60&lt;=40,"31-40",A60&lt;=50,"41-50",A60&gt;50,"51+")</f>
        <v>31-40</v>
      </c>
      <c r="P60" t="str" cm="1">
        <f t="array" ref="P60">_xlfn.IFS(F60&lt;=45,"45 or below",F60&lt;= 60,"46-60",F60&lt;=75,"61-75",F60&lt;=90,"76-90",F60&gt;90,"91 or above")</f>
        <v>46-60</v>
      </c>
      <c r="Q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0" t="str" cm="1">
        <f t="array" ref="R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1" spans="1:18" x14ac:dyDescent="0.2">
      <c r="A61">
        <f>Table1[[#This Row],[Age]]</f>
        <v>37</v>
      </c>
      <c r="B61">
        <f>IF(Table3[[#This Row],[Attrition]] = "Yes", 1,0)</f>
        <v>0</v>
      </c>
      <c r="C61" t="str">
        <f>Table1[[#This Row],[Attrition]]</f>
        <v>No</v>
      </c>
      <c r="D61" t="str">
        <f>Table1[[#This Row],[Department]]</f>
        <v>Research &amp; Development</v>
      </c>
      <c r="E61">
        <f>Table1[[#This Row],[EnvironmentSatisfaction]]</f>
        <v>1</v>
      </c>
      <c r="F61">
        <f>Table1[[#This Row],[HourlyRate]]</f>
        <v>51</v>
      </c>
      <c r="G61" t="str">
        <f>Table1[[#This Row],[JobRole]]</f>
        <v>Manufacturing Director</v>
      </c>
      <c r="H61">
        <f>Table1[[#This Row],[JobSatisfaction]]</f>
        <v>3</v>
      </c>
      <c r="I61">
        <f>Table1[[#This Row],[YearsAtCompany]]</f>
        <v>7</v>
      </c>
      <c r="J61">
        <f>Table1[[#This Row],[YearsSinceLastPromotion]]</f>
        <v>0</v>
      </c>
      <c r="K61">
        <f>Table1[[#This Row],[EmployeeNumber]]</f>
        <v>77</v>
      </c>
      <c r="L61">
        <f>Table1[[#This Row],[DistanceFromHome]]</f>
        <v>1</v>
      </c>
      <c r="M61" t="str">
        <f>Table1[[#This Row],[OverTime]]</f>
        <v>No</v>
      </c>
      <c r="N61">
        <f>Table1[[#This Row],[WorkLifeBalance]]</f>
        <v>4</v>
      </c>
      <c r="O61" t="str" cm="1">
        <f t="array" ref="O61">_xlfn.IFS(A61&lt;=30,"18-30",A61&lt;=40,"31-40",A61&lt;=50,"41-50",A61&gt;50,"51+")</f>
        <v>31-40</v>
      </c>
      <c r="P61" t="str" cm="1">
        <f t="array" ref="P61">_xlfn.IFS(F61&lt;=45,"45 or below",F61&lt;= 60,"46-60",F61&lt;=75,"61-75",F61&lt;=90,"76-90",F61&gt;90,"91 or above")</f>
        <v>46-60</v>
      </c>
      <c r="Q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1" t="str" cm="1">
        <f t="array" ref="R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2" spans="1:18" x14ac:dyDescent="0.2">
      <c r="A62">
        <f>Table1[[#This Row],[Age]]</f>
        <v>32</v>
      </c>
      <c r="B62">
        <f>IF(Table3[[#This Row],[Attrition]] = "Yes", 1,0)</f>
        <v>0</v>
      </c>
      <c r="C62" t="str">
        <f>Table1[[#This Row],[Attrition]]</f>
        <v>No</v>
      </c>
      <c r="D62" t="str">
        <f>Table1[[#This Row],[Department]]</f>
        <v>Research &amp; Development</v>
      </c>
      <c r="E62">
        <f>Table1[[#This Row],[EnvironmentSatisfaction]]</f>
        <v>1</v>
      </c>
      <c r="F62">
        <f>Table1[[#This Row],[HourlyRate]]</f>
        <v>33</v>
      </c>
      <c r="G62" t="str">
        <f>Table1[[#This Row],[JobRole]]</f>
        <v>Manufacturing Director</v>
      </c>
      <c r="H62">
        <f>Table1[[#This Row],[JobSatisfaction]]</f>
        <v>4</v>
      </c>
      <c r="I62">
        <f>Table1[[#This Row],[YearsAtCompany]]</f>
        <v>9</v>
      </c>
      <c r="J62">
        <f>Table1[[#This Row],[YearsSinceLastPromotion]]</f>
        <v>7</v>
      </c>
      <c r="K62">
        <f>Table1[[#This Row],[EmployeeNumber]]</f>
        <v>78</v>
      </c>
      <c r="L62">
        <f>Table1[[#This Row],[DistanceFromHome]]</f>
        <v>1</v>
      </c>
      <c r="M62" t="str">
        <f>Table1[[#This Row],[OverTime]]</f>
        <v>Yes</v>
      </c>
      <c r="N62">
        <f>Table1[[#This Row],[WorkLifeBalance]]</f>
        <v>3</v>
      </c>
      <c r="O62" t="str" cm="1">
        <f t="array" ref="O62">_xlfn.IFS(A62&lt;=30,"18-30",A62&lt;=40,"31-40",A62&lt;=50,"41-50",A62&gt;50,"51+")</f>
        <v>31-40</v>
      </c>
      <c r="P62" t="str" cm="1">
        <f t="array" ref="P62">_xlfn.IFS(F62&lt;=45,"45 or below",F62&lt;= 60,"46-60",F62&lt;=75,"61-75",F62&lt;=90,"76-90",F62&gt;90,"91 or above")</f>
        <v>45 or below</v>
      </c>
      <c r="Q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2" t="str" cm="1">
        <f t="array" ref="R6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3" spans="1:18" x14ac:dyDescent="0.2">
      <c r="A63">
        <f>Table1[[#This Row],[Age]]</f>
        <v>38</v>
      </c>
      <c r="B63">
        <f>IF(Table3[[#This Row],[Attrition]] = "Yes", 1,0)</f>
        <v>0</v>
      </c>
      <c r="C63" t="str">
        <f>Table1[[#This Row],[Attrition]]</f>
        <v>No</v>
      </c>
      <c r="D63" t="str">
        <f>Table1[[#This Row],[Department]]</f>
        <v>Research &amp; Development</v>
      </c>
      <c r="E63">
        <f>Table1[[#This Row],[EnvironmentSatisfaction]]</f>
        <v>4</v>
      </c>
      <c r="F63">
        <f>Table1[[#This Row],[HourlyRate]]</f>
        <v>50</v>
      </c>
      <c r="G63" t="str">
        <f>Table1[[#This Row],[JobRole]]</f>
        <v>Laboratory Technician</v>
      </c>
      <c r="H63">
        <f>Table1[[#This Row],[JobSatisfaction]]</f>
        <v>4</v>
      </c>
      <c r="I63">
        <f>Table1[[#This Row],[YearsAtCompany]]</f>
        <v>10</v>
      </c>
      <c r="J63">
        <f>Table1[[#This Row],[YearsSinceLastPromotion]]</f>
        <v>9</v>
      </c>
      <c r="K63">
        <f>Table1[[#This Row],[EmployeeNumber]]</f>
        <v>79</v>
      </c>
      <c r="L63">
        <f>Table1[[#This Row],[DistanceFromHome]]</f>
        <v>29</v>
      </c>
      <c r="M63" t="str">
        <f>Table1[[#This Row],[OverTime]]</f>
        <v>No</v>
      </c>
      <c r="N63">
        <f>Table1[[#This Row],[WorkLifeBalance]]</f>
        <v>3</v>
      </c>
      <c r="O63" t="str" cm="1">
        <f t="array" ref="O63">_xlfn.IFS(A63&lt;=30,"18-30",A63&lt;=40,"31-40",A63&lt;=50,"41-50",A63&gt;50,"51+")</f>
        <v>31-40</v>
      </c>
      <c r="P63" t="str" cm="1">
        <f t="array" ref="P63">_xlfn.IFS(F63&lt;=45,"45 or below",F63&lt;= 60,"46-60",F63&lt;=75,"61-75",F63&lt;=90,"76-90",F63&gt;90,"91 or above")</f>
        <v>46-60</v>
      </c>
      <c r="Q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3" t="str" cm="1">
        <f t="array" ref="R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4" spans="1:18" x14ac:dyDescent="0.2">
      <c r="A64">
        <f>Table1[[#This Row],[Age]]</f>
        <v>50</v>
      </c>
      <c r="B64">
        <f>IF(Table3[[#This Row],[Attrition]] = "Yes", 1,0)</f>
        <v>0</v>
      </c>
      <c r="C64" t="str">
        <f>Table1[[#This Row],[Attrition]]</f>
        <v>No</v>
      </c>
      <c r="D64" t="str">
        <f>Table1[[#This Row],[Department]]</f>
        <v>Research &amp; Development</v>
      </c>
      <c r="E64">
        <f>Table1[[#This Row],[EnvironmentSatisfaction]]</f>
        <v>2</v>
      </c>
      <c r="F64">
        <f>Table1[[#This Row],[HourlyRate]]</f>
        <v>43</v>
      </c>
      <c r="G64" t="str">
        <f>Table1[[#This Row],[JobRole]]</f>
        <v>Research Director</v>
      </c>
      <c r="H64">
        <f>Table1[[#This Row],[JobSatisfaction]]</f>
        <v>3</v>
      </c>
      <c r="I64">
        <f>Table1[[#This Row],[YearsAtCompany]]</f>
        <v>27</v>
      </c>
      <c r="J64">
        <f>Table1[[#This Row],[YearsSinceLastPromotion]]</f>
        <v>13</v>
      </c>
      <c r="K64">
        <f>Table1[[#This Row],[EmployeeNumber]]</f>
        <v>80</v>
      </c>
      <c r="L64">
        <f>Table1[[#This Row],[DistanceFromHome]]</f>
        <v>7</v>
      </c>
      <c r="M64" t="str">
        <f>Table1[[#This Row],[OverTime]]</f>
        <v>Yes</v>
      </c>
      <c r="N64">
        <f>Table1[[#This Row],[WorkLifeBalance]]</f>
        <v>2</v>
      </c>
      <c r="O64" t="str" cm="1">
        <f t="array" ref="O64">_xlfn.IFS(A64&lt;=30,"18-30",A64&lt;=40,"31-40",A64&lt;=50,"41-50",A64&gt;50,"51+")</f>
        <v>41-50</v>
      </c>
      <c r="P64" t="str" cm="1">
        <f t="array" ref="P64">_xlfn.IFS(F64&lt;=45,"45 or below",F64&lt;= 60,"46-60",F64&lt;=75,"61-75",F64&lt;=90,"76-90",F64&gt;90,"91 or above")</f>
        <v>45 or below</v>
      </c>
      <c r="Q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4" t="str" cm="1">
        <f t="array" ref="R6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5" spans="1:18" x14ac:dyDescent="0.2">
      <c r="A65">
        <f>Table1[[#This Row],[Age]]</f>
        <v>59</v>
      </c>
      <c r="B65">
        <f>IF(Table3[[#This Row],[Attrition]] = "Yes", 1,0)</f>
        <v>0</v>
      </c>
      <c r="C65" t="str">
        <f>Table1[[#This Row],[Attrition]]</f>
        <v>No</v>
      </c>
      <c r="D65" t="str">
        <f>Table1[[#This Row],[Department]]</f>
        <v>Sales</v>
      </c>
      <c r="E65">
        <f>Table1[[#This Row],[EnvironmentSatisfaction]]</f>
        <v>1</v>
      </c>
      <c r="F65">
        <f>Table1[[#This Row],[HourlyRate]]</f>
        <v>99</v>
      </c>
      <c r="G65" t="str">
        <f>Table1[[#This Row],[JobRole]]</f>
        <v>Sales Executive</v>
      </c>
      <c r="H65">
        <f>Table1[[#This Row],[JobSatisfaction]]</f>
        <v>1</v>
      </c>
      <c r="I65">
        <f>Table1[[#This Row],[YearsAtCompany]]</f>
        <v>21</v>
      </c>
      <c r="J65">
        <f>Table1[[#This Row],[YearsSinceLastPromotion]]</f>
        <v>7</v>
      </c>
      <c r="K65">
        <f>Table1[[#This Row],[EmployeeNumber]]</f>
        <v>81</v>
      </c>
      <c r="L65">
        <f>Table1[[#This Row],[DistanceFromHome]]</f>
        <v>25</v>
      </c>
      <c r="M65" t="str">
        <f>Table1[[#This Row],[OverTime]]</f>
        <v>No</v>
      </c>
      <c r="N65">
        <f>Table1[[#This Row],[WorkLifeBalance]]</f>
        <v>2</v>
      </c>
      <c r="O65" t="str" cm="1">
        <f t="array" ref="O65">_xlfn.IFS(A65&lt;=30,"18-30",A65&lt;=40,"31-40",A65&lt;=50,"41-50",A65&gt;50,"51+")</f>
        <v>51+</v>
      </c>
      <c r="P65" t="str" cm="1">
        <f t="array" ref="P65">_xlfn.IFS(F65&lt;=45,"45 or below",F65&lt;= 60,"46-60",F65&lt;=75,"61-75",F65&lt;=90,"76-90",F65&gt;90,"91 or above")</f>
        <v>91 or above</v>
      </c>
      <c r="Q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5" t="str" cm="1">
        <f t="array" ref="R65" xml:space="preserve"> _xlfn.IFS(Table3[[#This Row],[Flight Risk Score]] = "NA","NA",Table3[[#This Row],[Flight Risk Score]] &gt;= 70,"High Risk",Table3[[#This Row],[Flight Risk Score]] &gt;= 50, "Medium Risk", Table3[[#This Row],[Flight Risk Score]] &gt;= 30,"Low Risk",Table3[[#This Row],[Flight Risk Score]] &lt; 30,"Very Low Risk")</f>
        <v>Low Risk</v>
      </c>
    </row>
    <row r="66" spans="1:18" x14ac:dyDescent="0.2">
      <c r="A66">
        <f>Table1[[#This Row],[Age]]</f>
        <v>36</v>
      </c>
      <c r="B66">
        <f>IF(Table3[[#This Row],[Attrition]] = "Yes", 1,0)</f>
        <v>0</v>
      </c>
      <c r="C66" t="str">
        <f>Table1[[#This Row],[Attrition]]</f>
        <v>No</v>
      </c>
      <c r="D66" t="str">
        <f>Table1[[#This Row],[Department]]</f>
        <v>Research &amp; Development</v>
      </c>
      <c r="E66">
        <f>Table1[[#This Row],[EnvironmentSatisfaction]]</f>
        <v>3</v>
      </c>
      <c r="F66">
        <f>Table1[[#This Row],[HourlyRate]]</f>
        <v>59</v>
      </c>
      <c r="G66" t="str">
        <f>Table1[[#This Row],[JobRole]]</f>
        <v>Healthcare Representative</v>
      </c>
      <c r="H66">
        <f>Table1[[#This Row],[JobSatisfaction]]</f>
        <v>3</v>
      </c>
      <c r="I66">
        <f>Table1[[#This Row],[YearsAtCompany]]</f>
        <v>17</v>
      </c>
      <c r="J66">
        <f>Table1[[#This Row],[YearsSinceLastPromotion]]</f>
        <v>12</v>
      </c>
      <c r="K66">
        <f>Table1[[#This Row],[EmployeeNumber]]</f>
        <v>83</v>
      </c>
      <c r="L66">
        <f>Table1[[#This Row],[DistanceFromHome]]</f>
        <v>8</v>
      </c>
      <c r="M66" t="str">
        <f>Table1[[#This Row],[OverTime]]</f>
        <v>No</v>
      </c>
      <c r="N66">
        <f>Table1[[#This Row],[WorkLifeBalance]]</f>
        <v>3</v>
      </c>
      <c r="O66" t="str" cm="1">
        <f t="array" ref="O66">_xlfn.IFS(A66&lt;=30,"18-30",A66&lt;=40,"31-40",A66&lt;=50,"41-50",A66&gt;50,"51+")</f>
        <v>31-40</v>
      </c>
      <c r="P66" t="str" cm="1">
        <f t="array" ref="P66">_xlfn.IFS(F66&lt;=45,"45 or below",F66&lt;= 60,"46-60",F66&lt;=75,"61-75",F66&lt;=90,"76-90",F66&gt;90,"91 or above")</f>
        <v>46-60</v>
      </c>
      <c r="Q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6" t="str" cm="1">
        <f t="array" ref="R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7" spans="1:18" x14ac:dyDescent="0.2">
      <c r="A67">
        <f>Table1[[#This Row],[Age]]</f>
        <v>55</v>
      </c>
      <c r="B67">
        <f>IF(Table3[[#This Row],[Attrition]] = "Yes", 1,0)</f>
        <v>0</v>
      </c>
      <c r="C67" t="str">
        <f>Table1[[#This Row],[Attrition]]</f>
        <v>No</v>
      </c>
      <c r="D67" t="str">
        <f>Table1[[#This Row],[Department]]</f>
        <v>Research &amp; Development</v>
      </c>
      <c r="E67">
        <f>Table1[[#This Row],[EnvironmentSatisfaction]]</f>
        <v>4</v>
      </c>
      <c r="F67">
        <f>Table1[[#This Row],[HourlyRate]]</f>
        <v>33</v>
      </c>
      <c r="G67" t="str">
        <f>Table1[[#This Row],[JobRole]]</f>
        <v>Manager</v>
      </c>
      <c r="H67">
        <f>Table1[[#This Row],[JobSatisfaction]]</f>
        <v>3</v>
      </c>
      <c r="I67">
        <f>Table1[[#This Row],[YearsAtCompany]]</f>
        <v>5</v>
      </c>
      <c r="J67">
        <f>Table1[[#This Row],[YearsSinceLastPromotion]]</f>
        <v>0</v>
      </c>
      <c r="K67">
        <f>Table1[[#This Row],[EmployeeNumber]]</f>
        <v>84</v>
      </c>
      <c r="L67">
        <f>Table1[[#This Row],[DistanceFromHome]]</f>
        <v>8</v>
      </c>
      <c r="M67" t="str">
        <f>Table1[[#This Row],[OverTime]]</f>
        <v>Yes</v>
      </c>
      <c r="N67">
        <f>Table1[[#This Row],[WorkLifeBalance]]</f>
        <v>3</v>
      </c>
      <c r="O67" t="str" cm="1">
        <f t="array" ref="O67">_xlfn.IFS(A67&lt;=30,"18-30",A67&lt;=40,"31-40",A67&lt;=50,"41-50",A67&gt;50,"51+")</f>
        <v>51+</v>
      </c>
      <c r="P67" t="str" cm="1">
        <f t="array" ref="P67">_xlfn.IFS(F67&lt;=45,"45 or below",F67&lt;= 60,"46-60",F67&lt;=75,"61-75",F67&lt;=90,"76-90",F67&gt;90,"91 or above")</f>
        <v>45 or below</v>
      </c>
      <c r="Q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7" t="str" cm="1">
        <f t="array" ref="R67" xml:space="preserve"> _xlfn.IFS(Table3[[#This Row],[Flight Risk Score]] = "NA","NA",Table3[[#This Row],[Flight Risk Score]] &gt;= 70,"High Risk",Table3[[#This Row],[Flight Risk Score]] &gt;= 50, "Medium Risk", Table3[[#This Row],[Flight Risk Score]] &gt;= 30,"Low Risk",Table3[[#This Row],[Flight Risk Score]] &lt; 30,"Very Low Risk")</f>
        <v>Low Risk</v>
      </c>
    </row>
    <row r="68" spans="1:18" x14ac:dyDescent="0.2">
      <c r="A68">
        <f>Table1[[#This Row],[Age]]</f>
        <v>36</v>
      </c>
      <c r="B68">
        <f>IF(Table3[[#This Row],[Attrition]] = "Yes", 1,0)</f>
        <v>0</v>
      </c>
      <c r="C68" t="str">
        <f>Table1[[#This Row],[Attrition]]</f>
        <v>No</v>
      </c>
      <c r="D68" t="str">
        <f>Table1[[#This Row],[Department]]</f>
        <v>Research &amp; Development</v>
      </c>
      <c r="E68">
        <f>Table1[[#This Row],[EnvironmentSatisfaction]]</f>
        <v>2</v>
      </c>
      <c r="F68">
        <f>Table1[[#This Row],[HourlyRate]]</f>
        <v>95</v>
      </c>
      <c r="G68" t="str">
        <f>Table1[[#This Row],[JobRole]]</f>
        <v>Manufacturing Director</v>
      </c>
      <c r="H68">
        <f>Table1[[#This Row],[JobSatisfaction]]</f>
        <v>2</v>
      </c>
      <c r="I68">
        <f>Table1[[#This Row],[YearsAtCompany]]</f>
        <v>6</v>
      </c>
      <c r="J68">
        <f>Table1[[#This Row],[YearsSinceLastPromotion]]</f>
        <v>0</v>
      </c>
      <c r="K68">
        <f>Table1[[#This Row],[EmployeeNumber]]</f>
        <v>85</v>
      </c>
      <c r="L68">
        <f>Table1[[#This Row],[DistanceFromHome]]</f>
        <v>11</v>
      </c>
      <c r="M68" t="str">
        <f>Table1[[#This Row],[OverTime]]</f>
        <v>No</v>
      </c>
      <c r="N68">
        <f>Table1[[#This Row],[WorkLifeBalance]]</f>
        <v>3</v>
      </c>
      <c r="O68" t="str" cm="1">
        <f t="array" ref="O68">_xlfn.IFS(A68&lt;=30,"18-30",A68&lt;=40,"31-40",A68&lt;=50,"41-50",A68&gt;50,"51+")</f>
        <v>31-40</v>
      </c>
      <c r="P68" t="str" cm="1">
        <f t="array" ref="P68">_xlfn.IFS(F68&lt;=45,"45 or below",F68&lt;= 60,"46-60",F68&lt;=75,"61-75",F68&lt;=90,"76-90",F68&gt;90,"91 or above")</f>
        <v>91 or above</v>
      </c>
      <c r="Q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8" t="str" cm="1">
        <f t="array" ref="R68" xml:space="preserve"> _xlfn.IFS(Table3[[#This Row],[Flight Risk Score]] = "NA","NA",Table3[[#This Row],[Flight Risk Score]] &gt;= 70,"High Risk",Table3[[#This Row],[Flight Risk Score]] &gt;= 50, "Medium Risk", Table3[[#This Row],[Flight Risk Score]] &gt;= 30,"Low Risk",Table3[[#This Row],[Flight Risk Score]] &lt; 30,"Very Low Risk")</f>
        <v>Low Risk</v>
      </c>
    </row>
    <row r="69" spans="1:18" x14ac:dyDescent="0.2">
      <c r="A69">
        <f>Table1[[#This Row],[Age]]</f>
        <v>45</v>
      </c>
      <c r="B69">
        <f>IF(Table3[[#This Row],[Attrition]] = "Yes", 1,0)</f>
        <v>0</v>
      </c>
      <c r="C69" t="str">
        <f>Table1[[#This Row],[Attrition]]</f>
        <v>No</v>
      </c>
      <c r="D69" t="str">
        <f>Table1[[#This Row],[Department]]</f>
        <v>Research &amp; Development</v>
      </c>
      <c r="E69">
        <f>Table1[[#This Row],[EnvironmentSatisfaction]]</f>
        <v>2</v>
      </c>
      <c r="F69">
        <f>Table1[[#This Row],[HourlyRate]]</f>
        <v>59</v>
      </c>
      <c r="G69" t="str">
        <f>Table1[[#This Row],[JobRole]]</f>
        <v>Research Scientist</v>
      </c>
      <c r="H69">
        <f>Table1[[#This Row],[JobSatisfaction]]</f>
        <v>1</v>
      </c>
      <c r="I69">
        <f>Table1[[#This Row],[YearsAtCompany]]</f>
        <v>1</v>
      </c>
      <c r="J69">
        <f>Table1[[#This Row],[YearsSinceLastPromotion]]</f>
        <v>0</v>
      </c>
      <c r="K69">
        <f>Table1[[#This Row],[EmployeeNumber]]</f>
        <v>86</v>
      </c>
      <c r="L69">
        <f>Table1[[#This Row],[DistanceFromHome]]</f>
        <v>7</v>
      </c>
      <c r="M69" t="str">
        <f>Table1[[#This Row],[OverTime]]</f>
        <v>No</v>
      </c>
      <c r="N69">
        <f>Table1[[#This Row],[WorkLifeBalance]]</f>
        <v>3</v>
      </c>
      <c r="O69" t="str" cm="1">
        <f t="array" ref="O69">_xlfn.IFS(A69&lt;=30,"18-30",A69&lt;=40,"31-40",A69&lt;=50,"41-50",A69&gt;50,"51+")</f>
        <v>41-50</v>
      </c>
      <c r="P69" t="str" cm="1">
        <f t="array" ref="P69">_xlfn.IFS(F69&lt;=45,"45 or below",F69&lt;= 60,"46-60",F69&lt;=75,"61-75",F69&lt;=90,"76-90",F69&gt;90,"91 or above")</f>
        <v>46-60</v>
      </c>
      <c r="Q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9" t="str" cm="1">
        <f t="array" ref="R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70" spans="1:18" x14ac:dyDescent="0.2">
      <c r="A70">
        <f>Table1[[#This Row],[Age]]</f>
        <v>35</v>
      </c>
      <c r="B70">
        <f>IF(Table3[[#This Row],[Attrition]] = "Yes", 1,0)</f>
        <v>0</v>
      </c>
      <c r="C70" t="str">
        <f>Table1[[#This Row],[Attrition]]</f>
        <v>No</v>
      </c>
      <c r="D70" t="str">
        <f>Table1[[#This Row],[Department]]</f>
        <v>Research &amp; Development</v>
      </c>
      <c r="E70">
        <f>Table1[[#This Row],[EnvironmentSatisfaction]]</f>
        <v>2</v>
      </c>
      <c r="F70">
        <f>Table1[[#This Row],[HourlyRate]]</f>
        <v>79</v>
      </c>
      <c r="G70" t="str">
        <f>Table1[[#This Row],[JobRole]]</f>
        <v>Research Scientist</v>
      </c>
      <c r="H70">
        <f>Table1[[#This Row],[JobSatisfaction]]</f>
        <v>1</v>
      </c>
      <c r="I70">
        <f>Table1[[#This Row],[YearsAtCompany]]</f>
        <v>3</v>
      </c>
      <c r="J70">
        <f>Table1[[#This Row],[YearsSinceLastPromotion]]</f>
        <v>1</v>
      </c>
      <c r="K70">
        <f>Table1[[#This Row],[EmployeeNumber]]</f>
        <v>88</v>
      </c>
      <c r="L70">
        <f>Table1[[#This Row],[DistanceFromHome]]</f>
        <v>1</v>
      </c>
      <c r="M70" t="str">
        <f>Table1[[#This Row],[OverTime]]</f>
        <v>No</v>
      </c>
      <c r="N70">
        <f>Table1[[#This Row],[WorkLifeBalance]]</f>
        <v>2</v>
      </c>
      <c r="O70" t="str" cm="1">
        <f t="array" ref="O70">_xlfn.IFS(A70&lt;=30,"18-30",A70&lt;=40,"31-40",A70&lt;=50,"41-50",A70&gt;50,"51+")</f>
        <v>31-40</v>
      </c>
      <c r="P70" t="str" cm="1">
        <f t="array" ref="P70">_xlfn.IFS(F70&lt;=45,"45 or below",F70&lt;= 60,"46-60",F70&lt;=75,"61-75",F70&lt;=90,"76-90",F70&gt;90,"91 or above")</f>
        <v>76-90</v>
      </c>
      <c r="Q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70" t="str" cm="1">
        <f t="array" ref="R70" xml:space="preserve"> _xlfn.IFS(Table3[[#This Row],[Flight Risk Score]] = "NA","NA",Table3[[#This Row],[Flight Risk Score]] &gt;= 70,"High Risk",Table3[[#This Row],[Flight Risk Score]] &gt;= 50, "Medium Risk", Table3[[#This Row],[Flight Risk Score]] &gt;= 30,"Low Risk",Table3[[#This Row],[Flight Risk Score]] &lt; 30,"Very Low Risk")</f>
        <v>Low Risk</v>
      </c>
    </row>
    <row r="71" spans="1:18" hidden="1" x14ac:dyDescent="0.2">
      <c r="A71">
        <f>Table1[[#This Row],[Age]]</f>
        <v>36</v>
      </c>
      <c r="B71">
        <f>IF(Table3[[#This Row],[Attrition]] = "Yes", 1,0)</f>
        <v>1</v>
      </c>
      <c r="C71" t="str">
        <f>Table1[[#This Row],[Attrition]]</f>
        <v>Yes</v>
      </c>
      <c r="D71" t="str">
        <f>Table1[[#This Row],[Department]]</f>
        <v>Research &amp; Development</v>
      </c>
      <c r="E71">
        <f>Table1[[#This Row],[EnvironmentSatisfaction]]</f>
        <v>4</v>
      </c>
      <c r="F71">
        <f>Table1[[#This Row],[HourlyRate]]</f>
        <v>79</v>
      </c>
      <c r="G71" t="str">
        <f>Table1[[#This Row],[JobRole]]</f>
        <v>Research Scientist</v>
      </c>
      <c r="H71">
        <f>Table1[[#This Row],[JobSatisfaction]]</f>
        <v>3</v>
      </c>
      <c r="I71">
        <f>Table1[[#This Row],[YearsAtCompany]]</f>
        <v>1</v>
      </c>
      <c r="J71">
        <f>Table1[[#This Row],[YearsSinceLastPromotion]]</f>
        <v>0</v>
      </c>
      <c r="K71">
        <f>Table1[[#This Row],[EmployeeNumber]]</f>
        <v>90</v>
      </c>
      <c r="L71">
        <f>Table1[[#This Row],[DistanceFromHome]]</f>
        <v>9</v>
      </c>
      <c r="M71" t="str">
        <f>Table1[[#This Row],[OverTime]]</f>
        <v>Yes</v>
      </c>
      <c r="N71">
        <f>Table1[[#This Row],[WorkLifeBalance]]</f>
        <v>2</v>
      </c>
      <c r="O71" t="str" cm="1">
        <f t="array" ref="O71">_xlfn.IFS(A71&lt;=30,"18-30",A71&lt;=40,"31-40",A71&lt;=50,"41-50",A71&gt;50,"51+")</f>
        <v>31-40</v>
      </c>
      <c r="P71" t="str" cm="1">
        <f t="array" ref="P71">_xlfn.IFS(F71&lt;=45,"45 or below",F71&lt;= 60,"46-60",F71&lt;=75,"61-75",F71&lt;=90,"76-90",F71&gt;90,"91 or above")</f>
        <v>76-90</v>
      </c>
      <c r="Q7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1" t="str" cm="1">
        <f t="array" ref="R71" xml:space="preserve"> _xlfn.IFS(Table3[[#This Row],[Flight Risk Score]] = "NA","NA",Table3[[#This Row],[Flight Risk Score]] &gt;= 70,"High Risk",Table3[[#This Row],[Flight Risk Score]] &gt;= 50, "Medium Risk", Table3[[#This Row],[Flight Risk Score]] &gt;= 30,"Low Risk",Table3[[#This Row],[Flight Risk Score]] &lt; 30,"Very Low Risk")</f>
        <v>NA</v>
      </c>
    </row>
    <row r="72" spans="1:18" x14ac:dyDescent="0.2">
      <c r="A72">
        <f>Table1[[#This Row],[Age]]</f>
        <v>59</v>
      </c>
      <c r="B72">
        <f>IF(Table3[[#This Row],[Attrition]] = "Yes", 1,0)</f>
        <v>0</v>
      </c>
      <c r="C72" t="str">
        <f>Table1[[#This Row],[Attrition]]</f>
        <v>No</v>
      </c>
      <c r="D72" t="str">
        <f>Table1[[#This Row],[Department]]</f>
        <v>Sales</v>
      </c>
      <c r="E72">
        <f>Table1[[#This Row],[EnvironmentSatisfaction]]</f>
        <v>1</v>
      </c>
      <c r="F72">
        <f>Table1[[#This Row],[HourlyRate]]</f>
        <v>57</v>
      </c>
      <c r="G72" t="str">
        <f>Table1[[#This Row],[JobRole]]</f>
        <v>Sales Executive</v>
      </c>
      <c r="H72">
        <f>Table1[[#This Row],[JobSatisfaction]]</f>
        <v>3</v>
      </c>
      <c r="I72">
        <f>Table1[[#This Row],[YearsAtCompany]]</f>
        <v>4</v>
      </c>
      <c r="J72">
        <f>Table1[[#This Row],[YearsSinceLastPromotion]]</f>
        <v>1</v>
      </c>
      <c r="K72">
        <f>Table1[[#This Row],[EmployeeNumber]]</f>
        <v>91</v>
      </c>
      <c r="L72">
        <f>Table1[[#This Row],[DistanceFromHome]]</f>
        <v>1</v>
      </c>
      <c r="M72" t="str">
        <f>Table1[[#This Row],[OverTime]]</f>
        <v>No</v>
      </c>
      <c r="N72">
        <f>Table1[[#This Row],[WorkLifeBalance]]</f>
        <v>2</v>
      </c>
      <c r="O72" t="str" cm="1">
        <f t="array" ref="O72">_xlfn.IFS(A72&lt;=30,"18-30",A72&lt;=40,"31-40",A72&lt;=50,"41-50",A72&gt;50,"51+")</f>
        <v>51+</v>
      </c>
      <c r="P72" t="str" cm="1">
        <f t="array" ref="P72">_xlfn.IFS(F72&lt;=45,"45 or below",F72&lt;= 60,"46-60",F72&lt;=75,"61-75",F72&lt;=90,"76-90",F72&gt;90,"91 or above")</f>
        <v>46-60</v>
      </c>
      <c r="Q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2" t="str" cm="1">
        <f t="array" ref="R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3" spans="1:18" x14ac:dyDescent="0.2">
      <c r="A73">
        <f>Table1[[#This Row],[Age]]</f>
        <v>29</v>
      </c>
      <c r="B73">
        <f>IF(Table3[[#This Row],[Attrition]] = "Yes", 1,0)</f>
        <v>0</v>
      </c>
      <c r="C73" t="str">
        <f>Table1[[#This Row],[Attrition]]</f>
        <v>No</v>
      </c>
      <c r="D73" t="str">
        <f>Table1[[#This Row],[Department]]</f>
        <v>Research &amp; Development</v>
      </c>
      <c r="E73">
        <f>Table1[[#This Row],[EnvironmentSatisfaction]]</f>
        <v>3</v>
      </c>
      <c r="F73">
        <f>Table1[[#This Row],[HourlyRate]]</f>
        <v>76</v>
      </c>
      <c r="G73" t="str">
        <f>Table1[[#This Row],[JobRole]]</f>
        <v>Research Scientist</v>
      </c>
      <c r="H73">
        <f>Table1[[#This Row],[JobSatisfaction]]</f>
        <v>2</v>
      </c>
      <c r="I73">
        <f>Table1[[#This Row],[YearsAtCompany]]</f>
        <v>5</v>
      </c>
      <c r="J73">
        <f>Table1[[#This Row],[YearsSinceLastPromotion]]</f>
        <v>0</v>
      </c>
      <c r="K73">
        <f>Table1[[#This Row],[EmployeeNumber]]</f>
        <v>94</v>
      </c>
      <c r="L73">
        <f>Table1[[#This Row],[DistanceFromHome]]</f>
        <v>2</v>
      </c>
      <c r="M73" t="str">
        <f>Table1[[#This Row],[OverTime]]</f>
        <v>No</v>
      </c>
      <c r="N73">
        <f>Table1[[#This Row],[WorkLifeBalance]]</f>
        <v>3</v>
      </c>
      <c r="O73" t="str" cm="1">
        <f t="array" ref="O73">_xlfn.IFS(A73&lt;=30,"18-30",A73&lt;=40,"31-40",A73&lt;=50,"41-50",A73&gt;50,"51+")</f>
        <v>18-30</v>
      </c>
      <c r="P73" t="str" cm="1">
        <f t="array" ref="P73">_xlfn.IFS(F73&lt;=45,"45 or below",F73&lt;= 60,"46-60",F73&lt;=75,"61-75",F73&lt;=90,"76-90",F73&gt;90,"91 or above")</f>
        <v>76-90</v>
      </c>
      <c r="Q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3" t="str" cm="1">
        <f t="array" ref="R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 spans="1:18" x14ac:dyDescent="0.2">
      <c r="A74">
        <f>Table1[[#This Row],[Age]]</f>
        <v>31</v>
      </c>
      <c r="B74">
        <f>IF(Table3[[#This Row],[Attrition]] = "Yes", 1,0)</f>
        <v>0</v>
      </c>
      <c r="C74" t="str">
        <f>Table1[[#This Row],[Attrition]]</f>
        <v>No</v>
      </c>
      <c r="D74" t="str">
        <f>Table1[[#This Row],[Department]]</f>
        <v>Research &amp; Development</v>
      </c>
      <c r="E74">
        <f>Table1[[#This Row],[EnvironmentSatisfaction]]</f>
        <v>3</v>
      </c>
      <c r="F74">
        <f>Table1[[#This Row],[HourlyRate]]</f>
        <v>87</v>
      </c>
      <c r="G74" t="str">
        <f>Table1[[#This Row],[JobRole]]</f>
        <v>Research Scientist</v>
      </c>
      <c r="H74">
        <f>Table1[[#This Row],[JobSatisfaction]]</f>
        <v>2</v>
      </c>
      <c r="I74">
        <f>Table1[[#This Row],[YearsAtCompany]]</f>
        <v>1</v>
      </c>
      <c r="J74">
        <f>Table1[[#This Row],[YearsSinceLastPromotion]]</f>
        <v>1</v>
      </c>
      <c r="K74">
        <f>Table1[[#This Row],[EmployeeNumber]]</f>
        <v>95</v>
      </c>
      <c r="L74">
        <f>Table1[[#This Row],[DistanceFromHome]]</f>
        <v>1</v>
      </c>
      <c r="M74" t="str">
        <f>Table1[[#This Row],[OverTime]]</f>
        <v>No</v>
      </c>
      <c r="N74">
        <f>Table1[[#This Row],[WorkLifeBalance]]</f>
        <v>3</v>
      </c>
      <c r="O74" t="str" cm="1">
        <f t="array" ref="O74">_xlfn.IFS(A74&lt;=30,"18-30",A74&lt;=40,"31-40",A74&lt;=50,"41-50",A74&gt;50,"51+")</f>
        <v>31-40</v>
      </c>
      <c r="P74" t="str" cm="1">
        <f t="array" ref="P74">_xlfn.IFS(F74&lt;=45,"45 or below",F74&lt;= 60,"46-60",F74&lt;=75,"61-75",F74&lt;=90,"76-90",F74&gt;90,"91 or above")</f>
        <v>76-90</v>
      </c>
      <c r="Q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4" t="str" cm="1">
        <f t="array" ref="R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5" spans="1:18" x14ac:dyDescent="0.2">
      <c r="A75">
        <f>Table1[[#This Row],[Age]]</f>
        <v>32</v>
      </c>
      <c r="B75">
        <f>IF(Table3[[#This Row],[Attrition]] = "Yes", 1,0)</f>
        <v>0</v>
      </c>
      <c r="C75" t="str">
        <f>Table1[[#This Row],[Attrition]]</f>
        <v>No</v>
      </c>
      <c r="D75" t="str">
        <f>Table1[[#This Row],[Department]]</f>
        <v>Research &amp; Development</v>
      </c>
      <c r="E75">
        <f>Table1[[#This Row],[EnvironmentSatisfaction]]</f>
        <v>2</v>
      </c>
      <c r="F75">
        <f>Table1[[#This Row],[HourlyRate]]</f>
        <v>66</v>
      </c>
      <c r="G75" t="str">
        <f>Table1[[#This Row],[JobRole]]</f>
        <v>Research Scientist</v>
      </c>
      <c r="H75">
        <f>Table1[[#This Row],[JobSatisfaction]]</f>
        <v>2</v>
      </c>
      <c r="I75">
        <f>Table1[[#This Row],[YearsAtCompany]]</f>
        <v>10</v>
      </c>
      <c r="J75">
        <f>Table1[[#This Row],[YearsSinceLastPromotion]]</f>
        <v>0</v>
      </c>
      <c r="K75">
        <f>Table1[[#This Row],[EmployeeNumber]]</f>
        <v>96</v>
      </c>
      <c r="L75">
        <f>Table1[[#This Row],[DistanceFromHome]]</f>
        <v>1</v>
      </c>
      <c r="M75" t="str">
        <f>Table1[[#This Row],[OverTime]]</f>
        <v>No</v>
      </c>
      <c r="N75">
        <f>Table1[[#This Row],[WorkLifeBalance]]</f>
        <v>3</v>
      </c>
      <c r="O75" t="str" cm="1">
        <f t="array" ref="O75">_xlfn.IFS(A75&lt;=30,"18-30",A75&lt;=40,"31-40",A75&lt;=50,"41-50",A75&gt;50,"51+")</f>
        <v>31-40</v>
      </c>
      <c r="P75" t="str" cm="1">
        <f t="array" ref="P75">_xlfn.IFS(F75&lt;=45,"45 or below",F75&lt;= 60,"46-60",F75&lt;=75,"61-75",F75&lt;=90,"76-90",F75&gt;90,"91 or above")</f>
        <v>61-75</v>
      </c>
      <c r="Q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75" t="str" cm="1">
        <f t="array" ref="R75" xml:space="preserve"> _xlfn.IFS(Table3[[#This Row],[Flight Risk Score]] = "NA","NA",Table3[[#This Row],[Flight Risk Score]] &gt;= 70,"High Risk",Table3[[#This Row],[Flight Risk Score]] &gt;= 50, "Medium Risk", Table3[[#This Row],[Flight Risk Score]] &gt;= 30,"Low Risk",Table3[[#This Row],[Flight Risk Score]] &lt; 30,"Very Low Risk")</f>
        <v>Low Risk</v>
      </c>
    </row>
    <row r="76" spans="1:18" x14ac:dyDescent="0.2">
      <c r="A76">
        <f>Table1[[#This Row],[Age]]</f>
        <v>36</v>
      </c>
      <c r="B76">
        <f>IF(Table3[[#This Row],[Attrition]] = "Yes", 1,0)</f>
        <v>0</v>
      </c>
      <c r="C76" t="str">
        <f>Table1[[#This Row],[Attrition]]</f>
        <v>No</v>
      </c>
      <c r="D76" t="str">
        <f>Table1[[#This Row],[Department]]</f>
        <v>Research &amp; Development</v>
      </c>
      <c r="E76">
        <f>Table1[[#This Row],[EnvironmentSatisfaction]]</f>
        <v>2</v>
      </c>
      <c r="F76">
        <f>Table1[[#This Row],[HourlyRate]]</f>
        <v>55</v>
      </c>
      <c r="G76" t="str">
        <f>Table1[[#This Row],[JobRole]]</f>
        <v>Laboratory Technician</v>
      </c>
      <c r="H76">
        <f>Table1[[#This Row],[JobSatisfaction]]</f>
        <v>4</v>
      </c>
      <c r="I76">
        <f>Table1[[#This Row],[YearsAtCompany]]</f>
        <v>1</v>
      </c>
      <c r="J76">
        <f>Table1[[#This Row],[YearsSinceLastPromotion]]</f>
        <v>0</v>
      </c>
      <c r="K76">
        <f>Table1[[#This Row],[EmployeeNumber]]</f>
        <v>97</v>
      </c>
      <c r="L76">
        <f>Table1[[#This Row],[DistanceFromHome]]</f>
        <v>6</v>
      </c>
      <c r="M76" t="str">
        <f>Table1[[#This Row],[OverTime]]</f>
        <v>No</v>
      </c>
      <c r="N76">
        <f>Table1[[#This Row],[WorkLifeBalance]]</f>
        <v>3</v>
      </c>
      <c r="O76" t="str" cm="1">
        <f t="array" ref="O76">_xlfn.IFS(A76&lt;=30,"18-30",A76&lt;=40,"31-40",A76&lt;=50,"41-50",A76&gt;50,"51+")</f>
        <v>31-40</v>
      </c>
      <c r="P76" t="str" cm="1">
        <f t="array" ref="P76">_xlfn.IFS(F76&lt;=45,"45 or below",F76&lt;= 60,"46-60",F76&lt;=75,"61-75",F76&lt;=90,"76-90",F76&gt;90,"91 or above")</f>
        <v>46-60</v>
      </c>
      <c r="Q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6" t="str" cm="1">
        <f t="array" ref="R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 spans="1:18" x14ac:dyDescent="0.2">
      <c r="A77">
        <f>Table1[[#This Row],[Age]]</f>
        <v>31</v>
      </c>
      <c r="B77">
        <f>IF(Table3[[#This Row],[Attrition]] = "Yes", 1,0)</f>
        <v>0</v>
      </c>
      <c r="C77" t="str">
        <f>Table1[[#This Row],[Attrition]]</f>
        <v>No</v>
      </c>
      <c r="D77" t="str">
        <f>Table1[[#This Row],[Department]]</f>
        <v>Research &amp; Development</v>
      </c>
      <c r="E77">
        <f>Table1[[#This Row],[EnvironmentSatisfaction]]</f>
        <v>3</v>
      </c>
      <c r="F77">
        <f>Table1[[#This Row],[HourlyRate]]</f>
        <v>61</v>
      </c>
      <c r="G77" t="str">
        <f>Table1[[#This Row],[JobRole]]</f>
        <v>Manufacturing Director</v>
      </c>
      <c r="H77">
        <f>Table1[[#This Row],[JobSatisfaction]]</f>
        <v>4</v>
      </c>
      <c r="I77">
        <f>Table1[[#This Row],[YearsAtCompany]]</f>
        <v>11</v>
      </c>
      <c r="J77">
        <f>Table1[[#This Row],[YearsSinceLastPromotion]]</f>
        <v>1</v>
      </c>
      <c r="K77">
        <f>Table1[[#This Row],[EmployeeNumber]]</f>
        <v>98</v>
      </c>
      <c r="L77">
        <f>Table1[[#This Row],[DistanceFromHome]]</f>
        <v>8</v>
      </c>
      <c r="M77" t="str">
        <f>Table1[[#This Row],[OverTime]]</f>
        <v>No</v>
      </c>
      <c r="N77">
        <f>Table1[[#This Row],[WorkLifeBalance]]</f>
        <v>3</v>
      </c>
      <c r="O77" t="str" cm="1">
        <f t="array" ref="O77">_xlfn.IFS(A77&lt;=30,"18-30",A77&lt;=40,"31-40",A77&lt;=50,"41-50",A77&gt;50,"51+")</f>
        <v>31-40</v>
      </c>
      <c r="P77" t="str" cm="1">
        <f t="array" ref="P77">_xlfn.IFS(F77&lt;=45,"45 or below",F77&lt;= 60,"46-60",F77&lt;=75,"61-75",F77&lt;=90,"76-90",F77&gt;90,"91 or above")</f>
        <v>61-75</v>
      </c>
      <c r="Q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7" t="str" cm="1">
        <f t="array" ref="R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8" spans="1:18" x14ac:dyDescent="0.2">
      <c r="A78">
        <f>Table1[[#This Row],[Age]]</f>
        <v>35</v>
      </c>
      <c r="B78">
        <f>IF(Table3[[#This Row],[Attrition]] = "Yes", 1,0)</f>
        <v>0</v>
      </c>
      <c r="C78" t="str">
        <f>Table1[[#This Row],[Attrition]]</f>
        <v>No</v>
      </c>
      <c r="D78" t="str">
        <f>Table1[[#This Row],[Department]]</f>
        <v>Sales</v>
      </c>
      <c r="E78">
        <f>Table1[[#This Row],[EnvironmentSatisfaction]]</f>
        <v>3</v>
      </c>
      <c r="F78">
        <f>Table1[[#This Row],[HourlyRate]]</f>
        <v>32</v>
      </c>
      <c r="G78" t="str">
        <f>Table1[[#This Row],[JobRole]]</f>
        <v>Sales Executive</v>
      </c>
      <c r="H78">
        <f>Table1[[#This Row],[JobSatisfaction]]</f>
        <v>1</v>
      </c>
      <c r="I78">
        <f>Table1[[#This Row],[YearsAtCompany]]</f>
        <v>15</v>
      </c>
      <c r="J78">
        <f>Table1[[#This Row],[YearsSinceLastPromotion]]</f>
        <v>2</v>
      </c>
      <c r="K78">
        <f>Table1[[#This Row],[EmployeeNumber]]</f>
        <v>100</v>
      </c>
      <c r="L78">
        <f>Table1[[#This Row],[DistanceFromHome]]</f>
        <v>1</v>
      </c>
      <c r="M78" t="str">
        <f>Table1[[#This Row],[OverTime]]</f>
        <v>No</v>
      </c>
      <c r="N78">
        <f>Table1[[#This Row],[WorkLifeBalance]]</f>
        <v>3</v>
      </c>
      <c r="O78" t="str" cm="1">
        <f t="array" ref="O78">_xlfn.IFS(A78&lt;=30,"18-30",A78&lt;=40,"31-40",A78&lt;=50,"41-50",A78&gt;50,"51+")</f>
        <v>31-40</v>
      </c>
      <c r="P78" t="str" cm="1">
        <f t="array" ref="P78">_xlfn.IFS(F78&lt;=45,"45 or below",F78&lt;= 60,"46-60",F78&lt;=75,"61-75",F78&lt;=90,"76-90",F78&gt;90,"91 or above")</f>
        <v>45 or below</v>
      </c>
      <c r="Q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8" t="str" cm="1">
        <f t="array" ref="R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9" spans="1:18" x14ac:dyDescent="0.2">
      <c r="A79">
        <f>Table1[[#This Row],[Age]]</f>
        <v>45</v>
      </c>
      <c r="B79">
        <f>IF(Table3[[#This Row],[Attrition]] = "Yes", 1,0)</f>
        <v>0</v>
      </c>
      <c r="C79" t="str">
        <f>Table1[[#This Row],[Attrition]]</f>
        <v>No</v>
      </c>
      <c r="D79" t="str">
        <f>Table1[[#This Row],[Department]]</f>
        <v>Research &amp; Development</v>
      </c>
      <c r="E79">
        <f>Table1[[#This Row],[EnvironmentSatisfaction]]</f>
        <v>4</v>
      </c>
      <c r="F79">
        <f>Table1[[#This Row],[HourlyRate]]</f>
        <v>52</v>
      </c>
      <c r="G79" t="str">
        <f>Table1[[#This Row],[JobRole]]</f>
        <v>Research Director</v>
      </c>
      <c r="H79">
        <f>Table1[[#This Row],[JobSatisfaction]]</f>
        <v>1</v>
      </c>
      <c r="I79">
        <f>Table1[[#This Row],[YearsAtCompany]]</f>
        <v>0</v>
      </c>
      <c r="J79">
        <f>Table1[[#This Row],[YearsSinceLastPromotion]]</f>
        <v>0</v>
      </c>
      <c r="K79">
        <f>Table1[[#This Row],[EmployeeNumber]]</f>
        <v>101</v>
      </c>
      <c r="L79">
        <f>Table1[[#This Row],[DistanceFromHome]]</f>
        <v>6</v>
      </c>
      <c r="M79" t="str">
        <f>Table1[[#This Row],[OverTime]]</f>
        <v>Yes</v>
      </c>
      <c r="N79">
        <f>Table1[[#This Row],[WorkLifeBalance]]</f>
        <v>4</v>
      </c>
      <c r="O79" t="str" cm="1">
        <f t="array" ref="O79">_xlfn.IFS(A79&lt;=30,"18-30",A79&lt;=40,"31-40",A79&lt;=50,"41-50",A79&gt;50,"51+")</f>
        <v>41-50</v>
      </c>
      <c r="P79" t="str" cm="1">
        <f t="array" ref="P79">_xlfn.IFS(F79&lt;=45,"45 or below",F79&lt;= 60,"46-60",F79&lt;=75,"61-75",F79&lt;=90,"76-90",F79&gt;90,"91 or above")</f>
        <v>46-60</v>
      </c>
      <c r="Q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9" t="str" cm="1">
        <f t="array" ref="R7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0" spans="1:18" x14ac:dyDescent="0.2">
      <c r="A80">
        <f>Table1[[#This Row],[Age]]</f>
        <v>37</v>
      </c>
      <c r="B80">
        <f>IF(Table3[[#This Row],[Attrition]] = "Yes", 1,0)</f>
        <v>0</v>
      </c>
      <c r="C80" t="str">
        <f>Table1[[#This Row],[Attrition]]</f>
        <v>No</v>
      </c>
      <c r="D80" t="str">
        <f>Table1[[#This Row],[Department]]</f>
        <v>Research &amp; Development</v>
      </c>
      <c r="E80">
        <f>Table1[[#This Row],[EnvironmentSatisfaction]]</f>
        <v>1</v>
      </c>
      <c r="F80">
        <f>Table1[[#This Row],[HourlyRate]]</f>
        <v>30</v>
      </c>
      <c r="G80" t="str">
        <f>Table1[[#This Row],[JobRole]]</f>
        <v>Research Director</v>
      </c>
      <c r="H80">
        <f>Table1[[#This Row],[JobSatisfaction]]</f>
        <v>3</v>
      </c>
      <c r="I80">
        <f>Table1[[#This Row],[YearsAtCompany]]</f>
        <v>5</v>
      </c>
      <c r="J80">
        <f>Table1[[#This Row],[YearsSinceLastPromotion]]</f>
        <v>0</v>
      </c>
      <c r="K80">
        <f>Table1[[#This Row],[EmployeeNumber]]</f>
        <v>102</v>
      </c>
      <c r="L80">
        <f>Table1[[#This Row],[DistanceFromHome]]</f>
        <v>7</v>
      </c>
      <c r="M80" t="str">
        <f>Table1[[#This Row],[OverTime]]</f>
        <v>No</v>
      </c>
      <c r="N80">
        <f>Table1[[#This Row],[WorkLifeBalance]]</f>
        <v>4</v>
      </c>
      <c r="O80" t="str" cm="1">
        <f t="array" ref="O80">_xlfn.IFS(A80&lt;=30,"18-30",A80&lt;=40,"31-40",A80&lt;=50,"41-50",A80&gt;50,"51+")</f>
        <v>31-40</v>
      </c>
      <c r="P80" t="str" cm="1">
        <f t="array" ref="P80">_xlfn.IFS(F80&lt;=45,"45 or below",F80&lt;= 60,"46-60",F80&lt;=75,"61-75",F80&lt;=90,"76-90",F80&gt;90,"91 or above")</f>
        <v>45 or below</v>
      </c>
      <c r="Q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0" t="str" cm="1">
        <f t="array" ref="R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 spans="1:18" x14ac:dyDescent="0.2">
      <c r="A81">
        <f>Table1[[#This Row],[Age]]</f>
        <v>46</v>
      </c>
      <c r="B81">
        <f>IF(Table3[[#This Row],[Attrition]] = "Yes", 1,0)</f>
        <v>0</v>
      </c>
      <c r="C81" t="str">
        <f>Table1[[#This Row],[Attrition]]</f>
        <v>No</v>
      </c>
      <c r="D81" t="str">
        <f>Table1[[#This Row],[Department]]</f>
        <v>Human Resources</v>
      </c>
      <c r="E81">
        <f>Table1[[#This Row],[EnvironmentSatisfaction]]</f>
        <v>2</v>
      </c>
      <c r="F81">
        <f>Table1[[#This Row],[HourlyRate]]</f>
        <v>80</v>
      </c>
      <c r="G81" t="str">
        <f>Table1[[#This Row],[JobRole]]</f>
        <v>Human Resources</v>
      </c>
      <c r="H81">
        <f>Table1[[#This Row],[JobSatisfaction]]</f>
        <v>2</v>
      </c>
      <c r="I81">
        <f>Table1[[#This Row],[YearsAtCompany]]</f>
        <v>4</v>
      </c>
      <c r="J81">
        <f>Table1[[#This Row],[YearsSinceLastPromotion]]</f>
        <v>0</v>
      </c>
      <c r="K81">
        <f>Table1[[#This Row],[EmployeeNumber]]</f>
        <v>103</v>
      </c>
      <c r="L81">
        <f>Table1[[#This Row],[DistanceFromHome]]</f>
        <v>5</v>
      </c>
      <c r="M81" t="str">
        <f>Table1[[#This Row],[OverTime]]</f>
        <v>Yes</v>
      </c>
      <c r="N81">
        <f>Table1[[#This Row],[WorkLifeBalance]]</f>
        <v>3</v>
      </c>
      <c r="O81" t="str" cm="1">
        <f t="array" ref="O81">_xlfn.IFS(A81&lt;=30,"18-30",A81&lt;=40,"31-40",A81&lt;=50,"41-50",A81&gt;50,"51+")</f>
        <v>41-50</v>
      </c>
      <c r="P81" t="str" cm="1">
        <f t="array" ref="P81">_xlfn.IFS(F81&lt;=45,"45 or below",F81&lt;= 60,"46-60",F81&lt;=75,"61-75",F81&lt;=90,"76-90",F81&gt;90,"91 or above")</f>
        <v>76-90</v>
      </c>
      <c r="Q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81" t="str" cm="1">
        <f t="array" ref="R8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2" spans="1:18" x14ac:dyDescent="0.2">
      <c r="A82">
        <f>Table1[[#This Row],[Age]]</f>
        <v>30</v>
      </c>
      <c r="B82">
        <f>IF(Table3[[#This Row],[Attrition]] = "Yes", 1,0)</f>
        <v>0</v>
      </c>
      <c r="C82" t="str">
        <f>Table1[[#This Row],[Attrition]]</f>
        <v>No</v>
      </c>
      <c r="D82" t="str">
        <f>Table1[[#This Row],[Department]]</f>
        <v>Research &amp; Development</v>
      </c>
      <c r="E82">
        <f>Table1[[#This Row],[EnvironmentSatisfaction]]</f>
        <v>4</v>
      </c>
      <c r="F82">
        <f>Table1[[#This Row],[HourlyRate]]</f>
        <v>55</v>
      </c>
      <c r="G82" t="str">
        <f>Table1[[#This Row],[JobRole]]</f>
        <v>Laboratory Technician</v>
      </c>
      <c r="H82">
        <f>Table1[[#This Row],[JobSatisfaction]]</f>
        <v>4</v>
      </c>
      <c r="I82">
        <f>Table1[[#This Row],[YearsAtCompany]]</f>
        <v>10</v>
      </c>
      <c r="J82">
        <f>Table1[[#This Row],[YearsSinceLastPromotion]]</f>
        <v>3</v>
      </c>
      <c r="K82">
        <f>Table1[[#This Row],[EmployeeNumber]]</f>
        <v>104</v>
      </c>
      <c r="L82">
        <f>Table1[[#This Row],[DistanceFromHome]]</f>
        <v>1</v>
      </c>
      <c r="M82" t="str">
        <f>Table1[[#This Row],[OverTime]]</f>
        <v>Yes</v>
      </c>
      <c r="N82">
        <f>Table1[[#This Row],[WorkLifeBalance]]</f>
        <v>2</v>
      </c>
      <c r="O82" t="str" cm="1">
        <f t="array" ref="O82">_xlfn.IFS(A82&lt;=30,"18-30",A82&lt;=40,"31-40",A82&lt;=50,"41-50",A82&gt;50,"51+")</f>
        <v>18-30</v>
      </c>
      <c r="P82" t="str" cm="1">
        <f t="array" ref="P82">_xlfn.IFS(F82&lt;=45,"45 or below",F82&lt;= 60,"46-60",F82&lt;=75,"61-75",F82&lt;=90,"76-90",F82&gt;90,"91 or above")</f>
        <v>46-60</v>
      </c>
      <c r="Q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2" t="str" cm="1">
        <f t="array" ref="R82" xml:space="preserve"> _xlfn.IFS(Table3[[#This Row],[Flight Risk Score]] = "NA","NA",Table3[[#This Row],[Flight Risk Score]] &gt;= 70,"High Risk",Table3[[#This Row],[Flight Risk Score]] &gt;= 50, "Medium Risk", Table3[[#This Row],[Flight Risk Score]] &gt;= 30,"Low Risk",Table3[[#This Row],[Flight Risk Score]] &lt; 30,"Very Low Risk")</f>
        <v>Low Risk</v>
      </c>
    </row>
    <row r="83" spans="1:18" x14ac:dyDescent="0.2">
      <c r="A83">
        <f>Table1[[#This Row],[Age]]</f>
        <v>35</v>
      </c>
      <c r="B83">
        <f>IF(Table3[[#This Row],[Attrition]] = "Yes", 1,0)</f>
        <v>0</v>
      </c>
      <c r="C83" t="str">
        <f>Table1[[#This Row],[Attrition]]</f>
        <v>No</v>
      </c>
      <c r="D83" t="str">
        <f>Table1[[#This Row],[Department]]</f>
        <v>Research &amp; Development</v>
      </c>
      <c r="E83">
        <f>Table1[[#This Row],[EnvironmentSatisfaction]]</f>
        <v>2</v>
      </c>
      <c r="F83">
        <f>Table1[[#This Row],[HourlyRate]]</f>
        <v>30</v>
      </c>
      <c r="G83" t="str">
        <f>Table1[[#This Row],[JobRole]]</f>
        <v>Research Scientist</v>
      </c>
      <c r="H83">
        <f>Table1[[#This Row],[JobSatisfaction]]</f>
        <v>3</v>
      </c>
      <c r="I83">
        <f>Table1[[#This Row],[YearsAtCompany]]</f>
        <v>6</v>
      </c>
      <c r="J83">
        <f>Table1[[#This Row],[YearsSinceLastPromotion]]</f>
        <v>0</v>
      </c>
      <c r="K83">
        <f>Table1[[#This Row],[EmployeeNumber]]</f>
        <v>105</v>
      </c>
      <c r="L83">
        <f>Table1[[#This Row],[DistanceFromHome]]</f>
        <v>1</v>
      </c>
      <c r="M83" t="str">
        <f>Table1[[#This Row],[OverTime]]</f>
        <v>No</v>
      </c>
      <c r="N83">
        <f>Table1[[#This Row],[WorkLifeBalance]]</f>
        <v>3</v>
      </c>
      <c r="O83" t="str" cm="1">
        <f t="array" ref="O83">_xlfn.IFS(A83&lt;=30,"18-30",A83&lt;=40,"31-40",A83&lt;=50,"41-50",A83&gt;50,"51+")</f>
        <v>31-40</v>
      </c>
      <c r="P83" t="str" cm="1">
        <f t="array" ref="P83">_xlfn.IFS(F83&lt;=45,"45 or below",F83&lt;= 60,"46-60",F83&lt;=75,"61-75",F83&lt;=90,"76-90",F83&gt;90,"91 or above")</f>
        <v>45 or below</v>
      </c>
      <c r="Q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3" t="str" cm="1">
        <f t="array" ref="R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 spans="1:18" x14ac:dyDescent="0.2">
      <c r="A84">
        <f>Table1[[#This Row],[Age]]</f>
        <v>55</v>
      </c>
      <c r="B84">
        <f>IF(Table3[[#This Row],[Attrition]] = "Yes", 1,0)</f>
        <v>0</v>
      </c>
      <c r="C84" t="str">
        <f>Table1[[#This Row],[Attrition]]</f>
        <v>No</v>
      </c>
      <c r="D84" t="str">
        <f>Table1[[#This Row],[Department]]</f>
        <v>Sales</v>
      </c>
      <c r="E84">
        <f>Table1[[#This Row],[EnvironmentSatisfaction]]</f>
        <v>1</v>
      </c>
      <c r="F84">
        <f>Table1[[#This Row],[HourlyRate]]</f>
        <v>70</v>
      </c>
      <c r="G84" t="str">
        <f>Table1[[#This Row],[JobRole]]</f>
        <v>Sales Executive</v>
      </c>
      <c r="H84">
        <f>Table1[[#This Row],[JobSatisfaction]]</f>
        <v>4</v>
      </c>
      <c r="I84">
        <f>Table1[[#This Row],[YearsAtCompany]]</f>
        <v>1</v>
      </c>
      <c r="J84">
        <f>Table1[[#This Row],[YearsSinceLastPromotion]]</f>
        <v>1</v>
      </c>
      <c r="K84">
        <f>Table1[[#This Row],[EmployeeNumber]]</f>
        <v>106</v>
      </c>
      <c r="L84">
        <f>Table1[[#This Row],[DistanceFromHome]]</f>
        <v>1</v>
      </c>
      <c r="M84" t="str">
        <f>Table1[[#This Row],[OverTime]]</f>
        <v>No</v>
      </c>
      <c r="N84">
        <f>Table1[[#This Row],[WorkLifeBalance]]</f>
        <v>3</v>
      </c>
      <c r="O84" t="str" cm="1">
        <f t="array" ref="O84">_xlfn.IFS(A84&lt;=30,"18-30",A84&lt;=40,"31-40",A84&lt;=50,"41-50",A84&gt;50,"51+")</f>
        <v>51+</v>
      </c>
      <c r="P84" t="str" cm="1">
        <f t="array" ref="P84">_xlfn.IFS(F84&lt;=45,"45 or below",F84&lt;= 60,"46-60",F84&lt;=75,"61-75",F84&lt;=90,"76-90",F84&gt;90,"91 or above")</f>
        <v>61-75</v>
      </c>
      <c r="Q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4" t="str" cm="1">
        <f t="array" ref="R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 spans="1:18" x14ac:dyDescent="0.2">
      <c r="A85">
        <f>Table1[[#This Row],[Age]]</f>
        <v>38</v>
      </c>
      <c r="B85">
        <f>IF(Table3[[#This Row],[Attrition]] = "Yes", 1,0)</f>
        <v>0</v>
      </c>
      <c r="C85" t="str">
        <f>Table1[[#This Row],[Attrition]]</f>
        <v>No</v>
      </c>
      <c r="D85" t="str">
        <f>Table1[[#This Row],[Department]]</f>
        <v>Research &amp; Development</v>
      </c>
      <c r="E85">
        <f>Table1[[#This Row],[EnvironmentSatisfaction]]</f>
        <v>2</v>
      </c>
      <c r="F85">
        <f>Table1[[#This Row],[HourlyRate]]</f>
        <v>79</v>
      </c>
      <c r="G85" t="str">
        <f>Table1[[#This Row],[JobRole]]</f>
        <v>Research Scientist</v>
      </c>
      <c r="H85">
        <f>Table1[[#This Row],[JobSatisfaction]]</f>
        <v>4</v>
      </c>
      <c r="I85">
        <f>Table1[[#This Row],[YearsAtCompany]]</f>
        <v>13</v>
      </c>
      <c r="J85">
        <f>Table1[[#This Row],[YearsSinceLastPromotion]]</f>
        <v>1</v>
      </c>
      <c r="K85">
        <f>Table1[[#This Row],[EmployeeNumber]]</f>
        <v>107</v>
      </c>
      <c r="L85">
        <f>Table1[[#This Row],[DistanceFromHome]]</f>
        <v>6</v>
      </c>
      <c r="M85" t="str">
        <f>Table1[[#This Row],[OverTime]]</f>
        <v>Yes</v>
      </c>
      <c r="N85">
        <f>Table1[[#This Row],[WorkLifeBalance]]</f>
        <v>3</v>
      </c>
      <c r="O85" t="str" cm="1">
        <f t="array" ref="O85">_xlfn.IFS(A85&lt;=30,"18-30",A85&lt;=40,"31-40",A85&lt;=50,"41-50",A85&gt;50,"51+")</f>
        <v>31-40</v>
      </c>
      <c r="P85" t="str" cm="1">
        <f t="array" ref="P85">_xlfn.IFS(F85&lt;=45,"45 or below",F85&lt;= 60,"46-60",F85&lt;=75,"61-75",F85&lt;=90,"76-90",F85&gt;90,"91 or above")</f>
        <v>76-90</v>
      </c>
      <c r="Q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5" t="str" cm="1">
        <f t="array" ref="R8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6" spans="1:18" x14ac:dyDescent="0.2">
      <c r="A86">
        <f>Table1[[#This Row],[Age]]</f>
        <v>34</v>
      </c>
      <c r="B86">
        <f>IF(Table3[[#This Row],[Attrition]] = "Yes", 1,0)</f>
        <v>0</v>
      </c>
      <c r="C86" t="str">
        <f>Table1[[#This Row],[Attrition]]</f>
        <v>No</v>
      </c>
      <c r="D86" t="str">
        <f>Table1[[#This Row],[Department]]</f>
        <v>Research &amp; Development</v>
      </c>
      <c r="E86">
        <f>Table1[[#This Row],[EnvironmentSatisfaction]]</f>
        <v>1</v>
      </c>
      <c r="F86">
        <f>Table1[[#This Row],[HourlyRate]]</f>
        <v>94</v>
      </c>
      <c r="G86" t="str">
        <f>Table1[[#This Row],[JobRole]]</f>
        <v>Manufacturing Director</v>
      </c>
      <c r="H86">
        <f>Table1[[#This Row],[JobSatisfaction]]</f>
        <v>2</v>
      </c>
      <c r="I86">
        <f>Table1[[#This Row],[YearsAtCompany]]</f>
        <v>5</v>
      </c>
      <c r="J86">
        <f>Table1[[#This Row],[YearsSinceLastPromotion]]</f>
        <v>1</v>
      </c>
      <c r="K86">
        <f>Table1[[#This Row],[EmployeeNumber]]</f>
        <v>110</v>
      </c>
      <c r="L86">
        <f>Table1[[#This Row],[DistanceFromHome]]</f>
        <v>1</v>
      </c>
      <c r="M86" t="str">
        <f>Table1[[#This Row],[OverTime]]</f>
        <v>No</v>
      </c>
      <c r="N86">
        <f>Table1[[#This Row],[WorkLifeBalance]]</f>
        <v>3</v>
      </c>
      <c r="O86" t="str" cm="1">
        <f t="array" ref="O86">_xlfn.IFS(A86&lt;=30,"18-30",A86&lt;=40,"31-40",A86&lt;=50,"41-50",A86&gt;50,"51+")</f>
        <v>31-40</v>
      </c>
      <c r="P86" t="str" cm="1">
        <f t="array" ref="P86">_xlfn.IFS(F86&lt;=45,"45 or below",F86&lt;= 60,"46-60",F86&lt;=75,"61-75",F86&lt;=90,"76-90",F86&gt;90,"91 or above")</f>
        <v>91 or above</v>
      </c>
      <c r="Q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86" t="str" cm="1">
        <f t="array" ref="R86" xml:space="preserve"> _xlfn.IFS(Table3[[#This Row],[Flight Risk Score]] = "NA","NA",Table3[[#This Row],[Flight Risk Score]] &gt;= 70,"High Risk",Table3[[#This Row],[Flight Risk Score]] &gt;= 50, "Medium Risk", Table3[[#This Row],[Flight Risk Score]] &gt;= 30,"Low Risk",Table3[[#This Row],[Flight Risk Score]] &lt; 30,"Very Low Risk")</f>
        <v>Low Risk</v>
      </c>
    </row>
    <row r="87" spans="1:18" x14ac:dyDescent="0.2">
      <c r="A87">
        <f>Table1[[#This Row],[Age]]</f>
        <v>56</v>
      </c>
      <c r="B87">
        <f>IF(Table3[[#This Row],[Attrition]] = "Yes", 1,0)</f>
        <v>0</v>
      </c>
      <c r="C87" t="str">
        <f>Table1[[#This Row],[Attrition]]</f>
        <v>No</v>
      </c>
      <c r="D87" t="str">
        <f>Table1[[#This Row],[Department]]</f>
        <v>Research &amp; Development</v>
      </c>
      <c r="E87">
        <f>Table1[[#This Row],[EnvironmentSatisfaction]]</f>
        <v>4</v>
      </c>
      <c r="F87">
        <f>Table1[[#This Row],[HourlyRate]]</f>
        <v>49</v>
      </c>
      <c r="G87" t="str">
        <f>Table1[[#This Row],[JobRole]]</f>
        <v>Manufacturing Director</v>
      </c>
      <c r="H87">
        <f>Table1[[#This Row],[JobSatisfaction]]</f>
        <v>4</v>
      </c>
      <c r="I87">
        <f>Table1[[#This Row],[YearsAtCompany]]</f>
        <v>6</v>
      </c>
      <c r="J87">
        <f>Table1[[#This Row],[YearsSinceLastPromotion]]</f>
        <v>0</v>
      </c>
      <c r="K87">
        <f>Table1[[#This Row],[EmployeeNumber]]</f>
        <v>112</v>
      </c>
      <c r="L87">
        <f>Table1[[#This Row],[DistanceFromHome]]</f>
        <v>7</v>
      </c>
      <c r="M87" t="str">
        <f>Table1[[#This Row],[OverTime]]</f>
        <v>No</v>
      </c>
      <c r="N87">
        <f>Table1[[#This Row],[WorkLifeBalance]]</f>
        <v>2</v>
      </c>
      <c r="O87" t="str" cm="1">
        <f t="array" ref="O87">_xlfn.IFS(A87&lt;=30,"18-30",A87&lt;=40,"31-40",A87&lt;=50,"41-50",A87&gt;50,"51+")</f>
        <v>51+</v>
      </c>
      <c r="P87" t="str" cm="1">
        <f t="array" ref="P87">_xlfn.IFS(F87&lt;=45,"45 or below",F87&lt;= 60,"46-60",F87&lt;=75,"61-75",F87&lt;=90,"76-90",F87&gt;90,"91 or above")</f>
        <v>46-60</v>
      </c>
      <c r="Q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7" t="str" cm="1">
        <f t="array" ref="R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8" spans="1:18" x14ac:dyDescent="0.2">
      <c r="A88">
        <f>Table1[[#This Row],[Age]]</f>
        <v>23</v>
      </c>
      <c r="B88">
        <f>IF(Table3[[#This Row],[Attrition]] = "Yes", 1,0)</f>
        <v>0</v>
      </c>
      <c r="C88" t="str">
        <f>Table1[[#This Row],[Attrition]]</f>
        <v>No</v>
      </c>
      <c r="D88" t="str">
        <f>Table1[[#This Row],[Department]]</f>
        <v>Sales</v>
      </c>
      <c r="E88">
        <f>Table1[[#This Row],[EnvironmentSatisfaction]]</f>
        <v>3</v>
      </c>
      <c r="F88">
        <f>Table1[[#This Row],[HourlyRate]]</f>
        <v>62</v>
      </c>
      <c r="G88" t="str">
        <f>Table1[[#This Row],[JobRole]]</f>
        <v>Sales Representative</v>
      </c>
      <c r="H88">
        <f>Table1[[#This Row],[JobSatisfaction]]</f>
        <v>1</v>
      </c>
      <c r="I88">
        <f>Table1[[#This Row],[YearsAtCompany]]</f>
        <v>0</v>
      </c>
      <c r="J88">
        <f>Table1[[#This Row],[YearsSinceLastPromotion]]</f>
        <v>0</v>
      </c>
      <c r="K88">
        <f>Table1[[#This Row],[EmployeeNumber]]</f>
        <v>113</v>
      </c>
      <c r="L88">
        <f>Table1[[#This Row],[DistanceFromHome]]</f>
        <v>2</v>
      </c>
      <c r="M88" t="str">
        <f>Table1[[#This Row],[OverTime]]</f>
        <v>No</v>
      </c>
      <c r="N88">
        <f>Table1[[#This Row],[WorkLifeBalance]]</f>
        <v>3</v>
      </c>
      <c r="O88" t="str" cm="1">
        <f t="array" ref="O88">_xlfn.IFS(A88&lt;=30,"18-30",A88&lt;=40,"31-40",A88&lt;=50,"41-50",A88&gt;50,"51+")</f>
        <v>18-30</v>
      </c>
      <c r="P88" t="str" cm="1">
        <f t="array" ref="P88">_xlfn.IFS(F88&lt;=45,"45 or below",F88&lt;= 60,"46-60",F88&lt;=75,"61-75",F88&lt;=90,"76-90",F88&gt;90,"91 or above")</f>
        <v>61-75</v>
      </c>
      <c r="Q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8" t="str" cm="1">
        <f t="array" ref="R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9" spans="1:18" x14ac:dyDescent="0.2">
      <c r="A89">
        <f>Table1[[#This Row],[Age]]</f>
        <v>51</v>
      </c>
      <c r="B89">
        <f>IF(Table3[[#This Row],[Attrition]] = "Yes", 1,0)</f>
        <v>0</v>
      </c>
      <c r="C89" t="str">
        <f>Table1[[#This Row],[Attrition]]</f>
        <v>No</v>
      </c>
      <c r="D89" t="str">
        <f>Table1[[#This Row],[Department]]</f>
        <v>Research &amp; Development</v>
      </c>
      <c r="E89">
        <f>Table1[[#This Row],[EnvironmentSatisfaction]]</f>
        <v>4</v>
      </c>
      <c r="F89">
        <f>Table1[[#This Row],[HourlyRate]]</f>
        <v>96</v>
      </c>
      <c r="G89" t="str">
        <f>Table1[[#This Row],[JobRole]]</f>
        <v>Laboratory Technician</v>
      </c>
      <c r="H89">
        <f>Table1[[#This Row],[JobSatisfaction]]</f>
        <v>4</v>
      </c>
      <c r="I89">
        <f>Table1[[#This Row],[YearsAtCompany]]</f>
        <v>4</v>
      </c>
      <c r="J89">
        <f>Table1[[#This Row],[YearsSinceLastPromotion]]</f>
        <v>0</v>
      </c>
      <c r="K89">
        <f>Table1[[#This Row],[EmployeeNumber]]</f>
        <v>116</v>
      </c>
      <c r="L89">
        <f>Table1[[#This Row],[DistanceFromHome]]</f>
        <v>9</v>
      </c>
      <c r="M89" t="str">
        <f>Table1[[#This Row],[OverTime]]</f>
        <v>No</v>
      </c>
      <c r="N89">
        <f>Table1[[#This Row],[WorkLifeBalance]]</f>
        <v>3</v>
      </c>
      <c r="O89" t="str" cm="1">
        <f t="array" ref="O89">_xlfn.IFS(A89&lt;=30,"18-30",A89&lt;=40,"31-40",A89&lt;=50,"41-50",A89&gt;50,"51+")</f>
        <v>51+</v>
      </c>
      <c r="P89" t="str" cm="1">
        <f t="array" ref="P89">_xlfn.IFS(F89&lt;=45,"45 or below",F89&lt;= 60,"46-60",F89&lt;=75,"61-75",F89&lt;=90,"76-90",F89&gt;90,"91 or above")</f>
        <v>91 or above</v>
      </c>
      <c r="Q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9" t="str" cm="1">
        <f t="array" ref="R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 spans="1:18" x14ac:dyDescent="0.2">
      <c r="A90">
        <f>Table1[[#This Row],[Age]]</f>
        <v>30</v>
      </c>
      <c r="B90">
        <f>IF(Table3[[#This Row],[Attrition]] = "Yes", 1,0)</f>
        <v>0</v>
      </c>
      <c r="C90" t="str">
        <f>Table1[[#This Row],[Attrition]]</f>
        <v>No</v>
      </c>
      <c r="D90" t="str">
        <f>Table1[[#This Row],[Department]]</f>
        <v>Research &amp; Development</v>
      </c>
      <c r="E90">
        <f>Table1[[#This Row],[EnvironmentSatisfaction]]</f>
        <v>3</v>
      </c>
      <c r="F90">
        <f>Table1[[#This Row],[HourlyRate]]</f>
        <v>99</v>
      </c>
      <c r="G90" t="str">
        <f>Table1[[#This Row],[JobRole]]</f>
        <v>Healthcare Representative</v>
      </c>
      <c r="H90">
        <f>Table1[[#This Row],[JobSatisfaction]]</f>
        <v>4</v>
      </c>
      <c r="I90">
        <f>Table1[[#This Row],[YearsAtCompany]]</f>
        <v>11</v>
      </c>
      <c r="J90">
        <f>Table1[[#This Row],[YearsSinceLastPromotion]]</f>
        <v>10</v>
      </c>
      <c r="K90">
        <f>Table1[[#This Row],[EmployeeNumber]]</f>
        <v>117</v>
      </c>
      <c r="L90">
        <f>Table1[[#This Row],[DistanceFromHome]]</f>
        <v>2</v>
      </c>
      <c r="M90" t="str">
        <f>Table1[[#This Row],[OverTime]]</f>
        <v>No</v>
      </c>
      <c r="N90">
        <f>Table1[[#This Row],[WorkLifeBalance]]</f>
        <v>3</v>
      </c>
      <c r="O90" t="str" cm="1">
        <f t="array" ref="O90">_xlfn.IFS(A90&lt;=30,"18-30",A90&lt;=40,"31-40",A90&lt;=50,"41-50",A90&gt;50,"51+")</f>
        <v>18-30</v>
      </c>
      <c r="P90" t="str" cm="1">
        <f t="array" ref="P90">_xlfn.IFS(F90&lt;=45,"45 or below",F90&lt;= 60,"46-60",F90&lt;=75,"61-75",F90&lt;=90,"76-90",F90&gt;90,"91 or above")</f>
        <v>91 or above</v>
      </c>
      <c r="Q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0" t="str" cm="1">
        <f t="array" ref="R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1" spans="1:18" hidden="1" x14ac:dyDescent="0.2">
      <c r="A91">
        <f>Table1[[#This Row],[Age]]</f>
        <v>46</v>
      </c>
      <c r="B91">
        <f>IF(Table3[[#This Row],[Attrition]] = "Yes", 1,0)</f>
        <v>1</v>
      </c>
      <c r="C91" t="str">
        <f>Table1[[#This Row],[Attrition]]</f>
        <v>Yes</v>
      </c>
      <c r="D91" t="str">
        <f>Table1[[#This Row],[Department]]</f>
        <v>Sales</v>
      </c>
      <c r="E91">
        <f>Table1[[#This Row],[EnvironmentSatisfaction]]</f>
        <v>3</v>
      </c>
      <c r="F91">
        <f>Table1[[#This Row],[HourlyRate]]</f>
        <v>64</v>
      </c>
      <c r="G91" t="str">
        <f>Table1[[#This Row],[JobRole]]</f>
        <v>Sales Executive</v>
      </c>
      <c r="H91">
        <f>Table1[[#This Row],[JobSatisfaction]]</f>
        <v>4</v>
      </c>
      <c r="I91">
        <f>Table1[[#This Row],[YearsAtCompany]]</f>
        <v>9</v>
      </c>
      <c r="J91">
        <f>Table1[[#This Row],[YearsSinceLastPromotion]]</f>
        <v>4</v>
      </c>
      <c r="K91">
        <f>Table1[[#This Row],[EmployeeNumber]]</f>
        <v>118</v>
      </c>
      <c r="L91">
        <f>Table1[[#This Row],[DistanceFromHome]]</f>
        <v>9</v>
      </c>
      <c r="M91" t="str">
        <f>Table1[[#This Row],[OverTime]]</f>
        <v>No</v>
      </c>
      <c r="N91">
        <f>Table1[[#This Row],[WorkLifeBalance]]</f>
        <v>3</v>
      </c>
      <c r="O91" t="str" cm="1">
        <f t="array" ref="O91">_xlfn.IFS(A91&lt;=30,"18-30",A91&lt;=40,"31-40",A91&lt;=50,"41-50",A91&gt;50,"51+")</f>
        <v>41-50</v>
      </c>
      <c r="P91" t="str" cm="1">
        <f t="array" ref="P91">_xlfn.IFS(F91&lt;=45,"45 or below",F91&lt;= 60,"46-60",F91&lt;=75,"61-75",F91&lt;=90,"76-90",F91&gt;90,"91 or above")</f>
        <v>61-75</v>
      </c>
      <c r="Q9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1" t="str" cm="1">
        <f t="array" ref="R91" xml:space="preserve"> _xlfn.IFS(Table3[[#This Row],[Flight Risk Score]] = "NA","NA",Table3[[#This Row],[Flight Risk Score]] &gt;= 70,"High Risk",Table3[[#This Row],[Flight Risk Score]] &gt;= 50, "Medium Risk", Table3[[#This Row],[Flight Risk Score]] &gt;= 30,"Low Risk",Table3[[#This Row],[Flight Risk Score]] &lt; 30,"Very Low Risk")</f>
        <v>NA</v>
      </c>
    </row>
    <row r="92" spans="1:18" x14ac:dyDescent="0.2">
      <c r="A92">
        <f>Table1[[#This Row],[Age]]</f>
        <v>40</v>
      </c>
      <c r="B92">
        <f>IF(Table3[[#This Row],[Attrition]] = "Yes", 1,0)</f>
        <v>0</v>
      </c>
      <c r="C92" t="str">
        <f>Table1[[#This Row],[Attrition]]</f>
        <v>No</v>
      </c>
      <c r="D92" t="str">
        <f>Table1[[#This Row],[Department]]</f>
        <v>Research &amp; Development</v>
      </c>
      <c r="E92">
        <f>Table1[[#This Row],[EnvironmentSatisfaction]]</f>
        <v>3</v>
      </c>
      <c r="F92">
        <f>Table1[[#This Row],[HourlyRate]]</f>
        <v>78</v>
      </c>
      <c r="G92" t="str">
        <f>Table1[[#This Row],[JobRole]]</f>
        <v>Healthcare Representative</v>
      </c>
      <c r="H92">
        <f>Table1[[#This Row],[JobSatisfaction]]</f>
        <v>2</v>
      </c>
      <c r="I92">
        <f>Table1[[#This Row],[YearsAtCompany]]</f>
        <v>22</v>
      </c>
      <c r="J92">
        <f>Table1[[#This Row],[YearsSinceLastPromotion]]</f>
        <v>11</v>
      </c>
      <c r="K92">
        <f>Table1[[#This Row],[EmployeeNumber]]</f>
        <v>119</v>
      </c>
      <c r="L92">
        <f>Table1[[#This Row],[DistanceFromHome]]</f>
        <v>1</v>
      </c>
      <c r="M92" t="str">
        <f>Table1[[#This Row],[OverTime]]</f>
        <v>No</v>
      </c>
      <c r="N92">
        <f>Table1[[#This Row],[WorkLifeBalance]]</f>
        <v>2</v>
      </c>
      <c r="O92" t="str" cm="1">
        <f t="array" ref="O92">_xlfn.IFS(A92&lt;=30,"18-30",A92&lt;=40,"31-40",A92&lt;=50,"41-50",A92&gt;50,"51+")</f>
        <v>31-40</v>
      </c>
      <c r="P92" t="str" cm="1">
        <f t="array" ref="P92">_xlfn.IFS(F92&lt;=45,"45 or below",F92&lt;= 60,"46-60",F92&lt;=75,"61-75",F92&lt;=90,"76-90",F92&gt;90,"91 or above")</f>
        <v>76-90</v>
      </c>
      <c r="Q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2" t="str" cm="1">
        <f t="array" ref="R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3" spans="1:18" x14ac:dyDescent="0.2">
      <c r="A93">
        <f>Table1[[#This Row],[Age]]</f>
        <v>51</v>
      </c>
      <c r="B93">
        <f>IF(Table3[[#This Row],[Attrition]] = "Yes", 1,0)</f>
        <v>0</v>
      </c>
      <c r="C93" t="str">
        <f>Table1[[#This Row],[Attrition]]</f>
        <v>No</v>
      </c>
      <c r="D93" t="str">
        <f>Table1[[#This Row],[Department]]</f>
        <v>Sales</v>
      </c>
      <c r="E93">
        <f>Table1[[#This Row],[EnvironmentSatisfaction]]</f>
        <v>3</v>
      </c>
      <c r="F93">
        <f>Table1[[#This Row],[HourlyRate]]</f>
        <v>71</v>
      </c>
      <c r="G93" t="str">
        <f>Table1[[#This Row],[JobRole]]</f>
        <v>Sales Executive</v>
      </c>
      <c r="H93">
        <f>Table1[[#This Row],[JobSatisfaction]]</f>
        <v>4</v>
      </c>
      <c r="I93">
        <f>Table1[[#This Row],[YearsAtCompany]]</f>
        <v>10</v>
      </c>
      <c r="J93">
        <f>Table1[[#This Row],[YearsSinceLastPromotion]]</f>
        <v>1</v>
      </c>
      <c r="K93">
        <f>Table1[[#This Row],[EmployeeNumber]]</f>
        <v>120</v>
      </c>
      <c r="L93">
        <f>Table1[[#This Row],[DistanceFromHome]]</f>
        <v>21</v>
      </c>
      <c r="M93" t="str">
        <f>Table1[[#This Row],[OverTime]]</f>
        <v>Yes</v>
      </c>
      <c r="N93">
        <f>Table1[[#This Row],[WorkLifeBalance]]</f>
        <v>1</v>
      </c>
      <c r="O93" t="str" cm="1">
        <f t="array" ref="O93">_xlfn.IFS(A93&lt;=30,"18-30",A93&lt;=40,"31-40",A93&lt;=50,"41-50",A93&gt;50,"51+")</f>
        <v>51+</v>
      </c>
      <c r="P93" t="str" cm="1">
        <f t="array" ref="P93">_xlfn.IFS(F93&lt;=45,"45 or below",F93&lt;= 60,"46-60",F93&lt;=75,"61-75",F93&lt;=90,"76-90",F93&gt;90,"91 or above")</f>
        <v>61-75</v>
      </c>
      <c r="Q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93" t="str" cm="1">
        <f t="array" ref="R93" xml:space="preserve"> _xlfn.IFS(Table3[[#This Row],[Flight Risk Score]] = "NA","NA",Table3[[#This Row],[Flight Risk Score]] &gt;= 70,"High Risk",Table3[[#This Row],[Flight Risk Score]] &gt;= 50, "Medium Risk", Table3[[#This Row],[Flight Risk Score]] &gt;= 30,"Low Risk",Table3[[#This Row],[Flight Risk Score]] &lt; 30,"Very Low Risk")</f>
        <v>High Risk</v>
      </c>
    </row>
    <row r="94" spans="1:18" x14ac:dyDescent="0.2">
      <c r="A94">
        <f>Table1[[#This Row],[Age]]</f>
        <v>30</v>
      </c>
      <c r="B94">
        <f>IF(Table3[[#This Row],[Attrition]] = "Yes", 1,0)</f>
        <v>0</v>
      </c>
      <c r="C94" t="str">
        <f>Table1[[#This Row],[Attrition]]</f>
        <v>No</v>
      </c>
      <c r="D94" t="str">
        <f>Table1[[#This Row],[Department]]</f>
        <v>Sales</v>
      </c>
      <c r="E94">
        <f>Table1[[#This Row],[EnvironmentSatisfaction]]</f>
        <v>3</v>
      </c>
      <c r="F94">
        <f>Table1[[#This Row],[HourlyRate]]</f>
        <v>63</v>
      </c>
      <c r="G94" t="str">
        <f>Table1[[#This Row],[JobRole]]</f>
        <v>Sales Executive</v>
      </c>
      <c r="H94">
        <f>Table1[[#This Row],[JobSatisfaction]]</f>
        <v>2</v>
      </c>
      <c r="I94">
        <f>Table1[[#This Row],[YearsAtCompany]]</f>
        <v>11</v>
      </c>
      <c r="J94">
        <f>Table1[[#This Row],[YearsSinceLastPromotion]]</f>
        <v>2</v>
      </c>
      <c r="K94">
        <f>Table1[[#This Row],[EmployeeNumber]]</f>
        <v>121</v>
      </c>
      <c r="L94">
        <f>Table1[[#This Row],[DistanceFromHome]]</f>
        <v>4</v>
      </c>
      <c r="M94" t="str">
        <f>Table1[[#This Row],[OverTime]]</f>
        <v>Yes</v>
      </c>
      <c r="N94">
        <f>Table1[[#This Row],[WorkLifeBalance]]</f>
        <v>2</v>
      </c>
      <c r="O94" t="str" cm="1">
        <f t="array" ref="O94">_xlfn.IFS(A94&lt;=30,"18-30",A94&lt;=40,"31-40",A94&lt;=50,"41-50",A94&gt;50,"51+")</f>
        <v>18-30</v>
      </c>
      <c r="P94" t="str" cm="1">
        <f t="array" ref="P94">_xlfn.IFS(F94&lt;=45,"45 or below",F94&lt;= 60,"46-60",F94&lt;=75,"61-75",F94&lt;=90,"76-90",F94&gt;90,"91 or above")</f>
        <v>61-75</v>
      </c>
      <c r="Q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4" t="str" cm="1">
        <f t="array" ref="R9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5" spans="1:18" x14ac:dyDescent="0.2">
      <c r="A95">
        <f>Table1[[#This Row],[Age]]</f>
        <v>46</v>
      </c>
      <c r="B95">
        <f>IF(Table3[[#This Row],[Attrition]] = "Yes", 1,0)</f>
        <v>0</v>
      </c>
      <c r="C95" t="str">
        <f>Table1[[#This Row],[Attrition]]</f>
        <v>No</v>
      </c>
      <c r="D95" t="str">
        <f>Table1[[#This Row],[Department]]</f>
        <v>Research &amp; Development</v>
      </c>
      <c r="E95">
        <f>Table1[[#This Row],[EnvironmentSatisfaction]]</f>
        <v>3</v>
      </c>
      <c r="F95">
        <f>Table1[[#This Row],[HourlyRate]]</f>
        <v>40</v>
      </c>
      <c r="G95" t="str">
        <f>Table1[[#This Row],[JobRole]]</f>
        <v>Healthcare Representative</v>
      </c>
      <c r="H95">
        <f>Table1[[#This Row],[JobSatisfaction]]</f>
        <v>1</v>
      </c>
      <c r="I95">
        <f>Table1[[#This Row],[YearsAtCompany]]</f>
        <v>10</v>
      </c>
      <c r="J95">
        <f>Table1[[#This Row],[YearsSinceLastPromotion]]</f>
        <v>9</v>
      </c>
      <c r="K95">
        <f>Table1[[#This Row],[EmployeeNumber]]</f>
        <v>124</v>
      </c>
      <c r="L95">
        <f>Table1[[#This Row],[DistanceFromHome]]</f>
        <v>1</v>
      </c>
      <c r="M95" t="str">
        <f>Table1[[#This Row],[OverTime]]</f>
        <v>Yes</v>
      </c>
      <c r="N95">
        <f>Table1[[#This Row],[WorkLifeBalance]]</f>
        <v>2</v>
      </c>
      <c r="O95" t="str" cm="1">
        <f t="array" ref="O95">_xlfn.IFS(A95&lt;=30,"18-30",A95&lt;=40,"31-40",A95&lt;=50,"41-50",A95&gt;50,"51+")</f>
        <v>41-50</v>
      </c>
      <c r="P95" t="str" cm="1">
        <f t="array" ref="P95">_xlfn.IFS(F95&lt;=45,"45 or below",F95&lt;= 60,"46-60",F95&lt;=75,"61-75",F95&lt;=90,"76-90",F95&gt;90,"91 or above")</f>
        <v>45 or below</v>
      </c>
      <c r="Q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5" t="str" cm="1">
        <f t="array" ref="R9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6" spans="1:18" x14ac:dyDescent="0.2">
      <c r="A96">
        <f>Table1[[#This Row],[Age]]</f>
        <v>32</v>
      </c>
      <c r="B96">
        <f>IF(Table3[[#This Row],[Attrition]] = "Yes", 1,0)</f>
        <v>0</v>
      </c>
      <c r="C96" t="str">
        <f>Table1[[#This Row],[Attrition]]</f>
        <v>No</v>
      </c>
      <c r="D96" t="str">
        <f>Table1[[#This Row],[Department]]</f>
        <v>Sales</v>
      </c>
      <c r="E96">
        <f>Table1[[#This Row],[EnvironmentSatisfaction]]</f>
        <v>2</v>
      </c>
      <c r="F96">
        <f>Table1[[#This Row],[HourlyRate]]</f>
        <v>87</v>
      </c>
      <c r="G96" t="str">
        <f>Table1[[#This Row],[JobRole]]</f>
        <v>Sales Executive</v>
      </c>
      <c r="H96">
        <f>Table1[[#This Row],[JobSatisfaction]]</f>
        <v>3</v>
      </c>
      <c r="I96">
        <f>Table1[[#This Row],[YearsAtCompany]]</f>
        <v>11</v>
      </c>
      <c r="J96">
        <f>Table1[[#This Row],[YearsSinceLastPromotion]]</f>
        <v>5</v>
      </c>
      <c r="K96">
        <f>Table1[[#This Row],[EmployeeNumber]]</f>
        <v>125</v>
      </c>
      <c r="L96">
        <f>Table1[[#This Row],[DistanceFromHome]]</f>
        <v>6</v>
      </c>
      <c r="M96" t="str">
        <f>Table1[[#This Row],[OverTime]]</f>
        <v>No</v>
      </c>
      <c r="N96">
        <f>Table1[[#This Row],[WorkLifeBalance]]</f>
        <v>3</v>
      </c>
      <c r="O96" t="str" cm="1">
        <f t="array" ref="O96">_xlfn.IFS(A96&lt;=30,"18-30",A96&lt;=40,"31-40",A96&lt;=50,"41-50",A96&gt;50,"51+")</f>
        <v>31-40</v>
      </c>
      <c r="P96" t="str" cm="1">
        <f t="array" ref="P96">_xlfn.IFS(F96&lt;=45,"45 or below",F96&lt;= 60,"46-60",F96&lt;=75,"61-75",F96&lt;=90,"76-90",F96&gt;90,"91 or above")</f>
        <v>76-90</v>
      </c>
      <c r="Q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6" t="str" cm="1">
        <f t="array" ref="R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 spans="1:18" x14ac:dyDescent="0.2">
      <c r="A97">
        <f>Table1[[#This Row],[Age]]</f>
        <v>54</v>
      </c>
      <c r="B97">
        <f>IF(Table3[[#This Row],[Attrition]] = "Yes", 1,0)</f>
        <v>0</v>
      </c>
      <c r="C97" t="str">
        <f>Table1[[#This Row],[Attrition]]</f>
        <v>No</v>
      </c>
      <c r="D97" t="str">
        <f>Table1[[#This Row],[Department]]</f>
        <v>Research &amp; Development</v>
      </c>
      <c r="E97">
        <f>Table1[[#This Row],[EnvironmentSatisfaction]]</f>
        <v>1</v>
      </c>
      <c r="F97">
        <f>Table1[[#This Row],[HourlyRate]]</f>
        <v>60</v>
      </c>
      <c r="G97" t="str">
        <f>Table1[[#This Row],[JobRole]]</f>
        <v>Research Director</v>
      </c>
      <c r="H97">
        <f>Table1[[#This Row],[JobSatisfaction]]</f>
        <v>3</v>
      </c>
      <c r="I97">
        <f>Table1[[#This Row],[YearsAtCompany]]</f>
        <v>4</v>
      </c>
      <c r="J97">
        <f>Table1[[#This Row],[YearsSinceLastPromotion]]</f>
        <v>0</v>
      </c>
      <c r="K97">
        <f>Table1[[#This Row],[EmployeeNumber]]</f>
        <v>126</v>
      </c>
      <c r="L97">
        <f>Table1[[#This Row],[DistanceFromHome]]</f>
        <v>2</v>
      </c>
      <c r="M97" t="str">
        <f>Table1[[#This Row],[OverTime]]</f>
        <v>No</v>
      </c>
      <c r="N97">
        <f>Table1[[#This Row],[WorkLifeBalance]]</f>
        <v>1</v>
      </c>
      <c r="O97" t="str" cm="1">
        <f t="array" ref="O97">_xlfn.IFS(A97&lt;=30,"18-30",A97&lt;=40,"31-40",A97&lt;=50,"41-50",A97&gt;50,"51+")</f>
        <v>51+</v>
      </c>
      <c r="P97" t="str" cm="1">
        <f t="array" ref="P97">_xlfn.IFS(F97&lt;=45,"45 or below",F97&lt;= 60,"46-60",F97&lt;=75,"61-75",F97&lt;=90,"76-90",F97&gt;90,"91 or above")</f>
        <v>46-60</v>
      </c>
      <c r="Q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7" t="str" cm="1">
        <f t="array" ref="R9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8" spans="1:18" x14ac:dyDescent="0.2">
      <c r="A98">
        <f>Table1[[#This Row],[Age]]</f>
        <v>24</v>
      </c>
      <c r="B98">
        <f>IF(Table3[[#This Row],[Attrition]] = "Yes", 1,0)</f>
        <v>0</v>
      </c>
      <c r="C98" t="str">
        <f>Table1[[#This Row],[Attrition]]</f>
        <v>No</v>
      </c>
      <c r="D98" t="str">
        <f>Table1[[#This Row],[Department]]</f>
        <v>Sales</v>
      </c>
      <c r="E98">
        <f>Table1[[#This Row],[EnvironmentSatisfaction]]</f>
        <v>1</v>
      </c>
      <c r="F98">
        <f>Table1[[#This Row],[HourlyRate]]</f>
        <v>33</v>
      </c>
      <c r="G98" t="str">
        <f>Table1[[#This Row],[JobRole]]</f>
        <v>Sales Executive</v>
      </c>
      <c r="H98">
        <f>Table1[[#This Row],[JobSatisfaction]]</f>
        <v>3</v>
      </c>
      <c r="I98">
        <f>Table1[[#This Row],[YearsAtCompany]]</f>
        <v>3</v>
      </c>
      <c r="J98">
        <f>Table1[[#This Row],[YearsSinceLastPromotion]]</f>
        <v>0</v>
      </c>
      <c r="K98">
        <f>Table1[[#This Row],[EmployeeNumber]]</f>
        <v>128</v>
      </c>
      <c r="L98">
        <f>Table1[[#This Row],[DistanceFromHome]]</f>
        <v>3</v>
      </c>
      <c r="M98" t="str">
        <f>Table1[[#This Row],[OverTime]]</f>
        <v>No</v>
      </c>
      <c r="N98">
        <f>Table1[[#This Row],[WorkLifeBalance]]</f>
        <v>2</v>
      </c>
      <c r="O98" t="str" cm="1">
        <f t="array" ref="O98">_xlfn.IFS(A98&lt;=30,"18-30",A98&lt;=40,"31-40",A98&lt;=50,"41-50",A98&gt;50,"51+")</f>
        <v>18-30</v>
      </c>
      <c r="P98" t="str" cm="1">
        <f t="array" ref="P98">_xlfn.IFS(F98&lt;=45,"45 or below",F98&lt;= 60,"46-60",F98&lt;=75,"61-75",F98&lt;=90,"76-90",F98&gt;90,"91 or above")</f>
        <v>45 or below</v>
      </c>
      <c r="Q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8" t="str" cm="1">
        <f t="array" ref="R9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9" spans="1:18" x14ac:dyDescent="0.2">
      <c r="A99">
        <f>Table1[[#This Row],[Age]]</f>
        <v>28</v>
      </c>
      <c r="B99">
        <f>IF(Table3[[#This Row],[Attrition]] = "Yes", 1,0)</f>
        <v>0</v>
      </c>
      <c r="C99" t="str">
        <f>Table1[[#This Row],[Attrition]]</f>
        <v>No</v>
      </c>
      <c r="D99" t="str">
        <f>Table1[[#This Row],[Department]]</f>
        <v>Sales</v>
      </c>
      <c r="E99">
        <f>Table1[[#This Row],[EnvironmentSatisfaction]]</f>
        <v>2</v>
      </c>
      <c r="F99">
        <f>Table1[[#This Row],[HourlyRate]]</f>
        <v>43</v>
      </c>
      <c r="G99" t="str">
        <f>Table1[[#This Row],[JobRole]]</f>
        <v>Sales Executive</v>
      </c>
      <c r="H99">
        <f>Table1[[#This Row],[JobSatisfaction]]</f>
        <v>3</v>
      </c>
      <c r="I99">
        <f>Table1[[#This Row],[YearsAtCompany]]</f>
        <v>5</v>
      </c>
      <c r="J99">
        <f>Table1[[#This Row],[YearsSinceLastPromotion]]</f>
        <v>0</v>
      </c>
      <c r="K99">
        <f>Table1[[#This Row],[EmployeeNumber]]</f>
        <v>129</v>
      </c>
      <c r="L99">
        <f>Table1[[#This Row],[DistanceFromHome]]</f>
        <v>4</v>
      </c>
      <c r="M99" t="str">
        <f>Table1[[#This Row],[OverTime]]</f>
        <v>No</v>
      </c>
      <c r="N99">
        <f>Table1[[#This Row],[WorkLifeBalance]]</f>
        <v>4</v>
      </c>
      <c r="O99" t="str" cm="1">
        <f t="array" ref="O99">_xlfn.IFS(A99&lt;=30,"18-30",A99&lt;=40,"31-40",A99&lt;=50,"41-50",A99&gt;50,"51+")</f>
        <v>18-30</v>
      </c>
      <c r="P99" t="str" cm="1">
        <f t="array" ref="P99">_xlfn.IFS(F99&lt;=45,"45 or below",F99&lt;= 60,"46-60",F99&lt;=75,"61-75",F99&lt;=90,"76-90",F99&gt;90,"91 or above")</f>
        <v>45 or below</v>
      </c>
      <c r="Q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9" t="str" cm="1">
        <f t="array" ref="R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 spans="1:18" x14ac:dyDescent="0.2">
      <c r="A100">
        <f>Table1[[#This Row],[Age]]</f>
        <v>58</v>
      </c>
      <c r="B100">
        <f>IF(Table3[[#This Row],[Attrition]] = "Yes", 1,0)</f>
        <v>0</v>
      </c>
      <c r="C100" t="str">
        <f>Table1[[#This Row],[Attrition]]</f>
        <v>No</v>
      </c>
      <c r="D100" t="str">
        <f>Table1[[#This Row],[Department]]</f>
        <v>Sales</v>
      </c>
      <c r="E100">
        <f>Table1[[#This Row],[EnvironmentSatisfaction]]</f>
        <v>4</v>
      </c>
      <c r="F100">
        <f>Table1[[#This Row],[HourlyRate]]</f>
        <v>37</v>
      </c>
      <c r="G100" t="str">
        <f>Table1[[#This Row],[JobRole]]</f>
        <v>Sales Executive</v>
      </c>
      <c r="H100">
        <f>Table1[[#This Row],[JobSatisfaction]]</f>
        <v>3</v>
      </c>
      <c r="I100">
        <f>Table1[[#This Row],[YearsAtCompany]]</f>
        <v>37</v>
      </c>
      <c r="J100">
        <f>Table1[[#This Row],[YearsSinceLastPromotion]]</f>
        <v>1</v>
      </c>
      <c r="K100">
        <f>Table1[[#This Row],[EmployeeNumber]]</f>
        <v>131</v>
      </c>
      <c r="L100">
        <f>Table1[[#This Row],[DistanceFromHome]]</f>
        <v>10</v>
      </c>
      <c r="M100" t="str">
        <f>Table1[[#This Row],[OverTime]]</f>
        <v>No</v>
      </c>
      <c r="N100">
        <f>Table1[[#This Row],[WorkLifeBalance]]</f>
        <v>2</v>
      </c>
      <c r="O100" t="str" cm="1">
        <f t="array" ref="O100">_xlfn.IFS(A100&lt;=30,"18-30",A100&lt;=40,"31-40",A100&lt;=50,"41-50",A100&gt;50,"51+")</f>
        <v>51+</v>
      </c>
      <c r="P100" t="str" cm="1">
        <f t="array" ref="P100">_xlfn.IFS(F100&lt;=45,"45 or below",F100&lt;= 60,"46-60",F100&lt;=75,"61-75",F100&lt;=90,"76-90",F100&gt;90,"91 or above")</f>
        <v>45 or below</v>
      </c>
      <c r="Q1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0" t="str" cm="1">
        <f t="array" ref="R1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1" spans="1:18" x14ac:dyDescent="0.2">
      <c r="A101">
        <f>Table1[[#This Row],[Age]]</f>
        <v>44</v>
      </c>
      <c r="B101">
        <f>IF(Table3[[#This Row],[Attrition]] = "Yes", 1,0)</f>
        <v>0</v>
      </c>
      <c r="C101" t="str">
        <f>Table1[[#This Row],[Attrition]]</f>
        <v>No</v>
      </c>
      <c r="D101" t="str">
        <f>Table1[[#This Row],[Department]]</f>
        <v>Research &amp; Development</v>
      </c>
      <c r="E101">
        <f>Table1[[#This Row],[EnvironmentSatisfaction]]</f>
        <v>2</v>
      </c>
      <c r="F101">
        <f>Table1[[#This Row],[HourlyRate]]</f>
        <v>67</v>
      </c>
      <c r="G101" t="str">
        <f>Table1[[#This Row],[JobRole]]</f>
        <v>Laboratory Technician</v>
      </c>
      <c r="H101">
        <f>Table1[[#This Row],[JobSatisfaction]]</f>
        <v>2</v>
      </c>
      <c r="I101">
        <f>Table1[[#This Row],[YearsAtCompany]]</f>
        <v>3</v>
      </c>
      <c r="J101">
        <f>Table1[[#This Row],[YearsSinceLastPromotion]]</f>
        <v>1</v>
      </c>
      <c r="K101">
        <f>Table1[[#This Row],[EmployeeNumber]]</f>
        <v>132</v>
      </c>
      <c r="L101">
        <f>Table1[[#This Row],[DistanceFromHome]]</f>
        <v>23</v>
      </c>
      <c r="M101" t="str">
        <f>Table1[[#This Row],[OverTime]]</f>
        <v>No</v>
      </c>
      <c r="N101">
        <f>Table1[[#This Row],[WorkLifeBalance]]</f>
        <v>4</v>
      </c>
      <c r="O101" t="str" cm="1">
        <f t="array" ref="O101">_xlfn.IFS(A101&lt;=30,"18-30",A101&lt;=40,"31-40",A101&lt;=50,"41-50",A101&gt;50,"51+")</f>
        <v>41-50</v>
      </c>
      <c r="P101" t="str" cm="1">
        <f t="array" ref="P101">_xlfn.IFS(F101&lt;=45,"45 or below",F101&lt;= 60,"46-60",F101&lt;=75,"61-75",F101&lt;=90,"76-90",F101&gt;90,"91 or above")</f>
        <v>61-75</v>
      </c>
      <c r="Q1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1" t="str" cm="1">
        <f t="array" ref="R10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2" spans="1:18" hidden="1" x14ac:dyDescent="0.2">
      <c r="A102">
        <f>Table1[[#This Row],[Age]]</f>
        <v>37</v>
      </c>
      <c r="B102">
        <f>IF(Table3[[#This Row],[Attrition]] = "Yes", 1,0)</f>
        <v>1</v>
      </c>
      <c r="C102" t="str">
        <f>Table1[[#This Row],[Attrition]]</f>
        <v>Yes</v>
      </c>
      <c r="D102" t="str">
        <f>Table1[[#This Row],[Department]]</f>
        <v>Human Resources</v>
      </c>
      <c r="E102">
        <f>Table1[[#This Row],[EnvironmentSatisfaction]]</f>
        <v>3</v>
      </c>
      <c r="F102">
        <f>Table1[[#This Row],[HourlyRate]]</f>
        <v>63</v>
      </c>
      <c r="G102" t="str">
        <f>Table1[[#This Row],[JobRole]]</f>
        <v>Human Resources</v>
      </c>
      <c r="H102">
        <f>Table1[[#This Row],[JobSatisfaction]]</f>
        <v>1</v>
      </c>
      <c r="I102">
        <f>Table1[[#This Row],[YearsAtCompany]]</f>
        <v>3</v>
      </c>
      <c r="J102">
        <f>Table1[[#This Row],[YearsSinceLastPromotion]]</f>
        <v>0</v>
      </c>
      <c r="K102">
        <f>Table1[[#This Row],[EmployeeNumber]]</f>
        <v>133</v>
      </c>
      <c r="L102">
        <f>Table1[[#This Row],[DistanceFromHome]]</f>
        <v>6</v>
      </c>
      <c r="M102" t="str">
        <f>Table1[[#This Row],[OverTime]]</f>
        <v>Yes</v>
      </c>
      <c r="N102">
        <f>Table1[[#This Row],[WorkLifeBalance]]</f>
        <v>3</v>
      </c>
      <c r="O102" t="str" cm="1">
        <f t="array" ref="O102">_xlfn.IFS(A102&lt;=30,"18-30",A102&lt;=40,"31-40",A102&lt;=50,"41-50",A102&gt;50,"51+")</f>
        <v>31-40</v>
      </c>
      <c r="P102" t="str" cm="1">
        <f t="array" ref="P102">_xlfn.IFS(F102&lt;=45,"45 or below",F102&lt;= 60,"46-60",F102&lt;=75,"61-75",F102&lt;=90,"76-90",F102&gt;90,"91 or above")</f>
        <v>61-75</v>
      </c>
      <c r="Q10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2" t="str" cm="1">
        <f t="array" ref="R102" xml:space="preserve"> _xlfn.IFS(Table3[[#This Row],[Flight Risk Score]] = "NA","NA",Table3[[#This Row],[Flight Risk Score]] &gt;= 70,"High Risk",Table3[[#This Row],[Flight Risk Score]] &gt;= 50, "Medium Risk", Table3[[#This Row],[Flight Risk Score]] &gt;= 30,"Low Risk",Table3[[#This Row],[Flight Risk Score]] &lt; 30,"Very Low Risk")</f>
        <v>NA</v>
      </c>
    </row>
    <row r="103" spans="1:18" x14ac:dyDescent="0.2">
      <c r="A103">
        <f>Table1[[#This Row],[Age]]</f>
        <v>32</v>
      </c>
      <c r="B103">
        <f>IF(Table3[[#This Row],[Attrition]] = "Yes", 1,0)</f>
        <v>0</v>
      </c>
      <c r="C103" t="str">
        <f>Table1[[#This Row],[Attrition]]</f>
        <v>No</v>
      </c>
      <c r="D103" t="str">
        <f>Table1[[#This Row],[Department]]</f>
        <v>Research &amp; Development</v>
      </c>
      <c r="E103">
        <f>Table1[[#This Row],[EnvironmentSatisfaction]]</f>
        <v>4</v>
      </c>
      <c r="F103">
        <f>Table1[[#This Row],[HourlyRate]]</f>
        <v>71</v>
      </c>
      <c r="G103" t="str">
        <f>Table1[[#This Row],[JobRole]]</f>
        <v>Research Scientist</v>
      </c>
      <c r="H103">
        <f>Table1[[#This Row],[JobSatisfaction]]</f>
        <v>1</v>
      </c>
      <c r="I103">
        <f>Table1[[#This Row],[YearsAtCompany]]</f>
        <v>1</v>
      </c>
      <c r="J103">
        <f>Table1[[#This Row],[YearsSinceLastPromotion]]</f>
        <v>0</v>
      </c>
      <c r="K103">
        <f>Table1[[#This Row],[EmployeeNumber]]</f>
        <v>134</v>
      </c>
      <c r="L103">
        <f>Table1[[#This Row],[DistanceFromHome]]</f>
        <v>1</v>
      </c>
      <c r="M103" t="str">
        <f>Table1[[#This Row],[OverTime]]</f>
        <v>No</v>
      </c>
      <c r="N103">
        <f>Table1[[#This Row],[WorkLifeBalance]]</f>
        <v>3</v>
      </c>
      <c r="O103" t="str" cm="1">
        <f t="array" ref="O103">_xlfn.IFS(A103&lt;=30,"18-30",A103&lt;=40,"31-40",A103&lt;=50,"41-50",A103&gt;50,"51+")</f>
        <v>31-40</v>
      </c>
      <c r="P103" t="str" cm="1">
        <f t="array" ref="P103">_xlfn.IFS(F103&lt;=45,"45 or below",F103&lt;= 60,"46-60",F103&lt;=75,"61-75",F103&lt;=90,"76-90",F103&gt;90,"91 or above")</f>
        <v>61-75</v>
      </c>
      <c r="Q1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3" t="str" cm="1">
        <f t="array" ref="R1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 spans="1:18" hidden="1" x14ac:dyDescent="0.2">
      <c r="A104">
        <f>Table1[[#This Row],[Age]]</f>
        <v>20</v>
      </c>
      <c r="B104">
        <f>IF(Table3[[#This Row],[Attrition]] = "Yes", 1,0)</f>
        <v>1</v>
      </c>
      <c r="C104" t="str">
        <f>Table1[[#This Row],[Attrition]]</f>
        <v>Yes</v>
      </c>
      <c r="D104" t="str">
        <f>Table1[[#This Row],[Department]]</f>
        <v>Research &amp; Development</v>
      </c>
      <c r="E104">
        <f>Table1[[#This Row],[EnvironmentSatisfaction]]</f>
        <v>4</v>
      </c>
      <c r="F104">
        <f>Table1[[#This Row],[HourlyRate]]</f>
        <v>66</v>
      </c>
      <c r="G104" t="str">
        <f>Table1[[#This Row],[JobRole]]</f>
        <v>Laboratory Technician</v>
      </c>
      <c r="H104">
        <f>Table1[[#This Row],[JobSatisfaction]]</f>
        <v>4</v>
      </c>
      <c r="I104">
        <f>Table1[[#This Row],[YearsAtCompany]]</f>
        <v>1</v>
      </c>
      <c r="J104">
        <f>Table1[[#This Row],[YearsSinceLastPromotion]]</f>
        <v>1</v>
      </c>
      <c r="K104">
        <f>Table1[[#This Row],[EmployeeNumber]]</f>
        <v>137</v>
      </c>
      <c r="L104">
        <f>Table1[[#This Row],[DistanceFromHome]]</f>
        <v>6</v>
      </c>
      <c r="M104" t="str">
        <f>Table1[[#This Row],[OverTime]]</f>
        <v>Yes</v>
      </c>
      <c r="N104">
        <f>Table1[[#This Row],[WorkLifeBalance]]</f>
        <v>3</v>
      </c>
      <c r="O104" t="str" cm="1">
        <f t="array" ref="O104">_xlfn.IFS(A104&lt;=30,"18-30",A104&lt;=40,"31-40",A104&lt;=50,"41-50",A104&gt;50,"51+")</f>
        <v>18-30</v>
      </c>
      <c r="P104" t="str" cm="1">
        <f t="array" ref="P104">_xlfn.IFS(F104&lt;=45,"45 or below",F104&lt;= 60,"46-60",F104&lt;=75,"61-75",F104&lt;=90,"76-90",F104&gt;90,"91 or above")</f>
        <v>61-75</v>
      </c>
      <c r="Q10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4" t="str" cm="1">
        <f t="array" ref="R104" xml:space="preserve"> _xlfn.IFS(Table3[[#This Row],[Flight Risk Score]] = "NA","NA",Table3[[#This Row],[Flight Risk Score]] &gt;= 70,"High Risk",Table3[[#This Row],[Flight Risk Score]] &gt;= 50, "Medium Risk", Table3[[#This Row],[Flight Risk Score]] &gt;= 30,"Low Risk",Table3[[#This Row],[Flight Risk Score]] &lt; 30,"Very Low Risk")</f>
        <v>NA</v>
      </c>
    </row>
    <row r="105" spans="1:18" x14ac:dyDescent="0.2">
      <c r="A105">
        <f>Table1[[#This Row],[Age]]</f>
        <v>34</v>
      </c>
      <c r="B105">
        <f>IF(Table3[[#This Row],[Attrition]] = "Yes", 1,0)</f>
        <v>0</v>
      </c>
      <c r="C105" t="str">
        <f>Table1[[#This Row],[Attrition]]</f>
        <v>No</v>
      </c>
      <c r="D105" t="str">
        <f>Table1[[#This Row],[Department]]</f>
        <v>Research &amp; Development</v>
      </c>
      <c r="E105">
        <f>Table1[[#This Row],[EnvironmentSatisfaction]]</f>
        <v>1</v>
      </c>
      <c r="F105">
        <f>Table1[[#This Row],[HourlyRate]]</f>
        <v>41</v>
      </c>
      <c r="G105" t="str">
        <f>Table1[[#This Row],[JobRole]]</f>
        <v>Research Scientist</v>
      </c>
      <c r="H105">
        <f>Table1[[#This Row],[JobSatisfaction]]</f>
        <v>3</v>
      </c>
      <c r="I105">
        <f>Table1[[#This Row],[YearsAtCompany]]</f>
        <v>16</v>
      </c>
      <c r="J105">
        <f>Table1[[#This Row],[YearsSinceLastPromotion]]</f>
        <v>2</v>
      </c>
      <c r="K105">
        <f>Table1[[#This Row],[EmployeeNumber]]</f>
        <v>138</v>
      </c>
      <c r="L105">
        <f>Table1[[#This Row],[DistanceFromHome]]</f>
        <v>6</v>
      </c>
      <c r="M105" t="str">
        <f>Table1[[#This Row],[OverTime]]</f>
        <v>No</v>
      </c>
      <c r="N105">
        <f>Table1[[#This Row],[WorkLifeBalance]]</f>
        <v>3</v>
      </c>
      <c r="O105" t="str" cm="1">
        <f t="array" ref="O105">_xlfn.IFS(A105&lt;=30,"18-30",A105&lt;=40,"31-40",A105&lt;=50,"41-50",A105&gt;50,"51+")</f>
        <v>31-40</v>
      </c>
      <c r="P105" t="str" cm="1">
        <f t="array" ref="P105">_xlfn.IFS(F105&lt;=45,"45 or below",F105&lt;= 60,"46-60",F105&lt;=75,"61-75",F105&lt;=90,"76-90",F105&gt;90,"91 or above")</f>
        <v>45 or below</v>
      </c>
      <c r="Q1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5" t="str" cm="1">
        <f t="array" ref="R1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6" spans="1:18" x14ac:dyDescent="0.2">
      <c r="A106">
        <f>Table1[[#This Row],[Age]]</f>
        <v>37</v>
      </c>
      <c r="B106">
        <f>IF(Table3[[#This Row],[Attrition]] = "Yes", 1,0)</f>
        <v>0</v>
      </c>
      <c r="C106" t="str">
        <f>Table1[[#This Row],[Attrition]]</f>
        <v>No</v>
      </c>
      <c r="D106" t="str">
        <f>Table1[[#This Row],[Department]]</f>
        <v>Research &amp; Development</v>
      </c>
      <c r="E106">
        <f>Table1[[#This Row],[EnvironmentSatisfaction]]</f>
        <v>3</v>
      </c>
      <c r="F106">
        <f>Table1[[#This Row],[HourlyRate]]</f>
        <v>100</v>
      </c>
      <c r="G106" t="str">
        <f>Table1[[#This Row],[JobRole]]</f>
        <v>Healthcare Representative</v>
      </c>
      <c r="H106">
        <f>Table1[[#This Row],[JobSatisfaction]]</f>
        <v>4</v>
      </c>
      <c r="I106">
        <f>Table1[[#This Row],[YearsAtCompany]]</f>
        <v>1</v>
      </c>
      <c r="J106">
        <f>Table1[[#This Row],[YearsSinceLastPromotion]]</f>
        <v>0</v>
      </c>
      <c r="K106">
        <f>Table1[[#This Row],[EmployeeNumber]]</f>
        <v>139</v>
      </c>
      <c r="L106">
        <f>Table1[[#This Row],[DistanceFromHome]]</f>
        <v>2</v>
      </c>
      <c r="M106" t="str">
        <f>Table1[[#This Row],[OverTime]]</f>
        <v>No</v>
      </c>
      <c r="N106">
        <f>Table1[[#This Row],[WorkLifeBalance]]</f>
        <v>4</v>
      </c>
      <c r="O106" t="str" cm="1">
        <f t="array" ref="O106">_xlfn.IFS(A106&lt;=30,"18-30",A106&lt;=40,"31-40",A106&lt;=50,"41-50",A106&gt;50,"51+")</f>
        <v>31-40</v>
      </c>
      <c r="P106" t="str" cm="1">
        <f t="array" ref="P106">_xlfn.IFS(F106&lt;=45,"45 or below",F106&lt;= 60,"46-60",F106&lt;=75,"61-75",F106&lt;=90,"76-90",F106&gt;90,"91 or above")</f>
        <v>91 or above</v>
      </c>
      <c r="Q1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6" t="str" cm="1">
        <f t="array" ref="R1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 spans="1:18" x14ac:dyDescent="0.2">
      <c r="A107">
        <f>Table1[[#This Row],[Age]]</f>
        <v>59</v>
      </c>
      <c r="B107">
        <f>IF(Table3[[#This Row],[Attrition]] = "Yes", 1,0)</f>
        <v>0</v>
      </c>
      <c r="C107" t="str">
        <f>Table1[[#This Row],[Attrition]]</f>
        <v>No</v>
      </c>
      <c r="D107" t="str">
        <f>Table1[[#This Row],[Department]]</f>
        <v>Human Resources</v>
      </c>
      <c r="E107">
        <f>Table1[[#This Row],[EnvironmentSatisfaction]]</f>
        <v>3</v>
      </c>
      <c r="F107">
        <f>Table1[[#This Row],[HourlyRate]]</f>
        <v>32</v>
      </c>
      <c r="G107" t="str">
        <f>Table1[[#This Row],[JobRole]]</f>
        <v>Manager</v>
      </c>
      <c r="H107">
        <f>Table1[[#This Row],[JobSatisfaction]]</f>
        <v>4</v>
      </c>
      <c r="I107">
        <f>Table1[[#This Row],[YearsAtCompany]]</f>
        <v>3</v>
      </c>
      <c r="J107">
        <f>Table1[[#This Row],[YearsSinceLastPromotion]]</f>
        <v>2</v>
      </c>
      <c r="K107">
        <f>Table1[[#This Row],[EmployeeNumber]]</f>
        <v>140</v>
      </c>
      <c r="L107">
        <f>Table1[[#This Row],[DistanceFromHome]]</f>
        <v>2</v>
      </c>
      <c r="M107" t="str">
        <f>Table1[[#This Row],[OverTime]]</f>
        <v>No</v>
      </c>
      <c r="N107">
        <f>Table1[[#This Row],[WorkLifeBalance]]</f>
        <v>3</v>
      </c>
      <c r="O107" t="str" cm="1">
        <f t="array" ref="O107">_xlfn.IFS(A107&lt;=30,"18-30",A107&lt;=40,"31-40",A107&lt;=50,"41-50",A107&gt;50,"51+")</f>
        <v>51+</v>
      </c>
      <c r="P107" t="str" cm="1">
        <f t="array" ref="P107">_xlfn.IFS(F107&lt;=45,"45 or below",F107&lt;= 60,"46-60",F107&lt;=75,"61-75",F107&lt;=90,"76-90",F107&gt;90,"91 or above")</f>
        <v>45 or below</v>
      </c>
      <c r="Q1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7" t="str" cm="1">
        <f t="array" ref="R10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8" spans="1:18" x14ac:dyDescent="0.2">
      <c r="A108">
        <f>Table1[[#This Row],[Age]]</f>
        <v>50</v>
      </c>
      <c r="B108">
        <f>IF(Table3[[#This Row],[Attrition]] = "Yes", 1,0)</f>
        <v>0</v>
      </c>
      <c r="C108" t="str">
        <f>Table1[[#This Row],[Attrition]]</f>
        <v>No</v>
      </c>
      <c r="D108" t="str">
        <f>Table1[[#This Row],[Department]]</f>
        <v>Research &amp; Development</v>
      </c>
      <c r="E108">
        <f>Table1[[#This Row],[EnvironmentSatisfaction]]</f>
        <v>1</v>
      </c>
      <c r="F108">
        <f>Table1[[#This Row],[HourlyRate]]</f>
        <v>73</v>
      </c>
      <c r="G108" t="str">
        <f>Table1[[#This Row],[JobRole]]</f>
        <v>Research Director</v>
      </c>
      <c r="H108">
        <f>Table1[[#This Row],[JobSatisfaction]]</f>
        <v>2</v>
      </c>
      <c r="I108">
        <f>Table1[[#This Row],[YearsAtCompany]]</f>
        <v>8</v>
      </c>
      <c r="J108">
        <f>Table1[[#This Row],[YearsSinceLastPromotion]]</f>
        <v>0</v>
      </c>
      <c r="K108">
        <f>Table1[[#This Row],[EmployeeNumber]]</f>
        <v>141</v>
      </c>
      <c r="L108">
        <f>Table1[[#This Row],[DistanceFromHome]]</f>
        <v>1</v>
      </c>
      <c r="M108" t="str">
        <f>Table1[[#This Row],[OverTime]]</f>
        <v>Yes</v>
      </c>
      <c r="N108">
        <f>Table1[[#This Row],[WorkLifeBalance]]</f>
        <v>2</v>
      </c>
      <c r="O108" t="str" cm="1">
        <f t="array" ref="O108">_xlfn.IFS(A108&lt;=30,"18-30",A108&lt;=40,"31-40",A108&lt;=50,"41-50",A108&gt;50,"51+")</f>
        <v>41-50</v>
      </c>
      <c r="P108" t="str" cm="1">
        <f t="array" ref="P108">_xlfn.IFS(F108&lt;=45,"45 or below",F108&lt;= 60,"46-60",F108&lt;=75,"61-75",F108&lt;=90,"76-90",F108&gt;90,"91 or above")</f>
        <v>61-75</v>
      </c>
      <c r="Q1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08" t="str" cm="1">
        <f t="array" ref="R10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9" spans="1:18" hidden="1" x14ac:dyDescent="0.2">
      <c r="A109">
        <f>Table1[[#This Row],[Age]]</f>
        <v>25</v>
      </c>
      <c r="B109">
        <f>IF(Table3[[#This Row],[Attrition]] = "Yes", 1,0)</f>
        <v>1</v>
      </c>
      <c r="C109" t="str">
        <f>Table1[[#This Row],[Attrition]]</f>
        <v>Yes</v>
      </c>
      <c r="D109" t="str">
        <f>Table1[[#This Row],[Department]]</f>
        <v>Sales</v>
      </c>
      <c r="E109">
        <f>Table1[[#This Row],[EnvironmentSatisfaction]]</f>
        <v>3</v>
      </c>
      <c r="F109">
        <f>Table1[[#This Row],[HourlyRate]]</f>
        <v>46</v>
      </c>
      <c r="G109" t="str">
        <f>Table1[[#This Row],[JobRole]]</f>
        <v>Sales Executive</v>
      </c>
      <c r="H109">
        <f>Table1[[#This Row],[JobSatisfaction]]</f>
        <v>3</v>
      </c>
      <c r="I109">
        <f>Table1[[#This Row],[YearsAtCompany]]</f>
        <v>6</v>
      </c>
      <c r="J109">
        <f>Table1[[#This Row],[YearsSinceLastPromotion]]</f>
        <v>0</v>
      </c>
      <c r="K109">
        <f>Table1[[#This Row],[EmployeeNumber]]</f>
        <v>142</v>
      </c>
      <c r="L109">
        <f>Table1[[#This Row],[DistanceFromHome]]</f>
        <v>5</v>
      </c>
      <c r="M109" t="str">
        <f>Table1[[#This Row],[OverTime]]</f>
        <v>Yes</v>
      </c>
      <c r="N109">
        <f>Table1[[#This Row],[WorkLifeBalance]]</f>
        <v>3</v>
      </c>
      <c r="O109" t="str" cm="1">
        <f t="array" ref="O109">_xlfn.IFS(A109&lt;=30,"18-30",A109&lt;=40,"31-40",A109&lt;=50,"41-50",A109&gt;50,"51+")</f>
        <v>18-30</v>
      </c>
      <c r="P109" t="str" cm="1">
        <f t="array" ref="P109">_xlfn.IFS(F109&lt;=45,"45 or below",F109&lt;= 60,"46-60",F109&lt;=75,"61-75",F109&lt;=90,"76-90",F109&gt;90,"91 or above")</f>
        <v>46-60</v>
      </c>
      <c r="Q10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9" t="str" cm="1">
        <f t="array" ref="R109" xml:space="preserve"> _xlfn.IFS(Table3[[#This Row],[Flight Risk Score]] = "NA","NA",Table3[[#This Row],[Flight Risk Score]] &gt;= 70,"High Risk",Table3[[#This Row],[Flight Risk Score]] &gt;= 50, "Medium Risk", Table3[[#This Row],[Flight Risk Score]] &gt;= 30,"Low Risk",Table3[[#This Row],[Flight Risk Score]] &lt; 30,"Very Low Risk")</f>
        <v>NA</v>
      </c>
    </row>
    <row r="110" spans="1:18" x14ac:dyDescent="0.2">
      <c r="A110">
        <f>Table1[[#This Row],[Age]]</f>
        <v>25</v>
      </c>
      <c r="B110">
        <f>IF(Table3[[#This Row],[Attrition]] = "Yes", 1,0)</f>
        <v>0</v>
      </c>
      <c r="C110" t="str">
        <f>Table1[[#This Row],[Attrition]]</f>
        <v>No</v>
      </c>
      <c r="D110" t="str">
        <f>Table1[[#This Row],[Department]]</f>
        <v>Research &amp; Development</v>
      </c>
      <c r="E110">
        <f>Table1[[#This Row],[EnvironmentSatisfaction]]</f>
        <v>4</v>
      </c>
      <c r="F110">
        <f>Table1[[#This Row],[HourlyRate]]</f>
        <v>64</v>
      </c>
      <c r="G110" t="str">
        <f>Table1[[#This Row],[JobRole]]</f>
        <v>Research Scientist</v>
      </c>
      <c r="H110">
        <f>Table1[[#This Row],[JobSatisfaction]]</f>
        <v>4</v>
      </c>
      <c r="I110">
        <f>Table1[[#This Row],[YearsAtCompany]]</f>
        <v>2</v>
      </c>
      <c r="J110">
        <f>Table1[[#This Row],[YearsSinceLastPromotion]]</f>
        <v>2</v>
      </c>
      <c r="K110">
        <f>Table1[[#This Row],[EmployeeNumber]]</f>
        <v>143</v>
      </c>
      <c r="L110">
        <f>Table1[[#This Row],[DistanceFromHome]]</f>
        <v>7</v>
      </c>
      <c r="M110" t="str">
        <f>Table1[[#This Row],[OverTime]]</f>
        <v>No</v>
      </c>
      <c r="N110">
        <f>Table1[[#This Row],[WorkLifeBalance]]</f>
        <v>3</v>
      </c>
      <c r="O110" t="str" cm="1">
        <f t="array" ref="O110">_xlfn.IFS(A110&lt;=30,"18-30",A110&lt;=40,"31-40",A110&lt;=50,"41-50",A110&gt;50,"51+")</f>
        <v>18-30</v>
      </c>
      <c r="P110" t="str" cm="1">
        <f t="array" ref="P110">_xlfn.IFS(F110&lt;=45,"45 or below",F110&lt;= 60,"46-60",F110&lt;=75,"61-75",F110&lt;=90,"76-90",F110&gt;90,"91 or above")</f>
        <v>61-75</v>
      </c>
      <c r="Q1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0" t="str" cm="1">
        <f t="array" ref="R1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 spans="1:18" x14ac:dyDescent="0.2">
      <c r="A111">
        <f>Table1[[#This Row],[Age]]</f>
        <v>22</v>
      </c>
      <c r="B111">
        <f>IF(Table3[[#This Row],[Attrition]] = "Yes", 1,0)</f>
        <v>0</v>
      </c>
      <c r="C111" t="str">
        <f>Table1[[#This Row],[Attrition]]</f>
        <v>No</v>
      </c>
      <c r="D111" t="str">
        <f>Table1[[#This Row],[Department]]</f>
        <v>Research &amp; Development</v>
      </c>
      <c r="E111">
        <f>Table1[[#This Row],[EnvironmentSatisfaction]]</f>
        <v>2</v>
      </c>
      <c r="F111">
        <f>Table1[[#This Row],[HourlyRate]]</f>
        <v>59</v>
      </c>
      <c r="G111" t="str">
        <f>Table1[[#This Row],[JobRole]]</f>
        <v>Laboratory Technician</v>
      </c>
      <c r="H111">
        <f>Table1[[#This Row],[JobSatisfaction]]</f>
        <v>4</v>
      </c>
      <c r="I111">
        <f>Table1[[#This Row],[YearsAtCompany]]</f>
        <v>0</v>
      </c>
      <c r="J111">
        <f>Table1[[#This Row],[YearsSinceLastPromotion]]</f>
        <v>0</v>
      </c>
      <c r="K111">
        <f>Table1[[#This Row],[EmployeeNumber]]</f>
        <v>144</v>
      </c>
      <c r="L111">
        <f>Table1[[#This Row],[DistanceFromHome]]</f>
        <v>15</v>
      </c>
      <c r="M111" t="str">
        <f>Table1[[#This Row],[OverTime]]</f>
        <v>No</v>
      </c>
      <c r="N111">
        <f>Table1[[#This Row],[WorkLifeBalance]]</f>
        <v>3</v>
      </c>
      <c r="O111" t="str" cm="1">
        <f t="array" ref="O111">_xlfn.IFS(A111&lt;=30,"18-30",A111&lt;=40,"31-40",A111&lt;=50,"41-50",A111&gt;50,"51+")</f>
        <v>18-30</v>
      </c>
      <c r="P111" t="str" cm="1">
        <f t="array" ref="P111">_xlfn.IFS(F111&lt;=45,"45 or below",F111&lt;= 60,"46-60",F111&lt;=75,"61-75",F111&lt;=90,"76-90",F111&gt;90,"91 or above")</f>
        <v>46-60</v>
      </c>
      <c r="Q1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1" t="str" cm="1">
        <f t="array" ref="R1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 spans="1:18" x14ac:dyDescent="0.2">
      <c r="A112">
        <f>Table1[[#This Row],[Age]]</f>
        <v>51</v>
      </c>
      <c r="B112">
        <f>IF(Table3[[#This Row],[Attrition]] = "Yes", 1,0)</f>
        <v>0</v>
      </c>
      <c r="C112" t="str">
        <f>Table1[[#This Row],[Attrition]]</f>
        <v>No</v>
      </c>
      <c r="D112" t="str">
        <f>Table1[[#This Row],[Department]]</f>
        <v>Research &amp; Development</v>
      </c>
      <c r="E112">
        <f>Table1[[#This Row],[EnvironmentSatisfaction]]</f>
        <v>1</v>
      </c>
      <c r="F112">
        <f>Table1[[#This Row],[HourlyRate]]</f>
        <v>30</v>
      </c>
      <c r="G112" t="str">
        <f>Table1[[#This Row],[JobRole]]</f>
        <v>Healthcare Representative</v>
      </c>
      <c r="H112">
        <f>Table1[[#This Row],[JobSatisfaction]]</f>
        <v>1</v>
      </c>
      <c r="I112">
        <f>Table1[[#This Row],[YearsAtCompany]]</f>
        <v>13</v>
      </c>
      <c r="J112">
        <f>Table1[[#This Row],[YearsSinceLastPromotion]]</f>
        <v>12</v>
      </c>
      <c r="K112">
        <f>Table1[[#This Row],[EmployeeNumber]]</f>
        <v>145</v>
      </c>
      <c r="L112">
        <f>Table1[[#This Row],[DistanceFromHome]]</f>
        <v>1</v>
      </c>
      <c r="M112" t="str">
        <f>Table1[[#This Row],[OverTime]]</f>
        <v>No</v>
      </c>
      <c r="N112">
        <f>Table1[[#This Row],[WorkLifeBalance]]</f>
        <v>2</v>
      </c>
      <c r="O112" t="str" cm="1">
        <f t="array" ref="O112">_xlfn.IFS(A112&lt;=30,"18-30",A112&lt;=40,"31-40",A112&lt;=50,"41-50",A112&gt;50,"51+")</f>
        <v>51+</v>
      </c>
      <c r="P112" t="str" cm="1">
        <f t="array" ref="P112">_xlfn.IFS(F112&lt;=45,"45 or below",F112&lt;= 60,"46-60",F112&lt;=75,"61-75",F112&lt;=90,"76-90",F112&gt;90,"91 or above")</f>
        <v>45 or below</v>
      </c>
      <c r="Q1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2" t="str" cm="1">
        <f t="array" ref="R11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3" spans="1:18" hidden="1" x14ac:dyDescent="0.2">
      <c r="A113">
        <f>Table1[[#This Row],[Age]]</f>
        <v>34</v>
      </c>
      <c r="B113">
        <f>IF(Table3[[#This Row],[Attrition]] = "Yes", 1,0)</f>
        <v>1</v>
      </c>
      <c r="C113" t="str">
        <f>Table1[[#This Row],[Attrition]]</f>
        <v>Yes</v>
      </c>
      <c r="D113" t="str">
        <f>Table1[[#This Row],[Department]]</f>
        <v>Research &amp; Development</v>
      </c>
      <c r="E113">
        <f>Table1[[#This Row],[EnvironmentSatisfaction]]</f>
        <v>1</v>
      </c>
      <c r="F113">
        <f>Table1[[#This Row],[HourlyRate]]</f>
        <v>66</v>
      </c>
      <c r="G113" t="str">
        <f>Table1[[#This Row],[JobRole]]</f>
        <v>Laboratory Technician</v>
      </c>
      <c r="H113">
        <f>Table1[[#This Row],[JobSatisfaction]]</f>
        <v>3</v>
      </c>
      <c r="I113">
        <f>Table1[[#This Row],[YearsAtCompany]]</f>
        <v>9</v>
      </c>
      <c r="J113">
        <f>Table1[[#This Row],[YearsSinceLastPromotion]]</f>
        <v>0</v>
      </c>
      <c r="K113">
        <f>Table1[[#This Row],[EmployeeNumber]]</f>
        <v>147</v>
      </c>
      <c r="L113">
        <f>Table1[[#This Row],[DistanceFromHome]]</f>
        <v>7</v>
      </c>
      <c r="M113" t="str">
        <f>Table1[[#This Row],[OverTime]]</f>
        <v>Yes</v>
      </c>
      <c r="N113">
        <f>Table1[[#This Row],[WorkLifeBalance]]</f>
        <v>3</v>
      </c>
      <c r="O113" t="str" cm="1">
        <f t="array" ref="O113">_xlfn.IFS(A113&lt;=30,"18-30",A113&lt;=40,"31-40",A113&lt;=50,"41-50",A113&gt;50,"51+")</f>
        <v>31-40</v>
      </c>
      <c r="P113" t="str" cm="1">
        <f t="array" ref="P113">_xlfn.IFS(F113&lt;=45,"45 or below",F113&lt;= 60,"46-60",F113&lt;=75,"61-75",F113&lt;=90,"76-90",F113&gt;90,"91 or above")</f>
        <v>61-75</v>
      </c>
      <c r="Q11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3" t="str" cm="1">
        <f t="array" ref="R113" xml:space="preserve"> _xlfn.IFS(Table3[[#This Row],[Flight Risk Score]] = "NA","NA",Table3[[#This Row],[Flight Risk Score]] &gt;= 70,"High Risk",Table3[[#This Row],[Flight Risk Score]] &gt;= 50, "Medium Risk", Table3[[#This Row],[Flight Risk Score]] &gt;= 30,"Low Risk",Table3[[#This Row],[Flight Risk Score]] &lt; 30,"Very Low Risk")</f>
        <v>NA</v>
      </c>
    </row>
    <row r="114" spans="1:18" x14ac:dyDescent="0.2">
      <c r="A114">
        <f>Table1[[#This Row],[Age]]</f>
        <v>54</v>
      </c>
      <c r="B114">
        <f>IF(Table3[[#This Row],[Attrition]] = "Yes", 1,0)</f>
        <v>0</v>
      </c>
      <c r="C114" t="str">
        <f>Table1[[#This Row],[Attrition]]</f>
        <v>No</v>
      </c>
      <c r="D114" t="str">
        <f>Table1[[#This Row],[Department]]</f>
        <v>Human Resources</v>
      </c>
      <c r="E114">
        <f>Table1[[#This Row],[EnvironmentSatisfaction]]</f>
        <v>4</v>
      </c>
      <c r="F114">
        <f>Table1[[#This Row],[HourlyRate]]</f>
        <v>30</v>
      </c>
      <c r="G114" t="str">
        <f>Table1[[#This Row],[JobRole]]</f>
        <v>Manager</v>
      </c>
      <c r="H114">
        <f>Table1[[#This Row],[JobSatisfaction]]</f>
        <v>4</v>
      </c>
      <c r="I114">
        <f>Table1[[#This Row],[YearsAtCompany]]</f>
        <v>5</v>
      </c>
      <c r="J114">
        <f>Table1[[#This Row],[YearsSinceLastPromotion]]</f>
        <v>4</v>
      </c>
      <c r="K114">
        <f>Table1[[#This Row],[EmployeeNumber]]</f>
        <v>148</v>
      </c>
      <c r="L114">
        <f>Table1[[#This Row],[DistanceFromHome]]</f>
        <v>26</v>
      </c>
      <c r="M114" t="str">
        <f>Table1[[#This Row],[OverTime]]</f>
        <v>Yes</v>
      </c>
      <c r="N114">
        <f>Table1[[#This Row],[WorkLifeBalance]]</f>
        <v>3</v>
      </c>
      <c r="O114" t="str" cm="1">
        <f t="array" ref="O114">_xlfn.IFS(A114&lt;=30,"18-30",A114&lt;=40,"31-40",A114&lt;=50,"41-50",A114&gt;50,"51+")</f>
        <v>51+</v>
      </c>
      <c r="P114" t="str" cm="1">
        <f t="array" ref="P114">_xlfn.IFS(F114&lt;=45,"45 or below",F114&lt;= 60,"46-60",F114&lt;=75,"61-75",F114&lt;=90,"76-90",F114&gt;90,"91 or above")</f>
        <v>45 or below</v>
      </c>
      <c r="Q1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4" t="str" cm="1">
        <f t="array" ref="R11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5" spans="1:18" x14ac:dyDescent="0.2">
      <c r="A115">
        <f>Table1[[#This Row],[Age]]</f>
        <v>24</v>
      </c>
      <c r="B115">
        <f>IF(Table3[[#This Row],[Attrition]] = "Yes", 1,0)</f>
        <v>0</v>
      </c>
      <c r="C115" t="str">
        <f>Table1[[#This Row],[Attrition]]</f>
        <v>No</v>
      </c>
      <c r="D115" t="str">
        <f>Table1[[#This Row],[Department]]</f>
        <v>Research &amp; Development</v>
      </c>
      <c r="E115">
        <f>Table1[[#This Row],[EnvironmentSatisfaction]]</f>
        <v>2</v>
      </c>
      <c r="F115">
        <f>Table1[[#This Row],[HourlyRate]]</f>
        <v>52</v>
      </c>
      <c r="G115" t="str">
        <f>Table1[[#This Row],[JobRole]]</f>
        <v>Laboratory Technician</v>
      </c>
      <c r="H115">
        <f>Table1[[#This Row],[JobSatisfaction]]</f>
        <v>3</v>
      </c>
      <c r="I115">
        <f>Table1[[#This Row],[YearsAtCompany]]</f>
        <v>5</v>
      </c>
      <c r="J115">
        <f>Table1[[#This Row],[YearsSinceLastPromotion]]</f>
        <v>1</v>
      </c>
      <c r="K115">
        <f>Table1[[#This Row],[EmployeeNumber]]</f>
        <v>150</v>
      </c>
      <c r="L115">
        <f>Table1[[#This Row],[DistanceFromHome]]</f>
        <v>18</v>
      </c>
      <c r="M115" t="str">
        <f>Table1[[#This Row],[OverTime]]</f>
        <v>No</v>
      </c>
      <c r="N115">
        <f>Table1[[#This Row],[WorkLifeBalance]]</f>
        <v>3</v>
      </c>
      <c r="O115" t="str" cm="1">
        <f t="array" ref="O115">_xlfn.IFS(A115&lt;=30,"18-30",A115&lt;=40,"31-40",A115&lt;=50,"41-50",A115&gt;50,"51+")</f>
        <v>18-30</v>
      </c>
      <c r="P115" t="str" cm="1">
        <f t="array" ref="P115">_xlfn.IFS(F115&lt;=45,"45 or below",F115&lt;= 60,"46-60",F115&lt;=75,"61-75",F115&lt;=90,"76-90",F115&gt;90,"91 or above")</f>
        <v>46-60</v>
      </c>
      <c r="Q1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5" t="str" cm="1">
        <f t="array" ref="R1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6" spans="1:18" x14ac:dyDescent="0.2">
      <c r="A116">
        <f>Table1[[#This Row],[Age]]</f>
        <v>34</v>
      </c>
      <c r="B116">
        <f>IF(Table3[[#This Row],[Attrition]] = "Yes", 1,0)</f>
        <v>0</v>
      </c>
      <c r="C116" t="str">
        <f>Table1[[#This Row],[Attrition]]</f>
        <v>No</v>
      </c>
      <c r="D116" t="str">
        <f>Table1[[#This Row],[Department]]</f>
        <v>Research &amp; Development</v>
      </c>
      <c r="E116">
        <f>Table1[[#This Row],[EnvironmentSatisfaction]]</f>
        <v>3</v>
      </c>
      <c r="F116">
        <f>Table1[[#This Row],[HourlyRate]]</f>
        <v>45</v>
      </c>
      <c r="G116" t="str">
        <f>Table1[[#This Row],[JobRole]]</f>
        <v>Research Scientist</v>
      </c>
      <c r="H116">
        <f>Table1[[#This Row],[JobSatisfaction]]</f>
        <v>2</v>
      </c>
      <c r="I116">
        <f>Table1[[#This Row],[YearsAtCompany]]</f>
        <v>1</v>
      </c>
      <c r="J116">
        <f>Table1[[#This Row],[YearsSinceLastPromotion]]</f>
        <v>0</v>
      </c>
      <c r="K116">
        <f>Table1[[#This Row],[EmployeeNumber]]</f>
        <v>151</v>
      </c>
      <c r="L116">
        <f>Table1[[#This Row],[DistanceFromHome]]</f>
        <v>6</v>
      </c>
      <c r="M116" t="str">
        <f>Table1[[#This Row],[OverTime]]</f>
        <v>No</v>
      </c>
      <c r="N116">
        <f>Table1[[#This Row],[WorkLifeBalance]]</f>
        <v>3</v>
      </c>
      <c r="O116" t="str" cm="1">
        <f t="array" ref="O116">_xlfn.IFS(A116&lt;=30,"18-30",A116&lt;=40,"31-40",A116&lt;=50,"41-50",A116&gt;50,"51+")</f>
        <v>31-40</v>
      </c>
      <c r="P116" t="str" cm="1">
        <f t="array" ref="P116">_xlfn.IFS(F116&lt;=45,"45 or below",F116&lt;= 60,"46-60",F116&lt;=75,"61-75",F116&lt;=90,"76-90",F116&gt;90,"91 or above")</f>
        <v>45 or below</v>
      </c>
      <c r="Q1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6" t="str" cm="1">
        <f t="array" ref="R11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7" spans="1:18" x14ac:dyDescent="0.2">
      <c r="A117">
        <f>Table1[[#This Row],[Age]]</f>
        <v>37</v>
      </c>
      <c r="B117">
        <f>IF(Table3[[#This Row],[Attrition]] = "Yes", 1,0)</f>
        <v>0</v>
      </c>
      <c r="C117" t="str">
        <f>Table1[[#This Row],[Attrition]]</f>
        <v>No</v>
      </c>
      <c r="D117" t="str">
        <f>Table1[[#This Row],[Department]]</f>
        <v>Sales</v>
      </c>
      <c r="E117">
        <f>Table1[[#This Row],[EnvironmentSatisfaction]]</f>
        <v>3</v>
      </c>
      <c r="F117">
        <f>Table1[[#This Row],[HourlyRate]]</f>
        <v>87</v>
      </c>
      <c r="G117" t="str">
        <f>Table1[[#This Row],[JobRole]]</f>
        <v>Sales Executive</v>
      </c>
      <c r="H117">
        <f>Table1[[#This Row],[JobSatisfaction]]</f>
        <v>4</v>
      </c>
      <c r="I117">
        <f>Table1[[#This Row],[YearsAtCompany]]</f>
        <v>5</v>
      </c>
      <c r="J117">
        <f>Table1[[#This Row],[YearsSinceLastPromotion]]</f>
        <v>1</v>
      </c>
      <c r="K117">
        <f>Table1[[#This Row],[EmployeeNumber]]</f>
        <v>152</v>
      </c>
      <c r="L117">
        <f>Table1[[#This Row],[DistanceFromHome]]</f>
        <v>3</v>
      </c>
      <c r="M117" t="str">
        <f>Table1[[#This Row],[OverTime]]</f>
        <v>No</v>
      </c>
      <c r="N117">
        <f>Table1[[#This Row],[WorkLifeBalance]]</f>
        <v>3</v>
      </c>
      <c r="O117" t="str" cm="1">
        <f t="array" ref="O117">_xlfn.IFS(A117&lt;=30,"18-30",A117&lt;=40,"31-40",A117&lt;=50,"41-50",A117&gt;50,"51+")</f>
        <v>31-40</v>
      </c>
      <c r="P117" t="str" cm="1">
        <f t="array" ref="P117">_xlfn.IFS(F117&lt;=45,"45 or below",F117&lt;= 60,"46-60",F117&lt;=75,"61-75",F117&lt;=90,"76-90",F117&gt;90,"91 or above")</f>
        <v>76-90</v>
      </c>
      <c r="Q1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7" t="str" cm="1">
        <f t="array" ref="R11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 spans="1:18" x14ac:dyDescent="0.2">
      <c r="A118">
        <f>Table1[[#This Row],[Age]]</f>
        <v>34</v>
      </c>
      <c r="B118">
        <f>IF(Table3[[#This Row],[Attrition]] = "Yes", 1,0)</f>
        <v>0</v>
      </c>
      <c r="C118" t="str">
        <f>Table1[[#This Row],[Attrition]]</f>
        <v>No</v>
      </c>
      <c r="D118" t="str">
        <f>Table1[[#This Row],[Department]]</f>
        <v>Research &amp; Development</v>
      </c>
      <c r="E118">
        <f>Table1[[#This Row],[EnvironmentSatisfaction]]</f>
        <v>3</v>
      </c>
      <c r="F118">
        <f>Table1[[#This Row],[HourlyRate]]</f>
        <v>45</v>
      </c>
      <c r="G118" t="str">
        <f>Table1[[#This Row],[JobRole]]</f>
        <v>Manager</v>
      </c>
      <c r="H118">
        <f>Table1[[#This Row],[JobSatisfaction]]</f>
        <v>1</v>
      </c>
      <c r="I118">
        <f>Table1[[#This Row],[YearsAtCompany]]</f>
        <v>11</v>
      </c>
      <c r="J118">
        <f>Table1[[#This Row],[YearsSinceLastPromotion]]</f>
        <v>5</v>
      </c>
      <c r="K118">
        <f>Table1[[#This Row],[EmployeeNumber]]</f>
        <v>153</v>
      </c>
      <c r="L118">
        <f>Table1[[#This Row],[DistanceFromHome]]</f>
        <v>5</v>
      </c>
      <c r="M118" t="str">
        <f>Table1[[#This Row],[OverTime]]</f>
        <v>No</v>
      </c>
      <c r="N118">
        <f>Table1[[#This Row],[WorkLifeBalance]]</f>
        <v>3</v>
      </c>
      <c r="O118" t="str" cm="1">
        <f t="array" ref="O118">_xlfn.IFS(A118&lt;=30,"18-30",A118&lt;=40,"31-40",A118&lt;=50,"41-50",A118&gt;50,"51+")</f>
        <v>31-40</v>
      </c>
      <c r="P118" t="str" cm="1">
        <f t="array" ref="P118">_xlfn.IFS(F118&lt;=45,"45 or below",F118&lt;= 60,"46-60",F118&lt;=75,"61-75",F118&lt;=90,"76-90",F118&gt;90,"91 or above")</f>
        <v>45 or below</v>
      </c>
      <c r="Q1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8" t="str" cm="1">
        <f t="array" ref="R1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 spans="1:18" x14ac:dyDescent="0.2">
      <c r="A119">
        <f>Table1[[#This Row],[Age]]</f>
        <v>36</v>
      </c>
      <c r="B119">
        <f>IF(Table3[[#This Row],[Attrition]] = "Yes", 1,0)</f>
        <v>0</v>
      </c>
      <c r="C119" t="str">
        <f>Table1[[#This Row],[Attrition]]</f>
        <v>No</v>
      </c>
      <c r="D119" t="str">
        <f>Table1[[#This Row],[Department]]</f>
        <v>Sales</v>
      </c>
      <c r="E119">
        <f>Table1[[#This Row],[EnvironmentSatisfaction]]</f>
        <v>2</v>
      </c>
      <c r="F119">
        <f>Table1[[#This Row],[HourlyRate]]</f>
        <v>92</v>
      </c>
      <c r="G119" t="str">
        <f>Table1[[#This Row],[JobRole]]</f>
        <v>Sales Executive</v>
      </c>
      <c r="H119">
        <f>Table1[[#This Row],[JobSatisfaction]]</f>
        <v>4</v>
      </c>
      <c r="I119">
        <f>Table1[[#This Row],[YearsAtCompany]]</f>
        <v>9</v>
      </c>
      <c r="J119">
        <f>Table1[[#This Row],[YearsSinceLastPromotion]]</f>
        <v>2</v>
      </c>
      <c r="K119">
        <f>Table1[[#This Row],[EmployeeNumber]]</f>
        <v>154</v>
      </c>
      <c r="L119">
        <f>Table1[[#This Row],[DistanceFromHome]]</f>
        <v>11</v>
      </c>
      <c r="M119" t="str">
        <f>Table1[[#This Row],[OverTime]]</f>
        <v>No</v>
      </c>
      <c r="N119">
        <f>Table1[[#This Row],[WorkLifeBalance]]</f>
        <v>3</v>
      </c>
      <c r="O119" t="str" cm="1">
        <f t="array" ref="O119">_xlfn.IFS(A119&lt;=30,"18-30",A119&lt;=40,"31-40",A119&lt;=50,"41-50",A119&gt;50,"51+")</f>
        <v>31-40</v>
      </c>
      <c r="P119" t="str" cm="1">
        <f t="array" ref="P119">_xlfn.IFS(F119&lt;=45,"45 or below",F119&lt;= 60,"46-60",F119&lt;=75,"61-75",F119&lt;=90,"76-90",F119&gt;90,"91 or above")</f>
        <v>91 or above</v>
      </c>
      <c r="Q1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9" t="str" cm="1">
        <f t="array" ref="R1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0" spans="1:18" x14ac:dyDescent="0.2">
      <c r="A120">
        <f>Table1[[#This Row],[Age]]</f>
        <v>36</v>
      </c>
      <c r="B120">
        <f>IF(Table3[[#This Row],[Attrition]] = "Yes", 1,0)</f>
        <v>0</v>
      </c>
      <c r="C120" t="str">
        <f>Table1[[#This Row],[Attrition]]</f>
        <v>No</v>
      </c>
      <c r="D120" t="str">
        <f>Table1[[#This Row],[Department]]</f>
        <v>Research &amp; Development</v>
      </c>
      <c r="E120">
        <f>Table1[[#This Row],[EnvironmentSatisfaction]]</f>
        <v>1</v>
      </c>
      <c r="F120">
        <f>Table1[[#This Row],[HourlyRate]]</f>
        <v>39</v>
      </c>
      <c r="G120" t="str">
        <f>Table1[[#This Row],[JobRole]]</f>
        <v>Laboratory Technician</v>
      </c>
      <c r="H120">
        <f>Table1[[#This Row],[JobSatisfaction]]</f>
        <v>4</v>
      </c>
      <c r="I120">
        <f>Table1[[#This Row],[YearsAtCompany]]</f>
        <v>1</v>
      </c>
      <c r="J120">
        <f>Table1[[#This Row],[YearsSinceLastPromotion]]</f>
        <v>0</v>
      </c>
      <c r="K120">
        <f>Table1[[#This Row],[EmployeeNumber]]</f>
        <v>155</v>
      </c>
      <c r="L120">
        <f>Table1[[#This Row],[DistanceFromHome]]</f>
        <v>3</v>
      </c>
      <c r="M120" t="str">
        <f>Table1[[#This Row],[OverTime]]</f>
        <v>No</v>
      </c>
      <c r="N120">
        <f>Table1[[#This Row],[WorkLifeBalance]]</f>
        <v>3</v>
      </c>
      <c r="O120" t="str" cm="1">
        <f t="array" ref="O120">_xlfn.IFS(A120&lt;=30,"18-30",A120&lt;=40,"31-40",A120&lt;=50,"41-50",A120&gt;50,"51+")</f>
        <v>31-40</v>
      </c>
      <c r="P120" t="str" cm="1">
        <f t="array" ref="P120">_xlfn.IFS(F120&lt;=45,"45 or below",F120&lt;= 60,"46-60",F120&lt;=75,"61-75",F120&lt;=90,"76-90",F120&gt;90,"91 or above")</f>
        <v>45 or below</v>
      </c>
      <c r="Q1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0" t="str" cm="1">
        <f t="array" ref="R1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1" spans="1:18" x14ac:dyDescent="0.2">
      <c r="A121">
        <f>Table1[[#This Row],[Age]]</f>
        <v>43</v>
      </c>
      <c r="B121">
        <f>IF(Table3[[#This Row],[Attrition]] = "Yes", 1,0)</f>
        <v>0</v>
      </c>
      <c r="C121" t="str">
        <f>Table1[[#This Row],[Attrition]]</f>
        <v>No</v>
      </c>
      <c r="D121" t="str">
        <f>Table1[[#This Row],[Department]]</f>
        <v>Sales</v>
      </c>
      <c r="E121">
        <f>Table1[[#This Row],[EnvironmentSatisfaction]]</f>
        <v>3</v>
      </c>
      <c r="F121">
        <f>Table1[[#This Row],[HourlyRate]]</f>
        <v>92</v>
      </c>
      <c r="G121" t="str">
        <f>Table1[[#This Row],[JobRole]]</f>
        <v>Manager</v>
      </c>
      <c r="H121">
        <f>Table1[[#This Row],[JobSatisfaction]]</f>
        <v>4</v>
      </c>
      <c r="I121">
        <f>Table1[[#This Row],[YearsAtCompany]]</f>
        <v>25</v>
      </c>
      <c r="J121">
        <f>Table1[[#This Row],[YearsSinceLastPromotion]]</f>
        <v>4</v>
      </c>
      <c r="K121">
        <f>Table1[[#This Row],[EmployeeNumber]]</f>
        <v>158</v>
      </c>
      <c r="L121">
        <f>Table1[[#This Row],[DistanceFromHome]]</f>
        <v>26</v>
      </c>
      <c r="M121" t="str">
        <f>Table1[[#This Row],[OverTime]]</f>
        <v>Yes</v>
      </c>
      <c r="N121">
        <f>Table1[[#This Row],[WorkLifeBalance]]</f>
        <v>4</v>
      </c>
      <c r="O121" t="str" cm="1">
        <f t="array" ref="O121">_xlfn.IFS(A121&lt;=30,"18-30",A121&lt;=40,"31-40",A121&lt;=50,"41-50",A121&gt;50,"51+")</f>
        <v>41-50</v>
      </c>
      <c r="P121" t="str" cm="1">
        <f t="array" ref="P121">_xlfn.IFS(F121&lt;=45,"45 or below",F121&lt;= 60,"46-60",F121&lt;=75,"61-75",F121&lt;=90,"76-90",F121&gt;90,"91 or above")</f>
        <v>91 or above</v>
      </c>
      <c r="Q1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1" t="str" cm="1">
        <f t="array" ref="R12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2" spans="1:18" x14ac:dyDescent="0.2">
      <c r="A122">
        <f>Table1[[#This Row],[Age]]</f>
        <v>30</v>
      </c>
      <c r="B122">
        <f>IF(Table3[[#This Row],[Attrition]] = "Yes", 1,0)</f>
        <v>0</v>
      </c>
      <c r="C122" t="str">
        <f>Table1[[#This Row],[Attrition]]</f>
        <v>No</v>
      </c>
      <c r="D122" t="str">
        <f>Table1[[#This Row],[Department]]</f>
        <v>Research &amp; Development</v>
      </c>
      <c r="E122">
        <f>Table1[[#This Row],[EnvironmentSatisfaction]]</f>
        <v>1</v>
      </c>
      <c r="F122">
        <f>Table1[[#This Row],[HourlyRate]]</f>
        <v>96</v>
      </c>
      <c r="G122" t="str">
        <f>Table1[[#This Row],[JobRole]]</f>
        <v>Research Scientist</v>
      </c>
      <c r="H122">
        <f>Table1[[#This Row],[JobSatisfaction]]</f>
        <v>3</v>
      </c>
      <c r="I122">
        <f>Table1[[#This Row],[YearsAtCompany]]</f>
        <v>10</v>
      </c>
      <c r="J122">
        <f>Table1[[#This Row],[YearsSinceLastPromotion]]</f>
        <v>0</v>
      </c>
      <c r="K122">
        <f>Table1[[#This Row],[EmployeeNumber]]</f>
        <v>159</v>
      </c>
      <c r="L122">
        <f>Table1[[#This Row],[DistanceFromHome]]</f>
        <v>23</v>
      </c>
      <c r="M122" t="str">
        <f>Table1[[#This Row],[OverTime]]</f>
        <v>No</v>
      </c>
      <c r="N122">
        <f>Table1[[#This Row],[WorkLifeBalance]]</f>
        <v>2</v>
      </c>
      <c r="O122" t="str" cm="1">
        <f t="array" ref="O122">_xlfn.IFS(A122&lt;=30,"18-30",A122&lt;=40,"31-40",A122&lt;=50,"41-50",A122&gt;50,"51+")</f>
        <v>18-30</v>
      </c>
      <c r="P122" t="str" cm="1">
        <f t="array" ref="P122">_xlfn.IFS(F122&lt;=45,"45 or below",F122&lt;= 60,"46-60",F122&lt;=75,"61-75",F122&lt;=90,"76-90",F122&gt;90,"91 or above")</f>
        <v>91 or above</v>
      </c>
      <c r="Q1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2" t="str" cm="1">
        <f t="array" ref="R1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3" spans="1:18" x14ac:dyDescent="0.2">
      <c r="A123">
        <f>Table1[[#This Row],[Age]]</f>
        <v>33</v>
      </c>
      <c r="B123">
        <f>IF(Table3[[#This Row],[Attrition]] = "Yes", 1,0)</f>
        <v>0</v>
      </c>
      <c r="C123" t="str">
        <f>Table1[[#This Row],[Attrition]]</f>
        <v>No</v>
      </c>
      <c r="D123" t="str">
        <f>Table1[[#This Row],[Department]]</f>
        <v>Sales</v>
      </c>
      <c r="E123">
        <f>Table1[[#This Row],[EnvironmentSatisfaction]]</f>
        <v>3</v>
      </c>
      <c r="F123">
        <f>Table1[[#This Row],[HourlyRate]]</f>
        <v>95</v>
      </c>
      <c r="G123" t="str">
        <f>Table1[[#This Row],[JobRole]]</f>
        <v>Sales Executive</v>
      </c>
      <c r="H123">
        <f>Table1[[#This Row],[JobSatisfaction]]</f>
        <v>2</v>
      </c>
      <c r="I123">
        <f>Table1[[#This Row],[YearsAtCompany]]</f>
        <v>7</v>
      </c>
      <c r="J123">
        <f>Table1[[#This Row],[YearsSinceLastPromotion]]</f>
        <v>0</v>
      </c>
      <c r="K123">
        <f>Table1[[#This Row],[EmployeeNumber]]</f>
        <v>160</v>
      </c>
      <c r="L123">
        <f>Table1[[#This Row],[DistanceFromHome]]</f>
        <v>22</v>
      </c>
      <c r="M123" t="str">
        <f>Table1[[#This Row],[OverTime]]</f>
        <v>No</v>
      </c>
      <c r="N123">
        <f>Table1[[#This Row],[WorkLifeBalance]]</f>
        <v>4</v>
      </c>
      <c r="O123" t="str" cm="1">
        <f t="array" ref="O123">_xlfn.IFS(A123&lt;=30,"18-30",A123&lt;=40,"31-40",A123&lt;=50,"41-50",A123&gt;50,"51+")</f>
        <v>31-40</v>
      </c>
      <c r="P123" t="str" cm="1">
        <f t="array" ref="P123">_xlfn.IFS(F123&lt;=45,"45 or below",F123&lt;= 60,"46-60",F123&lt;=75,"61-75",F123&lt;=90,"76-90",F123&gt;90,"91 or above")</f>
        <v>91 or above</v>
      </c>
      <c r="Q1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3" t="str" cm="1">
        <f t="array" ref="R1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4" spans="1:18" hidden="1" x14ac:dyDescent="0.2">
      <c r="A124">
        <f>Table1[[#This Row],[Age]]</f>
        <v>56</v>
      </c>
      <c r="B124">
        <f>IF(Table3[[#This Row],[Attrition]] = "Yes", 1,0)</f>
        <v>1</v>
      </c>
      <c r="C124" t="str">
        <f>Table1[[#This Row],[Attrition]]</f>
        <v>Yes</v>
      </c>
      <c r="D124" t="str">
        <f>Table1[[#This Row],[Department]]</f>
        <v>Research &amp; Development</v>
      </c>
      <c r="E124">
        <f>Table1[[#This Row],[EnvironmentSatisfaction]]</f>
        <v>2</v>
      </c>
      <c r="F124">
        <f>Table1[[#This Row],[HourlyRate]]</f>
        <v>72</v>
      </c>
      <c r="G124" t="str">
        <f>Table1[[#This Row],[JobRole]]</f>
        <v>Research Scientist</v>
      </c>
      <c r="H124">
        <f>Table1[[#This Row],[JobSatisfaction]]</f>
        <v>2</v>
      </c>
      <c r="I124">
        <f>Table1[[#This Row],[YearsAtCompany]]</f>
        <v>5</v>
      </c>
      <c r="J124">
        <f>Table1[[#This Row],[YearsSinceLastPromotion]]</f>
        <v>4</v>
      </c>
      <c r="K124">
        <f>Table1[[#This Row],[EmployeeNumber]]</f>
        <v>161</v>
      </c>
      <c r="L124">
        <f>Table1[[#This Row],[DistanceFromHome]]</f>
        <v>14</v>
      </c>
      <c r="M124" t="str">
        <f>Table1[[#This Row],[OverTime]]</f>
        <v>Yes</v>
      </c>
      <c r="N124">
        <f>Table1[[#This Row],[WorkLifeBalance]]</f>
        <v>3</v>
      </c>
      <c r="O124" t="str" cm="1">
        <f t="array" ref="O124">_xlfn.IFS(A124&lt;=30,"18-30",A124&lt;=40,"31-40",A124&lt;=50,"41-50",A124&gt;50,"51+")</f>
        <v>51+</v>
      </c>
      <c r="P124" t="str" cm="1">
        <f t="array" ref="P124">_xlfn.IFS(F124&lt;=45,"45 or below",F124&lt;= 60,"46-60",F124&lt;=75,"61-75",F124&lt;=90,"76-90",F124&gt;90,"91 or above")</f>
        <v>61-75</v>
      </c>
      <c r="Q12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4" t="str" cm="1">
        <f t="array" ref="R124" xml:space="preserve"> _xlfn.IFS(Table3[[#This Row],[Flight Risk Score]] = "NA","NA",Table3[[#This Row],[Flight Risk Score]] &gt;= 70,"High Risk",Table3[[#This Row],[Flight Risk Score]] &gt;= 50, "Medium Risk", Table3[[#This Row],[Flight Risk Score]] &gt;= 30,"Low Risk",Table3[[#This Row],[Flight Risk Score]] &lt; 30,"Very Low Risk")</f>
        <v>NA</v>
      </c>
    </row>
    <row r="125" spans="1:18" x14ac:dyDescent="0.2">
      <c r="A125">
        <f>Table1[[#This Row],[Age]]</f>
        <v>51</v>
      </c>
      <c r="B125">
        <f>IF(Table3[[#This Row],[Attrition]] = "Yes", 1,0)</f>
        <v>0</v>
      </c>
      <c r="C125" t="str">
        <f>Table1[[#This Row],[Attrition]]</f>
        <v>No</v>
      </c>
      <c r="D125" t="str">
        <f>Table1[[#This Row],[Department]]</f>
        <v>Research &amp; Development</v>
      </c>
      <c r="E125">
        <f>Table1[[#This Row],[EnvironmentSatisfaction]]</f>
        <v>1</v>
      </c>
      <c r="F125">
        <f>Table1[[#This Row],[HourlyRate]]</f>
        <v>51</v>
      </c>
      <c r="G125" t="str">
        <f>Table1[[#This Row],[JobRole]]</f>
        <v>Research Director</v>
      </c>
      <c r="H125">
        <f>Table1[[#This Row],[JobSatisfaction]]</f>
        <v>3</v>
      </c>
      <c r="I125">
        <f>Table1[[#This Row],[YearsAtCompany]]</f>
        <v>20</v>
      </c>
      <c r="J125">
        <f>Table1[[#This Row],[YearsSinceLastPromotion]]</f>
        <v>15</v>
      </c>
      <c r="K125">
        <f>Table1[[#This Row],[EmployeeNumber]]</f>
        <v>162</v>
      </c>
      <c r="L125">
        <f>Table1[[#This Row],[DistanceFromHome]]</f>
        <v>6</v>
      </c>
      <c r="M125" t="str">
        <f>Table1[[#This Row],[OverTime]]</f>
        <v>No</v>
      </c>
      <c r="N125">
        <f>Table1[[#This Row],[WorkLifeBalance]]</f>
        <v>3</v>
      </c>
      <c r="O125" t="str" cm="1">
        <f t="array" ref="O125">_xlfn.IFS(A125&lt;=30,"18-30",A125&lt;=40,"31-40",A125&lt;=50,"41-50",A125&gt;50,"51+")</f>
        <v>51+</v>
      </c>
      <c r="P125" t="str" cm="1">
        <f t="array" ref="P125">_xlfn.IFS(F125&lt;=45,"45 or below",F125&lt;= 60,"46-60",F125&lt;=75,"61-75",F125&lt;=90,"76-90",F125&gt;90,"91 or above")</f>
        <v>46-60</v>
      </c>
      <c r="Q1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5" t="str" cm="1">
        <f t="array" ref="R1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6" spans="1:18" hidden="1" x14ac:dyDescent="0.2">
      <c r="A126">
        <f>Table1[[#This Row],[Age]]</f>
        <v>31</v>
      </c>
      <c r="B126">
        <f>IF(Table3[[#This Row],[Attrition]] = "Yes", 1,0)</f>
        <v>1</v>
      </c>
      <c r="C126" t="str">
        <f>Table1[[#This Row],[Attrition]]</f>
        <v>Yes</v>
      </c>
      <c r="D126" t="str">
        <f>Table1[[#This Row],[Department]]</f>
        <v>Sales</v>
      </c>
      <c r="E126">
        <f>Table1[[#This Row],[EnvironmentSatisfaction]]</f>
        <v>2</v>
      </c>
      <c r="F126">
        <f>Table1[[#This Row],[HourlyRate]]</f>
        <v>76</v>
      </c>
      <c r="G126" t="str">
        <f>Table1[[#This Row],[JobRole]]</f>
        <v>Sales Executive</v>
      </c>
      <c r="H126">
        <f>Table1[[#This Row],[JobSatisfaction]]</f>
        <v>3</v>
      </c>
      <c r="I126">
        <f>Table1[[#This Row],[YearsAtCompany]]</f>
        <v>7</v>
      </c>
      <c r="J126">
        <f>Table1[[#This Row],[YearsSinceLastPromotion]]</f>
        <v>7</v>
      </c>
      <c r="K126">
        <f>Table1[[#This Row],[EmployeeNumber]]</f>
        <v>163</v>
      </c>
      <c r="L126">
        <f>Table1[[#This Row],[DistanceFromHome]]</f>
        <v>6</v>
      </c>
      <c r="M126" t="str">
        <f>Table1[[#This Row],[OverTime]]</f>
        <v>Yes</v>
      </c>
      <c r="N126">
        <f>Table1[[#This Row],[WorkLifeBalance]]</f>
        <v>2</v>
      </c>
      <c r="O126" t="str" cm="1">
        <f t="array" ref="O126">_xlfn.IFS(A126&lt;=30,"18-30",A126&lt;=40,"31-40",A126&lt;=50,"41-50",A126&gt;50,"51+")</f>
        <v>31-40</v>
      </c>
      <c r="P126" t="str" cm="1">
        <f t="array" ref="P126">_xlfn.IFS(F126&lt;=45,"45 or below",F126&lt;= 60,"46-60",F126&lt;=75,"61-75",F126&lt;=90,"76-90",F126&gt;90,"91 or above")</f>
        <v>76-90</v>
      </c>
      <c r="Q12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6" t="str" cm="1">
        <f t="array" ref="R126" xml:space="preserve"> _xlfn.IFS(Table3[[#This Row],[Flight Risk Score]] = "NA","NA",Table3[[#This Row],[Flight Risk Score]] &gt;= 70,"High Risk",Table3[[#This Row],[Flight Risk Score]] &gt;= 50, "Medium Risk", Table3[[#This Row],[Flight Risk Score]] &gt;= 30,"Low Risk",Table3[[#This Row],[Flight Risk Score]] &lt; 30,"Very Low Risk")</f>
        <v>NA</v>
      </c>
    </row>
    <row r="127" spans="1:18" x14ac:dyDescent="0.2">
      <c r="A127">
        <f>Table1[[#This Row],[Age]]</f>
        <v>26</v>
      </c>
      <c r="B127">
        <f>IF(Table3[[#This Row],[Attrition]] = "Yes", 1,0)</f>
        <v>0</v>
      </c>
      <c r="C127" t="str">
        <f>Table1[[#This Row],[Attrition]]</f>
        <v>No</v>
      </c>
      <c r="D127" t="str">
        <f>Table1[[#This Row],[Department]]</f>
        <v>Research &amp; Development</v>
      </c>
      <c r="E127">
        <f>Table1[[#This Row],[EnvironmentSatisfaction]]</f>
        <v>3</v>
      </c>
      <c r="F127">
        <f>Table1[[#This Row],[HourlyRate]]</f>
        <v>46</v>
      </c>
      <c r="G127" t="str">
        <f>Table1[[#This Row],[JobRole]]</f>
        <v>Research Scientist</v>
      </c>
      <c r="H127">
        <f>Table1[[#This Row],[JobSatisfaction]]</f>
        <v>2</v>
      </c>
      <c r="I127">
        <f>Table1[[#This Row],[YearsAtCompany]]</f>
        <v>5</v>
      </c>
      <c r="J127">
        <f>Table1[[#This Row],[YearsSinceLastPromotion]]</f>
        <v>4</v>
      </c>
      <c r="K127">
        <f>Table1[[#This Row],[EmployeeNumber]]</f>
        <v>164</v>
      </c>
      <c r="L127">
        <f>Table1[[#This Row],[DistanceFromHome]]</f>
        <v>6</v>
      </c>
      <c r="M127" t="str">
        <f>Table1[[#This Row],[OverTime]]</f>
        <v>No</v>
      </c>
      <c r="N127">
        <f>Table1[[#This Row],[WorkLifeBalance]]</f>
        <v>2</v>
      </c>
      <c r="O127" t="str" cm="1">
        <f t="array" ref="O127">_xlfn.IFS(A127&lt;=30,"18-30",A127&lt;=40,"31-40",A127&lt;=50,"41-50",A127&gt;50,"51+")</f>
        <v>18-30</v>
      </c>
      <c r="P127" t="str" cm="1">
        <f t="array" ref="P127">_xlfn.IFS(F127&lt;=45,"45 or below",F127&lt;= 60,"46-60",F127&lt;=75,"61-75",F127&lt;=90,"76-90",F127&gt;90,"91 or above")</f>
        <v>46-60</v>
      </c>
      <c r="Q1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7" t="str" cm="1">
        <f t="array" ref="R1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8" spans="1:18" hidden="1" x14ac:dyDescent="0.2">
      <c r="A128">
        <f>Table1[[#This Row],[Age]]</f>
        <v>58</v>
      </c>
      <c r="B128">
        <f>IF(Table3[[#This Row],[Attrition]] = "Yes", 1,0)</f>
        <v>1</v>
      </c>
      <c r="C128" t="str">
        <f>Table1[[#This Row],[Attrition]]</f>
        <v>Yes</v>
      </c>
      <c r="D128" t="str">
        <f>Table1[[#This Row],[Department]]</f>
        <v>Research &amp; Development</v>
      </c>
      <c r="E128">
        <f>Table1[[#This Row],[EnvironmentSatisfaction]]</f>
        <v>4</v>
      </c>
      <c r="F128">
        <f>Table1[[#This Row],[HourlyRate]]</f>
        <v>94</v>
      </c>
      <c r="G128" t="str">
        <f>Table1[[#This Row],[JobRole]]</f>
        <v>Healthcare Representative</v>
      </c>
      <c r="H128">
        <f>Table1[[#This Row],[JobSatisfaction]]</f>
        <v>4</v>
      </c>
      <c r="I128">
        <f>Table1[[#This Row],[YearsAtCompany]]</f>
        <v>40</v>
      </c>
      <c r="J128">
        <f>Table1[[#This Row],[YearsSinceLastPromotion]]</f>
        <v>15</v>
      </c>
      <c r="K128">
        <f>Table1[[#This Row],[EmployeeNumber]]</f>
        <v>165</v>
      </c>
      <c r="L128">
        <f>Table1[[#This Row],[DistanceFromHome]]</f>
        <v>23</v>
      </c>
      <c r="M128" t="str">
        <f>Table1[[#This Row],[OverTime]]</f>
        <v>No</v>
      </c>
      <c r="N128">
        <f>Table1[[#This Row],[WorkLifeBalance]]</f>
        <v>2</v>
      </c>
      <c r="O128" t="str" cm="1">
        <f t="array" ref="O128">_xlfn.IFS(A128&lt;=30,"18-30",A128&lt;=40,"31-40",A128&lt;=50,"41-50",A128&gt;50,"51+")</f>
        <v>51+</v>
      </c>
      <c r="P128" t="str" cm="1">
        <f t="array" ref="P128">_xlfn.IFS(F128&lt;=45,"45 or below",F128&lt;= 60,"46-60",F128&lt;=75,"61-75",F128&lt;=90,"76-90",F128&gt;90,"91 or above")</f>
        <v>91 or above</v>
      </c>
      <c r="Q12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8" t="str" cm="1">
        <f t="array" ref="R128" xml:space="preserve"> _xlfn.IFS(Table3[[#This Row],[Flight Risk Score]] = "NA","NA",Table3[[#This Row],[Flight Risk Score]] &gt;= 70,"High Risk",Table3[[#This Row],[Flight Risk Score]] &gt;= 50, "Medium Risk", Table3[[#This Row],[Flight Risk Score]] &gt;= 30,"Low Risk",Table3[[#This Row],[Flight Risk Score]] &lt; 30,"Very Low Risk")</f>
        <v>NA</v>
      </c>
    </row>
    <row r="129" spans="1:18" hidden="1" x14ac:dyDescent="0.2">
      <c r="A129">
        <f>Table1[[#This Row],[Age]]</f>
        <v>19</v>
      </c>
      <c r="B129">
        <f>IF(Table3[[#This Row],[Attrition]] = "Yes", 1,0)</f>
        <v>1</v>
      </c>
      <c r="C129" t="str">
        <f>Table1[[#This Row],[Attrition]]</f>
        <v>Yes</v>
      </c>
      <c r="D129" t="str">
        <f>Table1[[#This Row],[Department]]</f>
        <v>Sales</v>
      </c>
      <c r="E129">
        <f>Table1[[#This Row],[EnvironmentSatisfaction]]</f>
        <v>4</v>
      </c>
      <c r="F129">
        <f>Table1[[#This Row],[HourlyRate]]</f>
        <v>50</v>
      </c>
      <c r="G129" t="str">
        <f>Table1[[#This Row],[JobRole]]</f>
        <v>Sales Representative</v>
      </c>
      <c r="H129">
        <f>Table1[[#This Row],[JobSatisfaction]]</f>
        <v>3</v>
      </c>
      <c r="I129">
        <f>Table1[[#This Row],[YearsAtCompany]]</f>
        <v>0</v>
      </c>
      <c r="J129">
        <f>Table1[[#This Row],[YearsSinceLastPromotion]]</f>
        <v>0</v>
      </c>
      <c r="K129">
        <f>Table1[[#This Row],[EmployeeNumber]]</f>
        <v>167</v>
      </c>
      <c r="L129">
        <f>Table1[[#This Row],[DistanceFromHome]]</f>
        <v>22</v>
      </c>
      <c r="M129" t="str">
        <f>Table1[[#This Row],[OverTime]]</f>
        <v>Yes</v>
      </c>
      <c r="N129">
        <f>Table1[[#This Row],[WorkLifeBalance]]</f>
        <v>2</v>
      </c>
      <c r="O129" t="str" cm="1">
        <f t="array" ref="O129">_xlfn.IFS(A129&lt;=30,"18-30",A129&lt;=40,"31-40",A129&lt;=50,"41-50",A129&gt;50,"51+")</f>
        <v>18-30</v>
      </c>
      <c r="P129" t="str" cm="1">
        <f t="array" ref="P129">_xlfn.IFS(F129&lt;=45,"45 or below",F129&lt;= 60,"46-60",F129&lt;=75,"61-75",F129&lt;=90,"76-90",F129&gt;90,"91 or above")</f>
        <v>46-60</v>
      </c>
      <c r="Q12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9" t="str" cm="1">
        <f t="array" ref="R129" xml:space="preserve"> _xlfn.IFS(Table3[[#This Row],[Flight Risk Score]] = "NA","NA",Table3[[#This Row],[Flight Risk Score]] &gt;= 70,"High Risk",Table3[[#This Row],[Flight Risk Score]] &gt;= 50, "Medium Risk", Table3[[#This Row],[Flight Risk Score]] &gt;= 30,"Low Risk",Table3[[#This Row],[Flight Risk Score]] &lt; 30,"Very Low Risk")</f>
        <v>NA</v>
      </c>
    </row>
    <row r="130" spans="1:18" x14ac:dyDescent="0.2">
      <c r="A130">
        <f>Table1[[#This Row],[Age]]</f>
        <v>22</v>
      </c>
      <c r="B130">
        <f>IF(Table3[[#This Row],[Attrition]] = "Yes", 1,0)</f>
        <v>0</v>
      </c>
      <c r="C130" t="str">
        <f>Table1[[#This Row],[Attrition]]</f>
        <v>No</v>
      </c>
      <c r="D130" t="str">
        <f>Table1[[#This Row],[Department]]</f>
        <v>Research &amp; Development</v>
      </c>
      <c r="E130">
        <f>Table1[[#This Row],[EnvironmentSatisfaction]]</f>
        <v>3</v>
      </c>
      <c r="F130">
        <f>Table1[[#This Row],[HourlyRate]]</f>
        <v>100</v>
      </c>
      <c r="G130" t="str">
        <f>Table1[[#This Row],[JobRole]]</f>
        <v>Laboratory Technician</v>
      </c>
      <c r="H130">
        <f>Table1[[#This Row],[JobSatisfaction]]</f>
        <v>4</v>
      </c>
      <c r="I130">
        <f>Table1[[#This Row],[YearsAtCompany]]</f>
        <v>2</v>
      </c>
      <c r="J130">
        <f>Table1[[#This Row],[YearsSinceLastPromotion]]</f>
        <v>2</v>
      </c>
      <c r="K130">
        <f>Table1[[#This Row],[EmployeeNumber]]</f>
        <v>169</v>
      </c>
      <c r="L130">
        <f>Table1[[#This Row],[DistanceFromHome]]</f>
        <v>2</v>
      </c>
      <c r="M130" t="str">
        <f>Table1[[#This Row],[OverTime]]</f>
        <v>No</v>
      </c>
      <c r="N130">
        <f>Table1[[#This Row],[WorkLifeBalance]]</f>
        <v>3</v>
      </c>
      <c r="O130" t="str" cm="1">
        <f t="array" ref="O130">_xlfn.IFS(A130&lt;=30,"18-30",A130&lt;=40,"31-40",A130&lt;=50,"41-50",A130&gt;50,"51+")</f>
        <v>18-30</v>
      </c>
      <c r="P130" t="str" cm="1">
        <f t="array" ref="P130">_xlfn.IFS(F130&lt;=45,"45 or below",F130&lt;= 60,"46-60",F130&lt;=75,"61-75",F130&lt;=90,"76-90",F130&gt;90,"91 or above")</f>
        <v>91 or above</v>
      </c>
      <c r="Q1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0" t="str" cm="1">
        <f t="array" ref="R1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1" spans="1:18" x14ac:dyDescent="0.2">
      <c r="A131">
        <f>Table1[[#This Row],[Age]]</f>
        <v>49</v>
      </c>
      <c r="B131">
        <f>IF(Table3[[#This Row],[Attrition]] = "Yes", 1,0)</f>
        <v>0</v>
      </c>
      <c r="C131" t="str">
        <f>Table1[[#This Row],[Attrition]]</f>
        <v>No</v>
      </c>
      <c r="D131" t="str">
        <f>Table1[[#This Row],[Department]]</f>
        <v>Research &amp; Development</v>
      </c>
      <c r="E131">
        <f>Table1[[#This Row],[EnvironmentSatisfaction]]</f>
        <v>3</v>
      </c>
      <c r="F131">
        <f>Table1[[#This Row],[HourlyRate]]</f>
        <v>96</v>
      </c>
      <c r="G131" t="str">
        <f>Table1[[#This Row],[JobRole]]</f>
        <v>Manufacturing Director</v>
      </c>
      <c r="H131">
        <f>Table1[[#This Row],[JobSatisfaction]]</f>
        <v>1</v>
      </c>
      <c r="I131">
        <f>Table1[[#This Row],[YearsAtCompany]]</f>
        <v>15</v>
      </c>
      <c r="J131">
        <f>Table1[[#This Row],[YearsSinceLastPromotion]]</f>
        <v>5</v>
      </c>
      <c r="K131">
        <f>Table1[[#This Row],[EmployeeNumber]]</f>
        <v>170</v>
      </c>
      <c r="L131">
        <f>Table1[[#This Row],[DistanceFromHome]]</f>
        <v>20</v>
      </c>
      <c r="M131" t="str">
        <f>Table1[[#This Row],[OverTime]]</f>
        <v>No</v>
      </c>
      <c r="N131">
        <f>Table1[[#This Row],[WorkLifeBalance]]</f>
        <v>2</v>
      </c>
      <c r="O131" t="str" cm="1">
        <f t="array" ref="O131">_xlfn.IFS(A131&lt;=30,"18-30",A131&lt;=40,"31-40",A131&lt;=50,"41-50",A131&gt;50,"51+")</f>
        <v>41-50</v>
      </c>
      <c r="P131" t="str" cm="1">
        <f t="array" ref="P131">_xlfn.IFS(F131&lt;=45,"45 or below",F131&lt;= 60,"46-60",F131&lt;=75,"61-75",F131&lt;=90,"76-90",F131&gt;90,"91 or above")</f>
        <v>91 or above</v>
      </c>
      <c r="Q1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1" t="str" cm="1">
        <f t="array" ref="R1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 spans="1:18" x14ac:dyDescent="0.2">
      <c r="A132">
        <f>Table1[[#This Row],[Age]]</f>
        <v>43</v>
      </c>
      <c r="B132">
        <f>IF(Table3[[#This Row],[Attrition]] = "Yes", 1,0)</f>
        <v>0</v>
      </c>
      <c r="C132" t="str">
        <f>Table1[[#This Row],[Attrition]]</f>
        <v>No</v>
      </c>
      <c r="D132" t="str">
        <f>Table1[[#This Row],[Department]]</f>
        <v>Research &amp; Development</v>
      </c>
      <c r="E132">
        <f>Table1[[#This Row],[EnvironmentSatisfaction]]</f>
        <v>2</v>
      </c>
      <c r="F132">
        <f>Table1[[#This Row],[HourlyRate]]</f>
        <v>72</v>
      </c>
      <c r="G132" t="str">
        <f>Table1[[#This Row],[JobRole]]</f>
        <v>Research Scientist</v>
      </c>
      <c r="H132">
        <f>Table1[[#This Row],[JobSatisfaction]]</f>
        <v>3</v>
      </c>
      <c r="I132">
        <f>Table1[[#This Row],[YearsAtCompany]]</f>
        <v>3</v>
      </c>
      <c r="J132">
        <f>Table1[[#This Row],[YearsSinceLastPromotion]]</f>
        <v>1</v>
      </c>
      <c r="K132">
        <f>Table1[[#This Row],[EmployeeNumber]]</f>
        <v>171</v>
      </c>
      <c r="L132">
        <f>Table1[[#This Row],[DistanceFromHome]]</f>
        <v>28</v>
      </c>
      <c r="M132" t="str">
        <f>Table1[[#This Row],[OverTime]]</f>
        <v>No</v>
      </c>
      <c r="N132">
        <f>Table1[[#This Row],[WorkLifeBalance]]</f>
        <v>3</v>
      </c>
      <c r="O132" t="str" cm="1">
        <f t="array" ref="O132">_xlfn.IFS(A132&lt;=30,"18-30",A132&lt;=40,"31-40",A132&lt;=50,"41-50",A132&gt;50,"51+")</f>
        <v>41-50</v>
      </c>
      <c r="P132" t="str" cm="1">
        <f t="array" ref="P132">_xlfn.IFS(F132&lt;=45,"45 or below",F132&lt;= 60,"46-60",F132&lt;=75,"61-75",F132&lt;=90,"76-90",F132&gt;90,"91 or above")</f>
        <v>61-75</v>
      </c>
      <c r="Q1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2" t="str" cm="1">
        <f t="array" ref="R1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 spans="1:18" x14ac:dyDescent="0.2">
      <c r="A133">
        <f>Table1[[#This Row],[Age]]</f>
        <v>50</v>
      </c>
      <c r="B133">
        <f>IF(Table3[[#This Row],[Attrition]] = "Yes", 1,0)</f>
        <v>0</v>
      </c>
      <c r="C133" t="str">
        <f>Table1[[#This Row],[Attrition]]</f>
        <v>No</v>
      </c>
      <c r="D133" t="str">
        <f>Table1[[#This Row],[Department]]</f>
        <v>Sales</v>
      </c>
      <c r="E133">
        <f>Table1[[#This Row],[EnvironmentSatisfaction]]</f>
        <v>3</v>
      </c>
      <c r="F133">
        <f>Table1[[#This Row],[HourlyRate]]</f>
        <v>77</v>
      </c>
      <c r="G133" t="str">
        <f>Table1[[#This Row],[JobRole]]</f>
        <v>Sales Executive</v>
      </c>
      <c r="H133">
        <f>Table1[[#This Row],[JobSatisfaction]]</f>
        <v>4</v>
      </c>
      <c r="I133">
        <f>Table1[[#This Row],[YearsAtCompany]]</f>
        <v>2</v>
      </c>
      <c r="J133">
        <f>Table1[[#This Row],[YearsSinceLastPromotion]]</f>
        <v>2</v>
      </c>
      <c r="K133">
        <f>Table1[[#This Row],[EmployeeNumber]]</f>
        <v>174</v>
      </c>
      <c r="L133">
        <f>Table1[[#This Row],[DistanceFromHome]]</f>
        <v>12</v>
      </c>
      <c r="M133" t="str">
        <f>Table1[[#This Row],[OverTime]]</f>
        <v>No</v>
      </c>
      <c r="N133">
        <f>Table1[[#This Row],[WorkLifeBalance]]</f>
        <v>3</v>
      </c>
      <c r="O133" t="str" cm="1">
        <f t="array" ref="O133">_xlfn.IFS(A133&lt;=30,"18-30",A133&lt;=40,"31-40",A133&lt;=50,"41-50",A133&gt;50,"51+")</f>
        <v>41-50</v>
      </c>
      <c r="P133" t="str" cm="1">
        <f t="array" ref="P133">_xlfn.IFS(F133&lt;=45,"45 or below",F133&lt;= 60,"46-60",F133&lt;=75,"61-75",F133&lt;=90,"76-90",F133&gt;90,"91 or above")</f>
        <v>76-90</v>
      </c>
      <c r="Q1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3" t="str" cm="1">
        <f t="array" ref="R1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4" spans="1:18" hidden="1" x14ac:dyDescent="0.2">
      <c r="A134">
        <f>Table1[[#This Row],[Age]]</f>
        <v>31</v>
      </c>
      <c r="B134">
        <f>IF(Table3[[#This Row],[Attrition]] = "Yes", 1,0)</f>
        <v>1</v>
      </c>
      <c r="C134" t="str">
        <f>Table1[[#This Row],[Attrition]]</f>
        <v>Yes</v>
      </c>
      <c r="D134" t="str">
        <f>Table1[[#This Row],[Department]]</f>
        <v>Sales</v>
      </c>
      <c r="E134">
        <f>Table1[[#This Row],[EnvironmentSatisfaction]]</f>
        <v>2</v>
      </c>
      <c r="F134">
        <f>Table1[[#This Row],[HourlyRate]]</f>
        <v>71</v>
      </c>
      <c r="G134" t="str">
        <f>Table1[[#This Row],[JobRole]]</f>
        <v>Sales Executive</v>
      </c>
      <c r="H134">
        <f>Table1[[#This Row],[JobSatisfaction]]</f>
        <v>3</v>
      </c>
      <c r="I134">
        <f>Table1[[#This Row],[YearsAtCompany]]</f>
        <v>2</v>
      </c>
      <c r="J134">
        <f>Table1[[#This Row],[YearsSinceLastPromotion]]</f>
        <v>2</v>
      </c>
      <c r="K134">
        <f>Table1[[#This Row],[EmployeeNumber]]</f>
        <v>175</v>
      </c>
      <c r="L134">
        <f>Table1[[#This Row],[DistanceFromHome]]</f>
        <v>20</v>
      </c>
      <c r="M134" t="str">
        <f>Table1[[#This Row],[OverTime]]</f>
        <v>Yes</v>
      </c>
      <c r="N134">
        <f>Table1[[#This Row],[WorkLifeBalance]]</f>
        <v>3</v>
      </c>
      <c r="O134" t="str" cm="1">
        <f t="array" ref="O134">_xlfn.IFS(A134&lt;=30,"18-30",A134&lt;=40,"31-40",A134&lt;=50,"41-50",A134&gt;50,"51+")</f>
        <v>31-40</v>
      </c>
      <c r="P134" t="str" cm="1">
        <f t="array" ref="P134">_xlfn.IFS(F134&lt;=45,"45 or below",F134&lt;= 60,"46-60",F134&lt;=75,"61-75",F134&lt;=90,"76-90",F134&gt;90,"91 or above")</f>
        <v>61-75</v>
      </c>
      <c r="Q13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4" t="str" cm="1">
        <f t="array" ref="R134" xml:space="preserve"> _xlfn.IFS(Table3[[#This Row],[Flight Risk Score]] = "NA","NA",Table3[[#This Row],[Flight Risk Score]] &gt;= 70,"High Risk",Table3[[#This Row],[Flight Risk Score]] &gt;= 50, "Medium Risk", Table3[[#This Row],[Flight Risk Score]] &gt;= 30,"Low Risk",Table3[[#This Row],[Flight Risk Score]] &lt; 30,"Very Low Risk")</f>
        <v>NA</v>
      </c>
    </row>
    <row r="135" spans="1:18" x14ac:dyDescent="0.2">
      <c r="A135">
        <f>Table1[[#This Row],[Age]]</f>
        <v>41</v>
      </c>
      <c r="B135">
        <f>IF(Table3[[#This Row],[Attrition]] = "Yes", 1,0)</f>
        <v>0</v>
      </c>
      <c r="C135" t="str">
        <f>Table1[[#This Row],[Attrition]]</f>
        <v>No</v>
      </c>
      <c r="D135" t="str">
        <f>Table1[[#This Row],[Department]]</f>
        <v>Sales</v>
      </c>
      <c r="E135">
        <f>Table1[[#This Row],[EnvironmentSatisfaction]]</f>
        <v>3</v>
      </c>
      <c r="F135">
        <f>Table1[[#This Row],[HourlyRate]]</f>
        <v>96</v>
      </c>
      <c r="G135" t="str">
        <f>Table1[[#This Row],[JobRole]]</f>
        <v>Sales Executive</v>
      </c>
      <c r="H135">
        <f>Table1[[#This Row],[JobSatisfaction]]</f>
        <v>3</v>
      </c>
      <c r="I135">
        <f>Table1[[#This Row],[YearsAtCompany]]</f>
        <v>9</v>
      </c>
      <c r="J135">
        <f>Table1[[#This Row],[YearsSinceLastPromotion]]</f>
        <v>0</v>
      </c>
      <c r="K135">
        <f>Table1[[#This Row],[EmployeeNumber]]</f>
        <v>176</v>
      </c>
      <c r="L135">
        <f>Table1[[#This Row],[DistanceFromHome]]</f>
        <v>9</v>
      </c>
      <c r="M135" t="str">
        <f>Table1[[#This Row],[OverTime]]</f>
        <v>Yes</v>
      </c>
      <c r="N135">
        <f>Table1[[#This Row],[WorkLifeBalance]]</f>
        <v>3</v>
      </c>
      <c r="O135" t="str" cm="1">
        <f t="array" ref="O135">_xlfn.IFS(A135&lt;=30,"18-30",A135&lt;=40,"31-40",A135&lt;=50,"41-50",A135&gt;50,"51+")</f>
        <v>41-50</v>
      </c>
      <c r="P135" t="str" cm="1">
        <f t="array" ref="P135">_xlfn.IFS(F135&lt;=45,"45 or below",F135&lt;= 60,"46-60",F135&lt;=75,"61-75",F135&lt;=90,"76-90",F135&gt;90,"91 or above")</f>
        <v>91 or above</v>
      </c>
      <c r="Q1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5" t="str" cm="1">
        <f t="array" ref="R13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6" spans="1:18" x14ac:dyDescent="0.2">
      <c r="A136">
        <f>Table1[[#This Row],[Age]]</f>
        <v>26</v>
      </c>
      <c r="B136">
        <f>IF(Table3[[#This Row],[Attrition]] = "Yes", 1,0)</f>
        <v>0</v>
      </c>
      <c r="C136" t="str">
        <f>Table1[[#This Row],[Attrition]]</f>
        <v>No</v>
      </c>
      <c r="D136" t="str">
        <f>Table1[[#This Row],[Department]]</f>
        <v>Human Resources</v>
      </c>
      <c r="E136">
        <f>Table1[[#This Row],[EnvironmentSatisfaction]]</f>
        <v>3</v>
      </c>
      <c r="F136">
        <f>Table1[[#This Row],[HourlyRate]]</f>
        <v>61</v>
      </c>
      <c r="G136" t="str">
        <f>Table1[[#This Row],[JobRole]]</f>
        <v>Human Resources</v>
      </c>
      <c r="H136">
        <f>Table1[[#This Row],[JobSatisfaction]]</f>
        <v>3</v>
      </c>
      <c r="I136">
        <f>Table1[[#This Row],[YearsAtCompany]]</f>
        <v>8</v>
      </c>
      <c r="J136">
        <f>Table1[[#This Row],[YearsSinceLastPromotion]]</f>
        <v>5</v>
      </c>
      <c r="K136">
        <f>Table1[[#This Row],[EmployeeNumber]]</f>
        <v>177</v>
      </c>
      <c r="L136">
        <f>Table1[[#This Row],[DistanceFromHome]]</f>
        <v>25</v>
      </c>
      <c r="M136" t="str">
        <f>Table1[[#This Row],[OverTime]]</f>
        <v>No</v>
      </c>
      <c r="N136">
        <f>Table1[[#This Row],[WorkLifeBalance]]</f>
        <v>3</v>
      </c>
      <c r="O136" t="str" cm="1">
        <f t="array" ref="O136">_xlfn.IFS(A136&lt;=30,"18-30",A136&lt;=40,"31-40",A136&lt;=50,"41-50",A136&gt;50,"51+")</f>
        <v>18-30</v>
      </c>
      <c r="P136" t="str" cm="1">
        <f t="array" ref="P136">_xlfn.IFS(F136&lt;=45,"45 or below",F136&lt;= 60,"46-60",F136&lt;=75,"61-75",F136&lt;=90,"76-90",F136&gt;90,"91 or above")</f>
        <v>61-75</v>
      </c>
      <c r="Q1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6" t="str" cm="1">
        <f t="array" ref="R1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7" spans="1:18" x14ac:dyDescent="0.2">
      <c r="A137">
        <f>Table1[[#This Row],[Age]]</f>
        <v>36</v>
      </c>
      <c r="B137">
        <f>IF(Table3[[#This Row],[Attrition]] = "Yes", 1,0)</f>
        <v>0</v>
      </c>
      <c r="C137" t="str">
        <f>Table1[[#This Row],[Attrition]]</f>
        <v>No</v>
      </c>
      <c r="D137" t="str">
        <f>Table1[[#This Row],[Department]]</f>
        <v>Research &amp; Development</v>
      </c>
      <c r="E137">
        <f>Table1[[#This Row],[EnvironmentSatisfaction]]</f>
        <v>2</v>
      </c>
      <c r="F137">
        <f>Table1[[#This Row],[HourlyRate]]</f>
        <v>84</v>
      </c>
      <c r="G137" t="str">
        <f>Table1[[#This Row],[JobRole]]</f>
        <v>Manufacturing Director</v>
      </c>
      <c r="H137">
        <f>Table1[[#This Row],[JobSatisfaction]]</f>
        <v>2</v>
      </c>
      <c r="I137">
        <f>Table1[[#This Row],[YearsAtCompany]]</f>
        <v>3</v>
      </c>
      <c r="J137">
        <f>Table1[[#This Row],[YearsSinceLastPromotion]]</f>
        <v>0</v>
      </c>
      <c r="K137">
        <f>Table1[[#This Row],[EmployeeNumber]]</f>
        <v>178</v>
      </c>
      <c r="L137">
        <f>Table1[[#This Row],[DistanceFromHome]]</f>
        <v>6</v>
      </c>
      <c r="M137" t="str">
        <f>Table1[[#This Row],[OverTime]]</f>
        <v>No</v>
      </c>
      <c r="N137">
        <f>Table1[[#This Row],[WorkLifeBalance]]</f>
        <v>3</v>
      </c>
      <c r="O137" t="str" cm="1">
        <f t="array" ref="O137">_xlfn.IFS(A137&lt;=30,"18-30",A137&lt;=40,"31-40",A137&lt;=50,"41-50",A137&gt;50,"51+")</f>
        <v>31-40</v>
      </c>
      <c r="P137" t="str" cm="1">
        <f t="array" ref="P137">_xlfn.IFS(F137&lt;=45,"45 or below",F137&lt;= 60,"46-60",F137&lt;=75,"61-75",F137&lt;=90,"76-90",F137&gt;90,"91 or above")</f>
        <v>76-90</v>
      </c>
      <c r="Q1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7" t="str" cm="1">
        <f t="array" ref="R13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8" spans="1:18" hidden="1" x14ac:dyDescent="0.2">
      <c r="A138">
        <f>Table1[[#This Row],[Age]]</f>
        <v>51</v>
      </c>
      <c r="B138">
        <f>IF(Table3[[#This Row],[Attrition]] = "Yes", 1,0)</f>
        <v>1</v>
      </c>
      <c r="C138" t="str">
        <f>Table1[[#This Row],[Attrition]]</f>
        <v>Yes</v>
      </c>
      <c r="D138" t="str">
        <f>Table1[[#This Row],[Department]]</f>
        <v>Research &amp; Development</v>
      </c>
      <c r="E138">
        <f>Table1[[#This Row],[EnvironmentSatisfaction]]</f>
        <v>1</v>
      </c>
      <c r="F138">
        <f>Table1[[#This Row],[HourlyRate]]</f>
        <v>53</v>
      </c>
      <c r="G138" t="str">
        <f>Table1[[#This Row],[JobRole]]</f>
        <v>Manufacturing Director</v>
      </c>
      <c r="H138">
        <f>Table1[[#This Row],[JobSatisfaction]]</f>
        <v>4</v>
      </c>
      <c r="I138">
        <f>Table1[[#This Row],[YearsAtCompany]]</f>
        <v>4</v>
      </c>
      <c r="J138">
        <f>Table1[[#This Row],[YearsSinceLastPromotion]]</f>
        <v>0</v>
      </c>
      <c r="K138">
        <f>Table1[[#This Row],[EmployeeNumber]]</f>
        <v>179</v>
      </c>
      <c r="L138">
        <f>Table1[[#This Row],[DistanceFromHome]]</f>
        <v>8</v>
      </c>
      <c r="M138" t="str">
        <f>Table1[[#This Row],[OverTime]]</f>
        <v>No</v>
      </c>
      <c r="N138">
        <f>Table1[[#This Row],[WorkLifeBalance]]</f>
        <v>3</v>
      </c>
      <c r="O138" t="str" cm="1">
        <f t="array" ref="O138">_xlfn.IFS(A138&lt;=30,"18-30",A138&lt;=40,"31-40",A138&lt;=50,"41-50",A138&gt;50,"51+")</f>
        <v>51+</v>
      </c>
      <c r="P138" t="str" cm="1">
        <f t="array" ref="P138">_xlfn.IFS(F138&lt;=45,"45 or below",F138&lt;= 60,"46-60",F138&lt;=75,"61-75",F138&lt;=90,"76-90",F138&gt;90,"91 or above")</f>
        <v>46-60</v>
      </c>
      <c r="Q1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8" t="str" cm="1">
        <f t="array" ref="R138" xml:space="preserve"> _xlfn.IFS(Table3[[#This Row],[Flight Risk Score]] = "NA","NA",Table3[[#This Row],[Flight Risk Score]] &gt;= 70,"High Risk",Table3[[#This Row],[Flight Risk Score]] &gt;= 50, "Medium Risk", Table3[[#This Row],[Flight Risk Score]] &gt;= 30,"Low Risk",Table3[[#This Row],[Flight Risk Score]] &lt; 30,"Very Low Risk")</f>
        <v>NA</v>
      </c>
    </row>
    <row r="139" spans="1:18" x14ac:dyDescent="0.2">
      <c r="A139">
        <f>Table1[[#This Row],[Age]]</f>
        <v>39</v>
      </c>
      <c r="B139">
        <f>IF(Table3[[#This Row],[Attrition]] = "Yes", 1,0)</f>
        <v>0</v>
      </c>
      <c r="C139" t="str">
        <f>Table1[[#This Row],[Attrition]]</f>
        <v>No</v>
      </c>
      <c r="D139" t="str">
        <f>Table1[[#This Row],[Department]]</f>
        <v>Sales</v>
      </c>
      <c r="E139">
        <f>Table1[[#This Row],[EnvironmentSatisfaction]]</f>
        <v>4</v>
      </c>
      <c r="F139">
        <f>Table1[[#This Row],[HourlyRate]]</f>
        <v>47</v>
      </c>
      <c r="G139" t="str">
        <f>Table1[[#This Row],[JobRole]]</f>
        <v>Sales Executive</v>
      </c>
      <c r="H139">
        <f>Table1[[#This Row],[JobSatisfaction]]</f>
        <v>3</v>
      </c>
      <c r="I139">
        <f>Table1[[#This Row],[YearsAtCompany]]</f>
        <v>15</v>
      </c>
      <c r="J139">
        <f>Table1[[#This Row],[YearsSinceLastPromotion]]</f>
        <v>5</v>
      </c>
      <c r="K139">
        <f>Table1[[#This Row],[EmployeeNumber]]</f>
        <v>182</v>
      </c>
      <c r="L139">
        <f>Table1[[#This Row],[DistanceFromHome]]</f>
        <v>4</v>
      </c>
      <c r="M139" t="str">
        <f>Table1[[#This Row],[OverTime]]</f>
        <v>No</v>
      </c>
      <c r="N139">
        <f>Table1[[#This Row],[WorkLifeBalance]]</f>
        <v>4</v>
      </c>
      <c r="O139" t="str" cm="1">
        <f t="array" ref="O139">_xlfn.IFS(A139&lt;=30,"18-30",A139&lt;=40,"31-40",A139&lt;=50,"41-50",A139&gt;50,"51+")</f>
        <v>31-40</v>
      </c>
      <c r="P139" t="str" cm="1">
        <f t="array" ref="P139">_xlfn.IFS(F139&lt;=45,"45 or below",F139&lt;= 60,"46-60",F139&lt;=75,"61-75",F139&lt;=90,"76-90",F139&gt;90,"91 or above")</f>
        <v>46-60</v>
      </c>
      <c r="Q1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9" t="str" cm="1">
        <f t="array" ref="R1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0" spans="1:18" x14ac:dyDescent="0.2">
      <c r="A140">
        <f>Table1[[#This Row],[Age]]</f>
        <v>25</v>
      </c>
      <c r="B140">
        <f>IF(Table3[[#This Row],[Attrition]] = "Yes", 1,0)</f>
        <v>0</v>
      </c>
      <c r="C140" t="str">
        <f>Table1[[#This Row],[Attrition]]</f>
        <v>No</v>
      </c>
      <c r="D140" t="str">
        <f>Table1[[#This Row],[Department]]</f>
        <v>Sales</v>
      </c>
      <c r="E140">
        <f>Table1[[#This Row],[EnvironmentSatisfaction]]</f>
        <v>1</v>
      </c>
      <c r="F140">
        <f>Table1[[#This Row],[HourlyRate]]</f>
        <v>41</v>
      </c>
      <c r="G140" t="str">
        <f>Table1[[#This Row],[JobRole]]</f>
        <v>Sales Executive</v>
      </c>
      <c r="H140">
        <f>Table1[[#This Row],[JobSatisfaction]]</f>
        <v>3</v>
      </c>
      <c r="I140">
        <f>Table1[[#This Row],[YearsAtCompany]]</f>
        <v>2</v>
      </c>
      <c r="J140">
        <f>Table1[[#This Row],[YearsSinceLastPromotion]]</f>
        <v>2</v>
      </c>
      <c r="K140">
        <f>Table1[[#This Row],[EmployeeNumber]]</f>
        <v>183</v>
      </c>
      <c r="L140">
        <f>Table1[[#This Row],[DistanceFromHome]]</f>
        <v>28</v>
      </c>
      <c r="M140" t="str">
        <f>Table1[[#This Row],[OverTime]]</f>
        <v>No</v>
      </c>
      <c r="N140">
        <f>Table1[[#This Row],[WorkLifeBalance]]</f>
        <v>3</v>
      </c>
      <c r="O140" t="str" cm="1">
        <f t="array" ref="O140">_xlfn.IFS(A140&lt;=30,"18-30",A140&lt;=40,"31-40",A140&lt;=50,"41-50",A140&gt;50,"51+")</f>
        <v>18-30</v>
      </c>
      <c r="P140" t="str" cm="1">
        <f t="array" ref="P140">_xlfn.IFS(F140&lt;=45,"45 or below",F140&lt;= 60,"46-60",F140&lt;=75,"61-75",F140&lt;=90,"76-90",F140&gt;90,"91 or above")</f>
        <v>45 or below</v>
      </c>
      <c r="Q1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0" t="str" cm="1">
        <f t="array" ref="R1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 spans="1:18" x14ac:dyDescent="0.2">
      <c r="A141">
        <f>Table1[[#This Row],[Age]]</f>
        <v>30</v>
      </c>
      <c r="B141">
        <f>IF(Table3[[#This Row],[Attrition]] = "Yes", 1,0)</f>
        <v>0</v>
      </c>
      <c r="C141" t="str">
        <f>Table1[[#This Row],[Attrition]]</f>
        <v>No</v>
      </c>
      <c r="D141" t="str">
        <f>Table1[[#This Row],[Department]]</f>
        <v>Human Resources</v>
      </c>
      <c r="E141">
        <f>Table1[[#This Row],[EnvironmentSatisfaction]]</f>
        <v>3</v>
      </c>
      <c r="F141">
        <f>Table1[[#This Row],[HourlyRate]]</f>
        <v>48</v>
      </c>
      <c r="G141" t="str">
        <f>Table1[[#This Row],[JobRole]]</f>
        <v>Human Resources</v>
      </c>
      <c r="H141">
        <f>Table1[[#This Row],[JobSatisfaction]]</f>
        <v>4</v>
      </c>
      <c r="I141">
        <f>Table1[[#This Row],[YearsAtCompany]]</f>
        <v>11</v>
      </c>
      <c r="J141">
        <f>Table1[[#This Row],[YearsSinceLastPromotion]]</f>
        <v>4</v>
      </c>
      <c r="K141">
        <f>Table1[[#This Row],[EmployeeNumber]]</f>
        <v>184</v>
      </c>
      <c r="L141">
        <f>Table1[[#This Row],[DistanceFromHome]]</f>
        <v>9</v>
      </c>
      <c r="M141" t="str">
        <f>Table1[[#This Row],[OverTime]]</f>
        <v>Yes</v>
      </c>
      <c r="N141">
        <f>Table1[[#This Row],[WorkLifeBalance]]</f>
        <v>1</v>
      </c>
      <c r="O141" t="str" cm="1">
        <f t="array" ref="O141">_xlfn.IFS(A141&lt;=30,"18-30",A141&lt;=40,"31-40",A141&lt;=50,"41-50",A141&gt;50,"51+")</f>
        <v>18-30</v>
      </c>
      <c r="P141" t="str" cm="1">
        <f t="array" ref="P141">_xlfn.IFS(F141&lt;=45,"45 or below",F141&lt;= 60,"46-60",F141&lt;=75,"61-75",F141&lt;=90,"76-90",F141&gt;90,"91 or above")</f>
        <v>46-60</v>
      </c>
      <c r="Q1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141" t="str" cm="1">
        <f t="array" ref="R141" xml:space="preserve"> _xlfn.IFS(Table3[[#This Row],[Flight Risk Score]] = "NA","NA",Table3[[#This Row],[Flight Risk Score]] &gt;= 70,"High Risk",Table3[[#This Row],[Flight Risk Score]] &gt;= 50, "Medium Risk", Table3[[#This Row],[Flight Risk Score]] &gt;= 30,"Low Risk",Table3[[#This Row],[Flight Risk Score]] &lt; 30,"Very Low Risk")</f>
        <v>High Risk</v>
      </c>
    </row>
    <row r="142" spans="1:18" hidden="1" x14ac:dyDescent="0.2">
      <c r="A142">
        <f>Table1[[#This Row],[Age]]</f>
        <v>32</v>
      </c>
      <c r="B142">
        <f>IF(Table3[[#This Row],[Attrition]] = "Yes", 1,0)</f>
        <v>1</v>
      </c>
      <c r="C142" t="str">
        <f>Table1[[#This Row],[Attrition]]</f>
        <v>Yes</v>
      </c>
      <c r="D142" t="str">
        <f>Table1[[#This Row],[Department]]</f>
        <v>Research &amp; Development</v>
      </c>
      <c r="E142">
        <f>Table1[[#This Row],[EnvironmentSatisfaction]]</f>
        <v>1</v>
      </c>
      <c r="F142">
        <f>Table1[[#This Row],[HourlyRate]]</f>
        <v>41</v>
      </c>
      <c r="G142" t="str">
        <f>Table1[[#This Row],[JobRole]]</f>
        <v>Laboratory Technician</v>
      </c>
      <c r="H142">
        <f>Table1[[#This Row],[JobSatisfaction]]</f>
        <v>1</v>
      </c>
      <c r="I142">
        <f>Table1[[#This Row],[YearsAtCompany]]</f>
        <v>5</v>
      </c>
      <c r="J142">
        <f>Table1[[#This Row],[YearsSinceLastPromotion]]</f>
        <v>0</v>
      </c>
      <c r="K142">
        <f>Table1[[#This Row],[EmployeeNumber]]</f>
        <v>190</v>
      </c>
      <c r="L142">
        <f>Table1[[#This Row],[DistanceFromHome]]</f>
        <v>9</v>
      </c>
      <c r="M142" t="str">
        <f>Table1[[#This Row],[OverTime]]</f>
        <v>No</v>
      </c>
      <c r="N142">
        <f>Table1[[#This Row],[WorkLifeBalance]]</f>
        <v>4</v>
      </c>
      <c r="O142" t="str" cm="1">
        <f t="array" ref="O142">_xlfn.IFS(A142&lt;=30,"18-30",A142&lt;=40,"31-40",A142&lt;=50,"41-50",A142&gt;50,"51+")</f>
        <v>31-40</v>
      </c>
      <c r="P142" t="str" cm="1">
        <f t="array" ref="P142">_xlfn.IFS(F142&lt;=45,"45 or below",F142&lt;= 60,"46-60",F142&lt;=75,"61-75",F142&lt;=90,"76-90",F142&gt;90,"91 or above")</f>
        <v>45 or below</v>
      </c>
      <c r="Q14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42" t="str" cm="1">
        <f t="array" ref="R142" xml:space="preserve"> _xlfn.IFS(Table3[[#This Row],[Flight Risk Score]] = "NA","NA",Table3[[#This Row],[Flight Risk Score]] &gt;= 70,"High Risk",Table3[[#This Row],[Flight Risk Score]] &gt;= 50, "Medium Risk", Table3[[#This Row],[Flight Risk Score]] &gt;= 30,"Low Risk",Table3[[#This Row],[Flight Risk Score]] &lt; 30,"Very Low Risk")</f>
        <v>NA</v>
      </c>
    </row>
    <row r="143" spans="1:18" x14ac:dyDescent="0.2">
      <c r="A143">
        <f>Table1[[#This Row],[Age]]</f>
        <v>45</v>
      </c>
      <c r="B143">
        <f>IF(Table3[[#This Row],[Attrition]] = "Yes", 1,0)</f>
        <v>0</v>
      </c>
      <c r="C143" t="str">
        <f>Table1[[#This Row],[Attrition]]</f>
        <v>No</v>
      </c>
      <c r="D143" t="str">
        <f>Table1[[#This Row],[Department]]</f>
        <v>Research &amp; Development</v>
      </c>
      <c r="E143">
        <f>Table1[[#This Row],[EnvironmentSatisfaction]]</f>
        <v>3</v>
      </c>
      <c r="F143">
        <f>Table1[[#This Row],[HourlyRate]]</f>
        <v>83</v>
      </c>
      <c r="G143" t="str">
        <f>Table1[[#This Row],[JobRole]]</f>
        <v>Research Scientist</v>
      </c>
      <c r="H143">
        <f>Table1[[#This Row],[JobSatisfaction]]</f>
        <v>4</v>
      </c>
      <c r="I143">
        <f>Table1[[#This Row],[YearsAtCompany]]</f>
        <v>6</v>
      </c>
      <c r="J143">
        <f>Table1[[#This Row],[YearsSinceLastPromotion]]</f>
        <v>0</v>
      </c>
      <c r="K143">
        <f>Table1[[#This Row],[EmployeeNumber]]</f>
        <v>192</v>
      </c>
      <c r="L143">
        <f>Table1[[#This Row],[DistanceFromHome]]</f>
        <v>29</v>
      </c>
      <c r="M143" t="str">
        <f>Table1[[#This Row],[OverTime]]</f>
        <v>No</v>
      </c>
      <c r="N143">
        <f>Table1[[#This Row],[WorkLifeBalance]]</f>
        <v>2</v>
      </c>
      <c r="O143" t="str" cm="1">
        <f t="array" ref="O143">_xlfn.IFS(A143&lt;=30,"18-30",A143&lt;=40,"31-40",A143&lt;=50,"41-50",A143&gt;50,"51+")</f>
        <v>41-50</v>
      </c>
      <c r="P143" t="str" cm="1">
        <f t="array" ref="P143">_xlfn.IFS(F143&lt;=45,"45 or below",F143&lt;= 60,"46-60",F143&lt;=75,"61-75",F143&lt;=90,"76-90",F143&gt;90,"91 or above")</f>
        <v>76-90</v>
      </c>
      <c r="Q1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3" t="str" cm="1">
        <f t="array" ref="R1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 spans="1:18" x14ac:dyDescent="0.2">
      <c r="A144">
        <f>Table1[[#This Row],[Age]]</f>
        <v>38</v>
      </c>
      <c r="B144">
        <f>IF(Table3[[#This Row],[Attrition]] = "Yes", 1,0)</f>
        <v>0</v>
      </c>
      <c r="C144" t="str">
        <f>Table1[[#This Row],[Attrition]]</f>
        <v>No</v>
      </c>
      <c r="D144" t="str">
        <f>Table1[[#This Row],[Department]]</f>
        <v>Research &amp; Development</v>
      </c>
      <c r="E144">
        <f>Table1[[#This Row],[EnvironmentSatisfaction]]</f>
        <v>4</v>
      </c>
      <c r="F144">
        <f>Table1[[#This Row],[HourlyRate]]</f>
        <v>32</v>
      </c>
      <c r="G144" t="str">
        <f>Table1[[#This Row],[JobRole]]</f>
        <v>Research Scientist</v>
      </c>
      <c r="H144">
        <f>Table1[[#This Row],[JobSatisfaction]]</f>
        <v>3</v>
      </c>
      <c r="I144">
        <f>Table1[[#This Row],[YearsAtCompany]]</f>
        <v>3</v>
      </c>
      <c r="J144">
        <f>Table1[[#This Row],[YearsSinceLastPromotion]]</f>
        <v>2</v>
      </c>
      <c r="K144">
        <f>Table1[[#This Row],[EmployeeNumber]]</f>
        <v>193</v>
      </c>
      <c r="L144">
        <f>Table1[[#This Row],[DistanceFromHome]]</f>
        <v>3</v>
      </c>
      <c r="M144" t="str">
        <f>Table1[[#This Row],[OverTime]]</f>
        <v>Yes</v>
      </c>
      <c r="N144">
        <f>Table1[[#This Row],[WorkLifeBalance]]</f>
        <v>3</v>
      </c>
      <c r="O144" t="str" cm="1">
        <f t="array" ref="O144">_xlfn.IFS(A144&lt;=30,"18-30",A144&lt;=40,"31-40",A144&lt;=50,"41-50",A144&gt;50,"51+")</f>
        <v>31-40</v>
      </c>
      <c r="P144" t="str" cm="1">
        <f t="array" ref="P144">_xlfn.IFS(F144&lt;=45,"45 or below",F144&lt;= 60,"46-60",F144&lt;=75,"61-75",F144&lt;=90,"76-90",F144&gt;90,"91 or above")</f>
        <v>45 or below</v>
      </c>
      <c r="Q1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4" t="str" cm="1">
        <f t="array" ref="R14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5" spans="1:18" x14ac:dyDescent="0.2">
      <c r="A145">
        <f>Table1[[#This Row],[Age]]</f>
        <v>30</v>
      </c>
      <c r="B145">
        <f>IF(Table3[[#This Row],[Attrition]] = "Yes", 1,0)</f>
        <v>0</v>
      </c>
      <c r="C145" t="str">
        <f>Table1[[#This Row],[Attrition]]</f>
        <v>No</v>
      </c>
      <c r="D145" t="str">
        <f>Table1[[#This Row],[Department]]</f>
        <v>Research &amp; Development</v>
      </c>
      <c r="E145">
        <f>Table1[[#This Row],[EnvironmentSatisfaction]]</f>
        <v>1</v>
      </c>
      <c r="F145">
        <f>Table1[[#This Row],[HourlyRate]]</f>
        <v>75</v>
      </c>
      <c r="G145" t="str">
        <f>Table1[[#This Row],[JobRole]]</f>
        <v>Research Scientist</v>
      </c>
      <c r="H145">
        <f>Table1[[#This Row],[JobSatisfaction]]</f>
        <v>3</v>
      </c>
      <c r="I145">
        <f>Table1[[#This Row],[YearsAtCompany]]</f>
        <v>5</v>
      </c>
      <c r="J145">
        <f>Table1[[#This Row],[YearsSinceLastPromotion]]</f>
        <v>0</v>
      </c>
      <c r="K145">
        <f>Table1[[#This Row],[EmployeeNumber]]</f>
        <v>194</v>
      </c>
      <c r="L145">
        <f>Table1[[#This Row],[DistanceFromHome]]</f>
        <v>18</v>
      </c>
      <c r="M145" t="str">
        <f>Table1[[#This Row],[OverTime]]</f>
        <v>No</v>
      </c>
      <c r="N145">
        <f>Table1[[#This Row],[WorkLifeBalance]]</f>
        <v>2</v>
      </c>
      <c r="O145" t="str" cm="1">
        <f t="array" ref="O145">_xlfn.IFS(A145&lt;=30,"18-30",A145&lt;=40,"31-40",A145&lt;=50,"41-50",A145&gt;50,"51+")</f>
        <v>18-30</v>
      </c>
      <c r="P145" t="str" cm="1">
        <f t="array" ref="P145">_xlfn.IFS(F145&lt;=45,"45 or below",F145&lt;= 60,"46-60",F145&lt;=75,"61-75",F145&lt;=90,"76-90",F145&gt;90,"91 or above")</f>
        <v>61-75</v>
      </c>
      <c r="Q1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5" t="str" cm="1">
        <f t="array" ref="R1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 spans="1:18" x14ac:dyDescent="0.2">
      <c r="A146">
        <f>Table1[[#This Row],[Age]]</f>
        <v>32</v>
      </c>
      <c r="B146">
        <f>IF(Table3[[#This Row],[Attrition]] = "Yes", 1,0)</f>
        <v>0</v>
      </c>
      <c r="C146" t="str">
        <f>Table1[[#This Row],[Attrition]]</f>
        <v>No</v>
      </c>
      <c r="D146" t="str">
        <f>Table1[[#This Row],[Department]]</f>
        <v>Sales</v>
      </c>
      <c r="E146">
        <f>Table1[[#This Row],[EnvironmentSatisfaction]]</f>
        <v>4</v>
      </c>
      <c r="F146">
        <f>Table1[[#This Row],[HourlyRate]]</f>
        <v>35</v>
      </c>
      <c r="G146" t="str">
        <f>Table1[[#This Row],[JobRole]]</f>
        <v>Sales Executive</v>
      </c>
      <c r="H146">
        <f>Table1[[#This Row],[JobSatisfaction]]</f>
        <v>4</v>
      </c>
      <c r="I146">
        <f>Table1[[#This Row],[YearsAtCompany]]</f>
        <v>8</v>
      </c>
      <c r="J146">
        <f>Table1[[#This Row],[YearsSinceLastPromotion]]</f>
        <v>0</v>
      </c>
      <c r="K146">
        <f>Table1[[#This Row],[EmployeeNumber]]</f>
        <v>195</v>
      </c>
      <c r="L146">
        <f>Table1[[#This Row],[DistanceFromHome]]</f>
        <v>9</v>
      </c>
      <c r="M146" t="str">
        <f>Table1[[#This Row],[OverTime]]</f>
        <v>No</v>
      </c>
      <c r="N146">
        <f>Table1[[#This Row],[WorkLifeBalance]]</f>
        <v>4</v>
      </c>
      <c r="O146" t="str" cm="1">
        <f t="array" ref="O146">_xlfn.IFS(A146&lt;=30,"18-30",A146&lt;=40,"31-40",A146&lt;=50,"41-50",A146&gt;50,"51+")</f>
        <v>31-40</v>
      </c>
      <c r="P146" t="str" cm="1">
        <f t="array" ref="P146">_xlfn.IFS(F146&lt;=45,"45 or below",F146&lt;= 60,"46-60",F146&lt;=75,"61-75",F146&lt;=90,"76-90",F146&gt;90,"91 or above")</f>
        <v>45 or below</v>
      </c>
      <c r="Q1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6" t="str" cm="1">
        <f t="array" ref="R1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7" spans="1:18" x14ac:dyDescent="0.2">
      <c r="A147">
        <f>Table1[[#This Row],[Age]]</f>
        <v>30</v>
      </c>
      <c r="B147">
        <f>IF(Table3[[#This Row],[Attrition]] = "Yes", 1,0)</f>
        <v>0</v>
      </c>
      <c r="C147" t="str">
        <f>Table1[[#This Row],[Attrition]]</f>
        <v>No</v>
      </c>
      <c r="D147" t="str">
        <f>Table1[[#This Row],[Department]]</f>
        <v>Research &amp; Development</v>
      </c>
      <c r="E147">
        <f>Table1[[#This Row],[EnvironmentSatisfaction]]</f>
        <v>4</v>
      </c>
      <c r="F147">
        <f>Table1[[#This Row],[HourlyRate]]</f>
        <v>84</v>
      </c>
      <c r="G147" t="str">
        <f>Table1[[#This Row],[JobRole]]</f>
        <v>Research Scientist</v>
      </c>
      <c r="H147">
        <f>Table1[[#This Row],[JobSatisfaction]]</f>
        <v>1</v>
      </c>
      <c r="I147">
        <f>Table1[[#This Row],[YearsAtCompany]]</f>
        <v>3</v>
      </c>
      <c r="J147">
        <f>Table1[[#This Row],[YearsSinceLastPromotion]]</f>
        <v>2</v>
      </c>
      <c r="K147">
        <f>Table1[[#This Row],[EmployeeNumber]]</f>
        <v>197</v>
      </c>
      <c r="L147">
        <f>Table1[[#This Row],[DistanceFromHome]]</f>
        <v>5</v>
      </c>
      <c r="M147" t="str">
        <f>Table1[[#This Row],[OverTime]]</f>
        <v>No</v>
      </c>
      <c r="N147">
        <f>Table1[[#This Row],[WorkLifeBalance]]</f>
        <v>3</v>
      </c>
      <c r="O147" t="str" cm="1">
        <f t="array" ref="O147">_xlfn.IFS(A147&lt;=30,"18-30",A147&lt;=40,"31-40",A147&lt;=50,"41-50",A147&gt;50,"51+")</f>
        <v>18-30</v>
      </c>
      <c r="P147" t="str" cm="1">
        <f t="array" ref="P147">_xlfn.IFS(F147&lt;=45,"45 or below",F147&lt;= 60,"46-60",F147&lt;=75,"61-75",F147&lt;=90,"76-90",F147&gt;90,"91 or above")</f>
        <v>76-90</v>
      </c>
      <c r="Q1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7" t="str" cm="1">
        <f t="array" ref="R14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8" spans="1:18" x14ac:dyDescent="0.2">
      <c r="A148">
        <f>Table1[[#This Row],[Age]]</f>
        <v>30</v>
      </c>
      <c r="B148">
        <f>IF(Table3[[#This Row],[Attrition]] = "Yes", 1,0)</f>
        <v>0</v>
      </c>
      <c r="C148" t="str">
        <f>Table1[[#This Row],[Attrition]]</f>
        <v>No</v>
      </c>
      <c r="D148" t="str">
        <f>Table1[[#This Row],[Department]]</f>
        <v>Research &amp; Development</v>
      </c>
      <c r="E148">
        <f>Table1[[#This Row],[EnvironmentSatisfaction]]</f>
        <v>2</v>
      </c>
      <c r="F148">
        <f>Table1[[#This Row],[HourlyRate]]</f>
        <v>35</v>
      </c>
      <c r="G148" t="str">
        <f>Table1[[#This Row],[JobRole]]</f>
        <v>Laboratory Technician</v>
      </c>
      <c r="H148">
        <f>Table1[[#This Row],[JobSatisfaction]]</f>
        <v>4</v>
      </c>
      <c r="I148">
        <f>Table1[[#This Row],[YearsAtCompany]]</f>
        <v>5</v>
      </c>
      <c r="J148">
        <f>Table1[[#This Row],[YearsSinceLastPromotion]]</f>
        <v>1</v>
      </c>
      <c r="K148">
        <f>Table1[[#This Row],[EmployeeNumber]]</f>
        <v>198</v>
      </c>
      <c r="L148">
        <f>Table1[[#This Row],[DistanceFromHome]]</f>
        <v>2</v>
      </c>
      <c r="M148" t="str">
        <f>Table1[[#This Row],[OverTime]]</f>
        <v>No</v>
      </c>
      <c r="N148">
        <f>Table1[[#This Row],[WorkLifeBalance]]</f>
        <v>3</v>
      </c>
      <c r="O148" t="str" cm="1">
        <f t="array" ref="O148">_xlfn.IFS(A148&lt;=30,"18-30",A148&lt;=40,"31-40",A148&lt;=50,"41-50",A148&gt;50,"51+")</f>
        <v>18-30</v>
      </c>
      <c r="P148" t="str" cm="1">
        <f t="array" ref="P148">_xlfn.IFS(F148&lt;=45,"45 or below",F148&lt;= 60,"46-60",F148&lt;=75,"61-75",F148&lt;=90,"76-90",F148&gt;90,"91 or above")</f>
        <v>45 or below</v>
      </c>
      <c r="Q1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8" t="str" cm="1">
        <f t="array" ref="R1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9" spans="1:18" x14ac:dyDescent="0.2">
      <c r="A149">
        <f>Table1[[#This Row],[Age]]</f>
        <v>41</v>
      </c>
      <c r="B149">
        <f>IF(Table3[[#This Row],[Attrition]] = "Yes", 1,0)</f>
        <v>0</v>
      </c>
      <c r="C149" t="str">
        <f>Table1[[#This Row],[Attrition]]</f>
        <v>No</v>
      </c>
      <c r="D149" t="str">
        <f>Table1[[#This Row],[Department]]</f>
        <v>Research &amp; Development</v>
      </c>
      <c r="E149">
        <f>Table1[[#This Row],[EnvironmentSatisfaction]]</f>
        <v>4</v>
      </c>
      <c r="F149">
        <f>Table1[[#This Row],[HourlyRate]]</f>
        <v>91</v>
      </c>
      <c r="G149" t="str">
        <f>Table1[[#This Row],[JobRole]]</f>
        <v>Manager</v>
      </c>
      <c r="H149">
        <f>Table1[[#This Row],[JobSatisfaction]]</f>
        <v>1</v>
      </c>
      <c r="I149">
        <f>Table1[[#This Row],[YearsAtCompany]]</f>
        <v>7</v>
      </c>
      <c r="J149">
        <f>Table1[[#This Row],[YearsSinceLastPromotion]]</f>
        <v>7</v>
      </c>
      <c r="K149">
        <f>Table1[[#This Row],[EmployeeNumber]]</f>
        <v>199</v>
      </c>
      <c r="L149">
        <f>Table1[[#This Row],[DistanceFromHome]]</f>
        <v>10</v>
      </c>
      <c r="M149" t="str">
        <f>Table1[[#This Row],[OverTime]]</f>
        <v>No</v>
      </c>
      <c r="N149">
        <f>Table1[[#This Row],[WorkLifeBalance]]</f>
        <v>2</v>
      </c>
      <c r="O149" t="str" cm="1">
        <f t="array" ref="O149">_xlfn.IFS(A149&lt;=30,"18-30",A149&lt;=40,"31-40",A149&lt;=50,"41-50",A149&gt;50,"51+")</f>
        <v>41-50</v>
      </c>
      <c r="P149" t="str" cm="1">
        <f t="array" ref="P149">_xlfn.IFS(F149&lt;=45,"45 or below",F149&lt;= 60,"46-60",F149&lt;=75,"61-75",F149&lt;=90,"76-90",F149&gt;90,"91 or above")</f>
        <v>91 or above</v>
      </c>
      <c r="Q1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9" t="str" cm="1">
        <f t="array" ref="R1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0" spans="1:18" x14ac:dyDescent="0.2">
      <c r="A150">
        <f>Table1[[#This Row],[Age]]</f>
        <v>41</v>
      </c>
      <c r="B150">
        <f>IF(Table3[[#This Row],[Attrition]] = "Yes", 1,0)</f>
        <v>0</v>
      </c>
      <c r="C150" t="str">
        <f>Table1[[#This Row],[Attrition]]</f>
        <v>No</v>
      </c>
      <c r="D150" t="str">
        <f>Table1[[#This Row],[Department]]</f>
        <v>Research &amp; Development</v>
      </c>
      <c r="E150">
        <f>Table1[[#This Row],[EnvironmentSatisfaction]]</f>
        <v>3</v>
      </c>
      <c r="F150">
        <f>Table1[[#This Row],[HourlyRate]]</f>
        <v>94</v>
      </c>
      <c r="G150" t="str">
        <f>Table1[[#This Row],[JobRole]]</f>
        <v>Laboratory Technician</v>
      </c>
      <c r="H150">
        <f>Table1[[#This Row],[JobSatisfaction]]</f>
        <v>1</v>
      </c>
      <c r="I150">
        <f>Table1[[#This Row],[YearsAtCompany]]</f>
        <v>5</v>
      </c>
      <c r="J150">
        <f>Table1[[#This Row],[YearsSinceLastPromotion]]</f>
        <v>1</v>
      </c>
      <c r="K150">
        <f>Table1[[#This Row],[EmployeeNumber]]</f>
        <v>200</v>
      </c>
      <c r="L150">
        <f>Table1[[#This Row],[DistanceFromHome]]</f>
        <v>9</v>
      </c>
      <c r="M150" t="str">
        <f>Table1[[#This Row],[OverTime]]</f>
        <v>No</v>
      </c>
      <c r="N150">
        <f>Table1[[#This Row],[WorkLifeBalance]]</f>
        <v>3</v>
      </c>
      <c r="O150" t="str" cm="1">
        <f t="array" ref="O150">_xlfn.IFS(A150&lt;=30,"18-30",A150&lt;=40,"31-40",A150&lt;=50,"41-50",A150&gt;50,"51+")</f>
        <v>41-50</v>
      </c>
      <c r="P150" t="str" cm="1">
        <f t="array" ref="P150">_xlfn.IFS(F150&lt;=45,"45 or below",F150&lt;= 60,"46-60",F150&lt;=75,"61-75",F150&lt;=90,"76-90",F150&gt;90,"91 or above")</f>
        <v>91 or above</v>
      </c>
      <c r="Q1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50" t="str" cm="1">
        <f t="array" ref="R1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1" spans="1:18" x14ac:dyDescent="0.2">
      <c r="A151">
        <f>Table1[[#This Row],[Age]]</f>
        <v>19</v>
      </c>
      <c r="B151">
        <f>IF(Table3[[#This Row],[Attrition]] = "Yes", 1,0)</f>
        <v>0</v>
      </c>
      <c r="C151" t="str">
        <f>Table1[[#This Row],[Attrition]]</f>
        <v>No</v>
      </c>
      <c r="D151" t="str">
        <f>Table1[[#This Row],[Department]]</f>
        <v>Research &amp; Development</v>
      </c>
      <c r="E151">
        <f>Table1[[#This Row],[EnvironmentSatisfaction]]</f>
        <v>2</v>
      </c>
      <c r="F151">
        <f>Table1[[#This Row],[HourlyRate]]</f>
        <v>79</v>
      </c>
      <c r="G151" t="str">
        <f>Table1[[#This Row],[JobRole]]</f>
        <v>Laboratory Technician</v>
      </c>
      <c r="H151">
        <f>Table1[[#This Row],[JobSatisfaction]]</f>
        <v>2</v>
      </c>
      <c r="I151">
        <f>Table1[[#This Row],[YearsAtCompany]]</f>
        <v>1</v>
      </c>
      <c r="J151">
        <f>Table1[[#This Row],[YearsSinceLastPromotion]]</f>
        <v>0</v>
      </c>
      <c r="K151">
        <f>Table1[[#This Row],[EmployeeNumber]]</f>
        <v>201</v>
      </c>
      <c r="L151">
        <f>Table1[[#This Row],[DistanceFromHome]]</f>
        <v>3</v>
      </c>
      <c r="M151" t="str">
        <f>Table1[[#This Row],[OverTime]]</f>
        <v>No</v>
      </c>
      <c r="N151">
        <f>Table1[[#This Row],[WorkLifeBalance]]</f>
        <v>3</v>
      </c>
      <c r="O151" t="str" cm="1">
        <f t="array" ref="O151">_xlfn.IFS(A151&lt;=30,"18-30",A151&lt;=40,"31-40",A151&lt;=50,"41-50",A151&gt;50,"51+")</f>
        <v>18-30</v>
      </c>
      <c r="P151" t="str" cm="1">
        <f t="array" ref="P151">_xlfn.IFS(F151&lt;=45,"45 or below",F151&lt;= 60,"46-60",F151&lt;=75,"61-75",F151&lt;=90,"76-90",F151&gt;90,"91 or above")</f>
        <v>76-90</v>
      </c>
      <c r="Q1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51" t="str" cm="1">
        <f t="array" ref="R15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52" spans="1:18" x14ac:dyDescent="0.2">
      <c r="A152">
        <f>Table1[[#This Row],[Age]]</f>
        <v>40</v>
      </c>
      <c r="B152">
        <f>IF(Table3[[#This Row],[Attrition]] = "Yes", 1,0)</f>
        <v>0</v>
      </c>
      <c r="C152" t="str">
        <f>Table1[[#This Row],[Attrition]]</f>
        <v>No</v>
      </c>
      <c r="D152" t="str">
        <f>Table1[[#This Row],[Department]]</f>
        <v>Research &amp; Development</v>
      </c>
      <c r="E152">
        <f>Table1[[#This Row],[EnvironmentSatisfaction]]</f>
        <v>2</v>
      </c>
      <c r="F152">
        <f>Table1[[#This Row],[HourlyRate]]</f>
        <v>54</v>
      </c>
      <c r="G152" t="str">
        <f>Table1[[#This Row],[JobRole]]</f>
        <v>Research Scientist</v>
      </c>
      <c r="H152">
        <f>Table1[[#This Row],[JobSatisfaction]]</f>
        <v>2</v>
      </c>
      <c r="I152">
        <f>Table1[[#This Row],[YearsAtCompany]]</f>
        <v>20</v>
      </c>
      <c r="J152">
        <f>Table1[[#This Row],[YearsSinceLastPromotion]]</f>
        <v>2</v>
      </c>
      <c r="K152">
        <f>Table1[[#This Row],[EmployeeNumber]]</f>
        <v>202</v>
      </c>
      <c r="L152">
        <f>Table1[[#This Row],[DistanceFromHome]]</f>
        <v>26</v>
      </c>
      <c r="M152" t="str">
        <f>Table1[[#This Row],[OverTime]]</f>
        <v>No</v>
      </c>
      <c r="N152">
        <f>Table1[[#This Row],[WorkLifeBalance]]</f>
        <v>3</v>
      </c>
      <c r="O152" t="str" cm="1">
        <f t="array" ref="O152">_xlfn.IFS(A152&lt;=30,"18-30",A152&lt;=40,"31-40",A152&lt;=50,"41-50",A152&gt;50,"51+")</f>
        <v>31-40</v>
      </c>
      <c r="P152" t="str" cm="1">
        <f t="array" ref="P152">_xlfn.IFS(F152&lt;=45,"45 or below",F152&lt;= 60,"46-60",F152&lt;=75,"61-75",F152&lt;=90,"76-90",F152&gt;90,"91 or above")</f>
        <v>46-60</v>
      </c>
      <c r="Q1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52" t="str" cm="1">
        <f t="array" ref="R1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53" spans="1:18" x14ac:dyDescent="0.2">
      <c r="A153">
        <f>Table1[[#This Row],[Age]]</f>
        <v>35</v>
      </c>
      <c r="B153">
        <f>IF(Table3[[#This Row],[Attrition]] = "Yes", 1,0)</f>
        <v>0</v>
      </c>
      <c r="C153" t="str">
        <f>Table1[[#This Row],[Attrition]]</f>
        <v>No</v>
      </c>
      <c r="D153" t="str">
        <f>Table1[[#This Row],[Department]]</f>
        <v>Sales</v>
      </c>
      <c r="E153">
        <f>Table1[[#This Row],[EnvironmentSatisfaction]]</f>
        <v>3</v>
      </c>
      <c r="F153">
        <f>Table1[[#This Row],[HourlyRate]]</f>
        <v>94</v>
      </c>
      <c r="G153" t="str">
        <f>Table1[[#This Row],[JobRole]]</f>
        <v>Sales Executive</v>
      </c>
      <c r="H153">
        <f>Table1[[#This Row],[JobSatisfaction]]</f>
        <v>2</v>
      </c>
      <c r="I153">
        <f>Table1[[#This Row],[YearsAtCompany]]</f>
        <v>10</v>
      </c>
      <c r="J153">
        <f>Table1[[#This Row],[YearsSinceLastPromotion]]</f>
        <v>0</v>
      </c>
      <c r="K153">
        <f>Table1[[#This Row],[EmployeeNumber]]</f>
        <v>204</v>
      </c>
      <c r="L153">
        <f>Table1[[#This Row],[DistanceFromHome]]</f>
        <v>1</v>
      </c>
      <c r="M153" t="str">
        <f>Table1[[#This Row],[OverTime]]</f>
        <v>No</v>
      </c>
      <c r="N153">
        <f>Table1[[#This Row],[WorkLifeBalance]]</f>
        <v>3</v>
      </c>
      <c r="O153" t="str" cm="1">
        <f t="array" ref="O153">_xlfn.IFS(A153&lt;=30,"18-30",A153&lt;=40,"31-40",A153&lt;=50,"41-50",A153&gt;50,"51+")</f>
        <v>31-40</v>
      </c>
      <c r="P153" t="str" cm="1">
        <f t="array" ref="P153">_xlfn.IFS(F153&lt;=45,"45 or below",F153&lt;= 60,"46-60",F153&lt;=75,"61-75",F153&lt;=90,"76-90",F153&gt;90,"91 or above")</f>
        <v>91 or above</v>
      </c>
      <c r="Q1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53" t="str" cm="1">
        <f t="array" ref="R1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4" spans="1:18" x14ac:dyDescent="0.2">
      <c r="A154">
        <f>Table1[[#This Row],[Age]]</f>
        <v>53</v>
      </c>
      <c r="B154">
        <f>IF(Table3[[#This Row],[Attrition]] = "Yes", 1,0)</f>
        <v>0</v>
      </c>
      <c r="C154" t="str">
        <f>Table1[[#This Row],[Attrition]]</f>
        <v>No</v>
      </c>
      <c r="D154" t="str">
        <f>Table1[[#This Row],[Department]]</f>
        <v>Sales</v>
      </c>
      <c r="E154">
        <f>Table1[[#This Row],[EnvironmentSatisfaction]]</f>
        <v>2</v>
      </c>
      <c r="F154">
        <f>Table1[[#This Row],[HourlyRate]]</f>
        <v>34</v>
      </c>
      <c r="G154" t="str">
        <f>Table1[[#This Row],[JobRole]]</f>
        <v>Sales Representative</v>
      </c>
      <c r="H154">
        <f>Table1[[#This Row],[JobSatisfaction]]</f>
        <v>3</v>
      </c>
      <c r="I154">
        <f>Table1[[#This Row],[YearsAtCompany]]</f>
        <v>7</v>
      </c>
      <c r="J154">
        <f>Table1[[#This Row],[YearsSinceLastPromotion]]</f>
        <v>4</v>
      </c>
      <c r="K154">
        <f>Table1[[#This Row],[EmployeeNumber]]</f>
        <v>205</v>
      </c>
      <c r="L154">
        <f>Table1[[#This Row],[DistanceFromHome]]</f>
        <v>6</v>
      </c>
      <c r="M154" t="str">
        <f>Table1[[#This Row],[OverTime]]</f>
        <v>Yes</v>
      </c>
      <c r="N154">
        <f>Table1[[#This Row],[WorkLifeBalance]]</f>
        <v>1</v>
      </c>
      <c r="O154" t="str" cm="1">
        <f t="array" ref="O154">_xlfn.IFS(A154&lt;=30,"18-30",A154&lt;=40,"31-40",A154&lt;=50,"41-50",A154&gt;50,"51+")</f>
        <v>51+</v>
      </c>
      <c r="P154" t="str" cm="1">
        <f t="array" ref="P154">_xlfn.IFS(F154&lt;=45,"45 or below",F154&lt;= 60,"46-60",F154&lt;=75,"61-75",F154&lt;=90,"76-90",F154&gt;90,"91 or above")</f>
        <v>45 or below</v>
      </c>
      <c r="Q1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85</v>
      </c>
      <c r="R154" t="str" cm="1">
        <f t="array" ref="R154" xml:space="preserve"> _xlfn.IFS(Table3[[#This Row],[Flight Risk Score]] = "NA","NA",Table3[[#This Row],[Flight Risk Score]] &gt;= 70,"High Risk",Table3[[#This Row],[Flight Risk Score]] &gt;= 50, "Medium Risk", Table3[[#This Row],[Flight Risk Score]] &gt;= 30,"Low Risk",Table3[[#This Row],[Flight Risk Score]] &lt; 30,"Very Low Risk")</f>
        <v>High Risk</v>
      </c>
    </row>
    <row r="155" spans="1:18" x14ac:dyDescent="0.2">
      <c r="A155">
        <f>Table1[[#This Row],[Age]]</f>
        <v>45</v>
      </c>
      <c r="B155">
        <f>IF(Table3[[#This Row],[Attrition]] = "Yes", 1,0)</f>
        <v>0</v>
      </c>
      <c r="C155" t="str">
        <f>Table1[[#This Row],[Attrition]]</f>
        <v>No</v>
      </c>
      <c r="D155" t="str">
        <f>Table1[[#This Row],[Department]]</f>
        <v>Research &amp; Development</v>
      </c>
      <c r="E155">
        <f>Table1[[#This Row],[EnvironmentSatisfaction]]</f>
        <v>2</v>
      </c>
      <c r="F155">
        <f>Table1[[#This Row],[HourlyRate]]</f>
        <v>60</v>
      </c>
      <c r="G155" t="str">
        <f>Table1[[#This Row],[JobRole]]</f>
        <v>Laboratory Technician</v>
      </c>
      <c r="H155">
        <f>Table1[[#This Row],[JobSatisfaction]]</f>
        <v>2</v>
      </c>
      <c r="I155">
        <f>Table1[[#This Row],[YearsAtCompany]]</f>
        <v>17</v>
      </c>
      <c r="J155">
        <f>Table1[[#This Row],[YearsSinceLastPromotion]]</f>
        <v>0</v>
      </c>
      <c r="K155">
        <f>Table1[[#This Row],[EmployeeNumber]]</f>
        <v>206</v>
      </c>
      <c r="L155">
        <f>Table1[[#This Row],[DistanceFromHome]]</f>
        <v>9</v>
      </c>
      <c r="M155" t="str">
        <f>Table1[[#This Row],[OverTime]]</f>
        <v>No</v>
      </c>
      <c r="N155">
        <f>Table1[[#This Row],[WorkLifeBalance]]</f>
        <v>1</v>
      </c>
      <c r="O155" t="str" cm="1">
        <f t="array" ref="O155">_xlfn.IFS(A155&lt;=30,"18-30",A155&lt;=40,"31-40",A155&lt;=50,"41-50",A155&gt;50,"51+")</f>
        <v>41-50</v>
      </c>
      <c r="P155" t="str" cm="1">
        <f t="array" ref="P155">_xlfn.IFS(F155&lt;=45,"45 or below",F155&lt;= 60,"46-60",F155&lt;=75,"61-75",F155&lt;=90,"76-90",F155&gt;90,"91 or above")</f>
        <v>46-60</v>
      </c>
      <c r="Q1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55" t="str" cm="1">
        <f t="array" ref="R15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56" spans="1:18" x14ac:dyDescent="0.2">
      <c r="A156">
        <f>Table1[[#This Row],[Age]]</f>
        <v>32</v>
      </c>
      <c r="B156">
        <f>IF(Table3[[#This Row],[Attrition]] = "Yes", 1,0)</f>
        <v>0</v>
      </c>
      <c r="C156" t="str">
        <f>Table1[[#This Row],[Attrition]]</f>
        <v>No</v>
      </c>
      <c r="D156" t="str">
        <f>Table1[[#This Row],[Department]]</f>
        <v>Sales</v>
      </c>
      <c r="E156">
        <f>Table1[[#This Row],[EnvironmentSatisfaction]]</f>
        <v>2</v>
      </c>
      <c r="F156">
        <f>Table1[[#This Row],[HourlyRate]]</f>
        <v>43</v>
      </c>
      <c r="G156" t="str">
        <f>Table1[[#This Row],[JobRole]]</f>
        <v>Sales Executive</v>
      </c>
      <c r="H156">
        <f>Table1[[#This Row],[JobSatisfaction]]</f>
        <v>4</v>
      </c>
      <c r="I156">
        <f>Table1[[#This Row],[YearsAtCompany]]</f>
        <v>9</v>
      </c>
      <c r="J156">
        <f>Table1[[#This Row],[YearsSinceLastPromotion]]</f>
        <v>3</v>
      </c>
      <c r="K156">
        <f>Table1[[#This Row],[EmployeeNumber]]</f>
        <v>207</v>
      </c>
      <c r="L156">
        <f>Table1[[#This Row],[DistanceFromHome]]</f>
        <v>8</v>
      </c>
      <c r="M156" t="str">
        <f>Table1[[#This Row],[OverTime]]</f>
        <v>No</v>
      </c>
      <c r="N156">
        <f>Table1[[#This Row],[WorkLifeBalance]]</f>
        <v>3</v>
      </c>
      <c r="O156" t="str" cm="1">
        <f t="array" ref="O156">_xlfn.IFS(A156&lt;=30,"18-30",A156&lt;=40,"31-40",A156&lt;=50,"41-50",A156&gt;50,"51+")</f>
        <v>31-40</v>
      </c>
      <c r="P156" t="str" cm="1">
        <f t="array" ref="P156">_xlfn.IFS(F156&lt;=45,"45 or below",F156&lt;= 60,"46-60",F156&lt;=75,"61-75",F156&lt;=90,"76-90",F156&gt;90,"91 or above")</f>
        <v>45 or below</v>
      </c>
      <c r="Q1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56" t="str" cm="1">
        <f t="array" ref="R1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7" spans="1:18" x14ac:dyDescent="0.2">
      <c r="A157">
        <f>Table1[[#This Row],[Age]]</f>
        <v>29</v>
      </c>
      <c r="B157">
        <f>IF(Table3[[#This Row],[Attrition]] = "Yes", 1,0)</f>
        <v>0</v>
      </c>
      <c r="C157" t="str">
        <f>Table1[[#This Row],[Attrition]]</f>
        <v>No</v>
      </c>
      <c r="D157" t="str">
        <f>Table1[[#This Row],[Department]]</f>
        <v>Research &amp; Development</v>
      </c>
      <c r="E157">
        <f>Table1[[#This Row],[EnvironmentSatisfaction]]</f>
        <v>4</v>
      </c>
      <c r="F157">
        <f>Table1[[#This Row],[HourlyRate]]</f>
        <v>41</v>
      </c>
      <c r="G157" t="str">
        <f>Table1[[#This Row],[JobRole]]</f>
        <v>Manufacturing Director</v>
      </c>
      <c r="H157">
        <f>Table1[[#This Row],[JobSatisfaction]]</f>
        <v>3</v>
      </c>
      <c r="I157">
        <f>Table1[[#This Row],[YearsAtCompany]]</f>
        <v>10</v>
      </c>
      <c r="J157">
        <f>Table1[[#This Row],[YearsSinceLastPromotion]]</f>
        <v>0</v>
      </c>
      <c r="K157">
        <f>Table1[[#This Row],[EmployeeNumber]]</f>
        <v>208</v>
      </c>
      <c r="L157">
        <f>Table1[[#This Row],[DistanceFromHome]]</f>
        <v>1</v>
      </c>
      <c r="M157" t="str">
        <f>Table1[[#This Row],[OverTime]]</f>
        <v>No</v>
      </c>
      <c r="N157">
        <f>Table1[[#This Row],[WorkLifeBalance]]</f>
        <v>3</v>
      </c>
      <c r="O157" t="str" cm="1">
        <f t="array" ref="O157">_xlfn.IFS(A157&lt;=30,"18-30",A157&lt;=40,"31-40",A157&lt;=50,"41-50",A157&gt;50,"51+")</f>
        <v>18-30</v>
      </c>
      <c r="P157" t="str" cm="1">
        <f t="array" ref="P157">_xlfn.IFS(F157&lt;=45,"45 or below",F157&lt;= 60,"46-60",F157&lt;=75,"61-75",F157&lt;=90,"76-90",F157&gt;90,"91 or above")</f>
        <v>45 or below</v>
      </c>
      <c r="Q1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57" t="str" cm="1">
        <f t="array" ref="R1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8" spans="1:18" x14ac:dyDescent="0.2">
      <c r="A158">
        <f>Table1[[#This Row],[Age]]</f>
        <v>51</v>
      </c>
      <c r="B158">
        <f>IF(Table3[[#This Row],[Attrition]] = "Yes", 1,0)</f>
        <v>0</v>
      </c>
      <c r="C158" t="str">
        <f>Table1[[#This Row],[Attrition]]</f>
        <v>No</v>
      </c>
      <c r="D158" t="str">
        <f>Table1[[#This Row],[Department]]</f>
        <v>Research &amp; Development</v>
      </c>
      <c r="E158">
        <f>Table1[[#This Row],[EnvironmentSatisfaction]]</f>
        <v>2</v>
      </c>
      <c r="F158">
        <f>Table1[[#This Row],[HourlyRate]]</f>
        <v>34</v>
      </c>
      <c r="G158" t="str">
        <f>Table1[[#This Row],[JobRole]]</f>
        <v>Manufacturing Director</v>
      </c>
      <c r="H158">
        <f>Table1[[#This Row],[JobSatisfaction]]</f>
        <v>3</v>
      </c>
      <c r="I158">
        <f>Table1[[#This Row],[YearsAtCompany]]</f>
        <v>1</v>
      </c>
      <c r="J158">
        <f>Table1[[#This Row],[YearsSinceLastPromotion]]</f>
        <v>0</v>
      </c>
      <c r="K158">
        <f>Table1[[#This Row],[EmployeeNumber]]</f>
        <v>211</v>
      </c>
      <c r="L158">
        <f>Table1[[#This Row],[DistanceFromHome]]</f>
        <v>7</v>
      </c>
      <c r="M158" t="str">
        <f>Table1[[#This Row],[OverTime]]</f>
        <v>No</v>
      </c>
      <c r="N158">
        <f>Table1[[#This Row],[WorkLifeBalance]]</f>
        <v>3</v>
      </c>
      <c r="O158" t="str" cm="1">
        <f t="array" ref="O158">_xlfn.IFS(A158&lt;=30,"18-30",A158&lt;=40,"31-40",A158&lt;=50,"41-50",A158&gt;50,"51+")</f>
        <v>51+</v>
      </c>
      <c r="P158" t="str" cm="1">
        <f t="array" ref="P158">_xlfn.IFS(F158&lt;=45,"45 or below",F158&lt;= 60,"46-60",F158&lt;=75,"61-75",F158&lt;=90,"76-90",F158&gt;90,"91 or above")</f>
        <v>45 or below</v>
      </c>
      <c r="Q1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58" t="str" cm="1">
        <f t="array" ref="R1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59" spans="1:18" x14ac:dyDescent="0.2">
      <c r="A159">
        <f>Table1[[#This Row],[Age]]</f>
        <v>58</v>
      </c>
      <c r="B159">
        <f>IF(Table3[[#This Row],[Attrition]] = "Yes", 1,0)</f>
        <v>0</v>
      </c>
      <c r="C159" t="str">
        <f>Table1[[#This Row],[Attrition]]</f>
        <v>No</v>
      </c>
      <c r="D159" t="str">
        <f>Table1[[#This Row],[Department]]</f>
        <v>Research &amp; Development</v>
      </c>
      <c r="E159">
        <f>Table1[[#This Row],[EnvironmentSatisfaction]]</f>
        <v>2</v>
      </c>
      <c r="F159">
        <f>Table1[[#This Row],[HourlyRate]]</f>
        <v>75</v>
      </c>
      <c r="G159" t="str">
        <f>Table1[[#This Row],[JobRole]]</f>
        <v>Research Scientist</v>
      </c>
      <c r="H159">
        <f>Table1[[#This Row],[JobSatisfaction]]</f>
        <v>2</v>
      </c>
      <c r="I159">
        <f>Table1[[#This Row],[YearsAtCompany]]</f>
        <v>1</v>
      </c>
      <c r="J159">
        <f>Table1[[#This Row],[YearsSinceLastPromotion]]</f>
        <v>0</v>
      </c>
      <c r="K159">
        <f>Table1[[#This Row],[EmployeeNumber]]</f>
        <v>214</v>
      </c>
      <c r="L159">
        <f>Table1[[#This Row],[DistanceFromHome]]</f>
        <v>9</v>
      </c>
      <c r="M159" t="str">
        <f>Table1[[#This Row],[OverTime]]</f>
        <v>Yes</v>
      </c>
      <c r="N159">
        <f>Table1[[#This Row],[WorkLifeBalance]]</f>
        <v>2</v>
      </c>
      <c r="O159" t="str" cm="1">
        <f t="array" ref="O159">_xlfn.IFS(A159&lt;=30,"18-30",A159&lt;=40,"31-40",A159&lt;=50,"41-50",A159&gt;50,"51+")</f>
        <v>51+</v>
      </c>
      <c r="P159" t="str" cm="1">
        <f t="array" ref="P159">_xlfn.IFS(F159&lt;=45,"45 or below",F159&lt;= 60,"46-60",F159&lt;=75,"61-75",F159&lt;=90,"76-90",F159&gt;90,"91 or above")</f>
        <v>61-75</v>
      </c>
      <c r="Q1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59" t="str" cm="1">
        <f t="array" ref="R15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60" spans="1:18" x14ac:dyDescent="0.2">
      <c r="A160">
        <f>Table1[[#This Row],[Age]]</f>
        <v>40</v>
      </c>
      <c r="B160">
        <f>IF(Table3[[#This Row],[Attrition]] = "Yes", 1,0)</f>
        <v>0</v>
      </c>
      <c r="C160" t="str">
        <f>Table1[[#This Row],[Attrition]]</f>
        <v>No</v>
      </c>
      <c r="D160" t="str">
        <f>Table1[[#This Row],[Department]]</f>
        <v>Sales</v>
      </c>
      <c r="E160">
        <f>Table1[[#This Row],[EnvironmentSatisfaction]]</f>
        <v>3</v>
      </c>
      <c r="F160">
        <f>Table1[[#This Row],[HourlyRate]]</f>
        <v>67</v>
      </c>
      <c r="G160" t="str">
        <f>Table1[[#This Row],[JobRole]]</f>
        <v>Sales Executive</v>
      </c>
      <c r="H160">
        <f>Table1[[#This Row],[JobSatisfaction]]</f>
        <v>4</v>
      </c>
      <c r="I160">
        <f>Table1[[#This Row],[YearsAtCompany]]</f>
        <v>12</v>
      </c>
      <c r="J160">
        <f>Table1[[#This Row],[YearsSinceLastPromotion]]</f>
        <v>2</v>
      </c>
      <c r="K160">
        <f>Table1[[#This Row],[EmployeeNumber]]</f>
        <v>215</v>
      </c>
      <c r="L160">
        <f>Table1[[#This Row],[DistanceFromHome]]</f>
        <v>4</v>
      </c>
      <c r="M160" t="str">
        <f>Table1[[#This Row],[OverTime]]</f>
        <v>No</v>
      </c>
      <c r="N160">
        <f>Table1[[#This Row],[WorkLifeBalance]]</f>
        <v>2</v>
      </c>
      <c r="O160" t="str" cm="1">
        <f t="array" ref="O160">_xlfn.IFS(A160&lt;=30,"18-30",A160&lt;=40,"31-40",A160&lt;=50,"41-50",A160&gt;50,"51+")</f>
        <v>31-40</v>
      </c>
      <c r="P160" t="str" cm="1">
        <f t="array" ref="P160">_xlfn.IFS(F160&lt;=45,"45 or below",F160&lt;= 60,"46-60",F160&lt;=75,"61-75",F160&lt;=90,"76-90",F160&gt;90,"91 or above")</f>
        <v>61-75</v>
      </c>
      <c r="Q1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60" t="str" cm="1">
        <f t="array" ref="R1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61" spans="1:18" x14ac:dyDescent="0.2">
      <c r="A161">
        <f>Table1[[#This Row],[Age]]</f>
        <v>34</v>
      </c>
      <c r="B161">
        <f>IF(Table3[[#This Row],[Attrition]] = "Yes", 1,0)</f>
        <v>0</v>
      </c>
      <c r="C161" t="str">
        <f>Table1[[#This Row],[Attrition]]</f>
        <v>No</v>
      </c>
      <c r="D161" t="str">
        <f>Table1[[#This Row],[Department]]</f>
        <v>Sales</v>
      </c>
      <c r="E161">
        <f>Table1[[#This Row],[EnvironmentSatisfaction]]</f>
        <v>3</v>
      </c>
      <c r="F161">
        <f>Table1[[#This Row],[HourlyRate]]</f>
        <v>75</v>
      </c>
      <c r="G161" t="str">
        <f>Table1[[#This Row],[JobRole]]</f>
        <v>Sales Representative</v>
      </c>
      <c r="H161">
        <f>Table1[[#This Row],[JobSatisfaction]]</f>
        <v>3</v>
      </c>
      <c r="I161">
        <f>Table1[[#This Row],[YearsAtCompany]]</f>
        <v>4</v>
      </c>
      <c r="J161">
        <f>Table1[[#This Row],[YearsSinceLastPromotion]]</f>
        <v>1</v>
      </c>
      <c r="K161">
        <f>Table1[[#This Row],[EmployeeNumber]]</f>
        <v>216</v>
      </c>
      <c r="L161">
        <f>Table1[[#This Row],[DistanceFromHome]]</f>
        <v>2</v>
      </c>
      <c r="M161" t="str">
        <f>Table1[[#This Row],[OverTime]]</f>
        <v>No</v>
      </c>
      <c r="N161">
        <f>Table1[[#This Row],[WorkLifeBalance]]</f>
        <v>3</v>
      </c>
      <c r="O161" t="str" cm="1">
        <f t="array" ref="O161">_xlfn.IFS(A161&lt;=30,"18-30",A161&lt;=40,"31-40",A161&lt;=50,"41-50",A161&gt;50,"51+")</f>
        <v>31-40</v>
      </c>
      <c r="P161" t="str" cm="1">
        <f t="array" ref="P161">_xlfn.IFS(F161&lt;=45,"45 or below",F161&lt;= 60,"46-60",F161&lt;=75,"61-75",F161&lt;=90,"76-90",F161&gt;90,"91 or above")</f>
        <v>61-75</v>
      </c>
      <c r="Q1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61" t="str" cm="1">
        <f t="array" ref="R1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62" spans="1:18" x14ac:dyDescent="0.2">
      <c r="A162">
        <f>Table1[[#This Row],[Age]]</f>
        <v>22</v>
      </c>
      <c r="B162">
        <f>IF(Table3[[#This Row],[Attrition]] = "Yes", 1,0)</f>
        <v>0</v>
      </c>
      <c r="C162" t="str">
        <f>Table1[[#This Row],[Attrition]]</f>
        <v>No</v>
      </c>
      <c r="D162" t="str">
        <f>Table1[[#This Row],[Department]]</f>
        <v>Research &amp; Development</v>
      </c>
      <c r="E162">
        <f>Table1[[#This Row],[EnvironmentSatisfaction]]</f>
        <v>3</v>
      </c>
      <c r="F162">
        <f>Table1[[#This Row],[HourlyRate]]</f>
        <v>80</v>
      </c>
      <c r="G162" t="str">
        <f>Table1[[#This Row],[JobRole]]</f>
        <v>Research Scientist</v>
      </c>
      <c r="H162">
        <f>Table1[[#This Row],[JobSatisfaction]]</f>
        <v>4</v>
      </c>
      <c r="I162">
        <f>Table1[[#This Row],[YearsAtCompany]]</f>
        <v>2</v>
      </c>
      <c r="J162">
        <f>Table1[[#This Row],[YearsSinceLastPromotion]]</f>
        <v>2</v>
      </c>
      <c r="K162">
        <f>Table1[[#This Row],[EmployeeNumber]]</f>
        <v>217</v>
      </c>
      <c r="L162">
        <f>Table1[[#This Row],[DistanceFromHome]]</f>
        <v>19</v>
      </c>
      <c r="M162" t="str">
        <f>Table1[[#This Row],[OverTime]]</f>
        <v>No</v>
      </c>
      <c r="N162">
        <f>Table1[[#This Row],[WorkLifeBalance]]</f>
        <v>3</v>
      </c>
      <c r="O162" t="str" cm="1">
        <f t="array" ref="O162">_xlfn.IFS(A162&lt;=30,"18-30",A162&lt;=40,"31-40",A162&lt;=50,"41-50",A162&gt;50,"51+")</f>
        <v>18-30</v>
      </c>
      <c r="P162" t="str" cm="1">
        <f t="array" ref="P162">_xlfn.IFS(F162&lt;=45,"45 or below",F162&lt;= 60,"46-60",F162&lt;=75,"61-75",F162&lt;=90,"76-90",F162&gt;90,"91 or above")</f>
        <v>76-90</v>
      </c>
      <c r="Q1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62" t="str" cm="1">
        <f t="array" ref="R1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63" spans="1:18" x14ac:dyDescent="0.2">
      <c r="A163">
        <f>Table1[[#This Row],[Age]]</f>
        <v>27</v>
      </c>
      <c r="B163">
        <f>IF(Table3[[#This Row],[Attrition]] = "Yes", 1,0)</f>
        <v>0</v>
      </c>
      <c r="C163" t="str">
        <f>Table1[[#This Row],[Attrition]]</f>
        <v>No</v>
      </c>
      <c r="D163" t="str">
        <f>Table1[[#This Row],[Department]]</f>
        <v>Research &amp; Development</v>
      </c>
      <c r="E163">
        <f>Table1[[#This Row],[EnvironmentSatisfaction]]</f>
        <v>4</v>
      </c>
      <c r="F163">
        <f>Table1[[#This Row],[HourlyRate]]</f>
        <v>57</v>
      </c>
      <c r="G163" t="str">
        <f>Table1[[#This Row],[JobRole]]</f>
        <v>Research Scientist</v>
      </c>
      <c r="H163">
        <f>Table1[[#This Row],[JobSatisfaction]]</f>
        <v>2</v>
      </c>
      <c r="I163">
        <f>Table1[[#This Row],[YearsAtCompany]]</f>
        <v>2</v>
      </c>
      <c r="J163">
        <f>Table1[[#This Row],[YearsSinceLastPromotion]]</f>
        <v>2</v>
      </c>
      <c r="K163">
        <f>Table1[[#This Row],[EmployeeNumber]]</f>
        <v>218</v>
      </c>
      <c r="L163">
        <f>Table1[[#This Row],[DistanceFromHome]]</f>
        <v>9</v>
      </c>
      <c r="M163" t="str">
        <f>Table1[[#This Row],[OverTime]]</f>
        <v>No</v>
      </c>
      <c r="N163">
        <f>Table1[[#This Row],[WorkLifeBalance]]</f>
        <v>1</v>
      </c>
      <c r="O163" t="str" cm="1">
        <f t="array" ref="O163">_xlfn.IFS(A163&lt;=30,"18-30",A163&lt;=40,"31-40",A163&lt;=50,"41-50",A163&gt;50,"51+")</f>
        <v>18-30</v>
      </c>
      <c r="P163" t="str" cm="1">
        <f t="array" ref="P163">_xlfn.IFS(F163&lt;=45,"45 or below",F163&lt;= 60,"46-60",F163&lt;=75,"61-75",F163&lt;=90,"76-90",F163&gt;90,"91 or above")</f>
        <v>46-60</v>
      </c>
      <c r="Q1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63" t="str" cm="1">
        <f t="array" ref="R16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64" spans="1:18" x14ac:dyDescent="0.2">
      <c r="A164">
        <f>Table1[[#This Row],[Age]]</f>
        <v>28</v>
      </c>
      <c r="B164">
        <f>IF(Table3[[#This Row],[Attrition]] = "Yes", 1,0)</f>
        <v>0</v>
      </c>
      <c r="C164" t="str">
        <f>Table1[[#This Row],[Attrition]]</f>
        <v>No</v>
      </c>
      <c r="D164" t="str">
        <f>Table1[[#This Row],[Department]]</f>
        <v>Research &amp; Development</v>
      </c>
      <c r="E164">
        <f>Table1[[#This Row],[EnvironmentSatisfaction]]</f>
        <v>3</v>
      </c>
      <c r="F164">
        <f>Table1[[#This Row],[HourlyRate]]</f>
        <v>42</v>
      </c>
      <c r="G164" t="str">
        <f>Table1[[#This Row],[JobRole]]</f>
        <v>Research Scientist</v>
      </c>
      <c r="H164">
        <f>Table1[[#This Row],[JobSatisfaction]]</f>
        <v>4</v>
      </c>
      <c r="I164">
        <f>Table1[[#This Row],[YearsAtCompany]]</f>
        <v>5</v>
      </c>
      <c r="J164">
        <f>Table1[[#This Row],[YearsSinceLastPromotion]]</f>
        <v>0</v>
      </c>
      <c r="K164">
        <f>Table1[[#This Row],[EmployeeNumber]]</f>
        <v>221</v>
      </c>
      <c r="L164">
        <f>Table1[[#This Row],[DistanceFromHome]]</f>
        <v>21</v>
      </c>
      <c r="M164" t="str">
        <f>Table1[[#This Row],[OverTime]]</f>
        <v>No</v>
      </c>
      <c r="N164">
        <f>Table1[[#This Row],[WorkLifeBalance]]</f>
        <v>1</v>
      </c>
      <c r="O164" t="str" cm="1">
        <f t="array" ref="O164">_xlfn.IFS(A164&lt;=30,"18-30",A164&lt;=40,"31-40",A164&lt;=50,"41-50",A164&gt;50,"51+")</f>
        <v>18-30</v>
      </c>
      <c r="P164" t="str" cm="1">
        <f t="array" ref="P164">_xlfn.IFS(F164&lt;=45,"45 or below",F164&lt;= 60,"46-60",F164&lt;=75,"61-75",F164&lt;=90,"76-90",F164&gt;90,"91 or above")</f>
        <v>45 or below</v>
      </c>
      <c r="Q1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64" t="str" cm="1">
        <f t="array" ref="R16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65" spans="1:18" x14ac:dyDescent="0.2">
      <c r="A165">
        <f>Table1[[#This Row],[Age]]</f>
        <v>57</v>
      </c>
      <c r="B165">
        <f>IF(Table3[[#This Row],[Attrition]] = "Yes", 1,0)</f>
        <v>0</v>
      </c>
      <c r="C165" t="str">
        <f>Table1[[#This Row],[Attrition]]</f>
        <v>No</v>
      </c>
      <c r="D165" t="str">
        <f>Table1[[#This Row],[Department]]</f>
        <v>Research &amp; Development</v>
      </c>
      <c r="E165">
        <f>Table1[[#This Row],[EnvironmentSatisfaction]]</f>
        <v>3</v>
      </c>
      <c r="F165">
        <f>Table1[[#This Row],[HourlyRate]]</f>
        <v>83</v>
      </c>
      <c r="G165" t="str">
        <f>Table1[[#This Row],[JobRole]]</f>
        <v>Healthcare Representative</v>
      </c>
      <c r="H165">
        <f>Table1[[#This Row],[JobSatisfaction]]</f>
        <v>4</v>
      </c>
      <c r="I165">
        <f>Table1[[#This Row],[YearsAtCompany]]</f>
        <v>5</v>
      </c>
      <c r="J165">
        <f>Table1[[#This Row],[YearsSinceLastPromotion]]</f>
        <v>1</v>
      </c>
      <c r="K165">
        <f>Table1[[#This Row],[EmployeeNumber]]</f>
        <v>223</v>
      </c>
      <c r="L165">
        <f>Table1[[#This Row],[DistanceFromHome]]</f>
        <v>24</v>
      </c>
      <c r="M165" t="str">
        <f>Table1[[#This Row],[OverTime]]</f>
        <v>Yes</v>
      </c>
      <c r="N165">
        <f>Table1[[#This Row],[WorkLifeBalance]]</f>
        <v>1</v>
      </c>
      <c r="O165" t="str" cm="1">
        <f t="array" ref="O165">_xlfn.IFS(A165&lt;=30,"18-30",A165&lt;=40,"31-40",A165&lt;=50,"41-50",A165&gt;50,"51+")</f>
        <v>51+</v>
      </c>
      <c r="P165" t="str" cm="1">
        <f t="array" ref="P165">_xlfn.IFS(F165&lt;=45,"45 or below",F165&lt;= 60,"46-60",F165&lt;=75,"61-75",F165&lt;=90,"76-90",F165&gt;90,"91 or above")</f>
        <v>76-90</v>
      </c>
      <c r="Q1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165" t="str" cm="1">
        <f t="array" ref="R165" xml:space="preserve"> _xlfn.IFS(Table3[[#This Row],[Flight Risk Score]] = "NA","NA",Table3[[#This Row],[Flight Risk Score]] &gt;= 70,"High Risk",Table3[[#This Row],[Flight Risk Score]] &gt;= 50, "Medium Risk", Table3[[#This Row],[Flight Risk Score]] &gt;= 30,"Low Risk",Table3[[#This Row],[Flight Risk Score]] &lt; 30,"Very Low Risk")</f>
        <v>High Risk</v>
      </c>
    </row>
    <row r="166" spans="1:18" x14ac:dyDescent="0.2">
      <c r="A166">
        <f>Table1[[#This Row],[Age]]</f>
        <v>27</v>
      </c>
      <c r="B166">
        <f>IF(Table3[[#This Row],[Attrition]] = "Yes", 1,0)</f>
        <v>0</v>
      </c>
      <c r="C166" t="str">
        <f>Table1[[#This Row],[Attrition]]</f>
        <v>No</v>
      </c>
      <c r="D166" t="str">
        <f>Table1[[#This Row],[Department]]</f>
        <v>Research &amp; Development</v>
      </c>
      <c r="E166">
        <f>Table1[[#This Row],[EnvironmentSatisfaction]]</f>
        <v>3</v>
      </c>
      <c r="F166">
        <f>Table1[[#This Row],[HourlyRate]]</f>
        <v>79</v>
      </c>
      <c r="G166" t="str">
        <f>Table1[[#This Row],[JobRole]]</f>
        <v>Research Scientist</v>
      </c>
      <c r="H166">
        <f>Table1[[#This Row],[JobSatisfaction]]</f>
        <v>3</v>
      </c>
      <c r="I166">
        <f>Table1[[#This Row],[YearsAtCompany]]</f>
        <v>1</v>
      </c>
      <c r="J166">
        <f>Table1[[#This Row],[YearsSinceLastPromotion]]</f>
        <v>0</v>
      </c>
      <c r="K166">
        <f>Table1[[#This Row],[EmployeeNumber]]</f>
        <v>224</v>
      </c>
      <c r="L166">
        <f>Table1[[#This Row],[DistanceFromHome]]</f>
        <v>3</v>
      </c>
      <c r="M166" t="str">
        <f>Table1[[#This Row],[OverTime]]</f>
        <v>Yes</v>
      </c>
      <c r="N166">
        <f>Table1[[#This Row],[WorkLifeBalance]]</f>
        <v>2</v>
      </c>
      <c r="O166" t="str" cm="1">
        <f t="array" ref="O166">_xlfn.IFS(A166&lt;=30,"18-30",A166&lt;=40,"31-40",A166&lt;=50,"41-50",A166&gt;50,"51+")</f>
        <v>18-30</v>
      </c>
      <c r="P166" t="str" cm="1">
        <f t="array" ref="P166">_xlfn.IFS(F166&lt;=45,"45 or below",F166&lt;= 60,"46-60",F166&lt;=75,"61-75",F166&lt;=90,"76-90",F166&gt;90,"91 or above")</f>
        <v>76-90</v>
      </c>
      <c r="Q1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66" t="str" cm="1">
        <f t="array" ref="R16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67" spans="1:18" x14ac:dyDescent="0.2">
      <c r="A167">
        <f>Table1[[#This Row],[Age]]</f>
        <v>50</v>
      </c>
      <c r="B167">
        <f>IF(Table3[[#This Row],[Attrition]] = "Yes", 1,0)</f>
        <v>0</v>
      </c>
      <c r="C167" t="str">
        <f>Table1[[#This Row],[Attrition]]</f>
        <v>No</v>
      </c>
      <c r="D167" t="str">
        <f>Table1[[#This Row],[Department]]</f>
        <v>Research &amp; Development</v>
      </c>
      <c r="E167">
        <f>Table1[[#This Row],[EnvironmentSatisfaction]]</f>
        <v>3</v>
      </c>
      <c r="F167">
        <f>Table1[[#This Row],[HourlyRate]]</f>
        <v>53</v>
      </c>
      <c r="G167" t="str">
        <f>Table1[[#This Row],[JobRole]]</f>
        <v>Manager</v>
      </c>
      <c r="H167">
        <f>Table1[[#This Row],[JobSatisfaction]]</f>
        <v>2</v>
      </c>
      <c r="I167">
        <f>Table1[[#This Row],[YearsAtCompany]]</f>
        <v>5</v>
      </c>
      <c r="J167">
        <f>Table1[[#This Row],[YearsSinceLastPromotion]]</f>
        <v>4</v>
      </c>
      <c r="K167">
        <f>Table1[[#This Row],[EmployeeNumber]]</f>
        <v>226</v>
      </c>
      <c r="L167">
        <f>Table1[[#This Row],[DistanceFromHome]]</f>
        <v>11</v>
      </c>
      <c r="M167" t="str">
        <f>Table1[[#This Row],[OverTime]]</f>
        <v>No</v>
      </c>
      <c r="N167">
        <f>Table1[[#This Row],[WorkLifeBalance]]</f>
        <v>3</v>
      </c>
      <c r="O167" t="str" cm="1">
        <f t="array" ref="O167">_xlfn.IFS(A167&lt;=30,"18-30",A167&lt;=40,"31-40",A167&lt;=50,"41-50",A167&gt;50,"51+")</f>
        <v>41-50</v>
      </c>
      <c r="P167" t="str" cm="1">
        <f t="array" ref="P167">_xlfn.IFS(F167&lt;=45,"45 or below",F167&lt;= 60,"46-60",F167&lt;=75,"61-75",F167&lt;=90,"76-90",F167&gt;90,"91 or above")</f>
        <v>46-60</v>
      </c>
      <c r="Q1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67" t="str" cm="1">
        <f t="array" ref="R1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68" spans="1:18" x14ac:dyDescent="0.2">
      <c r="A168">
        <f>Table1[[#This Row],[Age]]</f>
        <v>41</v>
      </c>
      <c r="B168">
        <f>IF(Table3[[#This Row],[Attrition]] = "Yes", 1,0)</f>
        <v>0</v>
      </c>
      <c r="C168" t="str">
        <f>Table1[[#This Row],[Attrition]]</f>
        <v>No</v>
      </c>
      <c r="D168" t="str">
        <f>Table1[[#This Row],[Department]]</f>
        <v>Research &amp; Development</v>
      </c>
      <c r="E168">
        <f>Table1[[#This Row],[EnvironmentSatisfaction]]</f>
        <v>1</v>
      </c>
      <c r="F168">
        <f>Table1[[#This Row],[HourlyRate]]</f>
        <v>56</v>
      </c>
      <c r="G168" t="str">
        <f>Table1[[#This Row],[JobRole]]</f>
        <v>Research Scientist</v>
      </c>
      <c r="H168">
        <f>Table1[[#This Row],[JobSatisfaction]]</f>
        <v>3</v>
      </c>
      <c r="I168">
        <f>Table1[[#This Row],[YearsAtCompany]]</f>
        <v>9</v>
      </c>
      <c r="J168">
        <f>Table1[[#This Row],[YearsSinceLastPromotion]]</f>
        <v>1</v>
      </c>
      <c r="K168">
        <f>Table1[[#This Row],[EmployeeNumber]]</f>
        <v>227</v>
      </c>
      <c r="L168">
        <f>Table1[[#This Row],[DistanceFromHome]]</f>
        <v>14</v>
      </c>
      <c r="M168" t="str">
        <f>Table1[[#This Row],[OverTime]]</f>
        <v>No</v>
      </c>
      <c r="N168">
        <f>Table1[[#This Row],[WorkLifeBalance]]</f>
        <v>3</v>
      </c>
      <c r="O168" t="str" cm="1">
        <f t="array" ref="O168">_xlfn.IFS(A168&lt;=30,"18-30",A168&lt;=40,"31-40",A168&lt;=50,"41-50",A168&gt;50,"51+")</f>
        <v>41-50</v>
      </c>
      <c r="P168" t="str" cm="1">
        <f t="array" ref="P168">_xlfn.IFS(F168&lt;=45,"45 or below",F168&lt;= 60,"46-60",F168&lt;=75,"61-75",F168&lt;=90,"76-90",F168&gt;90,"91 or above")</f>
        <v>46-60</v>
      </c>
      <c r="Q1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68" t="str" cm="1">
        <f t="array" ref="R16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69" spans="1:18" x14ac:dyDescent="0.2">
      <c r="A169">
        <f>Table1[[#This Row],[Age]]</f>
        <v>30</v>
      </c>
      <c r="B169">
        <f>IF(Table3[[#This Row],[Attrition]] = "Yes", 1,0)</f>
        <v>0</v>
      </c>
      <c r="C169" t="str">
        <f>Table1[[#This Row],[Attrition]]</f>
        <v>No</v>
      </c>
      <c r="D169" t="str">
        <f>Table1[[#This Row],[Department]]</f>
        <v>Sales</v>
      </c>
      <c r="E169">
        <f>Table1[[#This Row],[EnvironmentSatisfaction]]</f>
        <v>2</v>
      </c>
      <c r="F169">
        <f>Table1[[#This Row],[HourlyRate]]</f>
        <v>41</v>
      </c>
      <c r="G169" t="str">
        <f>Table1[[#This Row],[JobRole]]</f>
        <v>Sales Executive</v>
      </c>
      <c r="H169">
        <f>Table1[[#This Row],[JobSatisfaction]]</f>
        <v>4</v>
      </c>
      <c r="I169">
        <f>Table1[[#This Row],[YearsAtCompany]]</f>
        <v>10</v>
      </c>
      <c r="J169">
        <f>Table1[[#This Row],[YearsSinceLastPromotion]]</f>
        <v>7</v>
      </c>
      <c r="K169">
        <f>Table1[[#This Row],[EmployeeNumber]]</f>
        <v>228</v>
      </c>
      <c r="L169">
        <f>Table1[[#This Row],[DistanceFromHome]]</f>
        <v>5</v>
      </c>
      <c r="M169" t="str">
        <f>Table1[[#This Row],[OverTime]]</f>
        <v>No</v>
      </c>
      <c r="N169">
        <f>Table1[[#This Row],[WorkLifeBalance]]</f>
        <v>3</v>
      </c>
      <c r="O169" t="str" cm="1">
        <f t="array" ref="O169">_xlfn.IFS(A169&lt;=30,"18-30",A169&lt;=40,"31-40",A169&lt;=50,"41-50",A169&gt;50,"51+")</f>
        <v>18-30</v>
      </c>
      <c r="P169" t="str" cm="1">
        <f t="array" ref="P169">_xlfn.IFS(F169&lt;=45,"45 or below",F169&lt;= 60,"46-60",F169&lt;=75,"61-75",F169&lt;=90,"76-90",F169&gt;90,"91 or above")</f>
        <v>45 or below</v>
      </c>
      <c r="Q1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69" t="str" cm="1">
        <f t="array" ref="R16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70" spans="1:18" x14ac:dyDescent="0.2">
      <c r="A170">
        <f>Table1[[#This Row],[Age]]</f>
        <v>38</v>
      </c>
      <c r="B170">
        <f>IF(Table3[[#This Row],[Attrition]] = "Yes", 1,0)</f>
        <v>0</v>
      </c>
      <c r="C170" t="str">
        <f>Table1[[#This Row],[Attrition]]</f>
        <v>No</v>
      </c>
      <c r="D170" t="str">
        <f>Table1[[#This Row],[Department]]</f>
        <v>Sales</v>
      </c>
      <c r="E170">
        <f>Table1[[#This Row],[EnvironmentSatisfaction]]</f>
        <v>1</v>
      </c>
      <c r="F170">
        <f>Table1[[#This Row],[HourlyRate]]</f>
        <v>59</v>
      </c>
      <c r="G170" t="str">
        <f>Table1[[#This Row],[JobRole]]</f>
        <v>Sales Executive</v>
      </c>
      <c r="H170">
        <f>Table1[[#This Row],[JobSatisfaction]]</f>
        <v>4</v>
      </c>
      <c r="I170">
        <f>Table1[[#This Row],[YearsAtCompany]]</f>
        <v>8</v>
      </c>
      <c r="J170">
        <f>Table1[[#This Row],[YearsSinceLastPromotion]]</f>
        <v>0</v>
      </c>
      <c r="K170">
        <f>Table1[[#This Row],[EmployeeNumber]]</f>
        <v>230</v>
      </c>
      <c r="L170">
        <f>Table1[[#This Row],[DistanceFromHome]]</f>
        <v>1</v>
      </c>
      <c r="M170" t="str">
        <f>Table1[[#This Row],[OverTime]]</f>
        <v>No</v>
      </c>
      <c r="N170">
        <f>Table1[[#This Row],[WorkLifeBalance]]</f>
        <v>4</v>
      </c>
      <c r="O170" t="str" cm="1">
        <f t="array" ref="O170">_xlfn.IFS(A170&lt;=30,"18-30",A170&lt;=40,"31-40",A170&lt;=50,"41-50",A170&gt;50,"51+")</f>
        <v>31-40</v>
      </c>
      <c r="P170" t="str" cm="1">
        <f t="array" ref="P170">_xlfn.IFS(F170&lt;=45,"45 or below",F170&lt;= 60,"46-60",F170&lt;=75,"61-75",F170&lt;=90,"76-90",F170&gt;90,"91 or above")</f>
        <v>46-60</v>
      </c>
      <c r="Q1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70" t="str" cm="1">
        <f t="array" ref="R17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71" spans="1:18" x14ac:dyDescent="0.2">
      <c r="A171">
        <f>Table1[[#This Row],[Age]]</f>
        <v>32</v>
      </c>
      <c r="B171">
        <f>IF(Table3[[#This Row],[Attrition]] = "Yes", 1,0)</f>
        <v>0</v>
      </c>
      <c r="C171" t="str">
        <f>Table1[[#This Row],[Attrition]]</f>
        <v>No</v>
      </c>
      <c r="D171" t="str">
        <f>Table1[[#This Row],[Department]]</f>
        <v>Research &amp; Development</v>
      </c>
      <c r="E171">
        <f>Table1[[#This Row],[EnvironmentSatisfaction]]</f>
        <v>3</v>
      </c>
      <c r="F171">
        <f>Table1[[#This Row],[HourlyRate]]</f>
        <v>43</v>
      </c>
      <c r="G171" t="str">
        <f>Table1[[#This Row],[JobRole]]</f>
        <v>Research Scientist</v>
      </c>
      <c r="H171">
        <f>Table1[[#This Row],[JobSatisfaction]]</f>
        <v>3</v>
      </c>
      <c r="I171">
        <f>Table1[[#This Row],[YearsAtCompany]]</f>
        <v>5</v>
      </c>
      <c r="J171">
        <f>Table1[[#This Row],[YearsSinceLastPromotion]]</f>
        <v>1</v>
      </c>
      <c r="K171">
        <f>Table1[[#This Row],[EmployeeNumber]]</f>
        <v>231</v>
      </c>
      <c r="L171">
        <f>Table1[[#This Row],[DistanceFromHome]]</f>
        <v>6</v>
      </c>
      <c r="M171" t="str">
        <f>Table1[[#This Row],[OverTime]]</f>
        <v>No</v>
      </c>
      <c r="N171">
        <f>Table1[[#This Row],[WorkLifeBalance]]</f>
        <v>3</v>
      </c>
      <c r="O171" t="str" cm="1">
        <f t="array" ref="O171">_xlfn.IFS(A171&lt;=30,"18-30",A171&lt;=40,"31-40",A171&lt;=50,"41-50",A171&gt;50,"51+")</f>
        <v>31-40</v>
      </c>
      <c r="P171" t="str" cm="1">
        <f t="array" ref="P171">_xlfn.IFS(F171&lt;=45,"45 or below",F171&lt;= 60,"46-60",F171&lt;=75,"61-75",F171&lt;=90,"76-90",F171&gt;90,"91 or above")</f>
        <v>45 or below</v>
      </c>
      <c r="Q1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71" t="str" cm="1">
        <f t="array" ref="R1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72" spans="1:18" x14ac:dyDescent="0.2">
      <c r="A172">
        <f>Table1[[#This Row],[Age]]</f>
        <v>27</v>
      </c>
      <c r="B172">
        <f>IF(Table3[[#This Row],[Attrition]] = "Yes", 1,0)</f>
        <v>0</v>
      </c>
      <c r="C172" t="str">
        <f>Table1[[#This Row],[Attrition]]</f>
        <v>No</v>
      </c>
      <c r="D172" t="str">
        <f>Table1[[#This Row],[Department]]</f>
        <v>Research &amp; Development</v>
      </c>
      <c r="E172">
        <f>Table1[[#This Row],[EnvironmentSatisfaction]]</f>
        <v>3</v>
      </c>
      <c r="F172">
        <f>Table1[[#This Row],[HourlyRate]]</f>
        <v>51</v>
      </c>
      <c r="G172" t="str">
        <f>Table1[[#This Row],[JobRole]]</f>
        <v>Research Scientist</v>
      </c>
      <c r="H172">
        <f>Table1[[#This Row],[JobSatisfaction]]</f>
        <v>2</v>
      </c>
      <c r="I172">
        <f>Table1[[#This Row],[YearsAtCompany]]</f>
        <v>5</v>
      </c>
      <c r="J172">
        <f>Table1[[#This Row],[YearsSinceLastPromotion]]</f>
        <v>1</v>
      </c>
      <c r="K172">
        <f>Table1[[#This Row],[EmployeeNumber]]</f>
        <v>233</v>
      </c>
      <c r="L172">
        <f>Table1[[#This Row],[DistanceFromHome]]</f>
        <v>17</v>
      </c>
      <c r="M172" t="str">
        <f>Table1[[#This Row],[OverTime]]</f>
        <v>Yes</v>
      </c>
      <c r="N172">
        <f>Table1[[#This Row],[WorkLifeBalance]]</f>
        <v>2</v>
      </c>
      <c r="O172" t="str" cm="1">
        <f t="array" ref="O172">_xlfn.IFS(A172&lt;=30,"18-30",A172&lt;=40,"31-40",A172&lt;=50,"41-50",A172&gt;50,"51+")</f>
        <v>18-30</v>
      </c>
      <c r="P172" t="str" cm="1">
        <f t="array" ref="P172">_xlfn.IFS(F172&lt;=45,"45 or below",F172&lt;= 60,"46-60",F172&lt;=75,"61-75",F172&lt;=90,"76-90",F172&gt;90,"91 or above")</f>
        <v>46-60</v>
      </c>
      <c r="Q1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72" t="str" cm="1">
        <f t="array" ref="R17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73" spans="1:18" hidden="1" x14ac:dyDescent="0.2">
      <c r="A173">
        <f>Table1[[#This Row],[Age]]</f>
        <v>19</v>
      </c>
      <c r="B173">
        <f>IF(Table3[[#This Row],[Attrition]] = "Yes", 1,0)</f>
        <v>1</v>
      </c>
      <c r="C173" t="str">
        <f>Table1[[#This Row],[Attrition]]</f>
        <v>Yes</v>
      </c>
      <c r="D173" t="str">
        <f>Table1[[#This Row],[Department]]</f>
        <v>Sales</v>
      </c>
      <c r="E173">
        <f>Table1[[#This Row],[EnvironmentSatisfaction]]</f>
        <v>3</v>
      </c>
      <c r="F173">
        <f>Table1[[#This Row],[HourlyRate]]</f>
        <v>100</v>
      </c>
      <c r="G173" t="str">
        <f>Table1[[#This Row],[JobRole]]</f>
        <v>Sales Representative</v>
      </c>
      <c r="H173">
        <f>Table1[[#This Row],[JobSatisfaction]]</f>
        <v>1</v>
      </c>
      <c r="I173">
        <f>Table1[[#This Row],[YearsAtCompany]]</f>
        <v>0</v>
      </c>
      <c r="J173">
        <f>Table1[[#This Row],[YearsSinceLastPromotion]]</f>
        <v>0</v>
      </c>
      <c r="K173">
        <f>Table1[[#This Row],[EmployeeNumber]]</f>
        <v>235</v>
      </c>
      <c r="L173">
        <f>Table1[[#This Row],[DistanceFromHome]]</f>
        <v>1</v>
      </c>
      <c r="M173" t="str">
        <f>Table1[[#This Row],[OverTime]]</f>
        <v>No</v>
      </c>
      <c r="N173">
        <f>Table1[[#This Row],[WorkLifeBalance]]</f>
        <v>4</v>
      </c>
      <c r="O173" t="str" cm="1">
        <f t="array" ref="O173">_xlfn.IFS(A173&lt;=30,"18-30",A173&lt;=40,"31-40",A173&lt;=50,"41-50",A173&gt;50,"51+")</f>
        <v>18-30</v>
      </c>
      <c r="P173" t="str" cm="1">
        <f t="array" ref="P173">_xlfn.IFS(F173&lt;=45,"45 or below",F173&lt;= 60,"46-60",F173&lt;=75,"61-75",F173&lt;=90,"76-90",F173&gt;90,"91 or above")</f>
        <v>91 or above</v>
      </c>
      <c r="Q17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73" t="str" cm="1">
        <f t="array" ref="R173" xml:space="preserve"> _xlfn.IFS(Table3[[#This Row],[Flight Risk Score]] = "NA","NA",Table3[[#This Row],[Flight Risk Score]] &gt;= 70,"High Risk",Table3[[#This Row],[Flight Risk Score]] &gt;= 50, "Medium Risk", Table3[[#This Row],[Flight Risk Score]] &gt;= 30,"Low Risk",Table3[[#This Row],[Flight Risk Score]] &lt; 30,"Very Low Risk")</f>
        <v>NA</v>
      </c>
    </row>
    <row r="174" spans="1:18" x14ac:dyDescent="0.2">
      <c r="A174">
        <f>Table1[[#This Row],[Age]]</f>
        <v>36</v>
      </c>
      <c r="B174">
        <f>IF(Table3[[#This Row],[Attrition]] = "Yes", 1,0)</f>
        <v>0</v>
      </c>
      <c r="C174" t="str">
        <f>Table1[[#This Row],[Attrition]]</f>
        <v>No</v>
      </c>
      <c r="D174" t="str">
        <f>Table1[[#This Row],[Department]]</f>
        <v>Research &amp; Development</v>
      </c>
      <c r="E174">
        <f>Table1[[#This Row],[EnvironmentSatisfaction]]</f>
        <v>4</v>
      </c>
      <c r="F174">
        <f>Table1[[#This Row],[HourlyRate]]</f>
        <v>30</v>
      </c>
      <c r="G174" t="str">
        <f>Table1[[#This Row],[JobRole]]</f>
        <v>Laboratory Technician</v>
      </c>
      <c r="H174">
        <f>Table1[[#This Row],[JobSatisfaction]]</f>
        <v>2</v>
      </c>
      <c r="I174">
        <f>Table1[[#This Row],[YearsAtCompany]]</f>
        <v>8</v>
      </c>
      <c r="J174">
        <f>Table1[[#This Row],[YearsSinceLastPromotion]]</f>
        <v>7</v>
      </c>
      <c r="K174">
        <f>Table1[[#This Row],[EmployeeNumber]]</f>
        <v>238</v>
      </c>
      <c r="L174">
        <f>Table1[[#This Row],[DistanceFromHome]]</f>
        <v>3</v>
      </c>
      <c r="M174" t="str">
        <f>Table1[[#This Row],[OverTime]]</f>
        <v>No</v>
      </c>
      <c r="N174">
        <f>Table1[[#This Row],[WorkLifeBalance]]</f>
        <v>2</v>
      </c>
      <c r="O174" t="str" cm="1">
        <f t="array" ref="O174">_xlfn.IFS(A174&lt;=30,"18-30",A174&lt;=40,"31-40",A174&lt;=50,"41-50",A174&gt;50,"51+")</f>
        <v>31-40</v>
      </c>
      <c r="P174" t="str" cm="1">
        <f t="array" ref="P174">_xlfn.IFS(F174&lt;=45,"45 or below",F174&lt;= 60,"46-60",F174&lt;=75,"61-75",F174&lt;=90,"76-90",F174&gt;90,"91 or above")</f>
        <v>45 or below</v>
      </c>
      <c r="Q1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74" t="str" cm="1">
        <f t="array" ref="R1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75" spans="1:18" x14ac:dyDescent="0.2">
      <c r="A175">
        <f>Table1[[#This Row],[Age]]</f>
        <v>30</v>
      </c>
      <c r="B175">
        <f>IF(Table3[[#This Row],[Attrition]] = "Yes", 1,0)</f>
        <v>0</v>
      </c>
      <c r="C175" t="str">
        <f>Table1[[#This Row],[Attrition]]</f>
        <v>No</v>
      </c>
      <c r="D175" t="str">
        <f>Table1[[#This Row],[Department]]</f>
        <v>Research &amp; Development</v>
      </c>
      <c r="E175">
        <f>Table1[[#This Row],[EnvironmentSatisfaction]]</f>
        <v>3</v>
      </c>
      <c r="F175">
        <f>Table1[[#This Row],[HourlyRate]]</f>
        <v>66</v>
      </c>
      <c r="G175" t="str">
        <f>Table1[[#This Row],[JobRole]]</f>
        <v>Laboratory Technician</v>
      </c>
      <c r="H175">
        <f>Table1[[#This Row],[JobSatisfaction]]</f>
        <v>1</v>
      </c>
      <c r="I175">
        <f>Table1[[#This Row],[YearsAtCompany]]</f>
        <v>12</v>
      </c>
      <c r="J175">
        <f>Table1[[#This Row],[YearsSinceLastPromotion]]</f>
        <v>6</v>
      </c>
      <c r="K175">
        <f>Table1[[#This Row],[EmployeeNumber]]</f>
        <v>239</v>
      </c>
      <c r="L175">
        <f>Table1[[#This Row],[DistanceFromHome]]</f>
        <v>9</v>
      </c>
      <c r="M175" t="str">
        <f>Table1[[#This Row],[OverTime]]</f>
        <v>No</v>
      </c>
      <c r="N175">
        <f>Table1[[#This Row],[WorkLifeBalance]]</f>
        <v>3</v>
      </c>
      <c r="O175" t="str" cm="1">
        <f t="array" ref="O175">_xlfn.IFS(A175&lt;=30,"18-30",A175&lt;=40,"31-40",A175&lt;=50,"41-50",A175&gt;50,"51+")</f>
        <v>18-30</v>
      </c>
      <c r="P175" t="str" cm="1">
        <f t="array" ref="P175">_xlfn.IFS(F175&lt;=45,"45 or below",F175&lt;= 60,"46-60",F175&lt;=75,"61-75",F175&lt;=90,"76-90",F175&gt;90,"91 or above")</f>
        <v>61-75</v>
      </c>
      <c r="Q1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75" t="str" cm="1">
        <f t="array" ref="R1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76" spans="1:18" x14ac:dyDescent="0.2">
      <c r="A176">
        <f>Table1[[#This Row],[Age]]</f>
        <v>45</v>
      </c>
      <c r="B176">
        <f>IF(Table3[[#This Row],[Attrition]] = "Yes", 1,0)</f>
        <v>0</v>
      </c>
      <c r="C176" t="str">
        <f>Table1[[#This Row],[Attrition]]</f>
        <v>No</v>
      </c>
      <c r="D176" t="str">
        <f>Table1[[#This Row],[Department]]</f>
        <v>Sales</v>
      </c>
      <c r="E176">
        <f>Table1[[#This Row],[EnvironmentSatisfaction]]</f>
        <v>3</v>
      </c>
      <c r="F176">
        <f>Table1[[#This Row],[HourlyRate]]</f>
        <v>30</v>
      </c>
      <c r="G176" t="str">
        <f>Table1[[#This Row],[JobRole]]</f>
        <v>Sales Executive</v>
      </c>
      <c r="H176">
        <f>Table1[[#This Row],[JobSatisfaction]]</f>
        <v>1</v>
      </c>
      <c r="I176">
        <f>Table1[[#This Row],[YearsAtCompany]]</f>
        <v>5</v>
      </c>
      <c r="J176">
        <f>Table1[[#This Row],[YearsSinceLastPromotion]]</f>
        <v>0</v>
      </c>
      <c r="K176">
        <f>Table1[[#This Row],[EmployeeNumber]]</f>
        <v>240</v>
      </c>
      <c r="L176">
        <f>Table1[[#This Row],[DistanceFromHome]]</f>
        <v>4</v>
      </c>
      <c r="M176" t="str">
        <f>Table1[[#This Row],[OverTime]]</f>
        <v>Yes</v>
      </c>
      <c r="N176">
        <f>Table1[[#This Row],[WorkLifeBalance]]</f>
        <v>4</v>
      </c>
      <c r="O176" t="str" cm="1">
        <f t="array" ref="O176">_xlfn.IFS(A176&lt;=30,"18-30",A176&lt;=40,"31-40",A176&lt;=50,"41-50",A176&gt;50,"51+")</f>
        <v>41-50</v>
      </c>
      <c r="P176" t="str" cm="1">
        <f t="array" ref="P176">_xlfn.IFS(F176&lt;=45,"45 or below",F176&lt;= 60,"46-60",F176&lt;=75,"61-75",F176&lt;=90,"76-90",F176&gt;90,"91 or above")</f>
        <v>45 or below</v>
      </c>
      <c r="Q1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76" t="str" cm="1">
        <f t="array" ref="R17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77" spans="1:18" x14ac:dyDescent="0.2">
      <c r="A177">
        <f>Table1[[#This Row],[Age]]</f>
        <v>56</v>
      </c>
      <c r="B177">
        <f>IF(Table3[[#This Row],[Attrition]] = "Yes", 1,0)</f>
        <v>0</v>
      </c>
      <c r="C177" t="str">
        <f>Table1[[#This Row],[Attrition]]</f>
        <v>No</v>
      </c>
      <c r="D177" t="str">
        <f>Table1[[#This Row],[Department]]</f>
        <v>Research &amp; Development</v>
      </c>
      <c r="E177">
        <f>Table1[[#This Row],[EnvironmentSatisfaction]]</f>
        <v>3</v>
      </c>
      <c r="F177">
        <f>Table1[[#This Row],[HourlyRate]]</f>
        <v>67</v>
      </c>
      <c r="G177" t="str">
        <f>Table1[[#This Row],[JobRole]]</f>
        <v>Research Scientist</v>
      </c>
      <c r="H177">
        <f>Table1[[#This Row],[JobSatisfaction]]</f>
        <v>1</v>
      </c>
      <c r="I177">
        <f>Table1[[#This Row],[YearsAtCompany]]</f>
        <v>2</v>
      </c>
      <c r="J177">
        <f>Table1[[#This Row],[YearsSinceLastPromotion]]</f>
        <v>2</v>
      </c>
      <c r="K177">
        <f>Table1[[#This Row],[EmployeeNumber]]</f>
        <v>241</v>
      </c>
      <c r="L177">
        <f>Table1[[#This Row],[DistanceFromHome]]</f>
        <v>8</v>
      </c>
      <c r="M177" t="str">
        <f>Table1[[#This Row],[OverTime]]</f>
        <v>Yes</v>
      </c>
      <c r="N177">
        <f>Table1[[#This Row],[WorkLifeBalance]]</f>
        <v>3</v>
      </c>
      <c r="O177" t="str" cm="1">
        <f t="array" ref="O177">_xlfn.IFS(A177&lt;=30,"18-30",A177&lt;=40,"31-40",A177&lt;=50,"41-50",A177&gt;50,"51+")</f>
        <v>51+</v>
      </c>
      <c r="P177" t="str" cm="1">
        <f t="array" ref="P177">_xlfn.IFS(F177&lt;=45,"45 or below",F177&lt;= 60,"46-60",F177&lt;=75,"61-75",F177&lt;=90,"76-90",F177&gt;90,"91 or above")</f>
        <v>61-75</v>
      </c>
      <c r="Q1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77" t="str" cm="1">
        <f t="array" ref="R17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78" spans="1:18" x14ac:dyDescent="0.2">
      <c r="A178">
        <f>Table1[[#This Row],[Age]]</f>
        <v>33</v>
      </c>
      <c r="B178">
        <f>IF(Table3[[#This Row],[Attrition]] = "Yes", 1,0)</f>
        <v>0</v>
      </c>
      <c r="C178" t="str">
        <f>Table1[[#This Row],[Attrition]]</f>
        <v>No</v>
      </c>
      <c r="D178" t="str">
        <f>Table1[[#This Row],[Department]]</f>
        <v>Research &amp; Development</v>
      </c>
      <c r="E178">
        <f>Table1[[#This Row],[EnvironmentSatisfaction]]</f>
        <v>3</v>
      </c>
      <c r="F178">
        <f>Table1[[#This Row],[HourlyRate]]</f>
        <v>90</v>
      </c>
      <c r="G178" t="str">
        <f>Table1[[#This Row],[JobRole]]</f>
        <v>Research Scientist</v>
      </c>
      <c r="H178">
        <f>Table1[[#This Row],[JobSatisfaction]]</f>
        <v>4</v>
      </c>
      <c r="I178">
        <f>Table1[[#This Row],[YearsAtCompany]]</f>
        <v>3</v>
      </c>
      <c r="J178">
        <f>Table1[[#This Row],[YearsSinceLastPromotion]]</f>
        <v>0</v>
      </c>
      <c r="K178">
        <f>Table1[[#This Row],[EmployeeNumber]]</f>
        <v>242</v>
      </c>
      <c r="L178">
        <f>Table1[[#This Row],[DistanceFromHome]]</f>
        <v>2</v>
      </c>
      <c r="M178" t="str">
        <f>Table1[[#This Row],[OverTime]]</f>
        <v>No</v>
      </c>
      <c r="N178">
        <f>Table1[[#This Row],[WorkLifeBalance]]</f>
        <v>4</v>
      </c>
      <c r="O178" t="str" cm="1">
        <f t="array" ref="O178">_xlfn.IFS(A178&lt;=30,"18-30",A178&lt;=40,"31-40",A178&lt;=50,"41-50",A178&gt;50,"51+")</f>
        <v>31-40</v>
      </c>
      <c r="P178" t="str" cm="1">
        <f t="array" ref="P178">_xlfn.IFS(F178&lt;=45,"45 or below",F178&lt;= 60,"46-60",F178&lt;=75,"61-75",F178&lt;=90,"76-90",F178&gt;90,"91 or above")</f>
        <v>76-90</v>
      </c>
      <c r="Q1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78" t="str" cm="1">
        <f t="array" ref="R1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79" spans="1:18" hidden="1" x14ac:dyDescent="0.2">
      <c r="A179">
        <f>Table1[[#This Row],[Age]]</f>
        <v>19</v>
      </c>
      <c r="B179">
        <f>IF(Table3[[#This Row],[Attrition]] = "Yes", 1,0)</f>
        <v>1</v>
      </c>
      <c r="C179" t="str">
        <f>Table1[[#This Row],[Attrition]]</f>
        <v>Yes</v>
      </c>
      <c r="D179" t="str">
        <f>Table1[[#This Row],[Department]]</f>
        <v>Research &amp; Development</v>
      </c>
      <c r="E179">
        <f>Table1[[#This Row],[EnvironmentSatisfaction]]</f>
        <v>2</v>
      </c>
      <c r="F179">
        <f>Table1[[#This Row],[HourlyRate]]</f>
        <v>47</v>
      </c>
      <c r="G179" t="str">
        <f>Table1[[#This Row],[JobRole]]</f>
        <v>Laboratory Technician</v>
      </c>
      <c r="H179">
        <f>Table1[[#This Row],[JobSatisfaction]]</f>
        <v>4</v>
      </c>
      <c r="I179">
        <f>Table1[[#This Row],[YearsAtCompany]]</f>
        <v>1</v>
      </c>
      <c r="J179">
        <f>Table1[[#This Row],[YearsSinceLastPromotion]]</f>
        <v>1</v>
      </c>
      <c r="K179">
        <f>Table1[[#This Row],[EmployeeNumber]]</f>
        <v>243</v>
      </c>
      <c r="L179">
        <f>Table1[[#This Row],[DistanceFromHome]]</f>
        <v>2</v>
      </c>
      <c r="M179" t="str">
        <f>Table1[[#This Row],[OverTime]]</f>
        <v>No</v>
      </c>
      <c r="N179">
        <f>Table1[[#This Row],[WorkLifeBalance]]</f>
        <v>2</v>
      </c>
      <c r="O179" t="str" cm="1">
        <f t="array" ref="O179">_xlfn.IFS(A179&lt;=30,"18-30",A179&lt;=40,"31-40",A179&lt;=50,"41-50",A179&gt;50,"51+")</f>
        <v>18-30</v>
      </c>
      <c r="P179" t="str" cm="1">
        <f t="array" ref="P179">_xlfn.IFS(F179&lt;=45,"45 or below",F179&lt;= 60,"46-60",F179&lt;=75,"61-75",F179&lt;=90,"76-90",F179&gt;90,"91 or above")</f>
        <v>46-60</v>
      </c>
      <c r="Q17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79" t="str" cm="1">
        <f t="array" ref="R179" xml:space="preserve"> _xlfn.IFS(Table3[[#This Row],[Flight Risk Score]] = "NA","NA",Table3[[#This Row],[Flight Risk Score]] &gt;= 70,"High Risk",Table3[[#This Row],[Flight Risk Score]] &gt;= 50, "Medium Risk", Table3[[#This Row],[Flight Risk Score]] &gt;= 30,"Low Risk",Table3[[#This Row],[Flight Risk Score]] &lt; 30,"Very Low Risk")</f>
        <v>NA</v>
      </c>
    </row>
    <row r="180" spans="1:18" x14ac:dyDescent="0.2">
      <c r="A180">
        <f>Table1[[#This Row],[Age]]</f>
        <v>46</v>
      </c>
      <c r="B180">
        <f>IF(Table3[[#This Row],[Attrition]] = "Yes", 1,0)</f>
        <v>0</v>
      </c>
      <c r="C180" t="str">
        <f>Table1[[#This Row],[Attrition]]</f>
        <v>No</v>
      </c>
      <c r="D180" t="str">
        <f>Table1[[#This Row],[Department]]</f>
        <v>Sales</v>
      </c>
      <c r="E180">
        <f>Table1[[#This Row],[EnvironmentSatisfaction]]</f>
        <v>2</v>
      </c>
      <c r="F180">
        <f>Table1[[#This Row],[HourlyRate]]</f>
        <v>92</v>
      </c>
      <c r="G180" t="str">
        <f>Table1[[#This Row],[JobRole]]</f>
        <v>Sales Executive</v>
      </c>
      <c r="H180">
        <f>Table1[[#This Row],[JobSatisfaction]]</f>
        <v>1</v>
      </c>
      <c r="I180">
        <f>Table1[[#This Row],[YearsAtCompany]]</f>
        <v>24</v>
      </c>
      <c r="J180">
        <f>Table1[[#This Row],[YearsSinceLastPromotion]]</f>
        <v>15</v>
      </c>
      <c r="K180">
        <f>Table1[[#This Row],[EmployeeNumber]]</f>
        <v>244</v>
      </c>
      <c r="L180">
        <f>Table1[[#This Row],[DistanceFromHome]]</f>
        <v>1</v>
      </c>
      <c r="M180" t="str">
        <f>Table1[[#This Row],[OverTime]]</f>
        <v>No</v>
      </c>
      <c r="N180">
        <f>Table1[[#This Row],[WorkLifeBalance]]</f>
        <v>3</v>
      </c>
      <c r="O180" t="str" cm="1">
        <f t="array" ref="O180">_xlfn.IFS(A180&lt;=30,"18-30",A180&lt;=40,"31-40",A180&lt;=50,"41-50",A180&gt;50,"51+")</f>
        <v>41-50</v>
      </c>
      <c r="P180" t="str" cm="1">
        <f t="array" ref="P180">_xlfn.IFS(F180&lt;=45,"45 or below",F180&lt;= 60,"46-60",F180&lt;=75,"61-75",F180&lt;=90,"76-90",F180&gt;90,"91 or above")</f>
        <v>91 or above</v>
      </c>
      <c r="Q1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80" t="str" cm="1">
        <f t="array" ref="R18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81" spans="1:18" x14ac:dyDescent="0.2">
      <c r="A181">
        <f>Table1[[#This Row],[Age]]</f>
        <v>38</v>
      </c>
      <c r="B181">
        <f>IF(Table3[[#This Row],[Attrition]] = "Yes", 1,0)</f>
        <v>0</v>
      </c>
      <c r="C181" t="str">
        <f>Table1[[#This Row],[Attrition]]</f>
        <v>No</v>
      </c>
      <c r="D181" t="str">
        <f>Table1[[#This Row],[Department]]</f>
        <v>Research &amp; Development</v>
      </c>
      <c r="E181">
        <f>Table1[[#This Row],[EnvironmentSatisfaction]]</f>
        <v>3</v>
      </c>
      <c r="F181">
        <f>Table1[[#This Row],[HourlyRate]]</f>
        <v>75</v>
      </c>
      <c r="G181" t="str">
        <f>Table1[[#This Row],[JobRole]]</f>
        <v>Laboratory Technician</v>
      </c>
      <c r="H181">
        <f>Table1[[#This Row],[JobSatisfaction]]</f>
        <v>4</v>
      </c>
      <c r="I181">
        <f>Table1[[#This Row],[YearsAtCompany]]</f>
        <v>2</v>
      </c>
      <c r="J181">
        <f>Table1[[#This Row],[YearsSinceLastPromotion]]</f>
        <v>2</v>
      </c>
      <c r="K181">
        <f>Table1[[#This Row],[EmployeeNumber]]</f>
        <v>245</v>
      </c>
      <c r="L181">
        <f>Table1[[#This Row],[DistanceFromHome]]</f>
        <v>9</v>
      </c>
      <c r="M181" t="str">
        <f>Table1[[#This Row],[OverTime]]</f>
        <v>No</v>
      </c>
      <c r="N181">
        <f>Table1[[#This Row],[WorkLifeBalance]]</f>
        <v>3</v>
      </c>
      <c r="O181" t="str" cm="1">
        <f t="array" ref="O181">_xlfn.IFS(A181&lt;=30,"18-30",A181&lt;=40,"31-40",A181&lt;=50,"41-50",A181&gt;50,"51+")</f>
        <v>31-40</v>
      </c>
      <c r="P181" t="str" cm="1">
        <f t="array" ref="P181">_xlfn.IFS(F181&lt;=45,"45 or below",F181&lt;= 60,"46-60",F181&lt;=75,"61-75",F181&lt;=90,"76-90",F181&gt;90,"91 or above")</f>
        <v>61-75</v>
      </c>
      <c r="Q1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81" t="str" cm="1">
        <f t="array" ref="R18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82" spans="1:18" x14ac:dyDescent="0.2">
      <c r="A182">
        <f>Table1[[#This Row],[Age]]</f>
        <v>31</v>
      </c>
      <c r="B182">
        <f>IF(Table3[[#This Row],[Attrition]] = "Yes", 1,0)</f>
        <v>0</v>
      </c>
      <c r="C182" t="str">
        <f>Table1[[#This Row],[Attrition]]</f>
        <v>No</v>
      </c>
      <c r="D182" t="str">
        <f>Table1[[#This Row],[Department]]</f>
        <v>Research &amp; Development</v>
      </c>
      <c r="E182">
        <f>Table1[[#This Row],[EnvironmentSatisfaction]]</f>
        <v>3</v>
      </c>
      <c r="F182">
        <f>Table1[[#This Row],[HourlyRate]]</f>
        <v>95</v>
      </c>
      <c r="G182" t="str">
        <f>Table1[[#This Row],[JobRole]]</f>
        <v>Research Scientist</v>
      </c>
      <c r="H182">
        <f>Table1[[#This Row],[JobSatisfaction]]</f>
        <v>4</v>
      </c>
      <c r="I182">
        <f>Table1[[#This Row],[YearsAtCompany]]</f>
        <v>4</v>
      </c>
      <c r="J182">
        <f>Table1[[#This Row],[YearsSinceLastPromotion]]</f>
        <v>0</v>
      </c>
      <c r="K182">
        <f>Table1[[#This Row],[EmployeeNumber]]</f>
        <v>246</v>
      </c>
      <c r="L182">
        <f>Table1[[#This Row],[DistanceFromHome]]</f>
        <v>12</v>
      </c>
      <c r="M182" t="str">
        <f>Table1[[#This Row],[OverTime]]</f>
        <v>Yes</v>
      </c>
      <c r="N182">
        <f>Table1[[#This Row],[WorkLifeBalance]]</f>
        <v>3</v>
      </c>
      <c r="O182" t="str" cm="1">
        <f t="array" ref="O182">_xlfn.IFS(A182&lt;=30,"18-30",A182&lt;=40,"31-40",A182&lt;=50,"41-50",A182&gt;50,"51+")</f>
        <v>31-40</v>
      </c>
      <c r="P182" t="str" cm="1">
        <f t="array" ref="P182">_xlfn.IFS(F182&lt;=45,"45 or below",F182&lt;= 60,"46-60",F182&lt;=75,"61-75",F182&lt;=90,"76-90",F182&gt;90,"91 or above")</f>
        <v>91 or above</v>
      </c>
      <c r="Q1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82" t="str" cm="1">
        <f t="array" ref="R18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83" spans="1:18" x14ac:dyDescent="0.2">
      <c r="A183">
        <f>Table1[[#This Row],[Age]]</f>
        <v>34</v>
      </c>
      <c r="B183">
        <f>IF(Table3[[#This Row],[Attrition]] = "Yes", 1,0)</f>
        <v>0</v>
      </c>
      <c r="C183" t="str">
        <f>Table1[[#This Row],[Attrition]]</f>
        <v>No</v>
      </c>
      <c r="D183" t="str">
        <f>Table1[[#This Row],[Department]]</f>
        <v>Research &amp; Development</v>
      </c>
      <c r="E183">
        <f>Table1[[#This Row],[EnvironmentSatisfaction]]</f>
        <v>4</v>
      </c>
      <c r="F183">
        <f>Table1[[#This Row],[HourlyRate]]</f>
        <v>95</v>
      </c>
      <c r="G183" t="str">
        <f>Table1[[#This Row],[JobRole]]</f>
        <v>Research Scientist</v>
      </c>
      <c r="H183">
        <f>Table1[[#This Row],[JobSatisfaction]]</f>
        <v>2</v>
      </c>
      <c r="I183">
        <f>Table1[[#This Row],[YearsAtCompany]]</f>
        <v>3</v>
      </c>
      <c r="J183">
        <f>Table1[[#This Row],[YearsSinceLastPromotion]]</f>
        <v>1</v>
      </c>
      <c r="K183">
        <f>Table1[[#This Row],[EmployeeNumber]]</f>
        <v>247</v>
      </c>
      <c r="L183">
        <f>Table1[[#This Row],[DistanceFromHome]]</f>
        <v>27</v>
      </c>
      <c r="M183" t="str">
        <f>Table1[[#This Row],[OverTime]]</f>
        <v>No</v>
      </c>
      <c r="N183">
        <f>Table1[[#This Row],[WorkLifeBalance]]</f>
        <v>3</v>
      </c>
      <c r="O183" t="str" cm="1">
        <f t="array" ref="O183">_xlfn.IFS(A183&lt;=30,"18-30",A183&lt;=40,"31-40",A183&lt;=50,"41-50",A183&gt;50,"51+")</f>
        <v>31-40</v>
      </c>
      <c r="P183" t="str" cm="1">
        <f t="array" ref="P183">_xlfn.IFS(F183&lt;=45,"45 or below",F183&lt;= 60,"46-60",F183&lt;=75,"61-75",F183&lt;=90,"76-90",F183&gt;90,"91 or above")</f>
        <v>91 or above</v>
      </c>
      <c r="Q1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83" t="str" cm="1">
        <f t="array" ref="R1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84" spans="1:18" hidden="1" x14ac:dyDescent="0.2">
      <c r="A184">
        <f>Table1[[#This Row],[Age]]</f>
        <v>41</v>
      </c>
      <c r="B184">
        <f>IF(Table3[[#This Row],[Attrition]] = "Yes", 1,0)</f>
        <v>1</v>
      </c>
      <c r="C184" t="str">
        <f>Table1[[#This Row],[Attrition]]</f>
        <v>Yes</v>
      </c>
      <c r="D184" t="str">
        <f>Table1[[#This Row],[Department]]</f>
        <v>Sales</v>
      </c>
      <c r="E184">
        <f>Table1[[#This Row],[EnvironmentSatisfaction]]</f>
        <v>2</v>
      </c>
      <c r="F184">
        <f>Table1[[#This Row],[HourlyRate]]</f>
        <v>70</v>
      </c>
      <c r="G184" t="str">
        <f>Table1[[#This Row],[JobRole]]</f>
        <v>Sales Representative</v>
      </c>
      <c r="H184">
        <f>Table1[[#This Row],[JobSatisfaction]]</f>
        <v>2</v>
      </c>
      <c r="I184">
        <f>Table1[[#This Row],[YearsAtCompany]]</f>
        <v>4</v>
      </c>
      <c r="J184">
        <f>Table1[[#This Row],[YearsSinceLastPromotion]]</f>
        <v>0</v>
      </c>
      <c r="K184">
        <f>Table1[[#This Row],[EmployeeNumber]]</f>
        <v>248</v>
      </c>
      <c r="L184">
        <f>Table1[[#This Row],[DistanceFromHome]]</f>
        <v>20</v>
      </c>
      <c r="M184" t="str">
        <f>Table1[[#This Row],[OverTime]]</f>
        <v>Yes</v>
      </c>
      <c r="N184">
        <f>Table1[[#This Row],[WorkLifeBalance]]</f>
        <v>2</v>
      </c>
      <c r="O184" t="str" cm="1">
        <f t="array" ref="O184">_xlfn.IFS(A184&lt;=30,"18-30",A184&lt;=40,"31-40",A184&lt;=50,"41-50",A184&gt;50,"51+")</f>
        <v>41-50</v>
      </c>
      <c r="P184" t="str" cm="1">
        <f t="array" ref="P184">_xlfn.IFS(F184&lt;=45,"45 or below",F184&lt;= 60,"46-60",F184&lt;=75,"61-75",F184&lt;=90,"76-90",F184&gt;90,"91 or above")</f>
        <v>61-75</v>
      </c>
      <c r="Q18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84" t="str" cm="1">
        <f t="array" ref="R184" xml:space="preserve"> _xlfn.IFS(Table3[[#This Row],[Flight Risk Score]] = "NA","NA",Table3[[#This Row],[Flight Risk Score]] &gt;= 70,"High Risk",Table3[[#This Row],[Flight Risk Score]] &gt;= 50, "Medium Risk", Table3[[#This Row],[Flight Risk Score]] &gt;= 30,"Low Risk",Table3[[#This Row],[Flight Risk Score]] &lt; 30,"Very Low Risk")</f>
        <v>NA</v>
      </c>
    </row>
    <row r="185" spans="1:18" x14ac:dyDescent="0.2">
      <c r="A185">
        <f>Table1[[#This Row],[Age]]</f>
        <v>50</v>
      </c>
      <c r="B185">
        <f>IF(Table3[[#This Row],[Attrition]] = "Yes", 1,0)</f>
        <v>0</v>
      </c>
      <c r="C185" t="str">
        <f>Table1[[#This Row],[Attrition]]</f>
        <v>No</v>
      </c>
      <c r="D185" t="str">
        <f>Table1[[#This Row],[Department]]</f>
        <v>Research &amp; Development</v>
      </c>
      <c r="E185">
        <f>Table1[[#This Row],[EnvironmentSatisfaction]]</f>
        <v>3</v>
      </c>
      <c r="F185">
        <f>Table1[[#This Row],[HourlyRate]]</f>
        <v>86</v>
      </c>
      <c r="G185" t="str">
        <f>Table1[[#This Row],[JobRole]]</f>
        <v>Laboratory Technician</v>
      </c>
      <c r="H185">
        <f>Table1[[#This Row],[JobSatisfaction]]</f>
        <v>3</v>
      </c>
      <c r="I185">
        <f>Table1[[#This Row],[YearsAtCompany]]</f>
        <v>3</v>
      </c>
      <c r="J185">
        <f>Table1[[#This Row],[YearsSinceLastPromotion]]</f>
        <v>0</v>
      </c>
      <c r="K185">
        <f>Table1[[#This Row],[EmployeeNumber]]</f>
        <v>249</v>
      </c>
      <c r="L185">
        <f>Table1[[#This Row],[DistanceFromHome]]</f>
        <v>1</v>
      </c>
      <c r="M185" t="str">
        <f>Table1[[#This Row],[OverTime]]</f>
        <v>No</v>
      </c>
      <c r="N185">
        <f>Table1[[#This Row],[WorkLifeBalance]]</f>
        <v>2</v>
      </c>
      <c r="O185" t="str" cm="1">
        <f t="array" ref="O185">_xlfn.IFS(A185&lt;=30,"18-30",A185&lt;=40,"31-40",A185&lt;=50,"41-50",A185&gt;50,"51+")</f>
        <v>41-50</v>
      </c>
      <c r="P185" t="str" cm="1">
        <f t="array" ref="P185">_xlfn.IFS(F185&lt;=45,"45 or below",F185&lt;= 60,"46-60",F185&lt;=75,"61-75",F185&lt;=90,"76-90",F185&gt;90,"91 or above")</f>
        <v>76-90</v>
      </c>
      <c r="Q1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85" t="str" cm="1">
        <f t="array" ref="R1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86" spans="1:18" x14ac:dyDescent="0.2">
      <c r="A186">
        <f>Table1[[#This Row],[Age]]</f>
        <v>53</v>
      </c>
      <c r="B186">
        <f>IF(Table3[[#This Row],[Attrition]] = "Yes", 1,0)</f>
        <v>0</v>
      </c>
      <c r="C186" t="str">
        <f>Table1[[#This Row],[Attrition]]</f>
        <v>No</v>
      </c>
      <c r="D186" t="str">
        <f>Table1[[#This Row],[Department]]</f>
        <v>Research &amp; Development</v>
      </c>
      <c r="E186">
        <f>Table1[[#This Row],[EnvironmentSatisfaction]]</f>
        <v>4</v>
      </c>
      <c r="F186">
        <f>Table1[[#This Row],[HourlyRate]]</f>
        <v>57</v>
      </c>
      <c r="G186" t="str">
        <f>Table1[[#This Row],[JobRole]]</f>
        <v>Manufacturing Director</v>
      </c>
      <c r="H186">
        <f>Table1[[#This Row],[JobSatisfaction]]</f>
        <v>1</v>
      </c>
      <c r="I186">
        <f>Table1[[#This Row],[YearsAtCompany]]</f>
        <v>4</v>
      </c>
      <c r="J186">
        <f>Table1[[#This Row],[YearsSinceLastPromotion]]</f>
        <v>1</v>
      </c>
      <c r="K186">
        <f>Table1[[#This Row],[EmployeeNumber]]</f>
        <v>250</v>
      </c>
      <c r="L186">
        <f>Table1[[#This Row],[DistanceFromHome]]</f>
        <v>13</v>
      </c>
      <c r="M186" t="str">
        <f>Table1[[#This Row],[OverTime]]</f>
        <v>No</v>
      </c>
      <c r="N186">
        <f>Table1[[#This Row],[WorkLifeBalance]]</f>
        <v>3</v>
      </c>
      <c r="O186" t="str" cm="1">
        <f t="array" ref="O186">_xlfn.IFS(A186&lt;=30,"18-30",A186&lt;=40,"31-40",A186&lt;=50,"41-50",A186&gt;50,"51+")</f>
        <v>51+</v>
      </c>
      <c r="P186" t="str" cm="1">
        <f t="array" ref="P186">_xlfn.IFS(F186&lt;=45,"45 or below",F186&lt;= 60,"46-60",F186&lt;=75,"61-75",F186&lt;=90,"76-90",F186&gt;90,"91 or above")</f>
        <v>46-60</v>
      </c>
      <c r="Q1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86" t="str" cm="1">
        <f t="array" ref="R1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87" spans="1:18" x14ac:dyDescent="0.2">
      <c r="A187">
        <f>Table1[[#This Row],[Age]]</f>
        <v>33</v>
      </c>
      <c r="B187">
        <f>IF(Table3[[#This Row],[Attrition]] = "Yes", 1,0)</f>
        <v>0</v>
      </c>
      <c r="C187" t="str">
        <f>Table1[[#This Row],[Attrition]]</f>
        <v>No</v>
      </c>
      <c r="D187" t="str">
        <f>Table1[[#This Row],[Department]]</f>
        <v>Research &amp; Development</v>
      </c>
      <c r="E187">
        <f>Table1[[#This Row],[EnvironmentSatisfaction]]</f>
        <v>4</v>
      </c>
      <c r="F187">
        <f>Table1[[#This Row],[HourlyRate]]</f>
        <v>72</v>
      </c>
      <c r="G187" t="str">
        <f>Table1[[#This Row],[JobRole]]</f>
        <v>Research Scientist</v>
      </c>
      <c r="H187">
        <f>Table1[[#This Row],[JobSatisfaction]]</f>
        <v>2</v>
      </c>
      <c r="I187">
        <f>Table1[[#This Row],[YearsAtCompany]]</f>
        <v>8</v>
      </c>
      <c r="J187">
        <f>Table1[[#This Row],[YearsSinceLastPromotion]]</f>
        <v>1</v>
      </c>
      <c r="K187">
        <f>Table1[[#This Row],[EmployeeNumber]]</f>
        <v>252</v>
      </c>
      <c r="L187">
        <f>Table1[[#This Row],[DistanceFromHome]]</f>
        <v>14</v>
      </c>
      <c r="M187" t="str">
        <f>Table1[[#This Row],[OverTime]]</f>
        <v>No</v>
      </c>
      <c r="N187">
        <f>Table1[[#This Row],[WorkLifeBalance]]</f>
        <v>3</v>
      </c>
      <c r="O187" t="str" cm="1">
        <f t="array" ref="O187">_xlfn.IFS(A187&lt;=30,"18-30",A187&lt;=40,"31-40",A187&lt;=50,"41-50",A187&gt;50,"51+")</f>
        <v>31-40</v>
      </c>
      <c r="P187" t="str" cm="1">
        <f t="array" ref="P187">_xlfn.IFS(F187&lt;=45,"45 or below",F187&lt;= 60,"46-60",F187&lt;=75,"61-75",F187&lt;=90,"76-90",F187&gt;90,"91 or above")</f>
        <v>61-75</v>
      </c>
      <c r="Q1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87" t="str" cm="1">
        <f t="array" ref="R1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88" spans="1:18" x14ac:dyDescent="0.2">
      <c r="A188">
        <f>Table1[[#This Row],[Age]]</f>
        <v>40</v>
      </c>
      <c r="B188">
        <f>IF(Table3[[#This Row],[Attrition]] = "Yes", 1,0)</f>
        <v>0</v>
      </c>
      <c r="C188" t="str">
        <f>Table1[[#This Row],[Attrition]]</f>
        <v>No</v>
      </c>
      <c r="D188" t="str">
        <f>Table1[[#This Row],[Department]]</f>
        <v>Research &amp; Development</v>
      </c>
      <c r="E188">
        <f>Table1[[#This Row],[EnvironmentSatisfaction]]</f>
        <v>4</v>
      </c>
      <c r="F188">
        <f>Table1[[#This Row],[HourlyRate]]</f>
        <v>46</v>
      </c>
      <c r="G188" t="str">
        <f>Table1[[#This Row],[JobRole]]</f>
        <v>Manager</v>
      </c>
      <c r="H188">
        <f>Table1[[#This Row],[JobSatisfaction]]</f>
        <v>3</v>
      </c>
      <c r="I188">
        <f>Table1[[#This Row],[YearsAtCompany]]</f>
        <v>20</v>
      </c>
      <c r="J188">
        <f>Table1[[#This Row],[YearsSinceLastPromotion]]</f>
        <v>9</v>
      </c>
      <c r="K188">
        <f>Table1[[#This Row],[EmployeeNumber]]</f>
        <v>253</v>
      </c>
      <c r="L188">
        <f>Table1[[#This Row],[DistanceFromHome]]</f>
        <v>4</v>
      </c>
      <c r="M188" t="str">
        <f>Table1[[#This Row],[OverTime]]</f>
        <v>No</v>
      </c>
      <c r="N188">
        <f>Table1[[#This Row],[WorkLifeBalance]]</f>
        <v>3</v>
      </c>
      <c r="O188" t="str" cm="1">
        <f t="array" ref="O188">_xlfn.IFS(A188&lt;=30,"18-30",A188&lt;=40,"31-40",A188&lt;=50,"41-50",A188&gt;50,"51+")</f>
        <v>31-40</v>
      </c>
      <c r="P188" t="str" cm="1">
        <f t="array" ref="P188">_xlfn.IFS(F188&lt;=45,"45 or below",F188&lt;= 60,"46-60",F188&lt;=75,"61-75",F188&lt;=90,"76-90",F188&gt;90,"91 or above")</f>
        <v>46-60</v>
      </c>
      <c r="Q1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88" t="str" cm="1">
        <f t="array" ref="R1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89" spans="1:18" x14ac:dyDescent="0.2">
      <c r="A189">
        <f>Table1[[#This Row],[Age]]</f>
        <v>55</v>
      </c>
      <c r="B189">
        <f>IF(Table3[[#This Row],[Attrition]] = "Yes", 1,0)</f>
        <v>0</v>
      </c>
      <c r="C189" t="str">
        <f>Table1[[#This Row],[Attrition]]</f>
        <v>No</v>
      </c>
      <c r="D189" t="str">
        <f>Table1[[#This Row],[Department]]</f>
        <v>Research &amp; Development</v>
      </c>
      <c r="E189">
        <f>Table1[[#This Row],[EnvironmentSatisfaction]]</f>
        <v>3</v>
      </c>
      <c r="F189">
        <f>Table1[[#This Row],[HourlyRate]]</f>
        <v>61</v>
      </c>
      <c r="G189" t="str">
        <f>Table1[[#This Row],[JobRole]]</f>
        <v>Research Director</v>
      </c>
      <c r="H189">
        <f>Table1[[#This Row],[JobSatisfaction]]</f>
        <v>2</v>
      </c>
      <c r="I189">
        <f>Table1[[#This Row],[YearsAtCompany]]</f>
        <v>24</v>
      </c>
      <c r="J189">
        <f>Table1[[#This Row],[YearsSinceLastPromotion]]</f>
        <v>2</v>
      </c>
      <c r="K189">
        <f>Table1[[#This Row],[EmployeeNumber]]</f>
        <v>254</v>
      </c>
      <c r="L189">
        <f>Table1[[#This Row],[DistanceFromHome]]</f>
        <v>14</v>
      </c>
      <c r="M189" t="str">
        <f>Table1[[#This Row],[OverTime]]</f>
        <v>No</v>
      </c>
      <c r="N189">
        <f>Table1[[#This Row],[WorkLifeBalance]]</f>
        <v>3</v>
      </c>
      <c r="O189" t="str" cm="1">
        <f t="array" ref="O189">_xlfn.IFS(A189&lt;=30,"18-30",A189&lt;=40,"31-40",A189&lt;=50,"41-50",A189&gt;50,"51+")</f>
        <v>51+</v>
      </c>
      <c r="P189" t="str" cm="1">
        <f t="array" ref="P189">_xlfn.IFS(F189&lt;=45,"45 or below",F189&lt;= 60,"46-60",F189&lt;=75,"61-75",F189&lt;=90,"76-90",F189&gt;90,"91 or above")</f>
        <v>61-75</v>
      </c>
      <c r="Q1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89" t="str" cm="1">
        <f t="array" ref="R1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0" spans="1:18" x14ac:dyDescent="0.2">
      <c r="A190">
        <f>Table1[[#This Row],[Age]]</f>
        <v>34</v>
      </c>
      <c r="B190">
        <f>IF(Table3[[#This Row],[Attrition]] = "Yes", 1,0)</f>
        <v>0</v>
      </c>
      <c r="C190" t="str">
        <f>Table1[[#This Row],[Attrition]]</f>
        <v>No</v>
      </c>
      <c r="D190" t="str">
        <f>Table1[[#This Row],[Department]]</f>
        <v>Research &amp; Development</v>
      </c>
      <c r="E190">
        <f>Table1[[#This Row],[EnvironmentSatisfaction]]</f>
        <v>4</v>
      </c>
      <c r="F190">
        <f>Table1[[#This Row],[HourlyRate]]</f>
        <v>45</v>
      </c>
      <c r="G190" t="str">
        <f>Table1[[#This Row],[JobRole]]</f>
        <v>Manufacturing Director</v>
      </c>
      <c r="H190">
        <f>Table1[[#This Row],[JobSatisfaction]]</f>
        <v>3</v>
      </c>
      <c r="I190">
        <f>Table1[[#This Row],[YearsAtCompany]]</f>
        <v>10</v>
      </c>
      <c r="J190">
        <f>Table1[[#This Row],[YearsSinceLastPromotion]]</f>
        <v>1</v>
      </c>
      <c r="K190">
        <f>Table1[[#This Row],[EmployeeNumber]]</f>
        <v>256</v>
      </c>
      <c r="L190">
        <f>Table1[[#This Row],[DistanceFromHome]]</f>
        <v>2</v>
      </c>
      <c r="M190" t="str">
        <f>Table1[[#This Row],[OverTime]]</f>
        <v>No</v>
      </c>
      <c r="N190">
        <f>Table1[[#This Row],[WorkLifeBalance]]</f>
        <v>2</v>
      </c>
      <c r="O190" t="str" cm="1">
        <f t="array" ref="O190">_xlfn.IFS(A190&lt;=30,"18-30",A190&lt;=40,"31-40",A190&lt;=50,"41-50",A190&gt;50,"51+")</f>
        <v>31-40</v>
      </c>
      <c r="P190" t="str" cm="1">
        <f t="array" ref="P190">_xlfn.IFS(F190&lt;=45,"45 or below",F190&lt;= 60,"46-60",F190&lt;=75,"61-75",F190&lt;=90,"76-90",F190&gt;90,"91 or above")</f>
        <v>45 or below</v>
      </c>
      <c r="Q1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90" t="str" cm="1">
        <f t="array" ref="R1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1" spans="1:18" x14ac:dyDescent="0.2">
      <c r="A191">
        <f>Table1[[#This Row],[Age]]</f>
        <v>51</v>
      </c>
      <c r="B191">
        <f>IF(Table3[[#This Row],[Attrition]] = "Yes", 1,0)</f>
        <v>0</v>
      </c>
      <c r="C191" t="str">
        <f>Table1[[#This Row],[Attrition]]</f>
        <v>No</v>
      </c>
      <c r="D191" t="str">
        <f>Table1[[#This Row],[Department]]</f>
        <v>Research &amp; Development</v>
      </c>
      <c r="E191">
        <f>Table1[[#This Row],[EnvironmentSatisfaction]]</f>
        <v>4</v>
      </c>
      <c r="F191">
        <f>Table1[[#This Row],[HourlyRate]]</f>
        <v>98</v>
      </c>
      <c r="G191" t="str">
        <f>Table1[[#This Row],[JobRole]]</f>
        <v>Healthcare Representative</v>
      </c>
      <c r="H191">
        <f>Table1[[#This Row],[JobSatisfaction]]</f>
        <v>2</v>
      </c>
      <c r="I191">
        <f>Table1[[#This Row],[YearsAtCompany]]</f>
        <v>7</v>
      </c>
      <c r="J191">
        <f>Table1[[#This Row],[YearsSinceLastPromotion]]</f>
        <v>1</v>
      </c>
      <c r="K191">
        <f>Table1[[#This Row],[EmployeeNumber]]</f>
        <v>258</v>
      </c>
      <c r="L191">
        <f>Table1[[#This Row],[DistanceFromHome]]</f>
        <v>3</v>
      </c>
      <c r="M191" t="str">
        <f>Table1[[#This Row],[OverTime]]</f>
        <v>No</v>
      </c>
      <c r="N191">
        <f>Table1[[#This Row],[WorkLifeBalance]]</f>
        <v>3</v>
      </c>
      <c r="O191" t="str" cm="1">
        <f t="array" ref="O191">_xlfn.IFS(A191&lt;=30,"18-30",A191&lt;=40,"31-40",A191&lt;=50,"41-50",A191&gt;50,"51+")</f>
        <v>51+</v>
      </c>
      <c r="P191" t="str" cm="1">
        <f t="array" ref="P191">_xlfn.IFS(F191&lt;=45,"45 or below",F191&lt;= 60,"46-60",F191&lt;=75,"61-75",F191&lt;=90,"76-90",F191&gt;90,"91 or above")</f>
        <v>91 or above</v>
      </c>
      <c r="Q1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91" t="str" cm="1">
        <f t="array" ref="R19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2" spans="1:18" x14ac:dyDescent="0.2">
      <c r="A192">
        <f>Table1[[#This Row],[Age]]</f>
        <v>52</v>
      </c>
      <c r="B192">
        <f>IF(Table3[[#This Row],[Attrition]] = "Yes", 1,0)</f>
        <v>0</v>
      </c>
      <c r="C192" t="str">
        <f>Table1[[#This Row],[Attrition]]</f>
        <v>No</v>
      </c>
      <c r="D192" t="str">
        <f>Table1[[#This Row],[Department]]</f>
        <v>Research &amp; Development</v>
      </c>
      <c r="E192">
        <f>Table1[[#This Row],[EnvironmentSatisfaction]]</f>
        <v>3</v>
      </c>
      <c r="F192">
        <f>Table1[[#This Row],[HourlyRate]]</f>
        <v>65</v>
      </c>
      <c r="G192" t="str">
        <f>Table1[[#This Row],[JobRole]]</f>
        <v>Manager</v>
      </c>
      <c r="H192">
        <f>Table1[[#This Row],[JobSatisfaction]]</f>
        <v>3</v>
      </c>
      <c r="I192">
        <f>Table1[[#This Row],[YearsAtCompany]]</f>
        <v>33</v>
      </c>
      <c r="J192">
        <f>Table1[[#This Row],[YearsSinceLastPromotion]]</f>
        <v>11</v>
      </c>
      <c r="K192">
        <f>Table1[[#This Row],[EmployeeNumber]]</f>
        <v>259</v>
      </c>
      <c r="L192">
        <f>Table1[[#This Row],[DistanceFromHome]]</f>
        <v>1</v>
      </c>
      <c r="M192" t="str">
        <f>Table1[[#This Row],[OverTime]]</f>
        <v>No</v>
      </c>
      <c r="N192">
        <f>Table1[[#This Row],[WorkLifeBalance]]</f>
        <v>3</v>
      </c>
      <c r="O192" t="str" cm="1">
        <f t="array" ref="O192">_xlfn.IFS(A192&lt;=30,"18-30",A192&lt;=40,"31-40",A192&lt;=50,"41-50",A192&gt;50,"51+")</f>
        <v>51+</v>
      </c>
      <c r="P192" t="str" cm="1">
        <f t="array" ref="P192">_xlfn.IFS(F192&lt;=45,"45 or below",F192&lt;= 60,"46-60",F192&lt;=75,"61-75",F192&lt;=90,"76-90",F192&gt;90,"91 or above")</f>
        <v>61-75</v>
      </c>
      <c r="Q1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92" t="str" cm="1">
        <f t="array" ref="R1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3" spans="1:18" x14ac:dyDescent="0.2">
      <c r="A193">
        <f>Table1[[#This Row],[Age]]</f>
        <v>27</v>
      </c>
      <c r="B193">
        <f>IF(Table3[[#This Row],[Attrition]] = "Yes", 1,0)</f>
        <v>0</v>
      </c>
      <c r="C193" t="str">
        <f>Table1[[#This Row],[Attrition]]</f>
        <v>No</v>
      </c>
      <c r="D193" t="str">
        <f>Table1[[#This Row],[Department]]</f>
        <v>Research &amp; Development</v>
      </c>
      <c r="E193">
        <f>Table1[[#This Row],[EnvironmentSatisfaction]]</f>
        <v>4</v>
      </c>
      <c r="F193">
        <f>Table1[[#This Row],[HourlyRate]]</f>
        <v>99</v>
      </c>
      <c r="G193" t="str">
        <f>Table1[[#This Row],[JobRole]]</f>
        <v>Research Scientist</v>
      </c>
      <c r="H193">
        <f>Table1[[#This Row],[JobSatisfaction]]</f>
        <v>2</v>
      </c>
      <c r="I193">
        <f>Table1[[#This Row],[YearsAtCompany]]</f>
        <v>7</v>
      </c>
      <c r="J193">
        <f>Table1[[#This Row],[YearsSinceLastPromotion]]</f>
        <v>0</v>
      </c>
      <c r="K193">
        <f>Table1[[#This Row],[EmployeeNumber]]</f>
        <v>260</v>
      </c>
      <c r="L193">
        <f>Table1[[#This Row],[DistanceFromHome]]</f>
        <v>9</v>
      </c>
      <c r="M193" t="str">
        <f>Table1[[#This Row],[OverTime]]</f>
        <v>No</v>
      </c>
      <c r="N193">
        <f>Table1[[#This Row],[WorkLifeBalance]]</f>
        <v>2</v>
      </c>
      <c r="O193" t="str" cm="1">
        <f t="array" ref="O193">_xlfn.IFS(A193&lt;=30,"18-30",A193&lt;=40,"31-40",A193&lt;=50,"41-50",A193&gt;50,"51+")</f>
        <v>18-30</v>
      </c>
      <c r="P193" t="str" cm="1">
        <f t="array" ref="P193">_xlfn.IFS(F193&lt;=45,"45 or below",F193&lt;= 60,"46-60",F193&lt;=75,"61-75",F193&lt;=90,"76-90",F193&gt;90,"91 or above")</f>
        <v>91 or above</v>
      </c>
      <c r="Q1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93" t="str" cm="1">
        <f t="array" ref="R19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4" spans="1:18" hidden="1" x14ac:dyDescent="0.2">
      <c r="A194">
        <f>Table1[[#This Row],[Age]]</f>
        <v>35</v>
      </c>
      <c r="B194">
        <f>IF(Table3[[#This Row],[Attrition]] = "Yes", 1,0)</f>
        <v>1</v>
      </c>
      <c r="C194" t="str">
        <f>Table1[[#This Row],[Attrition]]</f>
        <v>Yes</v>
      </c>
      <c r="D194" t="str">
        <f>Table1[[#This Row],[Department]]</f>
        <v>Research &amp; Development</v>
      </c>
      <c r="E194">
        <f>Table1[[#This Row],[EnvironmentSatisfaction]]</f>
        <v>2</v>
      </c>
      <c r="F194">
        <f>Table1[[#This Row],[HourlyRate]]</f>
        <v>50</v>
      </c>
      <c r="G194" t="str">
        <f>Table1[[#This Row],[JobRole]]</f>
        <v>Manufacturing Director</v>
      </c>
      <c r="H194">
        <f>Table1[[#This Row],[JobSatisfaction]]</f>
        <v>3</v>
      </c>
      <c r="I194">
        <f>Table1[[#This Row],[YearsAtCompany]]</f>
        <v>1</v>
      </c>
      <c r="J194">
        <f>Table1[[#This Row],[YearsSinceLastPromotion]]</f>
        <v>0</v>
      </c>
      <c r="K194">
        <f>Table1[[#This Row],[EmployeeNumber]]</f>
        <v>261</v>
      </c>
      <c r="L194">
        <f>Table1[[#This Row],[DistanceFromHome]]</f>
        <v>23</v>
      </c>
      <c r="M194" t="str">
        <f>Table1[[#This Row],[OverTime]]</f>
        <v>Yes</v>
      </c>
      <c r="N194">
        <f>Table1[[#This Row],[WorkLifeBalance]]</f>
        <v>3</v>
      </c>
      <c r="O194" t="str" cm="1">
        <f t="array" ref="O194">_xlfn.IFS(A194&lt;=30,"18-30",A194&lt;=40,"31-40",A194&lt;=50,"41-50",A194&gt;50,"51+")</f>
        <v>31-40</v>
      </c>
      <c r="P194" t="str" cm="1">
        <f t="array" ref="P194">_xlfn.IFS(F194&lt;=45,"45 or below",F194&lt;= 60,"46-60",F194&lt;=75,"61-75",F194&lt;=90,"76-90",F194&gt;90,"91 or above")</f>
        <v>46-60</v>
      </c>
      <c r="Q19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94" t="str" cm="1">
        <f t="array" ref="R194" xml:space="preserve"> _xlfn.IFS(Table3[[#This Row],[Flight Risk Score]] = "NA","NA",Table3[[#This Row],[Flight Risk Score]] &gt;= 70,"High Risk",Table3[[#This Row],[Flight Risk Score]] &gt;= 50, "Medium Risk", Table3[[#This Row],[Flight Risk Score]] &gt;= 30,"Low Risk",Table3[[#This Row],[Flight Risk Score]] &lt; 30,"Very Low Risk")</f>
        <v>NA</v>
      </c>
    </row>
    <row r="195" spans="1:18" x14ac:dyDescent="0.2">
      <c r="A195">
        <f>Table1[[#This Row],[Age]]</f>
        <v>43</v>
      </c>
      <c r="B195">
        <f>IF(Table3[[#This Row],[Attrition]] = "Yes", 1,0)</f>
        <v>0</v>
      </c>
      <c r="C195" t="str">
        <f>Table1[[#This Row],[Attrition]]</f>
        <v>No</v>
      </c>
      <c r="D195" t="str">
        <f>Table1[[#This Row],[Department]]</f>
        <v>Research &amp; Development</v>
      </c>
      <c r="E195">
        <f>Table1[[#This Row],[EnvironmentSatisfaction]]</f>
        <v>4</v>
      </c>
      <c r="F195">
        <f>Table1[[#This Row],[HourlyRate]]</f>
        <v>37</v>
      </c>
      <c r="G195" t="str">
        <f>Table1[[#This Row],[JobRole]]</f>
        <v>Research Scientist</v>
      </c>
      <c r="H195">
        <f>Table1[[#This Row],[JobSatisfaction]]</f>
        <v>4</v>
      </c>
      <c r="I195">
        <f>Table1[[#This Row],[YearsAtCompany]]</f>
        <v>5</v>
      </c>
      <c r="J195">
        <f>Table1[[#This Row],[YearsSinceLastPromotion]]</f>
        <v>2</v>
      </c>
      <c r="K195">
        <f>Table1[[#This Row],[EmployeeNumber]]</f>
        <v>262</v>
      </c>
      <c r="L195">
        <f>Table1[[#This Row],[DistanceFromHome]]</f>
        <v>7</v>
      </c>
      <c r="M195" t="str">
        <f>Table1[[#This Row],[OverTime]]</f>
        <v>No</v>
      </c>
      <c r="N195">
        <f>Table1[[#This Row],[WorkLifeBalance]]</f>
        <v>4</v>
      </c>
      <c r="O195" t="str" cm="1">
        <f t="array" ref="O195">_xlfn.IFS(A195&lt;=30,"18-30",A195&lt;=40,"31-40",A195&lt;=50,"41-50",A195&gt;50,"51+")</f>
        <v>41-50</v>
      </c>
      <c r="P195" t="str" cm="1">
        <f t="array" ref="P195">_xlfn.IFS(F195&lt;=45,"45 or below",F195&lt;= 60,"46-60",F195&lt;=75,"61-75",F195&lt;=90,"76-90",F195&gt;90,"91 or above")</f>
        <v>45 or below</v>
      </c>
      <c r="Q1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95" t="str" cm="1">
        <f t="array" ref="R1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6" spans="1:18" x14ac:dyDescent="0.2">
      <c r="A196">
        <f>Table1[[#This Row],[Age]]</f>
        <v>45</v>
      </c>
      <c r="B196">
        <f>IF(Table3[[#This Row],[Attrition]] = "Yes", 1,0)</f>
        <v>0</v>
      </c>
      <c r="C196" t="str">
        <f>Table1[[#This Row],[Attrition]]</f>
        <v>No</v>
      </c>
      <c r="D196" t="str">
        <f>Table1[[#This Row],[Department]]</f>
        <v>Research &amp; Development</v>
      </c>
      <c r="E196">
        <f>Table1[[#This Row],[EnvironmentSatisfaction]]</f>
        <v>1</v>
      </c>
      <c r="F196">
        <f>Table1[[#This Row],[HourlyRate]]</f>
        <v>65</v>
      </c>
      <c r="G196" t="str">
        <f>Table1[[#This Row],[JobRole]]</f>
        <v>Manager</v>
      </c>
      <c r="H196">
        <f>Table1[[#This Row],[JobSatisfaction]]</f>
        <v>4</v>
      </c>
      <c r="I196">
        <f>Table1[[#This Row],[YearsAtCompany]]</f>
        <v>20</v>
      </c>
      <c r="J196">
        <f>Table1[[#This Row],[YearsSinceLastPromotion]]</f>
        <v>11</v>
      </c>
      <c r="K196">
        <f>Table1[[#This Row],[EmployeeNumber]]</f>
        <v>264</v>
      </c>
      <c r="L196">
        <f>Table1[[#This Row],[DistanceFromHome]]</f>
        <v>2</v>
      </c>
      <c r="M196" t="str">
        <f>Table1[[#This Row],[OverTime]]</f>
        <v>No</v>
      </c>
      <c r="N196">
        <f>Table1[[#This Row],[WorkLifeBalance]]</f>
        <v>3</v>
      </c>
      <c r="O196" t="str" cm="1">
        <f t="array" ref="O196">_xlfn.IFS(A196&lt;=30,"18-30",A196&lt;=40,"31-40",A196&lt;=50,"41-50",A196&gt;50,"51+")</f>
        <v>41-50</v>
      </c>
      <c r="P196" t="str" cm="1">
        <f t="array" ref="P196">_xlfn.IFS(F196&lt;=45,"45 or below",F196&lt;= 60,"46-60",F196&lt;=75,"61-75",F196&lt;=90,"76-90",F196&gt;90,"91 or above")</f>
        <v>61-75</v>
      </c>
      <c r="Q1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96" t="str" cm="1">
        <f t="array" ref="R1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97" spans="1:18" x14ac:dyDescent="0.2">
      <c r="A197">
        <f>Table1[[#This Row],[Age]]</f>
        <v>37</v>
      </c>
      <c r="B197">
        <f>IF(Table3[[#This Row],[Attrition]] = "Yes", 1,0)</f>
        <v>0</v>
      </c>
      <c r="C197" t="str">
        <f>Table1[[#This Row],[Attrition]]</f>
        <v>No</v>
      </c>
      <c r="D197" t="str">
        <f>Table1[[#This Row],[Department]]</f>
        <v>Research &amp; Development</v>
      </c>
      <c r="E197">
        <f>Table1[[#This Row],[EnvironmentSatisfaction]]</f>
        <v>2</v>
      </c>
      <c r="F197">
        <f>Table1[[#This Row],[HourlyRate]]</f>
        <v>65</v>
      </c>
      <c r="G197" t="str">
        <f>Table1[[#This Row],[JobRole]]</f>
        <v>Research Scientist</v>
      </c>
      <c r="H197">
        <f>Table1[[#This Row],[JobSatisfaction]]</f>
        <v>1</v>
      </c>
      <c r="I197">
        <f>Table1[[#This Row],[YearsAtCompany]]</f>
        <v>8</v>
      </c>
      <c r="J197">
        <f>Table1[[#This Row],[YearsSinceLastPromotion]]</f>
        <v>1</v>
      </c>
      <c r="K197">
        <f>Table1[[#This Row],[EmployeeNumber]]</f>
        <v>267</v>
      </c>
      <c r="L197">
        <f>Table1[[#This Row],[DistanceFromHome]]</f>
        <v>21</v>
      </c>
      <c r="M197" t="str">
        <f>Table1[[#This Row],[OverTime]]</f>
        <v>Yes</v>
      </c>
      <c r="N197">
        <f>Table1[[#This Row],[WorkLifeBalance]]</f>
        <v>2</v>
      </c>
      <c r="O197" t="str" cm="1">
        <f t="array" ref="O197">_xlfn.IFS(A197&lt;=30,"18-30",A197&lt;=40,"31-40",A197&lt;=50,"41-50",A197&gt;50,"51+")</f>
        <v>31-40</v>
      </c>
      <c r="P197" t="str" cm="1">
        <f t="array" ref="P197">_xlfn.IFS(F197&lt;=45,"45 or below",F197&lt;= 60,"46-60",F197&lt;=75,"61-75",F197&lt;=90,"76-90",F197&gt;90,"91 or above")</f>
        <v>61-75</v>
      </c>
      <c r="Q1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97" t="str" cm="1">
        <f t="array" ref="R19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98" spans="1:18" x14ac:dyDescent="0.2">
      <c r="A198">
        <f>Table1[[#This Row],[Age]]</f>
        <v>35</v>
      </c>
      <c r="B198">
        <f>IF(Table3[[#This Row],[Attrition]] = "Yes", 1,0)</f>
        <v>0</v>
      </c>
      <c r="C198" t="str">
        <f>Table1[[#This Row],[Attrition]]</f>
        <v>No</v>
      </c>
      <c r="D198" t="str">
        <f>Table1[[#This Row],[Department]]</f>
        <v>Research &amp; Development</v>
      </c>
      <c r="E198">
        <f>Table1[[#This Row],[EnvironmentSatisfaction]]</f>
        <v>2</v>
      </c>
      <c r="F198">
        <f>Table1[[#This Row],[HourlyRate]]</f>
        <v>37</v>
      </c>
      <c r="G198" t="str">
        <f>Table1[[#This Row],[JobRole]]</f>
        <v>Laboratory Technician</v>
      </c>
      <c r="H198">
        <f>Table1[[#This Row],[JobSatisfaction]]</f>
        <v>2</v>
      </c>
      <c r="I198">
        <f>Table1[[#This Row],[YearsAtCompany]]</f>
        <v>6</v>
      </c>
      <c r="J198">
        <f>Table1[[#This Row],[YearsSinceLastPromotion]]</f>
        <v>1</v>
      </c>
      <c r="K198">
        <f>Table1[[#This Row],[EmployeeNumber]]</f>
        <v>269</v>
      </c>
      <c r="L198">
        <f>Table1[[#This Row],[DistanceFromHome]]</f>
        <v>2</v>
      </c>
      <c r="M198" t="str">
        <f>Table1[[#This Row],[OverTime]]</f>
        <v>No</v>
      </c>
      <c r="N198">
        <f>Table1[[#This Row],[WorkLifeBalance]]</f>
        <v>3</v>
      </c>
      <c r="O198" t="str" cm="1">
        <f t="array" ref="O198">_xlfn.IFS(A198&lt;=30,"18-30",A198&lt;=40,"31-40",A198&lt;=50,"41-50",A198&gt;50,"51+")</f>
        <v>31-40</v>
      </c>
      <c r="P198" t="str" cm="1">
        <f t="array" ref="P198">_xlfn.IFS(F198&lt;=45,"45 or below",F198&lt;= 60,"46-60",F198&lt;=75,"61-75",F198&lt;=90,"76-90",F198&gt;90,"91 or above")</f>
        <v>45 or below</v>
      </c>
      <c r="Q1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98" t="str" cm="1">
        <f t="array" ref="R19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99" spans="1:18" x14ac:dyDescent="0.2">
      <c r="A199">
        <f>Table1[[#This Row],[Age]]</f>
        <v>42</v>
      </c>
      <c r="B199">
        <f>IF(Table3[[#This Row],[Attrition]] = "Yes", 1,0)</f>
        <v>0</v>
      </c>
      <c r="C199" t="str">
        <f>Table1[[#This Row],[Attrition]]</f>
        <v>No</v>
      </c>
      <c r="D199" t="str">
        <f>Table1[[#This Row],[Department]]</f>
        <v>Research &amp; Development</v>
      </c>
      <c r="E199">
        <f>Table1[[#This Row],[EnvironmentSatisfaction]]</f>
        <v>3</v>
      </c>
      <c r="F199">
        <f>Table1[[#This Row],[HourlyRate]]</f>
        <v>36</v>
      </c>
      <c r="G199" t="str">
        <f>Table1[[#This Row],[JobRole]]</f>
        <v>Manufacturing Director</v>
      </c>
      <c r="H199">
        <f>Table1[[#This Row],[JobSatisfaction]]</f>
        <v>3</v>
      </c>
      <c r="I199">
        <f>Table1[[#This Row],[YearsAtCompany]]</f>
        <v>5</v>
      </c>
      <c r="J199">
        <f>Table1[[#This Row],[YearsSinceLastPromotion]]</f>
        <v>0</v>
      </c>
      <c r="K199">
        <f>Table1[[#This Row],[EmployeeNumber]]</f>
        <v>270</v>
      </c>
      <c r="L199">
        <f>Table1[[#This Row],[DistanceFromHome]]</f>
        <v>21</v>
      </c>
      <c r="M199" t="str">
        <f>Table1[[#This Row],[OverTime]]</f>
        <v>No</v>
      </c>
      <c r="N199">
        <f>Table1[[#This Row],[WorkLifeBalance]]</f>
        <v>3</v>
      </c>
      <c r="O199" t="str" cm="1">
        <f t="array" ref="O199">_xlfn.IFS(A199&lt;=30,"18-30",A199&lt;=40,"31-40",A199&lt;=50,"41-50",A199&gt;50,"51+")</f>
        <v>41-50</v>
      </c>
      <c r="P199" t="str" cm="1">
        <f t="array" ref="P199">_xlfn.IFS(F199&lt;=45,"45 or below",F199&lt;= 60,"46-60",F199&lt;=75,"61-75",F199&lt;=90,"76-90",F199&gt;90,"91 or above")</f>
        <v>45 or below</v>
      </c>
      <c r="Q1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99" t="str" cm="1">
        <f t="array" ref="R1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00" spans="1:18" x14ac:dyDescent="0.2">
      <c r="A200">
        <f>Table1[[#This Row],[Age]]</f>
        <v>38</v>
      </c>
      <c r="B200">
        <f>IF(Table3[[#This Row],[Attrition]] = "Yes", 1,0)</f>
        <v>0</v>
      </c>
      <c r="C200" t="str">
        <f>Table1[[#This Row],[Attrition]]</f>
        <v>No</v>
      </c>
      <c r="D200" t="str">
        <f>Table1[[#This Row],[Department]]</f>
        <v>Research &amp; Development</v>
      </c>
      <c r="E200">
        <f>Table1[[#This Row],[EnvironmentSatisfaction]]</f>
        <v>4</v>
      </c>
      <c r="F200">
        <f>Table1[[#This Row],[HourlyRate]]</f>
        <v>88</v>
      </c>
      <c r="G200" t="str">
        <f>Table1[[#This Row],[JobRole]]</f>
        <v>Manufacturing Director</v>
      </c>
      <c r="H200">
        <f>Table1[[#This Row],[JobSatisfaction]]</f>
        <v>3</v>
      </c>
      <c r="I200">
        <f>Table1[[#This Row],[YearsAtCompany]]</f>
        <v>1</v>
      </c>
      <c r="J200">
        <f>Table1[[#This Row],[YearsSinceLastPromotion]]</f>
        <v>0</v>
      </c>
      <c r="K200">
        <f>Table1[[#This Row],[EmployeeNumber]]</f>
        <v>271</v>
      </c>
      <c r="L200">
        <f>Table1[[#This Row],[DistanceFromHome]]</f>
        <v>2</v>
      </c>
      <c r="M200" t="str">
        <f>Table1[[#This Row],[OverTime]]</f>
        <v>No</v>
      </c>
      <c r="N200">
        <f>Table1[[#This Row],[WorkLifeBalance]]</f>
        <v>3</v>
      </c>
      <c r="O200" t="str" cm="1">
        <f t="array" ref="O200">_xlfn.IFS(A200&lt;=30,"18-30",A200&lt;=40,"31-40",A200&lt;=50,"41-50",A200&gt;50,"51+")</f>
        <v>31-40</v>
      </c>
      <c r="P200" t="str" cm="1">
        <f t="array" ref="P200">_xlfn.IFS(F200&lt;=45,"45 or below",F200&lt;= 60,"46-60",F200&lt;=75,"61-75",F200&lt;=90,"76-90",F200&gt;90,"91 or above")</f>
        <v>76-90</v>
      </c>
      <c r="Q2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00" t="str" cm="1">
        <f t="array" ref="R2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01" spans="1:18" x14ac:dyDescent="0.2">
      <c r="A201">
        <f>Table1[[#This Row],[Age]]</f>
        <v>38</v>
      </c>
      <c r="B201">
        <f>IF(Table3[[#This Row],[Attrition]] = "Yes", 1,0)</f>
        <v>0</v>
      </c>
      <c r="C201" t="str">
        <f>Table1[[#This Row],[Attrition]]</f>
        <v>No</v>
      </c>
      <c r="D201" t="str">
        <f>Table1[[#This Row],[Department]]</f>
        <v>Research &amp; Development</v>
      </c>
      <c r="E201">
        <f>Table1[[#This Row],[EnvironmentSatisfaction]]</f>
        <v>4</v>
      </c>
      <c r="F201">
        <f>Table1[[#This Row],[HourlyRate]]</f>
        <v>54</v>
      </c>
      <c r="G201" t="str">
        <f>Table1[[#This Row],[JobRole]]</f>
        <v>Manufacturing Director</v>
      </c>
      <c r="H201">
        <f>Table1[[#This Row],[JobSatisfaction]]</f>
        <v>4</v>
      </c>
      <c r="I201">
        <f>Table1[[#This Row],[YearsAtCompany]]</f>
        <v>7</v>
      </c>
      <c r="J201">
        <f>Table1[[#This Row],[YearsSinceLastPromotion]]</f>
        <v>1</v>
      </c>
      <c r="K201">
        <f>Table1[[#This Row],[EmployeeNumber]]</f>
        <v>273</v>
      </c>
      <c r="L201">
        <f>Table1[[#This Row],[DistanceFromHome]]</f>
        <v>29</v>
      </c>
      <c r="M201" t="str">
        <f>Table1[[#This Row],[OverTime]]</f>
        <v>No</v>
      </c>
      <c r="N201">
        <f>Table1[[#This Row],[WorkLifeBalance]]</f>
        <v>1</v>
      </c>
      <c r="O201" t="str" cm="1">
        <f t="array" ref="O201">_xlfn.IFS(A201&lt;=30,"18-30",A201&lt;=40,"31-40",A201&lt;=50,"41-50",A201&gt;50,"51+")</f>
        <v>31-40</v>
      </c>
      <c r="P201" t="str" cm="1">
        <f t="array" ref="P201">_xlfn.IFS(F201&lt;=45,"45 or below",F201&lt;= 60,"46-60",F201&lt;=75,"61-75",F201&lt;=90,"76-90",F201&gt;90,"91 or above")</f>
        <v>46-60</v>
      </c>
      <c r="Q2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01" t="str" cm="1">
        <f t="array" ref="R201" xml:space="preserve"> _xlfn.IFS(Table3[[#This Row],[Flight Risk Score]] = "NA","NA",Table3[[#This Row],[Flight Risk Score]] &gt;= 70,"High Risk",Table3[[#This Row],[Flight Risk Score]] &gt;= 50, "Medium Risk", Table3[[#This Row],[Flight Risk Score]] &gt;= 30,"Low Risk",Table3[[#This Row],[Flight Risk Score]] &lt; 30,"Very Low Risk")</f>
        <v>Low Risk</v>
      </c>
    </row>
    <row r="202" spans="1:18" x14ac:dyDescent="0.2">
      <c r="A202">
        <f>Table1[[#This Row],[Age]]</f>
        <v>27</v>
      </c>
      <c r="B202">
        <f>IF(Table3[[#This Row],[Attrition]] = "Yes", 1,0)</f>
        <v>0</v>
      </c>
      <c r="C202" t="str">
        <f>Table1[[#This Row],[Attrition]]</f>
        <v>No</v>
      </c>
      <c r="D202" t="str">
        <f>Table1[[#This Row],[Department]]</f>
        <v>Research &amp; Development</v>
      </c>
      <c r="E202">
        <f>Table1[[#This Row],[EnvironmentSatisfaction]]</f>
        <v>3</v>
      </c>
      <c r="F202">
        <f>Table1[[#This Row],[HourlyRate]]</f>
        <v>60</v>
      </c>
      <c r="G202" t="str">
        <f>Table1[[#This Row],[JobRole]]</f>
        <v>Manufacturing Director</v>
      </c>
      <c r="H202">
        <f>Table1[[#This Row],[JobSatisfaction]]</f>
        <v>1</v>
      </c>
      <c r="I202">
        <f>Table1[[#This Row],[YearsAtCompany]]</f>
        <v>2</v>
      </c>
      <c r="J202">
        <f>Table1[[#This Row],[YearsSinceLastPromotion]]</f>
        <v>2</v>
      </c>
      <c r="K202">
        <f>Table1[[#This Row],[EmployeeNumber]]</f>
        <v>274</v>
      </c>
      <c r="L202">
        <f>Table1[[#This Row],[DistanceFromHome]]</f>
        <v>1</v>
      </c>
      <c r="M202" t="str">
        <f>Table1[[#This Row],[OverTime]]</f>
        <v>No</v>
      </c>
      <c r="N202">
        <f>Table1[[#This Row],[WorkLifeBalance]]</f>
        <v>3</v>
      </c>
      <c r="O202" t="str" cm="1">
        <f t="array" ref="O202">_xlfn.IFS(A202&lt;=30,"18-30",A202&lt;=40,"31-40",A202&lt;=50,"41-50",A202&gt;50,"51+")</f>
        <v>18-30</v>
      </c>
      <c r="P202" t="str" cm="1">
        <f t="array" ref="P202">_xlfn.IFS(F202&lt;=45,"45 or below",F202&lt;= 60,"46-60",F202&lt;=75,"61-75",F202&lt;=90,"76-90",F202&gt;90,"91 or above")</f>
        <v>46-60</v>
      </c>
      <c r="Q2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02" t="str" cm="1">
        <f t="array" ref="R20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03" spans="1:18" x14ac:dyDescent="0.2">
      <c r="A203">
        <f>Table1[[#This Row],[Age]]</f>
        <v>49</v>
      </c>
      <c r="B203">
        <f>IF(Table3[[#This Row],[Attrition]] = "Yes", 1,0)</f>
        <v>0</v>
      </c>
      <c r="C203" t="str">
        <f>Table1[[#This Row],[Attrition]]</f>
        <v>No</v>
      </c>
      <c r="D203" t="str">
        <f>Table1[[#This Row],[Department]]</f>
        <v>Research &amp; Development</v>
      </c>
      <c r="E203">
        <f>Table1[[#This Row],[EnvironmentSatisfaction]]</f>
        <v>4</v>
      </c>
      <c r="F203">
        <f>Table1[[#This Row],[HourlyRate]]</f>
        <v>92</v>
      </c>
      <c r="G203" t="str">
        <f>Table1[[#This Row],[JobRole]]</f>
        <v>Manufacturing Director</v>
      </c>
      <c r="H203">
        <f>Table1[[#This Row],[JobSatisfaction]]</f>
        <v>4</v>
      </c>
      <c r="I203">
        <f>Table1[[#This Row],[YearsAtCompany]]</f>
        <v>7</v>
      </c>
      <c r="J203">
        <f>Table1[[#This Row],[YearsSinceLastPromotion]]</f>
        <v>1</v>
      </c>
      <c r="K203">
        <f>Table1[[#This Row],[EmployeeNumber]]</f>
        <v>275</v>
      </c>
      <c r="L203">
        <f>Table1[[#This Row],[DistanceFromHome]]</f>
        <v>18</v>
      </c>
      <c r="M203" t="str">
        <f>Table1[[#This Row],[OverTime]]</f>
        <v>Yes</v>
      </c>
      <c r="N203">
        <f>Table1[[#This Row],[WorkLifeBalance]]</f>
        <v>3</v>
      </c>
      <c r="O203" t="str" cm="1">
        <f t="array" ref="O203">_xlfn.IFS(A203&lt;=30,"18-30",A203&lt;=40,"31-40",A203&lt;=50,"41-50",A203&gt;50,"51+")</f>
        <v>41-50</v>
      </c>
      <c r="P203" t="str" cm="1">
        <f t="array" ref="P203">_xlfn.IFS(F203&lt;=45,"45 or below",F203&lt;= 60,"46-60",F203&lt;=75,"61-75",F203&lt;=90,"76-90",F203&gt;90,"91 or above")</f>
        <v>91 or above</v>
      </c>
      <c r="Q2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03" t="str" cm="1">
        <f t="array" ref="R203" xml:space="preserve"> _xlfn.IFS(Table3[[#This Row],[Flight Risk Score]] = "NA","NA",Table3[[#This Row],[Flight Risk Score]] &gt;= 70,"High Risk",Table3[[#This Row],[Flight Risk Score]] &gt;= 50, "Medium Risk", Table3[[#This Row],[Flight Risk Score]] &gt;= 30,"Low Risk",Table3[[#This Row],[Flight Risk Score]] &lt; 30,"Very Low Risk")</f>
        <v>Low Risk</v>
      </c>
    </row>
    <row r="204" spans="1:18" x14ac:dyDescent="0.2">
      <c r="A204">
        <f>Table1[[#This Row],[Age]]</f>
        <v>34</v>
      </c>
      <c r="B204">
        <f>IF(Table3[[#This Row],[Attrition]] = "Yes", 1,0)</f>
        <v>0</v>
      </c>
      <c r="C204" t="str">
        <f>Table1[[#This Row],[Attrition]]</f>
        <v>No</v>
      </c>
      <c r="D204" t="str">
        <f>Table1[[#This Row],[Department]]</f>
        <v>Research &amp; Development</v>
      </c>
      <c r="E204">
        <f>Table1[[#This Row],[EnvironmentSatisfaction]]</f>
        <v>4</v>
      </c>
      <c r="F204">
        <f>Table1[[#This Row],[HourlyRate]]</f>
        <v>43</v>
      </c>
      <c r="G204" t="str">
        <f>Table1[[#This Row],[JobRole]]</f>
        <v>Research Scientist</v>
      </c>
      <c r="H204">
        <f>Table1[[#This Row],[JobSatisfaction]]</f>
        <v>3</v>
      </c>
      <c r="I204">
        <f>Table1[[#This Row],[YearsAtCompany]]</f>
        <v>5</v>
      </c>
      <c r="J204">
        <f>Table1[[#This Row],[YearsSinceLastPromotion]]</f>
        <v>2</v>
      </c>
      <c r="K204">
        <f>Table1[[#This Row],[EmployeeNumber]]</f>
        <v>277</v>
      </c>
      <c r="L204">
        <f>Table1[[#This Row],[DistanceFromHome]]</f>
        <v>10</v>
      </c>
      <c r="M204" t="str">
        <f>Table1[[#This Row],[OverTime]]</f>
        <v>Yes</v>
      </c>
      <c r="N204">
        <f>Table1[[#This Row],[WorkLifeBalance]]</f>
        <v>4</v>
      </c>
      <c r="O204" t="str" cm="1">
        <f t="array" ref="O204">_xlfn.IFS(A204&lt;=30,"18-30",A204&lt;=40,"31-40",A204&lt;=50,"41-50",A204&gt;50,"51+")</f>
        <v>31-40</v>
      </c>
      <c r="P204" t="str" cm="1">
        <f t="array" ref="P204">_xlfn.IFS(F204&lt;=45,"45 or below",F204&lt;= 60,"46-60",F204&lt;=75,"61-75",F204&lt;=90,"76-90",F204&gt;90,"91 or above")</f>
        <v>45 or below</v>
      </c>
      <c r="Q2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04" t="str" cm="1">
        <f t="array" ref="R204" xml:space="preserve"> _xlfn.IFS(Table3[[#This Row],[Flight Risk Score]] = "NA","NA",Table3[[#This Row],[Flight Risk Score]] &gt;= 70,"High Risk",Table3[[#This Row],[Flight Risk Score]] &gt;= 50, "Medium Risk", Table3[[#This Row],[Flight Risk Score]] &gt;= 30,"Low Risk",Table3[[#This Row],[Flight Risk Score]] &lt; 30,"Very Low Risk")</f>
        <v>Low Risk</v>
      </c>
    </row>
    <row r="205" spans="1:18" x14ac:dyDescent="0.2">
      <c r="A205">
        <f>Table1[[#This Row],[Age]]</f>
        <v>40</v>
      </c>
      <c r="B205">
        <f>IF(Table3[[#This Row],[Attrition]] = "Yes", 1,0)</f>
        <v>0</v>
      </c>
      <c r="C205" t="str">
        <f>Table1[[#This Row],[Attrition]]</f>
        <v>No</v>
      </c>
      <c r="D205" t="str">
        <f>Table1[[#This Row],[Department]]</f>
        <v>Research &amp; Development</v>
      </c>
      <c r="E205">
        <f>Table1[[#This Row],[EnvironmentSatisfaction]]</f>
        <v>3</v>
      </c>
      <c r="F205">
        <f>Table1[[#This Row],[HourlyRate]]</f>
        <v>99</v>
      </c>
      <c r="G205" t="str">
        <f>Table1[[#This Row],[JobRole]]</f>
        <v>Laboratory Technician</v>
      </c>
      <c r="H205">
        <f>Table1[[#This Row],[JobSatisfaction]]</f>
        <v>4</v>
      </c>
      <c r="I205">
        <f>Table1[[#This Row],[YearsAtCompany]]</f>
        <v>7</v>
      </c>
      <c r="J205">
        <f>Table1[[#This Row],[YearsSinceLastPromotion]]</f>
        <v>3</v>
      </c>
      <c r="K205">
        <f>Table1[[#This Row],[EmployeeNumber]]</f>
        <v>281</v>
      </c>
      <c r="L205">
        <f>Table1[[#This Row],[DistanceFromHome]]</f>
        <v>19</v>
      </c>
      <c r="M205" t="str">
        <f>Table1[[#This Row],[OverTime]]</f>
        <v>Yes</v>
      </c>
      <c r="N205">
        <f>Table1[[#This Row],[WorkLifeBalance]]</f>
        <v>4</v>
      </c>
      <c r="O205" t="str" cm="1">
        <f t="array" ref="O205">_xlfn.IFS(A205&lt;=30,"18-30",A205&lt;=40,"31-40",A205&lt;=50,"41-50",A205&gt;50,"51+")</f>
        <v>31-40</v>
      </c>
      <c r="P205" t="str" cm="1">
        <f t="array" ref="P205">_xlfn.IFS(F205&lt;=45,"45 or below",F205&lt;= 60,"46-60",F205&lt;=75,"61-75",F205&lt;=90,"76-90",F205&gt;90,"91 or above")</f>
        <v>91 or above</v>
      </c>
      <c r="Q2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05" t="str" cm="1">
        <f t="array" ref="R205" xml:space="preserve"> _xlfn.IFS(Table3[[#This Row],[Flight Risk Score]] = "NA","NA",Table3[[#This Row],[Flight Risk Score]] &gt;= 70,"High Risk",Table3[[#This Row],[Flight Risk Score]] &gt;= 50, "Medium Risk", Table3[[#This Row],[Flight Risk Score]] &gt;= 30,"Low Risk",Table3[[#This Row],[Flight Risk Score]] &lt; 30,"Very Low Risk")</f>
        <v>Low Risk</v>
      </c>
    </row>
    <row r="206" spans="1:18" hidden="1" x14ac:dyDescent="0.2">
      <c r="A206">
        <f>Table1[[#This Row],[Age]]</f>
        <v>38</v>
      </c>
      <c r="B206">
        <f>IF(Table3[[#This Row],[Attrition]] = "Yes", 1,0)</f>
        <v>1</v>
      </c>
      <c r="C206" t="str">
        <f>Table1[[#This Row],[Attrition]]</f>
        <v>Yes</v>
      </c>
      <c r="D206" t="str">
        <f>Table1[[#This Row],[Department]]</f>
        <v>Research &amp; Development</v>
      </c>
      <c r="E206">
        <f>Table1[[#This Row],[EnvironmentSatisfaction]]</f>
        <v>2</v>
      </c>
      <c r="F206">
        <f>Table1[[#This Row],[HourlyRate]]</f>
        <v>70</v>
      </c>
      <c r="G206" t="str">
        <f>Table1[[#This Row],[JobRole]]</f>
        <v>Healthcare Representative</v>
      </c>
      <c r="H206">
        <f>Table1[[#This Row],[JobSatisfaction]]</f>
        <v>1</v>
      </c>
      <c r="I206">
        <f>Table1[[#This Row],[YearsAtCompany]]</f>
        <v>1</v>
      </c>
      <c r="J206">
        <f>Table1[[#This Row],[YearsSinceLastPromotion]]</f>
        <v>0</v>
      </c>
      <c r="K206">
        <f>Table1[[#This Row],[EmployeeNumber]]</f>
        <v>282</v>
      </c>
      <c r="L206">
        <f>Table1[[#This Row],[DistanceFromHome]]</f>
        <v>29</v>
      </c>
      <c r="M206" t="str">
        <f>Table1[[#This Row],[OverTime]]</f>
        <v>Yes</v>
      </c>
      <c r="N206">
        <f>Table1[[#This Row],[WorkLifeBalance]]</f>
        <v>3</v>
      </c>
      <c r="O206" t="str" cm="1">
        <f t="array" ref="O206">_xlfn.IFS(A206&lt;=30,"18-30",A206&lt;=40,"31-40",A206&lt;=50,"41-50",A206&gt;50,"51+")</f>
        <v>31-40</v>
      </c>
      <c r="P206" t="str" cm="1">
        <f t="array" ref="P206">_xlfn.IFS(F206&lt;=45,"45 or below",F206&lt;= 60,"46-60",F206&lt;=75,"61-75",F206&lt;=90,"76-90",F206&gt;90,"91 or above")</f>
        <v>61-75</v>
      </c>
      <c r="Q20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06" t="str" cm="1">
        <f t="array" ref="R206" xml:space="preserve"> _xlfn.IFS(Table3[[#This Row],[Flight Risk Score]] = "NA","NA",Table3[[#This Row],[Flight Risk Score]] &gt;= 70,"High Risk",Table3[[#This Row],[Flight Risk Score]] &gt;= 50, "Medium Risk", Table3[[#This Row],[Flight Risk Score]] &gt;= 30,"Low Risk",Table3[[#This Row],[Flight Risk Score]] &lt; 30,"Very Low Risk")</f>
        <v>NA</v>
      </c>
    </row>
    <row r="207" spans="1:18" hidden="1" x14ac:dyDescent="0.2">
      <c r="A207">
        <f>Table1[[#This Row],[Age]]</f>
        <v>29</v>
      </c>
      <c r="B207">
        <f>IF(Table3[[#This Row],[Attrition]] = "Yes", 1,0)</f>
        <v>1</v>
      </c>
      <c r="C207" t="str">
        <f>Table1[[#This Row],[Attrition]]</f>
        <v>Yes</v>
      </c>
      <c r="D207" t="str">
        <f>Table1[[#This Row],[Department]]</f>
        <v>Sales</v>
      </c>
      <c r="E207">
        <f>Table1[[#This Row],[EnvironmentSatisfaction]]</f>
        <v>2</v>
      </c>
      <c r="F207">
        <f>Table1[[#This Row],[HourlyRate]]</f>
        <v>35</v>
      </c>
      <c r="G207" t="str">
        <f>Table1[[#This Row],[JobRole]]</f>
        <v>Sales Executive</v>
      </c>
      <c r="H207">
        <f>Table1[[#This Row],[JobSatisfaction]]</f>
        <v>4</v>
      </c>
      <c r="I207">
        <f>Table1[[#This Row],[YearsAtCompany]]</f>
        <v>10</v>
      </c>
      <c r="J207">
        <f>Table1[[#This Row],[YearsSinceLastPromotion]]</f>
        <v>1</v>
      </c>
      <c r="K207">
        <f>Table1[[#This Row],[EmployeeNumber]]</f>
        <v>283</v>
      </c>
      <c r="L207">
        <f>Table1[[#This Row],[DistanceFromHome]]</f>
        <v>27</v>
      </c>
      <c r="M207" t="str">
        <f>Table1[[#This Row],[OverTime]]</f>
        <v>No</v>
      </c>
      <c r="N207">
        <f>Table1[[#This Row],[WorkLifeBalance]]</f>
        <v>2</v>
      </c>
      <c r="O207" t="str" cm="1">
        <f t="array" ref="O207">_xlfn.IFS(A207&lt;=30,"18-30",A207&lt;=40,"31-40",A207&lt;=50,"41-50",A207&gt;50,"51+")</f>
        <v>18-30</v>
      </c>
      <c r="P207" t="str" cm="1">
        <f t="array" ref="P207">_xlfn.IFS(F207&lt;=45,"45 or below",F207&lt;= 60,"46-60",F207&lt;=75,"61-75",F207&lt;=90,"76-90",F207&gt;90,"91 or above")</f>
        <v>45 or below</v>
      </c>
      <c r="Q20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07" t="str" cm="1">
        <f t="array" ref="R207" xml:space="preserve"> _xlfn.IFS(Table3[[#This Row],[Flight Risk Score]] = "NA","NA",Table3[[#This Row],[Flight Risk Score]] &gt;= 70,"High Risk",Table3[[#This Row],[Flight Risk Score]] &gt;= 50, "Medium Risk", Table3[[#This Row],[Flight Risk Score]] &gt;= 30,"Low Risk",Table3[[#This Row],[Flight Risk Score]] &lt; 30,"Very Low Risk")</f>
        <v>NA</v>
      </c>
    </row>
    <row r="208" spans="1:18" x14ac:dyDescent="0.2">
      <c r="A208">
        <f>Table1[[#This Row],[Age]]</f>
        <v>22</v>
      </c>
      <c r="B208">
        <f>IF(Table3[[#This Row],[Attrition]] = "Yes", 1,0)</f>
        <v>0</v>
      </c>
      <c r="C208" t="str">
        <f>Table1[[#This Row],[Attrition]]</f>
        <v>No</v>
      </c>
      <c r="D208" t="str">
        <f>Table1[[#This Row],[Department]]</f>
        <v>Research &amp; Development</v>
      </c>
      <c r="E208">
        <f>Table1[[#This Row],[EnvironmentSatisfaction]]</f>
        <v>4</v>
      </c>
      <c r="F208">
        <f>Table1[[#This Row],[HourlyRate]]</f>
        <v>60</v>
      </c>
      <c r="G208" t="str">
        <f>Table1[[#This Row],[JobRole]]</f>
        <v>Research Scientist</v>
      </c>
      <c r="H208">
        <f>Table1[[#This Row],[JobSatisfaction]]</f>
        <v>2</v>
      </c>
      <c r="I208">
        <f>Table1[[#This Row],[YearsAtCompany]]</f>
        <v>4</v>
      </c>
      <c r="J208">
        <f>Table1[[#This Row],[YearsSinceLastPromotion]]</f>
        <v>2</v>
      </c>
      <c r="K208">
        <f>Table1[[#This Row],[EmployeeNumber]]</f>
        <v>284</v>
      </c>
      <c r="L208">
        <f>Table1[[#This Row],[DistanceFromHome]]</f>
        <v>5</v>
      </c>
      <c r="M208" t="str">
        <f>Table1[[#This Row],[OverTime]]</f>
        <v>Yes</v>
      </c>
      <c r="N208">
        <f>Table1[[#This Row],[WorkLifeBalance]]</f>
        <v>2</v>
      </c>
      <c r="O208" t="str" cm="1">
        <f t="array" ref="O208">_xlfn.IFS(A208&lt;=30,"18-30",A208&lt;=40,"31-40",A208&lt;=50,"41-50",A208&gt;50,"51+")</f>
        <v>18-30</v>
      </c>
      <c r="P208" t="str" cm="1">
        <f t="array" ref="P208">_xlfn.IFS(F208&lt;=45,"45 or below",F208&lt;= 60,"46-60",F208&lt;=75,"61-75",F208&lt;=90,"76-90",F208&gt;90,"91 or above")</f>
        <v>46-60</v>
      </c>
      <c r="Q2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08" t="str" cm="1">
        <f t="array" ref="R20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09" spans="1:18" x14ac:dyDescent="0.2">
      <c r="A209">
        <f>Table1[[#This Row],[Age]]</f>
        <v>36</v>
      </c>
      <c r="B209">
        <f>IF(Table3[[#This Row],[Attrition]] = "Yes", 1,0)</f>
        <v>0</v>
      </c>
      <c r="C209" t="str">
        <f>Table1[[#This Row],[Attrition]]</f>
        <v>No</v>
      </c>
      <c r="D209" t="str">
        <f>Table1[[#This Row],[Department]]</f>
        <v>Research &amp; Development</v>
      </c>
      <c r="E209">
        <f>Table1[[#This Row],[EnvironmentSatisfaction]]</f>
        <v>2</v>
      </c>
      <c r="F209">
        <f>Table1[[#This Row],[HourlyRate]]</f>
        <v>73</v>
      </c>
      <c r="G209" t="str">
        <f>Table1[[#This Row],[JobRole]]</f>
        <v>Laboratory Technician</v>
      </c>
      <c r="H209">
        <f>Table1[[#This Row],[JobSatisfaction]]</f>
        <v>4</v>
      </c>
      <c r="I209">
        <f>Table1[[#This Row],[YearsAtCompany]]</f>
        <v>8</v>
      </c>
      <c r="J209">
        <f>Table1[[#This Row],[YearsSinceLastPromotion]]</f>
        <v>1</v>
      </c>
      <c r="K209">
        <f>Table1[[#This Row],[EmployeeNumber]]</f>
        <v>286</v>
      </c>
      <c r="L209">
        <f>Table1[[#This Row],[DistanceFromHome]]</f>
        <v>18</v>
      </c>
      <c r="M209" t="str">
        <f>Table1[[#This Row],[OverTime]]</f>
        <v>No</v>
      </c>
      <c r="N209">
        <f>Table1[[#This Row],[WorkLifeBalance]]</f>
        <v>3</v>
      </c>
      <c r="O209" t="str" cm="1">
        <f t="array" ref="O209">_xlfn.IFS(A209&lt;=30,"18-30",A209&lt;=40,"31-40",A209&lt;=50,"41-50",A209&gt;50,"51+")</f>
        <v>31-40</v>
      </c>
      <c r="P209" t="str" cm="1">
        <f t="array" ref="P209">_xlfn.IFS(F209&lt;=45,"45 or below",F209&lt;= 60,"46-60",F209&lt;=75,"61-75",F209&lt;=90,"76-90",F209&gt;90,"91 or above")</f>
        <v>61-75</v>
      </c>
      <c r="Q2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09" t="str" cm="1">
        <f t="array" ref="R20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10" spans="1:18" x14ac:dyDescent="0.2">
      <c r="A210">
        <f>Table1[[#This Row],[Age]]</f>
        <v>40</v>
      </c>
      <c r="B210">
        <f>IF(Table3[[#This Row],[Attrition]] = "Yes", 1,0)</f>
        <v>0</v>
      </c>
      <c r="C210" t="str">
        <f>Table1[[#This Row],[Attrition]]</f>
        <v>No</v>
      </c>
      <c r="D210" t="str">
        <f>Table1[[#This Row],[Department]]</f>
        <v>Research &amp; Development</v>
      </c>
      <c r="E210">
        <f>Table1[[#This Row],[EnvironmentSatisfaction]]</f>
        <v>4</v>
      </c>
      <c r="F210">
        <f>Table1[[#This Row],[HourlyRate]]</f>
        <v>63</v>
      </c>
      <c r="G210" t="str">
        <f>Table1[[#This Row],[JobRole]]</f>
        <v>Healthcare Representative</v>
      </c>
      <c r="H210">
        <f>Table1[[#This Row],[JobSatisfaction]]</f>
        <v>4</v>
      </c>
      <c r="I210">
        <f>Table1[[#This Row],[YearsAtCompany]]</f>
        <v>3</v>
      </c>
      <c r="J210">
        <f>Table1[[#This Row],[YearsSinceLastPromotion]]</f>
        <v>0</v>
      </c>
      <c r="K210">
        <f>Table1[[#This Row],[EmployeeNumber]]</f>
        <v>287</v>
      </c>
      <c r="L210">
        <f>Table1[[#This Row],[DistanceFromHome]]</f>
        <v>9</v>
      </c>
      <c r="M210" t="str">
        <f>Table1[[#This Row],[OverTime]]</f>
        <v>No</v>
      </c>
      <c r="N210">
        <f>Table1[[#This Row],[WorkLifeBalance]]</f>
        <v>1</v>
      </c>
      <c r="O210" t="str" cm="1">
        <f t="array" ref="O210">_xlfn.IFS(A210&lt;=30,"18-30",A210&lt;=40,"31-40",A210&lt;=50,"41-50",A210&gt;50,"51+")</f>
        <v>31-40</v>
      </c>
      <c r="P210" t="str" cm="1">
        <f t="array" ref="P210">_xlfn.IFS(F210&lt;=45,"45 or below",F210&lt;= 60,"46-60",F210&lt;=75,"61-75",F210&lt;=90,"76-90",F210&gt;90,"91 or above")</f>
        <v>61-75</v>
      </c>
      <c r="Q2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10" t="str" cm="1">
        <f t="array" ref="R210" xml:space="preserve"> _xlfn.IFS(Table3[[#This Row],[Flight Risk Score]] = "NA","NA",Table3[[#This Row],[Flight Risk Score]] &gt;= 70,"High Risk",Table3[[#This Row],[Flight Risk Score]] &gt;= 50, "Medium Risk", Table3[[#This Row],[Flight Risk Score]] &gt;= 30,"Low Risk",Table3[[#This Row],[Flight Risk Score]] &lt; 30,"Very Low Risk")</f>
        <v>Low Risk</v>
      </c>
    </row>
    <row r="211" spans="1:18" x14ac:dyDescent="0.2">
      <c r="A211">
        <f>Table1[[#This Row],[Age]]</f>
        <v>46</v>
      </c>
      <c r="B211">
        <f>IF(Table3[[#This Row],[Attrition]] = "Yes", 1,0)</f>
        <v>0</v>
      </c>
      <c r="C211" t="str">
        <f>Table1[[#This Row],[Attrition]]</f>
        <v>No</v>
      </c>
      <c r="D211" t="str">
        <f>Table1[[#This Row],[Department]]</f>
        <v>Research &amp; Development</v>
      </c>
      <c r="E211">
        <f>Table1[[#This Row],[EnvironmentSatisfaction]]</f>
        <v>4</v>
      </c>
      <c r="F211">
        <f>Table1[[#This Row],[HourlyRate]]</f>
        <v>97</v>
      </c>
      <c r="G211" t="str">
        <f>Table1[[#This Row],[JobRole]]</f>
        <v>Healthcare Representative</v>
      </c>
      <c r="H211">
        <f>Table1[[#This Row],[JobSatisfaction]]</f>
        <v>1</v>
      </c>
      <c r="I211">
        <f>Table1[[#This Row],[YearsAtCompany]]</f>
        <v>4</v>
      </c>
      <c r="J211">
        <f>Table1[[#This Row],[YearsSinceLastPromotion]]</f>
        <v>0</v>
      </c>
      <c r="K211">
        <f>Table1[[#This Row],[EmployeeNumber]]</f>
        <v>288</v>
      </c>
      <c r="L211">
        <f>Table1[[#This Row],[DistanceFromHome]]</f>
        <v>1</v>
      </c>
      <c r="M211" t="str">
        <f>Table1[[#This Row],[OverTime]]</f>
        <v>No</v>
      </c>
      <c r="N211">
        <f>Table1[[#This Row],[WorkLifeBalance]]</f>
        <v>3</v>
      </c>
      <c r="O211" t="str" cm="1">
        <f t="array" ref="O211">_xlfn.IFS(A211&lt;=30,"18-30",A211&lt;=40,"31-40",A211&lt;=50,"41-50",A211&gt;50,"51+")</f>
        <v>41-50</v>
      </c>
      <c r="P211" t="str" cm="1">
        <f t="array" ref="P211">_xlfn.IFS(F211&lt;=45,"45 or below",F211&lt;= 60,"46-60",F211&lt;=75,"61-75",F211&lt;=90,"76-90",F211&gt;90,"91 or above")</f>
        <v>91 or above</v>
      </c>
      <c r="Q2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11" t="str" cm="1">
        <f t="array" ref="R2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12" spans="1:18" hidden="1" x14ac:dyDescent="0.2">
      <c r="A212">
        <f>Table1[[#This Row],[Age]]</f>
        <v>32</v>
      </c>
      <c r="B212">
        <f>IF(Table3[[#This Row],[Attrition]] = "Yes", 1,0)</f>
        <v>1</v>
      </c>
      <c r="C212" t="str">
        <f>Table1[[#This Row],[Attrition]]</f>
        <v>Yes</v>
      </c>
      <c r="D212" t="str">
        <f>Table1[[#This Row],[Department]]</f>
        <v>Sales</v>
      </c>
      <c r="E212">
        <f>Table1[[#This Row],[EnvironmentSatisfaction]]</f>
        <v>4</v>
      </c>
      <c r="F212">
        <f>Table1[[#This Row],[HourlyRate]]</f>
        <v>32</v>
      </c>
      <c r="G212" t="str">
        <f>Table1[[#This Row],[JobRole]]</f>
        <v>Sales Executive</v>
      </c>
      <c r="H212">
        <f>Table1[[#This Row],[JobSatisfaction]]</f>
        <v>4</v>
      </c>
      <c r="I212">
        <f>Table1[[#This Row],[YearsAtCompany]]</f>
        <v>14</v>
      </c>
      <c r="J212">
        <f>Table1[[#This Row],[YearsSinceLastPromotion]]</f>
        <v>9</v>
      </c>
      <c r="K212">
        <f>Table1[[#This Row],[EmployeeNumber]]</f>
        <v>291</v>
      </c>
      <c r="L212">
        <f>Table1[[#This Row],[DistanceFromHome]]</f>
        <v>4</v>
      </c>
      <c r="M212" t="str">
        <f>Table1[[#This Row],[OverTime]]</f>
        <v>No</v>
      </c>
      <c r="N212">
        <f>Table1[[#This Row],[WorkLifeBalance]]</f>
        <v>2</v>
      </c>
      <c r="O212" t="str" cm="1">
        <f t="array" ref="O212">_xlfn.IFS(A212&lt;=30,"18-30",A212&lt;=40,"31-40",A212&lt;=50,"41-50",A212&gt;50,"51+")</f>
        <v>31-40</v>
      </c>
      <c r="P212" t="str" cm="1">
        <f t="array" ref="P212">_xlfn.IFS(F212&lt;=45,"45 or below",F212&lt;= 60,"46-60",F212&lt;=75,"61-75",F212&lt;=90,"76-90",F212&gt;90,"91 or above")</f>
        <v>45 or below</v>
      </c>
      <c r="Q21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12" t="str" cm="1">
        <f t="array" ref="R212" xml:space="preserve"> _xlfn.IFS(Table3[[#This Row],[Flight Risk Score]] = "NA","NA",Table3[[#This Row],[Flight Risk Score]] &gt;= 70,"High Risk",Table3[[#This Row],[Flight Risk Score]] &gt;= 50, "Medium Risk", Table3[[#This Row],[Flight Risk Score]] &gt;= 30,"Low Risk",Table3[[#This Row],[Flight Risk Score]] &lt; 30,"Very Low Risk")</f>
        <v>NA</v>
      </c>
    </row>
    <row r="213" spans="1:18" x14ac:dyDescent="0.2">
      <c r="A213">
        <f>Table1[[#This Row],[Age]]</f>
        <v>30</v>
      </c>
      <c r="B213">
        <f>IF(Table3[[#This Row],[Attrition]] = "Yes", 1,0)</f>
        <v>0</v>
      </c>
      <c r="C213" t="str">
        <f>Table1[[#This Row],[Attrition]]</f>
        <v>No</v>
      </c>
      <c r="D213" t="str">
        <f>Table1[[#This Row],[Department]]</f>
        <v>Research &amp; Development</v>
      </c>
      <c r="E213">
        <f>Table1[[#This Row],[EnvironmentSatisfaction]]</f>
        <v>3</v>
      </c>
      <c r="F213">
        <f>Table1[[#This Row],[HourlyRate]]</f>
        <v>88</v>
      </c>
      <c r="G213" t="str">
        <f>Table1[[#This Row],[JobRole]]</f>
        <v>Manufacturing Director</v>
      </c>
      <c r="H213">
        <f>Table1[[#This Row],[JobSatisfaction]]</f>
        <v>3</v>
      </c>
      <c r="I213">
        <f>Table1[[#This Row],[YearsAtCompany]]</f>
        <v>11</v>
      </c>
      <c r="J213">
        <f>Table1[[#This Row],[YearsSinceLastPromotion]]</f>
        <v>5</v>
      </c>
      <c r="K213">
        <f>Table1[[#This Row],[EmployeeNumber]]</f>
        <v>292</v>
      </c>
      <c r="L213">
        <f>Table1[[#This Row],[DistanceFromHome]]</f>
        <v>1</v>
      </c>
      <c r="M213" t="str">
        <f>Table1[[#This Row],[OverTime]]</f>
        <v>No</v>
      </c>
      <c r="N213">
        <f>Table1[[#This Row],[WorkLifeBalance]]</f>
        <v>3</v>
      </c>
      <c r="O213" t="str" cm="1">
        <f t="array" ref="O213">_xlfn.IFS(A213&lt;=30,"18-30",A213&lt;=40,"31-40",A213&lt;=50,"41-50",A213&gt;50,"51+")</f>
        <v>18-30</v>
      </c>
      <c r="P213" t="str" cm="1">
        <f t="array" ref="P213">_xlfn.IFS(F213&lt;=45,"45 or below",F213&lt;= 60,"46-60",F213&lt;=75,"61-75",F213&lt;=90,"76-90",F213&gt;90,"91 or above")</f>
        <v>76-90</v>
      </c>
      <c r="Q2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13" t="str" cm="1">
        <f t="array" ref="R21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14" spans="1:18" x14ac:dyDescent="0.2">
      <c r="A214">
        <f>Table1[[#This Row],[Age]]</f>
        <v>27</v>
      </c>
      <c r="B214">
        <f>IF(Table3[[#This Row],[Attrition]] = "Yes", 1,0)</f>
        <v>0</v>
      </c>
      <c r="C214" t="str">
        <f>Table1[[#This Row],[Attrition]]</f>
        <v>No</v>
      </c>
      <c r="D214" t="str">
        <f>Table1[[#This Row],[Department]]</f>
        <v>Sales</v>
      </c>
      <c r="E214">
        <f>Table1[[#This Row],[EnvironmentSatisfaction]]</f>
        <v>4</v>
      </c>
      <c r="F214">
        <f>Table1[[#This Row],[HourlyRate]]</f>
        <v>90</v>
      </c>
      <c r="G214" t="str">
        <f>Table1[[#This Row],[JobRole]]</f>
        <v>Sales Executive</v>
      </c>
      <c r="H214">
        <f>Table1[[#This Row],[JobSatisfaction]]</f>
        <v>3</v>
      </c>
      <c r="I214">
        <f>Table1[[#This Row],[YearsAtCompany]]</f>
        <v>7</v>
      </c>
      <c r="J214">
        <f>Table1[[#This Row],[YearsSinceLastPromotion]]</f>
        <v>0</v>
      </c>
      <c r="K214">
        <f>Table1[[#This Row],[EmployeeNumber]]</f>
        <v>293</v>
      </c>
      <c r="L214">
        <f>Table1[[#This Row],[DistanceFromHome]]</f>
        <v>20</v>
      </c>
      <c r="M214" t="str">
        <f>Table1[[#This Row],[OverTime]]</f>
        <v>No</v>
      </c>
      <c r="N214">
        <f>Table1[[#This Row],[WorkLifeBalance]]</f>
        <v>3</v>
      </c>
      <c r="O214" t="str" cm="1">
        <f t="array" ref="O214">_xlfn.IFS(A214&lt;=30,"18-30",A214&lt;=40,"31-40",A214&lt;=50,"41-50",A214&gt;50,"51+")</f>
        <v>18-30</v>
      </c>
      <c r="P214" t="str" cm="1">
        <f t="array" ref="P214">_xlfn.IFS(F214&lt;=45,"45 or below",F214&lt;= 60,"46-60",F214&lt;=75,"61-75",F214&lt;=90,"76-90",F214&gt;90,"91 or above")</f>
        <v>76-90</v>
      </c>
      <c r="Q2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14" t="str" cm="1">
        <f t="array" ref="R2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15" spans="1:18" x14ac:dyDescent="0.2">
      <c r="A215">
        <f>Table1[[#This Row],[Age]]</f>
        <v>51</v>
      </c>
      <c r="B215">
        <f>IF(Table3[[#This Row],[Attrition]] = "Yes", 1,0)</f>
        <v>0</v>
      </c>
      <c r="C215" t="str">
        <f>Table1[[#This Row],[Attrition]]</f>
        <v>No</v>
      </c>
      <c r="D215" t="str">
        <f>Table1[[#This Row],[Department]]</f>
        <v>Research &amp; Development</v>
      </c>
      <c r="E215">
        <f>Table1[[#This Row],[EnvironmentSatisfaction]]</f>
        <v>2</v>
      </c>
      <c r="F215">
        <f>Table1[[#This Row],[HourlyRate]]</f>
        <v>81</v>
      </c>
      <c r="G215" t="str">
        <f>Table1[[#This Row],[JobRole]]</f>
        <v>Research Director</v>
      </c>
      <c r="H215">
        <f>Table1[[#This Row],[JobSatisfaction]]</f>
        <v>2</v>
      </c>
      <c r="I215">
        <f>Table1[[#This Row],[YearsAtCompany]]</f>
        <v>10</v>
      </c>
      <c r="J215">
        <f>Table1[[#This Row],[YearsSinceLastPromotion]]</f>
        <v>4</v>
      </c>
      <c r="K215">
        <f>Table1[[#This Row],[EmployeeNumber]]</f>
        <v>296</v>
      </c>
      <c r="L215">
        <f>Table1[[#This Row],[DistanceFromHome]]</f>
        <v>8</v>
      </c>
      <c r="M215" t="str">
        <f>Table1[[#This Row],[OverTime]]</f>
        <v>No</v>
      </c>
      <c r="N215">
        <f>Table1[[#This Row],[WorkLifeBalance]]</f>
        <v>1</v>
      </c>
      <c r="O215" t="str" cm="1">
        <f t="array" ref="O215">_xlfn.IFS(A215&lt;=30,"18-30",A215&lt;=40,"31-40",A215&lt;=50,"41-50",A215&gt;50,"51+")</f>
        <v>51+</v>
      </c>
      <c r="P215" t="str" cm="1">
        <f t="array" ref="P215">_xlfn.IFS(F215&lt;=45,"45 or below",F215&lt;= 60,"46-60",F215&lt;=75,"61-75",F215&lt;=90,"76-90",F215&gt;90,"91 or above")</f>
        <v>76-90</v>
      </c>
      <c r="Q2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215" t="str" cm="1">
        <f t="array" ref="R21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16" spans="1:18" hidden="1" x14ac:dyDescent="0.2">
      <c r="A216">
        <f>Table1[[#This Row],[Age]]</f>
        <v>30</v>
      </c>
      <c r="B216">
        <f>IF(Table3[[#This Row],[Attrition]] = "Yes", 1,0)</f>
        <v>1</v>
      </c>
      <c r="C216" t="str">
        <f>Table1[[#This Row],[Attrition]]</f>
        <v>Yes</v>
      </c>
      <c r="D216" t="str">
        <f>Table1[[#This Row],[Department]]</f>
        <v>Research &amp; Development</v>
      </c>
      <c r="E216">
        <f>Table1[[#This Row],[EnvironmentSatisfaction]]</f>
        <v>4</v>
      </c>
      <c r="F216">
        <f>Table1[[#This Row],[HourlyRate]]</f>
        <v>88</v>
      </c>
      <c r="G216" t="str">
        <f>Table1[[#This Row],[JobRole]]</f>
        <v>Research Scientist</v>
      </c>
      <c r="H216">
        <f>Table1[[#This Row],[JobSatisfaction]]</f>
        <v>1</v>
      </c>
      <c r="I216">
        <f>Table1[[#This Row],[YearsAtCompany]]</f>
        <v>5</v>
      </c>
      <c r="J216">
        <f>Table1[[#This Row],[YearsSinceLastPromotion]]</f>
        <v>0</v>
      </c>
      <c r="K216">
        <f>Table1[[#This Row],[EmployeeNumber]]</f>
        <v>297</v>
      </c>
      <c r="L216">
        <f>Table1[[#This Row],[DistanceFromHome]]</f>
        <v>3</v>
      </c>
      <c r="M216" t="str">
        <f>Table1[[#This Row],[OverTime]]</f>
        <v>Yes</v>
      </c>
      <c r="N216">
        <f>Table1[[#This Row],[WorkLifeBalance]]</f>
        <v>3</v>
      </c>
      <c r="O216" t="str" cm="1">
        <f t="array" ref="O216">_xlfn.IFS(A216&lt;=30,"18-30",A216&lt;=40,"31-40",A216&lt;=50,"41-50",A216&gt;50,"51+")</f>
        <v>18-30</v>
      </c>
      <c r="P216" t="str" cm="1">
        <f t="array" ref="P216">_xlfn.IFS(F216&lt;=45,"45 or below",F216&lt;= 60,"46-60",F216&lt;=75,"61-75",F216&lt;=90,"76-90",F216&gt;90,"91 or above")</f>
        <v>76-90</v>
      </c>
      <c r="Q21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16" t="str" cm="1">
        <f t="array" ref="R216" xml:space="preserve"> _xlfn.IFS(Table3[[#This Row],[Flight Risk Score]] = "NA","NA",Table3[[#This Row],[Flight Risk Score]] &gt;= 70,"High Risk",Table3[[#This Row],[Flight Risk Score]] &gt;= 50, "Medium Risk", Table3[[#This Row],[Flight Risk Score]] &gt;= 30,"Low Risk",Table3[[#This Row],[Flight Risk Score]] &lt; 30,"Very Low Risk")</f>
        <v>NA</v>
      </c>
    </row>
    <row r="217" spans="1:18" x14ac:dyDescent="0.2">
      <c r="A217">
        <f>Table1[[#This Row],[Age]]</f>
        <v>41</v>
      </c>
      <c r="B217">
        <f>IF(Table3[[#This Row],[Attrition]] = "Yes", 1,0)</f>
        <v>0</v>
      </c>
      <c r="C217" t="str">
        <f>Table1[[#This Row],[Attrition]]</f>
        <v>No</v>
      </c>
      <c r="D217" t="str">
        <f>Table1[[#This Row],[Department]]</f>
        <v>Sales</v>
      </c>
      <c r="E217">
        <f>Table1[[#This Row],[EnvironmentSatisfaction]]</f>
        <v>4</v>
      </c>
      <c r="F217">
        <f>Table1[[#This Row],[HourlyRate]]</f>
        <v>75</v>
      </c>
      <c r="G217" t="str">
        <f>Table1[[#This Row],[JobRole]]</f>
        <v>Manager</v>
      </c>
      <c r="H217">
        <f>Table1[[#This Row],[JobSatisfaction]]</f>
        <v>4</v>
      </c>
      <c r="I217">
        <f>Table1[[#This Row],[YearsAtCompany]]</f>
        <v>1</v>
      </c>
      <c r="J217">
        <f>Table1[[#This Row],[YearsSinceLastPromotion]]</f>
        <v>0</v>
      </c>
      <c r="K217">
        <f>Table1[[#This Row],[EmployeeNumber]]</f>
        <v>298</v>
      </c>
      <c r="L217">
        <f>Table1[[#This Row],[DistanceFromHome]]</f>
        <v>6</v>
      </c>
      <c r="M217" t="str">
        <f>Table1[[#This Row],[OverTime]]</f>
        <v>Yes</v>
      </c>
      <c r="N217">
        <f>Table1[[#This Row],[WorkLifeBalance]]</f>
        <v>3</v>
      </c>
      <c r="O217" t="str" cm="1">
        <f t="array" ref="O217">_xlfn.IFS(A217&lt;=30,"18-30",A217&lt;=40,"31-40",A217&lt;=50,"41-50",A217&gt;50,"51+")</f>
        <v>41-50</v>
      </c>
      <c r="P217" t="str" cm="1">
        <f t="array" ref="P217">_xlfn.IFS(F217&lt;=45,"45 or below",F217&lt;= 60,"46-60",F217&lt;=75,"61-75",F217&lt;=90,"76-90",F217&gt;90,"91 or above")</f>
        <v>61-75</v>
      </c>
      <c r="Q2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17" t="str" cm="1">
        <f t="array" ref="R217" xml:space="preserve"> _xlfn.IFS(Table3[[#This Row],[Flight Risk Score]] = "NA","NA",Table3[[#This Row],[Flight Risk Score]] &gt;= 70,"High Risk",Table3[[#This Row],[Flight Risk Score]] &gt;= 50, "Medium Risk", Table3[[#This Row],[Flight Risk Score]] &gt;= 30,"Low Risk",Table3[[#This Row],[Flight Risk Score]] &lt; 30,"Very Low Risk")</f>
        <v>Low Risk</v>
      </c>
    </row>
    <row r="218" spans="1:18" hidden="1" x14ac:dyDescent="0.2">
      <c r="A218">
        <f>Table1[[#This Row],[Age]]</f>
        <v>30</v>
      </c>
      <c r="B218">
        <f>IF(Table3[[#This Row],[Attrition]] = "Yes", 1,0)</f>
        <v>1</v>
      </c>
      <c r="C218" t="str">
        <f>Table1[[#This Row],[Attrition]]</f>
        <v>Yes</v>
      </c>
      <c r="D218" t="str">
        <f>Table1[[#This Row],[Department]]</f>
        <v>Sales</v>
      </c>
      <c r="E218">
        <f>Table1[[#This Row],[EnvironmentSatisfaction]]</f>
        <v>3</v>
      </c>
      <c r="F218">
        <f>Table1[[#This Row],[HourlyRate]]</f>
        <v>52</v>
      </c>
      <c r="G218" t="str">
        <f>Table1[[#This Row],[JobRole]]</f>
        <v>Sales Executive</v>
      </c>
      <c r="H218">
        <f>Table1[[#This Row],[JobSatisfaction]]</f>
        <v>1</v>
      </c>
      <c r="I218">
        <f>Table1[[#This Row],[YearsAtCompany]]</f>
        <v>6</v>
      </c>
      <c r="J218">
        <f>Table1[[#This Row],[YearsSinceLastPromotion]]</f>
        <v>0</v>
      </c>
      <c r="K218">
        <f>Table1[[#This Row],[EmployeeNumber]]</f>
        <v>299</v>
      </c>
      <c r="L218">
        <f>Table1[[#This Row],[DistanceFromHome]]</f>
        <v>26</v>
      </c>
      <c r="M218" t="str">
        <f>Table1[[#This Row],[OverTime]]</f>
        <v>No</v>
      </c>
      <c r="N218">
        <f>Table1[[#This Row],[WorkLifeBalance]]</f>
        <v>2</v>
      </c>
      <c r="O218" t="str" cm="1">
        <f t="array" ref="O218">_xlfn.IFS(A218&lt;=30,"18-30",A218&lt;=40,"31-40",A218&lt;=50,"41-50",A218&gt;50,"51+")</f>
        <v>18-30</v>
      </c>
      <c r="P218" t="str" cm="1">
        <f t="array" ref="P218">_xlfn.IFS(F218&lt;=45,"45 or below",F218&lt;= 60,"46-60",F218&lt;=75,"61-75",F218&lt;=90,"76-90",F218&gt;90,"91 or above")</f>
        <v>46-60</v>
      </c>
      <c r="Q21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18" t="str" cm="1">
        <f t="array" ref="R218" xml:space="preserve"> _xlfn.IFS(Table3[[#This Row],[Flight Risk Score]] = "NA","NA",Table3[[#This Row],[Flight Risk Score]] &gt;= 70,"High Risk",Table3[[#This Row],[Flight Risk Score]] &gt;= 50, "Medium Risk", Table3[[#This Row],[Flight Risk Score]] &gt;= 30,"Low Risk",Table3[[#This Row],[Flight Risk Score]] &lt; 30,"Very Low Risk")</f>
        <v>NA</v>
      </c>
    </row>
    <row r="219" spans="1:18" hidden="1" x14ac:dyDescent="0.2">
      <c r="A219">
        <f>Table1[[#This Row],[Age]]</f>
        <v>29</v>
      </c>
      <c r="B219">
        <f>IF(Table3[[#This Row],[Attrition]] = "Yes", 1,0)</f>
        <v>1</v>
      </c>
      <c r="C219" t="str">
        <f>Table1[[#This Row],[Attrition]]</f>
        <v>Yes</v>
      </c>
      <c r="D219" t="str">
        <f>Table1[[#This Row],[Department]]</f>
        <v>Research &amp; Development</v>
      </c>
      <c r="E219">
        <f>Table1[[#This Row],[EnvironmentSatisfaction]]</f>
        <v>3</v>
      </c>
      <c r="F219">
        <f>Table1[[#This Row],[HourlyRate]]</f>
        <v>85</v>
      </c>
      <c r="G219" t="str">
        <f>Table1[[#This Row],[JobRole]]</f>
        <v>Research Scientist</v>
      </c>
      <c r="H219">
        <f>Table1[[#This Row],[JobSatisfaction]]</f>
        <v>3</v>
      </c>
      <c r="I219">
        <f>Table1[[#This Row],[YearsAtCompany]]</f>
        <v>6</v>
      </c>
      <c r="J219">
        <f>Table1[[#This Row],[YearsSinceLastPromotion]]</f>
        <v>1</v>
      </c>
      <c r="K219">
        <f>Table1[[#This Row],[EmployeeNumber]]</f>
        <v>300</v>
      </c>
      <c r="L219">
        <f>Table1[[#This Row],[DistanceFromHome]]</f>
        <v>1</v>
      </c>
      <c r="M219" t="str">
        <f>Table1[[#This Row],[OverTime]]</f>
        <v>No</v>
      </c>
      <c r="N219">
        <f>Table1[[#This Row],[WorkLifeBalance]]</f>
        <v>2</v>
      </c>
      <c r="O219" t="str" cm="1">
        <f t="array" ref="O219">_xlfn.IFS(A219&lt;=30,"18-30",A219&lt;=40,"31-40",A219&lt;=50,"41-50",A219&gt;50,"51+")</f>
        <v>18-30</v>
      </c>
      <c r="P219" t="str" cm="1">
        <f t="array" ref="P219">_xlfn.IFS(F219&lt;=45,"45 or below",F219&lt;= 60,"46-60",F219&lt;=75,"61-75",F219&lt;=90,"76-90",F219&gt;90,"91 or above")</f>
        <v>76-90</v>
      </c>
      <c r="Q21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19" t="str" cm="1">
        <f t="array" ref="R219" xml:space="preserve"> _xlfn.IFS(Table3[[#This Row],[Flight Risk Score]] = "NA","NA",Table3[[#This Row],[Flight Risk Score]] &gt;= 70,"High Risk",Table3[[#This Row],[Flight Risk Score]] &gt;= 50, "Medium Risk", Table3[[#This Row],[Flight Risk Score]] &gt;= 30,"Low Risk",Table3[[#This Row],[Flight Risk Score]] &lt; 30,"Very Low Risk")</f>
        <v>NA</v>
      </c>
    </row>
    <row r="220" spans="1:18" x14ac:dyDescent="0.2">
      <c r="A220">
        <f>Table1[[#This Row],[Age]]</f>
        <v>45</v>
      </c>
      <c r="B220">
        <f>IF(Table3[[#This Row],[Attrition]] = "Yes", 1,0)</f>
        <v>0</v>
      </c>
      <c r="C220" t="str">
        <f>Table1[[#This Row],[Attrition]]</f>
        <v>No</v>
      </c>
      <c r="D220" t="str">
        <f>Table1[[#This Row],[Department]]</f>
        <v>Sales</v>
      </c>
      <c r="E220">
        <f>Table1[[#This Row],[EnvironmentSatisfaction]]</f>
        <v>4</v>
      </c>
      <c r="F220">
        <f>Table1[[#This Row],[HourlyRate]]</f>
        <v>57</v>
      </c>
      <c r="G220" t="str">
        <f>Table1[[#This Row],[JobRole]]</f>
        <v>Sales Executive</v>
      </c>
      <c r="H220">
        <f>Table1[[#This Row],[JobSatisfaction]]</f>
        <v>4</v>
      </c>
      <c r="I220">
        <f>Table1[[#This Row],[YearsAtCompany]]</f>
        <v>19</v>
      </c>
      <c r="J220">
        <f>Table1[[#This Row],[YearsSinceLastPromotion]]</f>
        <v>12</v>
      </c>
      <c r="K220">
        <f>Table1[[#This Row],[EmployeeNumber]]</f>
        <v>302</v>
      </c>
      <c r="L220">
        <f>Table1[[#This Row],[DistanceFromHome]]</f>
        <v>6</v>
      </c>
      <c r="M220" t="str">
        <f>Table1[[#This Row],[OverTime]]</f>
        <v>No</v>
      </c>
      <c r="N220">
        <f>Table1[[#This Row],[WorkLifeBalance]]</f>
        <v>3</v>
      </c>
      <c r="O220" t="str" cm="1">
        <f t="array" ref="O220">_xlfn.IFS(A220&lt;=30,"18-30",A220&lt;=40,"31-40",A220&lt;=50,"41-50",A220&gt;50,"51+")</f>
        <v>41-50</v>
      </c>
      <c r="P220" t="str" cm="1">
        <f t="array" ref="P220">_xlfn.IFS(F220&lt;=45,"45 or below",F220&lt;= 60,"46-60",F220&lt;=75,"61-75",F220&lt;=90,"76-90",F220&gt;90,"91 or above")</f>
        <v>46-60</v>
      </c>
      <c r="Q2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20" t="str" cm="1">
        <f t="array" ref="R2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1" spans="1:18" x14ac:dyDescent="0.2">
      <c r="A221">
        <f>Table1[[#This Row],[Age]]</f>
        <v>54</v>
      </c>
      <c r="B221">
        <f>IF(Table3[[#This Row],[Attrition]] = "Yes", 1,0)</f>
        <v>0</v>
      </c>
      <c r="C221" t="str">
        <f>Table1[[#This Row],[Attrition]]</f>
        <v>No</v>
      </c>
      <c r="D221" t="str">
        <f>Table1[[#This Row],[Department]]</f>
        <v>Sales</v>
      </c>
      <c r="E221">
        <f>Table1[[#This Row],[EnvironmentSatisfaction]]</f>
        <v>4</v>
      </c>
      <c r="F221">
        <f>Table1[[#This Row],[HourlyRate]]</f>
        <v>52</v>
      </c>
      <c r="G221" t="str">
        <f>Table1[[#This Row],[JobRole]]</f>
        <v>Sales Executive</v>
      </c>
      <c r="H221">
        <f>Table1[[#This Row],[JobSatisfaction]]</f>
        <v>1</v>
      </c>
      <c r="I221">
        <f>Table1[[#This Row],[YearsAtCompany]]</f>
        <v>6</v>
      </c>
      <c r="J221">
        <f>Table1[[#This Row],[YearsSinceLastPromotion]]</f>
        <v>0</v>
      </c>
      <c r="K221">
        <f>Table1[[#This Row],[EmployeeNumber]]</f>
        <v>303</v>
      </c>
      <c r="L221">
        <f>Table1[[#This Row],[DistanceFromHome]]</f>
        <v>3</v>
      </c>
      <c r="M221" t="str">
        <f>Table1[[#This Row],[OverTime]]</f>
        <v>No</v>
      </c>
      <c r="N221">
        <f>Table1[[#This Row],[WorkLifeBalance]]</f>
        <v>3</v>
      </c>
      <c r="O221" t="str" cm="1">
        <f t="array" ref="O221">_xlfn.IFS(A221&lt;=30,"18-30",A221&lt;=40,"31-40",A221&lt;=50,"41-50",A221&gt;50,"51+")</f>
        <v>51+</v>
      </c>
      <c r="P221" t="str" cm="1">
        <f t="array" ref="P221">_xlfn.IFS(F221&lt;=45,"45 or below",F221&lt;= 60,"46-60",F221&lt;=75,"61-75",F221&lt;=90,"76-90",F221&gt;90,"91 or above")</f>
        <v>46-60</v>
      </c>
      <c r="Q2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1" t="str" cm="1">
        <f t="array" ref="R2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2" spans="1:18" x14ac:dyDescent="0.2">
      <c r="A222">
        <f>Table1[[#This Row],[Age]]</f>
        <v>36</v>
      </c>
      <c r="B222">
        <f>IF(Table3[[#This Row],[Attrition]] = "Yes", 1,0)</f>
        <v>0</v>
      </c>
      <c r="C222" t="str">
        <f>Table1[[#This Row],[Attrition]]</f>
        <v>No</v>
      </c>
      <c r="D222" t="str">
        <f>Table1[[#This Row],[Department]]</f>
        <v>Research &amp; Development</v>
      </c>
      <c r="E222">
        <f>Table1[[#This Row],[EnvironmentSatisfaction]]</f>
        <v>4</v>
      </c>
      <c r="F222">
        <f>Table1[[#This Row],[HourlyRate]]</f>
        <v>62</v>
      </c>
      <c r="G222" t="str">
        <f>Table1[[#This Row],[JobRole]]</f>
        <v>Laboratory Technician</v>
      </c>
      <c r="H222">
        <f>Table1[[#This Row],[JobSatisfaction]]</f>
        <v>2</v>
      </c>
      <c r="I222">
        <f>Table1[[#This Row],[YearsAtCompany]]</f>
        <v>13</v>
      </c>
      <c r="J222">
        <f>Table1[[#This Row],[YearsSinceLastPromotion]]</f>
        <v>3</v>
      </c>
      <c r="K222">
        <f>Table1[[#This Row],[EmployeeNumber]]</f>
        <v>304</v>
      </c>
      <c r="L222">
        <f>Table1[[#This Row],[DistanceFromHome]]</f>
        <v>5</v>
      </c>
      <c r="M222" t="str">
        <f>Table1[[#This Row],[OverTime]]</f>
        <v>No</v>
      </c>
      <c r="N222">
        <f>Table1[[#This Row],[WorkLifeBalance]]</f>
        <v>4</v>
      </c>
      <c r="O222" t="str" cm="1">
        <f t="array" ref="O222">_xlfn.IFS(A222&lt;=30,"18-30",A222&lt;=40,"31-40",A222&lt;=50,"41-50",A222&gt;50,"51+")</f>
        <v>31-40</v>
      </c>
      <c r="P222" t="str" cm="1">
        <f t="array" ref="P222">_xlfn.IFS(F222&lt;=45,"45 or below",F222&lt;= 60,"46-60",F222&lt;=75,"61-75",F222&lt;=90,"76-90",F222&gt;90,"91 or above")</f>
        <v>61-75</v>
      </c>
      <c r="Q2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2" t="str" cm="1">
        <f t="array" ref="R2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3" spans="1:18" x14ac:dyDescent="0.2">
      <c r="A223">
        <f>Table1[[#This Row],[Age]]</f>
        <v>33</v>
      </c>
      <c r="B223">
        <f>IF(Table3[[#This Row],[Attrition]] = "Yes", 1,0)</f>
        <v>0</v>
      </c>
      <c r="C223" t="str">
        <f>Table1[[#This Row],[Attrition]]</f>
        <v>No</v>
      </c>
      <c r="D223" t="str">
        <f>Table1[[#This Row],[Department]]</f>
        <v>Research &amp; Development</v>
      </c>
      <c r="E223">
        <f>Table1[[#This Row],[EnvironmentSatisfaction]]</f>
        <v>3</v>
      </c>
      <c r="F223">
        <f>Table1[[#This Row],[HourlyRate]]</f>
        <v>47</v>
      </c>
      <c r="G223" t="str">
        <f>Table1[[#This Row],[JobRole]]</f>
        <v>Research Scientist</v>
      </c>
      <c r="H223">
        <f>Table1[[#This Row],[JobSatisfaction]]</f>
        <v>2</v>
      </c>
      <c r="I223">
        <f>Table1[[#This Row],[YearsAtCompany]]</f>
        <v>3</v>
      </c>
      <c r="J223">
        <f>Table1[[#This Row],[YearsSinceLastPromotion]]</f>
        <v>1</v>
      </c>
      <c r="K223">
        <f>Table1[[#This Row],[EmployeeNumber]]</f>
        <v>305</v>
      </c>
      <c r="L223">
        <f>Table1[[#This Row],[DistanceFromHome]]</f>
        <v>4</v>
      </c>
      <c r="M223" t="str">
        <f>Table1[[#This Row],[OverTime]]</f>
        <v>No</v>
      </c>
      <c r="N223">
        <f>Table1[[#This Row],[WorkLifeBalance]]</f>
        <v>3</v>
      </c>
      <c r="O223" t="str" cm="1">
        <f t="array" ref="O223">_xlfn.IFS(A223&lt;=30,"18-30",A223&lt;=40,"31-40",A223&lt;=50,"41-50",A223&gt;50,"51+")</f>
        <v>31-40</v>
      </c>
      <c r="P223" t="str" cm="1">
        <f t="array" ref="P223">_xlfn.IFS(F223&lt;=45,"45 or below",F223&lt;= 60,"46-60",F223&lt;=75,"61-75",F223&lt;=90,"76-90",F223&gt;90,"91 or above")</f>
        <v>46-60</v>
      </c>
      <c r="Q2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3" t="str" cm="1">
        <f t="array" ref="R2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4" spans="1:18" x14ac:dyDescent="0.2">
      <c r="A224">
        <f>Table1[[#This Row],[Age]]</f>
        <v>37</v>
      </c>
      <c r="B224">
        <f>IF(Table3[[#This Row],[Attrition]] = "Yes", 1,0)</f>
        <v>0</v>
      </c>
      <c r="C224" t="str">
        <f>Table1[[#This Row],[Attrition]]</f>
        <v>No</v>
      </c>
      <c r="D224" t="str">
        <f>Table1[[#This Row],[Department]]</f>
        <v>Research &amp; Development</v>
      </c>
      <c r="E224">
        <f>Table1[[#This Row],[EnvironmentSatisfaction]]</f>
        <v>2</v>
      </c>
      <c r="F224">
        <f>Table1[[#This Row],[HourlyRate]]</f>
        <v>47</v>
      </c>
      <c r="G224" t="str">
        <f>Table1[[#This Row],[JobRole]]</f>
        <v>Research Director</v>
      </c>
      <c r="H224">
        <f>Table1[[#This Row],[JobSatisfaction]]</f>
        <v>4</v>
      </c>
      <c r="I224">
        <f>Table1[[#This Row],[YearsAtCompany]]</f>
        <v>10</v>
      </c>
      <c r="J224">
        <f>Table1[[#This Row],[YearsSinceLastPromotion]]</f>
        <v>0</v>
      </c>
      <c r="K224">
        <f>Table1[[#This Row],[EmployeeNumber]]</f>
        <v>306</v>
      </c>
      <c r="L224">
        <f>Table1[[#This Row],[DistanceFromHome]]</f>
        <v>11</v>
      </c>
      <c r="M224" t="str">
        <f>Table1[[#This Row],[OverTime]]</f>
        <v>Yes</v>
      </c>
      <c r="N224">
        <f>Table1[[#This Row],[WorkLifeBalance]]</f>
        <v>3</v>
      </c>
      <c r="O224" t="str" cm="1">
        <f t="array" ref="O224">_xlfn.IFS(A224&lt;=30,"18-30",A224&lt;=40,"31-40",A224&lt;=50,"41-50",A224&gt;50,"51+")</f>
        <v>31-40</v>
      </c>
      <c r="P224" t="str" cm="1">
        <f t="array" ref="P224">_xlfn.IFS(F224&lt;=45,"45 or below",F224&lt;= 60,"46-60",F224&lt;=75,"61-75",F224&lt;=90,"76-90",F224&gt;90,"91 or above")</f>
        <v>46-60</v>
      </c>
      <c r="Q2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24" t="str" cm="1">
        <f t="array" ref="R22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25" spans="1:18" x14ac:dyDescent="0.2">
      <c r="A225">
        <f>Table1[[#This Row],[Age]]</f>
        <v>38</v>
      </c>
      <c r="B225">
        <f>IF(Table3[[#This Row],[Attrition]] = "Yes", 1,0)</f>
        <v>0</v>
      </c>
      <c r="C225" t="str">
        <f>Table1[[#This Row],[Attrition]]</f>
        <v>No</v>
      </c>
      <c r="D225" t="str">
        <f>Table1[[#This Row],[Department]]</f>
        <v>Sales</v>
      </c>
      <c r="E225">
        <f>Table1[[#This Row],[EnvironmentSatisfaction]]</f>
        <v>1</v>
      </c>
      <c r="F225">
        <f>Table1[[#This Row],[HourlyRate]]</f>
        <v>76</v>
      </c>
      <c r="G225" t="str">
        <f>Table1[[#This Row],[JobRole]]</f>
        <v>Sales Executive</v>
      </c>
      <c r="H225">
        <f>Table1[[#This Row],[JobSatisfaction]]</f>
        <v>3</v>
      </c>
      <c r="I225">
        <f>Table1[[#This Row],[YearsAtCompany]]</f>
        <v>16</v>
      </c>
      <c r="J225">
        <f>Table1[[#This Row],[YearsSinceLastPromotion]]</f>
        <v>5</v>
      </c>
      <c r="K225">
        <f>Table1[[#This Row],[EmployeeNumber]]</f>
        <v>307</v>
      </c>
      <c r="L225">
        <f>Table1[[#This Row],[DistanceFromHome]]</f>
        <v>3</v>
      </c>
      <c r="M225" t="str">
        <f>Table1[[#This Row],[OverTime]]</f>
        <v>No</v>
      </c>
      <c r="N225">
        <f>Table1[[#This Row],[WorkLifeBalance]]</f>
        <v>2</v>
      </c>
      <c r="O225" t="str" cm="1">
        <f t="array" ref="O225">_xlfn.IFS(A225&lt;=30,"18-30",A225&lt;=40,"31-40",A225&lt;=50,"41-50",A225&gt;50,"51+")</f>
        <v>31-40</v>
      </c>
      <c r="P225" t="str" cm="1">
        <f t="array" ref="P225">_xlfn.IFS(F225&lt;=45,"45 or below",F225&lt;= 60,"46-60",F225&lt;=75,"61-75",F225&lt;=90,"76-90",F225&gt;90,"91 or above")</f>
        <v>76-90</v>
      </c>
      <c r="Q2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5" t="str" cm="1">
        <f t="array" ref="R2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6" spans="1:18" x14ac:dyDescent="0.2">
      <c r="A226">
        <f>Table1[[#This Row],[Age]]</f>
        <v>31</v>
      </c>
      <c r="B226">
        <f>IF(Table3[[#This Row],[Attrition]] = "Yes", 1,0)</f>
        <v>0</v>
      </c>
      <c r="C226" t="str">
        <f>Table1[[#This Row],[Attrition]]</f>
        <v>No</v>
      </c>
      <c r="D226" t="str">
        <f>Table1[[#This Row],[Department]]</f>
        <v>Research &amp; Development</v>
      </c>
      <c r="E226">
        <f>Table1[[#This Row],[EnvironmentSatisfaction]]</f>
        <v>3</v>
      </c>
      <c r="F226">
        <f>Table1[[#This Row],[HourlyRate]]</f>
        <v>90</v>
      </c>
      <c r="G226" t="str">
        <f>Table1[[#This Row],[JobRole]]</f>
        <v>Manufacturing Director</v>
      </c>
      <c r="H226">
        <f>Table1[[#This Row],[JobSatisfaction]]</f>
        <v>3</v>
      </c>
      <c r="I226">
        <f>Table1[[#This Row],[YearsAtCompany]]</f>
        <v>5</v>
      </c>
      <c r="J226">
        <f>Table1[[#This Row],[YearsSinceLastPromotion]]</f>
        <v>1</v>
      </c>
      <c r="K226">
        <f>Table1[[#This Row],[EmployeeNumber]]</f>
        <v>308</v>
      </c>
      <c r="L226">
        <f>Table1[[#This Row],[DistanceFromHome]]</f>
        <v>1</v>
      </c>
      <c r="M226" t="str">
        <f>Table1[[#This Row],[OverTime]]</f>
        <v>No</v>
      </c>
      <c r="N226">
        <f>Table1[[#This Row],[WorkLifeBalance]]</f>
        <v>3</v>
      </c>
      <c r="O226" t="str" cm="1">
        <f t="array" ref="O226">_xlfn.IFS(A226&lt;=30,"18-30",A226&lt;=40,"31-40",A226&lt;=50,"41-50",A226&gt;50,"51+")</f>
        <v>31-40</v>
      </c>
      <c r="P226" t="str" cm="1">
        <f t="array" ref="P226">_xlfn.IFS(F226&lt;=45,"45 or below",F226&lt;= 60,"46-60",F226&lt;=75,"61-75",F226&lt;=90,"76-90",F226&gt;90,"91 or above")</f>
        <v>76-90</v>
      </c>
      <c r="Q2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26" t="str" cm="1">
        <f t="array" ref="R2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7" spans="1:18" x14ac:dyDescent="0.2">
      <c r="A227">
        <f>Table1[[#This Row],[Age]]</f>
        <v>59</v>
      </c>
      <c r="B227">
        <f>IF(Table3[[#This Row],[Attrition]] = "Yes", 1,0)</f>
        <v>0</v>
      </c>
      <c r="C227" t="str">
        <f>Table1[[#This Row],[Attrition]]</f>
        <v>No</v>
      </c>
      <c r="D227" t="str">
        <f>Table1[[#This Row],[Department]]</f>
        <v>Research &amp; Development</v>
      </c>
      <c r="E227">
        <f>Table1[[#This Row],[EnvironmentSatisfaction]]</f>
        <v>3</v>
      </c>
      <c r="F227">
        <f>Table1[[#This Row],[HourlyRate]]</f>
        <v>70</v>
      </c>
      <c r="G227" t="str">
        <f>Table1[[#This Row],[JobRole]]</f>
        <v>Research Scientist</v>
      </c>
      <c r="H227">
        <f>Table1[[#This Row],[JobSatisfaction]]</f>
        <v>4</v>
      </c>
      <c r="I227">
        <f>Table1[[#This Row],[YearsAtCompany]]</f>
        <v>1</v>
      </c>
      <c r="J227">
        <f>Table1[[#This Row],[YearsSinceLastPromotion]]</f>
        <v>0</v>
      </c>
      <c r="K227">
        <f>Table1[[#This Row],[EmployeeNumber]]</f>
        <v>309</v>
      </c>
      <c r="L227">
        <f>Table1[[#This Row],[DistanceFromHome]]</f>
        <v>3</v>
      </c>
      <c r="M227" t="str">
        <f>Table1[[#This Row],[OverTime]]</f>
        <v>No</v>
      </c>
      <c r="N227">
        <f>Table1[[#This Row],[WorkLifeBalance]]</f>
        <v>3</v>
      </c>
      <c r="O227" t="str" cm="1">
        <f t="array" ref="O227">_xlfn.IFS(A227&lt;=30,"18-30",A227&lt;=40,"31-40",A227&lt;=50,"41-50",A227&gt;50,"51+")</f>
        <v>51+</v>
      </c>
      <c r="P227" t="str" cm="1">
        <f t="array" ref="P227">_xlfn.IFS(F227&lt;=45,"45 or below",F227&lt;= 60,"46-60",F227&lt;=75,"61-75",F227&lt;=90,"76-90",F227&gt;90,"91 or above")</f>
        <v>61-75</v>
      </c>
      <c r="Q2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27" t="str" cm="1">
        <f t="array" ref="R2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8" spans="1:18" x14ac:dyDescent="0.2">
      <c r="A228">
        <f>Table1[[#This Row],[Age]]</f>
        <v>37</v>
      </c>
      <c r="B228">
        <f>IF(Table3[[#This Row],[Attrition]] = "Yes", 1,0)</f>
        <v>0</v>
      </c>
      <c r="C228" t="str">
        <f>Table1[[#This Row],[Attrition]]</f>
        <v>No</v>
      </c>
      <c r="D228" t="str">
        <f>Table1[[#This Row],[Department]]</f>
        <v>Sales</v>
      </c>
      <c r="E228">
        <f>Table1[[#This Row],[EnvironmentSatisfaction]]</f>
        <v>1</v>
      </c>
      <c r="F228">
        <f>Table1[[#This Row],[HourlyRate]]</f>
        <v>41</v>
      </c>
      <c r="G228" t="str">
        <f>Table1[[#This Row],[JobRole]]</f>
        <v>Sales Representative</v>
      </c>
      <c r="H228">
        <f>Table1[[#This Row],[JobSatisfaction]]</f>
        <v>4</v>
      </c>
      <c r="I228">
        <f>Table1[[#This Row],[YearsAtCompany]]</f>
        <v>9</v>
      </c>
      <c r="J228">
        <f>Table1[[#This Row],[YearsSinceLastPromotion]]</f>
        <v>5</v>
      </c>
      <c r="K228">
        <f>Table1[[#This Row],[EmployeeNumber]]</f>
        <v>311</v>
      </c>
      <c r="L228">
        <f>Table1[[#This Row],[DistanceFromHome]]</f>
        <v>4</v>
      </c>
      <c r="M228" t="str">
        <f>Table1[[#This Row],[OverTime]]</f>
        <v>No</v>
      </c>
      <c r="N228">
        <f>Table1[[#This Row],[WorkLifeBalance]]</f>
        <v>3</v>
      </c>
      <c r="O228" t="str" cm="1">
        <f t="array" ref="O228">_xlfn.IFS(A228&lt;=30,"18-30",A228&lt;=40,"31-40",A228&lt;=50,"41-50",A228&gt;50,"51+")</f>
        <v>31-40</v>
      </c>
      <c r="P228" t="str" cm="1">
        <f t="array" ref="P228">_xlfn.IFS(F228&lt;=45,"45 or below",F228&lt;= 60,"46-60",F228&lt;=75,"61-75",F228&lt;=90,"76-90",F228&gt;90,"91 or above")</f>
        <v>45 or below</v>
      </c>
      <c r="Q2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8" t="str" cm="1">
        <f t="array" ref="R2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29" spans="1:18" x14ac:dyDescent="0.2">
      <c r="A229">
        <f>Table1[[#This Row],[Age]]</f>
        <v>29</v>
      </c>
      <c r="B229">
        <f>IF(Table3[[#This Row],[Attrition]] = "Yes", 1,0)</f>
        <v>0</v>
      </c>
      <c r="C229" t="str">
        <f>Table1[[#This Row],[Attrition]]</f>
        <v>No</v>
      </c>
      <c r="D229" t="str">
        <f>Table1[[#This Row],[Department]]</f>
        <v>Sales</v>
      </c>
      <c r="E229">
        <f>Table1[[#This Row],[EnvironmentSatisfaction]]</f>
        <v>2</v>
      </c>
      <c r="F229">
        <f>Table1[[#This Row],[HourlyRate]]</f>
        <v>42</v>
      </c>
      <c r="G229" t="str">
        <f>Table1[[#This Row],[JobRole]]</f>
        <v>Sales Executive</v>
      </c>
      <c r="H229">
        <f>Table1[[#This Row],[JobSatisfaction]]</f>
        <v>4</v>
      </c>
      <c r="I229">
        <f>Table1[[#This Row],[YearsAtCompany]]</f>
        <v>11</v>
      </c>
      <c r="J229">
        <f>Table1[[#This Row],[YearsSinceLastPromotion]]</f>
        <v>4</v>
      </c>
      <c r="K229">
        <f>Table1[[#This Row],[EmployeeNumber]]</f>
        <v>312</v>
      </c>
      <c r="L229">
        <f>Table1[[#This Row],[DistanceFromHome]]</f>
        <v>1</v>
      </c>
      <c r="M229" t="str">
        <f>Table1[[#This Row],[OverTime]]</f>
        <v>No</v>
      </c>
      <c r="N229">
        <f>Table1[[#This Row],[WorkLifeBalance]]</f>
        <v>3</v>
      </c>
      <c r="O229" t="str" cm="1">
        <f t="array" ref="O229">_xlfn.IFS(A229&lt;=30,"18-30",A229&lt;=40,"31-40",A229&lt;=50,"41-50",A229&gt;50,"51+")</f>
        <v>18-30</v>
      </c>
      <c r="P229" t="str" cm="1">
        <f t="array" ref="P229">_xlfn.IFS(F229&lt;=45,"45 or below",F229&lt;= 60,"46-60",F229&lt;=75,"61-75",F229&lt;=90,"76-90",F229&gt;90,"91 or above")</f>
        <v>45 or below</v>
      </c>
      <c r="Q2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29" t="str" cm="1">
        <f t="array" ref="R2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0" spans="1:18" x14ac:dyDescent="0.2">
      <c r="A230">
        <f>Table1[[#This Row],[Age]]</f>
        <v>35</v>
      </c>
      <c r="B230">
        <f>IF(Table3[[#This Row],[Attrition]] = "Yes", 1,0)</f>
        <v>0</v>
      </c>
      <c r="C230" t="str">
        <f>Table1[[#This Row],[Attrition]]</f>
        <v>No</v>
      </c>
      <c r="D230" t="str">
        <f>Table1[[#This Row],[Department]]</f>
        <v>Sales</v>
      </c>
      <c r="E230">
        <f>Table1[[#This Row],[EnvironmentSatisfaction]]</f>
        <v>3</v>
      </c>
      <c r="F230">
        <f>Table1[[#This Row],[HourlyRate]]</f>
        <v>92</v>
      </c>
      <c r="G230" t="str">
        <f>Table1[[#This Row],[JobRole]]</f>
        <v>Sales Executive</v>
      </c>
      <c r="H230">
        <f>Table1[[#This Row],[JobSatisfaction]]</f>
        <v>3</v>
      </c>
      <c r="I230">
        <f>Table1[[#This Row],[YearsAtCompany]]</f>
        <v>10</v>
      </c>
      <c r="J230">
        <f>Table1[[#This Row],[YearsSinceLastPromotion]]</f>
        <v>0</v>
      </c>
      <c r="K230">
        <f>Table1[[#This Row],[EmployeeNumber]]</f>
        <v>314</v>
      </c>
      <c r="L230">
        <f>Table1[[#This Row],[DistanceFromHome]]</f>
        <v>1</v>
      </c>
      <c r="M230" t="str">
        <f>Table1[[#This Row],[OverTime]]</f>
        <v>No</v>
      </c>
      <c r="N230">
        <f>Table1[[#This Row],[WorkLifeBalance]]</f>
        <v>4</v>
      </c>
      <c r="O230" t="str" cm="1">
        <f t="array" ref="O230">_xlfn.IFS(A230&lt;=30,"18-30",A230&lt;=40,"31-40",A230&lt;=50,"41-50",A230&gt;50,"51+")</f>
        <v>31-40</v>
      </c>
      <c r="P230" t="str" cm="1">
        <f t="array" ref="P230">_xlfn.IFS(F230&lt;=45,"45 or below",F230&lt;= 60,"46-60",F230&lt;=75,"61-75",F230&lt;=90,"76-90",F230&gt;90,"91 or above")</f>
        <v>91 or above</v>
      </c>
      <c r="Q2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30" t="str" cm="1">
        <f t="array" ref="R2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1" spans="1:18" hidden="1" x14ac:dyDescent="0.2">
      <c r="A231">
        <f>Table1[[#This Row],[Age]]</f>
        <v>29</v>
      </c>
      <c r="B231">
        <f>IF(Table3[[#This Row],[Attrition]] = "Yes", 1,0)</f>
        <v>1</v>
      </c>
      <c r="C231" t="str">
        <f>Table1[[#This Row],[Attrition]]</f>
        <v>Yes</v>
      </c>
      <c r="D231" t="str">
        <f>Table1[[#This Row],[Department]]</f>
        <v>Research &amp; Development</v>
      </c>
      <c r="E231">
        <f>Table1[[#This Row],[EnvironmentSatisfaction]]</f>
        <v>3</v>
      </c>
      <c r="F231">
        <f>Table1[[#This Row],[HourlyRate]]</f>
        <v>86</v>
      </c>
      <c r="G231" t="str">
        <f>Table1[[#This Row],[JobRole]]</f>
        <v>Research Scientist</v>
      </c>
      <c r="H231">
        <f>Table1[[#This Row],[JobSatisfaction]]</f>
        <v>4</v>
      </c>
      <c r="I231">
        <f>Table1[[#This Row],[YearsAtCompany]]</f>
        <v>4</v>
      </c>
      <c r="J231">
        <f>Table1[[#This Row],[YearsSinceLastPromotion]]</f>
        <v>0</v>
      </c>
      <c r="K231">
        <f>Table1[[#This Row],[EmployeeNumber]]</f>
        <v>315</v>
      </c>
      <c r="L231">
        <f>Table1[[#This Row],[DistanceFromHome]]</f>
        <v>18</v>
      </c>
      <c r="M231" t="str">
        <f>Table1[[#This Row],[OverTime]]</f>
        <v>Yes</v>
      </c>
      <c r="N231">
        <f>Table1[[#This Row],[WorkLifeBalance]]</f>
        <v>2</v>
      </c>
      <c r="O231" t="str" cm="1">
        <f t="array" ref="O231">_xlfn.IFS(A231&lt;=30,"18-30",A231&lt;=40,"31-40",A231&lt;=50,"41-50",A231&gt;50,"51+")</f>
        <v>18-30</v>
      </c>
      <c r="P231" t="str" cm="1">
        <f t="array" ref="P231">_xlfn.IFS(F231&lt;=45,"45 or below",F231&lt;= 60,"46-60",F231&lt;=75,"61-75",F231&lt;=90,"76-90",F231&gt;90,"91 or above")</f>
        <v>76-90</v>
      </c>
      <c r="Q23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31" t="str" cm="1">
        <f t="array" ref="R231" xml:space="preserve"> _xlfn.IFS(Table3[[#This Row],[Flight Risk Score]] = "NA","NA",Table3[[#This Row],[Flight Risk Score]] &gt;= 70,"High Risk",Table3[[#This Row],[Flight Risk Score]] &gt;= 50, "Medium Risk", Table3[[#This Row],[Flight Risk Score]] &gt;= 30,"Low Risk",Table3[[#This Row],[Flight Risk Score]] &lt; 30,"Very Low Risk")</f>
        <v>NA</v>
      </c>
    </row>
    <row r="232" spans="1:18" x14ac:dyDescent="0.2">
      <c r="A232">
        <f>Table1[[#This Row],[Age]]</f>
        <v>52</v>
      </c>
      <c r="B232">
        <f>IF(Table3[[#This Row],[Attrition]] = "Yes", 1,0)</f>
        <v>0</v>
      </c>
      <c r="C232" t="str">
        <f>Table1[[#This Row],[Attrition]]</f>
        <v>No</v>
      </c>
      <c r="D232" t="str">
        <f>Table1[[#This Row],[Department]]</f>
        <v>Research &amp; Development</v>
      </c>
      <c r="E232">
        <f>Table1[[#This Row],[EnvironmentSatisfaction]]</f>
        <v>3</v>
      </c>
      <c r="F232">
        <f>Table1[[#This Row],[HourlyRate]]</f>
        <v>89</v>
      </c>
      <c r="G232" t="str">
        <f>Table1[[#This Row],[JobRole]]</f>
        <v>Laboratory Technician</v>
      </c>
      <c r="H232">
        <f>Table1[[#This Row],[JobSatisfaction]]</f>
        <v>4</v>
      </c>
      <c r="I232">
        <f>Table1[[#This Row],[YearsAtCompany]]</f>
        <v>2</v>
      </c>
      <c r="J232">
        <f>Table1[[#This Row],[YearsSinceLastPromotion]]</f>
        <v>2</v>
      </c>
      <c r="K232">
        <f>Table1[[#This Row],[EmployeeNumber]]</f>
        <v>316</v>
      </c>
      <c r="L232">
        <f>Table1[[#This Row],[DistanceFromHome]]</f>
        <v>2</v>
      </c>
      <c r="M232" t="str">
        <f>Table1[[#This Row],[OverTime]]</f>
        <v>No</v>
      </c>
      <c r="N232">
        <f>Table1[[#This Row],[WorkLifeBalance]]</f>
        <v>2</v>
      </c>
      <c r="O232" t="str" cm="1">
        <f t="array" ref="O232">_xlfn.IFS(A232&lt;=30,"18-30",A232&lt;=40,"31-40",A232&lt;=50,"41-50",A232&gt;50,"51+")</f>
        <v>51+</v>
      </c>
      <c r="P232" t="str" cm="1">
        <f t="array" ref="P232">_xlfn.IFS(F232&lt;=45,"45 or below",F232&lt;= 60,"46-60",F232&lt;=75,"61-75",F232&lt;=90,"76-90",F232&gt;90,"91 or above")</f>
        <v>76-90</v>
      </c>
      <c r="Q2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32" t="str" cm="1">
        <f t="array" ref="R2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3" spans="1:18" x14ac:dyDescent="0.2">
      <c r="A233">
        <f>Table1[[#This Row],[Age]]</f>
        <v>42</v>
      </c>
      <c r="B233">
        <f>IF(Table3[[#This Row],[Attrition]] = "Yes", 1,0)</f>
        <v>0</v>
      </c>
      <c r="C233" t="str">
        <f>Table1[[#This Row],[Attrition]]</f>
        <v>No</v>
      </c>
      <c r="D233" t="str">
        <f>Table1[[#This Row],[Department]]</f>
        <v>Research &amp; Development</v>
      </c>
      <c r="E233">
        <f>Table1[[#This Row],[EnvironmentSatisfaction]]</f>
        <v>3</v>
      </c>
      <c r="F233">
        <f>Table1[[#This Row],[HourlyRate]]</f>
        <v>58</v>
      </c>
      <c r="G233" t="str">
        <f>Table1[[#This Row],[JobRole]]</f>
        <v>Manager</v>
      </c>
      <c r="H233">
        <f>Table1[[#This Row],[JobSatisfaction]]</f>
        <v>4</v>
      </c>
      <c r="I233">
        <f>Table1[[#This Row],[YearsAtCompany]]</f>
        <v>22</v>
      </c>
      <c r="J233">
        <f>Table1[[#This Row],[YearsSinceLastPromotion]]</f>
        <v>11</v>
      </c>
      <c r="K233">
        <f>Table1[[#This Row],[EmployeeNumber]]</f>
        <v>319</v>
      </c>
      <c r="L233">
        <f>Table1[[#This Row],[DistanceFromHome]]</f>
        <v>4</v>
      </c>
      <c r="M233" t="str">
        <f>Table1[[#This Row],[OverTime]]</f>
        <v>No</v>
      </c>
      <c r="N233">
        <f>Table1[[#This Row],[WorkLifeBalance]]</f>
        <v>3</v>
      </c>
      <c r="O233" t="str" cm="1">
        <f t="array" ref="O233">_xlfn.IFS(A233&lt;=30,"18-30",A233&lt;=40,"31-40",A233&lt;=50,"41-50",A233&gt;50,"51+")</f>
        <v>41-50</v>
      </c>
      <c r="P233" t="str" cm="1">
        <f t="array" ref="P233">_xlfn.IFS(F233&lt;=45,"45 or below",F233&lt;= 60,"46-60",F233&lt;=75,"61-75",F233&lt;=90,"76-90",F233&gt;90,"91 or above")</f>
        <v>46-60</v>
      </c>
      <c r="Q2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33" t="str" cm="1">
        <f t="array" ref="R2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4" spans="1:18" x14ac:dyDescent="0.2">
      <c r="A234">
        <f>Table1[[#This Row],[Age]]</f>
        <v>59</v>
      </c>
      <c r="B234">
        <f>IF(Table3[[#This Row],[Attrition]] = "Yes", 1,0)</f>
        <v>0</v>
      </c>
      <c r="C234" t="str">
        <f>Table1[[#This Row],[Attrition]]</f>
        <v>No</v>
      </c>
      <c r="D234" t="str">
        <f>Table1[[#This Row],[Department]]</f>
        <v>Human Resources</v>
      </c>
      <c r="E234">
        <f>Table1[[#This Row],[EnvironmentSatisfaction]]</f>
        <v>2</v>
      </c>
      <c r="F234">
        <f>Table1[[#This Row],[HourlyRate]]</f>
        <v>52</v>
      </c>
      <c r="G234" t="str">
        <f>Table1[[#This Row],[JobRole]]</f>
        <v>Human Resources</v>
      </c>
      <c r="H234">
        <f>Table1[[#This Row],[JobSatisfaction]]</f>
        <v>3</v>
      </c>
      <c r="I234">
        <f>Table1[[#This Row],[YearsAtCompany]]</f>
        <v>2</v>
      </c>
      <c r="J234">
        <f>Table1[[#This Row],[YearsSinceLastPromotion]]</f>
        <v>2</v>
      </c>
      <c r="K234">
        <f>Table1[[#This Row],[EmployeeNumber]]</f>
        <v>321</v>
      </c>
      <c r="L234">
        <f>Table1[[#This Row],[DistanceFromHome]]</f>
        <v>6</v>
      </c>
      <c r="M234" t="str">
        <f>Table1[[#This Row],[OverTime]]</f>
        <v>No</v>
      </c>
      <c r="N234">
        <f>Table1[[#This Row],[WorkLifeBalance]]</f>
        <v>2</v>
      </c>
      <c r="O234" t="str" cm="1">
        <f t="array" ref="O234">_xlfn.IFS(A234&lt;=30,"18-30",A234&lt;=40,"31-40",A234&lt;=50,"41-50",A234&gt;50,"51+")</f>
        <v>51+</v>
      </c>
      <c r="P234" t="str" cm="1">
        <f t="array" ref="P234">_xlfn.IFS(F234&lt;=45,"45 or below",F234&lt;= 60,"46-60",F234&lt;=75,"61-75",F234&lt;=90,"76-90",F234&gt;90,"91 or above")</f>
        <v>46-60</v>
      </c>
      <c r="Q2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34" t="str" cm="1">
        <f t="array" ref="R2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5" spans="1:18" x14ac:dyDescent="0.2">
      <c r="A235">
        <f>Table1[[#This Row],[Age]]</f>
        <v>50</v>
      </c>
      <c r="B235">
        <f>IF(Table3[[#This Row],[Attrition]] = "Yes", 1,0)</f>
        <v>0</v>
      </c>
      <c r="C235" t="str">
        <f>Table1[[#This Row],[Attrition]]</f>
        <v>No</v>
      </c>
      <c r="D235" t="str">
        <f>Table1[[#This Row],[Department]]</f>
        <v>Sales</v>
      </c>
      <c r="E235">
        <f>Table1[[#This Row],[EnvironmentSatisfaction]]</f>
        <v>4</v>
      </c>
      <c r="F235">
        <f>Table1[[#This Row],[HourlyRate]]</f>
        <v>68</v>
      </c>
      <c r="G235" t="str">
        <f>Table1[[#This Row],[JobRole]]</f>
        <v>Manager</v>
      </c>
      <c r="H235">
        <f>Table1[[#This Row],[JobSatisfaction]]</f>
        <v>4</v>
      </c>
      <c r="I235">
        <f>Table1[[#This Row],[YearsAtCompany]]</f>
        <v>7</v>
      </c>
      <c r="J235">
        <f>Table1[[#This Row],[YearsSinceLastPromotion]]</f>
        <v>0</v>
      </c>
      <c r="K235">
        <f>Table1[[#This Row],[EmployeeNumber]]</f>
        <v>323</v>
      </c>
      <c r="L235">
        <f>Table1[[#This Row],[DistanceFromHome]]</f>
        <v>1</v>
      </c>
      <c r="M235" t="str">
        <f>Table1[[#This Row],[OverTime]]</f>
        <v>No</v>
      </c>
      <c r="N235">
        <f>Table1[[#This Row],[WorkLifeBalance]]</f>
        <v>2</v>
      </c>
      <c r="O235" t="str" cm="1">
        <f t="array" ref="O235">_xlfn.IFS(A235&lt;=30,"18-30",A235&lt;=40,"31-40",A235&lt;=50,"41-50",A235&gt;50,"51+")</f>
        <v>41-50</v>
      </c>
      <c r="P235" t="str" cm="1">
        <f t="array" ref="P235">_xlfn.IFS(F235&lt;=45,"45 or below",F235&lt;= 60,"46-60",F235&lt;=75,"61-75",F235&lt;=90,"76-90",F235&gt;90,"91 or above")</f>
        <v>61-75</v>
      </c>
      <c r="Q2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35" t="str" cm="1">
        <f t="array" ref="R2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36" spans="1:18" hidden="1" x14ac:dyDescent="0.2">
      <c r="A236">
        <f>Table1[[#This Row],[Age]]</f>
        <v>33</v>
      </c>
      <c r="B236">
        <f>IF(Table3[[#This Row],[Attrition]] = "Yes", 1,0)</f>
        <v>1</v>
      </c>
      <c r="C236" t="str">
        <f>Table1[[#This Row],[Attrition]]</f>
        <v>Yes</v>
      </c>
      <c r="D236" t="str">
        <f>Table1[[#This Row],[Department]]</f>
        <v>Research &amp; Development</v>
      </c>
      <c r="E236">
        <f>Table1[[#This Row],[EnvironmentSatisfaction]]</f>
        <v>3</v>
      </c>
      <c r="F236">
        <f>Table1[[#This Row],[HourlyRate]]</f>
        <v>58</v>
      </c>
      <c r="G236" t="str">
        <f>Table1[[#This Row],[JobRole]]</f>
        <v>Laboratory Technician</v>
      </c>
      <c r="H236">
        <f>Table1[[#This Row],[JobSatisfaction]]</f>
        <v>4</v>
      </c>
      <c r="I236">
        <f>Table1[[#This Row],[YearsAtCompany]]</f>
        <v>5</v>
      </c>
      <c r="J236">
        <f>Table1[[#This Row],[YearsSinceLastPromotion]]</f>
        <v>0</v>
      </c>
      <c r="K236">
        <f>Table1[[#This Row],[EmployeeNumber]]</f>
        <v>325</v>
      </c>
      <c r="L236">
        <f>Table1[[#This Row],[DistanceFromHome]]</f>
        <v>14</v>
      </c>
      <c r="M236" t="str">
        <f>Table1[[#This Row],[OverTime]]</f>
        <v>Yes</v>
      </c>
      <c r="N236">
        <f>Table1[[#This Row],[WorkLifeBalance]]</f>
        <v>1</v>
      </c>
      <c r="O236" t="str" cm="1">
        <f t="array" ref="O236">_xlfn.IFS(A236&lt;=30,"18-30",A236&lt;=40,"31-40",A236&lt;=50,"41-50",A236&gt;50,"51+")</f>
        <v>31-40</v>
      </c>
      <c r="P236" t="str" cm="1">
        <f t="array" ref="P236">_xlfn.IFS(F236&lt;=45,"45 or below",F236&lt;= 60,"46-60",F236&lt;=75,"61-75",F236&lt;=90,"76-90",F236&gt;90,"91 or above")</f>
        <v>46-60</v>
      </c>
      <c r="Q23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36" t="str" cm="1">
        <f t="array" ref="R236" xml:space="preserve"> _xlfn.IFS(Table3[[#This Row],[Flight Risk Score]] = "NA","NA",Table3[[#This Row],[Flight Risk Score]] &gt;= 70,"High Risk",Table3[[#This Row],[Flight Risk Score]] &gt;= 50, "Medium Risk", Table3[[#This Row],[Flight Risk Score]] &gt;= 30,"Low Risk",Table3[[#This Row],[Flight Risk Score]] &lt; 30,"Very Low Risk")</f>
        <v>NA</v>
      </c>
    </row>
    <row r="237" spans="1:18" x14ac:dyDescent="0.2">
      <c r="A237">
        <f>Table1[[#This Row],[Age]]</f>
        <v>43</v>
      </c>
      <c r="B237">
        <f>IF(Table3[[#This Row],[Attrition]] = "Yes", 1,0)</f>
        <v>0</v>
      </c>
      <c r="C237" t="str">
        <f>Table1[[#This Row],[Attrition]]</f>
        <v>No</v>
      </c>
      <c r="D237" t="str">
        <f>Table1[[#This Row],[Department]]</f>
        <v>Sales</v>
      </c>
      <c r="E237">
        <f>Table1[[#This Row],[EnvironmentSatisfaction]]</f>
        <v>4</v>
      </c>
      <c r="F237">
        <f>Table1[[#This Row],[HourlyRate]]</f>
        <v>80</v>
      </c>
      <c r="G237" t="str">
        <f>Table1[[#This Row],[JobRole]]</f>
        <v>Manager</v>
      </c>
      <c r="H237">
        <f>Table1[[#This Row],[JobSatisfaction]]</f>
        <v>4</v>
      </c>
      <c r="I237">
        <f>Table1[[#This Row],[YearsAtCompany]]</f>
        <v>17</v>
      </c>
      <c r="J237">
        <f>Table1[[#This Row],[YearsSinceLastPromotion]]</f>
        <v>1</v>
      </c>
      <c r="K237">
        <f>Table1[[#This Row],[EmployeeNumber]]</f>
        <v>327</v>
      </c>
      <c r="L237">
        <f>Table1[[#This Row],[DistanceFromHome]]</f>
        <v>16</v>
      </c>
      <c r="M237" t="str">
        <f>Table1[[#This Row],[OverTime]]</f>
        <v>Yes</v>
      </c>
      <c r="N237">
        <f>Table1[[#This Row],[WorkLifeBalance]]</f>
        <v>3</v>
      </c>
      <c r="O237" t="str" cm="1">
        <f t="array" ref="O237">_xlfn.IFS(A237&lt;=30,"18-30",A237&lt;=40,"31-40",A237&lt;=50,"41-50",A237&gt;50,"51+")</f>
        <v>41-50</v>
      </c>
      <c r="P237" t="str" cm="1">
        <f t="array" ref="P237">_xlfn.IFS(F237&lt;=45,"45 or below",F237&lt;= 60,"46-60",F237&lt;=75,"61-75",F237&lt;=90,"76-90",F237&gt;90,"91 or above")</f>
        <v>76-90</v>
      </c>
      <c r="Q2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37" t="str" cm="1">
        <f t="array" ref="R237" xml:space="preserve"> _xlfn.IFS(Table3[[#This Row],[Flight Risk Score]] = "NA","NA",Table3[[#This Row],[Flight Risk Score]] &gt;= 70,"High Risk",Table3[[#This Row],[Flight Risk Score]] &gt;= 50, "Medium Risk", Table3[[#This Row],[Flight Risk Score]] &gt;= 30,"Low Risk",Table3[[#This Row],[Flight Risk Score]] &lt; 30,"Very Low Risk")</f>
        <v>Low Risk</v>
      </c>
    </row>
    <row r="238" spans="1:18" hidden="1" x14ac:dyDescent="0.2">
      <c r="A238">
        <f>Table1[[#This Row],[Age]]</f>
        <v>33</v>
      </c>
      <c r="B238">
        <f>IF(Table3[[#This Row],[Attrition]] = "Yes", 1,0)</f>
        <v>1</v>
      </c>
      <c r="C238" t="str">
        <f>Table1[[#This Row],[Attrition]]</f>
        <v>Yes</v>
      </c>
      <c r="D238" t="str">
        <f>Table1[[#This Row],[Department]]</f>
        <v>Research &amp; Development</v>
      </c>
      <c r="E238">
        <f>Table1[[#This Row],[EnvironmentSatisfaction]]</f>
        <v>1</v>
      </c>
      <c r="F238">
        <f>Table1[[#This Row],[HourlyRate]]</f>
        <v>39</v>
      </c>
      <c r="G238" t="str">
        <f>Table1[[#This Row],[JobRole]]</f>
        <v>Laboratory Technician</v>
      </c>
      <c r="H238">
        <f>Table1[[#This Row],[JobSatisfaction]]</f>
        <v>1</v>
      </c>
      <c r="I238">
        <f>Table1[[#This Row],[YearsAtCompany]]</f>
        <v>9</v>
      </c>
      <c r="J238">
        <f>Table1[[#This Row],[YearsSinceLastPromotion]]</f>
        <v>1</v>
      </c>
      <c r="K238">
        <f>Table1[[#This Row],[EmployeeNumber]]</f>
        <v>328</v>
      </c>
      <c r="L238">
        <f>Table1[[#This Row],[DistanceFromHome]]</f>
        <v>2</v>
      </c>
      <c r="M238" t="str">
        <f>Table1[[#This Row],[OverTime]]</f>
        <v>No</v>
      </c>
      <c r="N238">
        <f>Table1[[#This Row],[WorkLifeBalance]]</f>
        <v>4</v>
      </c>
      <c r="O238" t="str" cm="1">
        <f t="array" ref="O238">_xlfn.IFS(A238&lt;=30,"18-30",A238&lt;=40,"31-40",A238&lt;=50,"41-50",A238&gt;50,"51+")</f>
        <v>31-40</v>
      </c>
      <c r="P238" t="str" cm="1">
        <f t="array" ref="P238">_xlfn.IFS(F238&lt;=45,"45 or below",F238&lt;= 60,"46-60",F238&lt;=75,"61-75",F238&lt;=90,"76-90",F238&gt;90,"91 or above")</f>
        <v>45 or below</v>
      </c>
      <c r="Q2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38" t="str" cm="1">
        <f t="array" ref="R238" xml:space="preserve"> _xlfn.IFS(Table3[[#This Row],[Flight Risk Score]] = "NA","NA",Table3[[#This Row],[Flight Risk Score]] &gt;= 70,"High Risk",Table3[[#This Row],[Flight Risk Score]] &gt;= 50, "Medium Risk", Table3[[#This Row],[Flight Risk Score]] &gt;= 30,"Low Risk",Table3[[#This Row],[Flight Risk Score]] &lt; 30,"Very Low Risk")</f>
        <v>NA</v>
      </c>
    </row>
    <row r="239" spans="1:18" x14ac:dyDescent="0.2">
      <c r="A239">
        <f>Table1[[#This Row],[Age]]</f>
        <v>52</v>
      </c>
      <c r="B239">
        <f>IF(Table3[[#This Row],[Attrition]] = "Yes", 1,0)</f>
        <v>0</v>
      </c>
      <c r="C239" t="str">
        <f>Table1[[#This Row],[Attrition]]</f>
        <v>No</v>
      </c>
      <c r="D239" t="str">
        <f>Table1[[#This Row],[Department]]</f>
        <v>Sales</v>
      </c>
      <c r="E239">
        <f>Table1[[#This Row],[EnvironmentSatisfaction]]</f>
        <v>1</v>
      </c>
      <c r="F239">
        <f>Table1[[#This Row],[HourlyRate]]</f>
        <v>79</v>
      </c>
      <c r="G239" t="str">
        <f>Table1[[#This Row],[JobRole]]</f>
        <v>Manager</v>
      </c>
      <c r="H239">
        <f>Table1[[#This Row],[JobSatisfaction]]</f>
        <v>3</v>
      </c>
      <c r="I239">
        <f>Table1[[#This Row],[YearsAtCompany]]</f>
        <v>33</v>
      </c>
      <c r="J239">
        <f>Table1[[#This Row],[YearsSinceLastPromotion]]</f>
        <v>15</v>
      </c>
      <c r="K239">
        <f>Table1[[#This Row],[EmployeeNumber]]</f>
        <v>329</v>
      </c>
      <c r="L239">
        <f>Table1[[#This Row],[DistanceFromHome]]</f>
        <v>2</v>
      </c>
      <c r="M239" t="str">
        <f>Table1[[#This Row],[OverTime]]</f>
        <v>Yes</v>
      </c>
      <c r="N239">
        <f>Table1[[#This Row],[WorkLifeBalance]]</f>
        <v>4</v>
      </c>
      <c r="O239" t="str" cm="1">
        <f t="array" ref="O239">_xlfn.IFS(A239&lt;=30,"18-30",A239&lt;=40,"31-40",A239&lt;=50,"41-50",A239&gt;50,"51+")</f>
        <v>51+</v>
      </c>
      <c r="P239" t="str" cm="1">
        <f t="array" ref="P239">_xlfn.IFS(F239&lt;=45,"45 or below",F239&lt;= 60,"46-60",F239&lt;=75,"61-75",F239&lt;=90,"76-90",F239&gt;90,"91 or above")</f>
        <v>76-90</v>
      </c>
      <c r="Q2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39" t="str" cm="1">
        <f t="array" ref="R23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40" spans="1:18" x14ac:dyDescent="0.2">
      <c r="A240">
        <f>Table1[[#This Row],[Age]]</f>
        <v>32</v>
      </c>
      <c r="B240">
        <f>IF(Table3[[#This Row],[Attrition]] = "Yes", 1,0)</f>
        <v>0</v>
      </c>
      <c r="C240" t="str">
        <f>Table1[[#This Row],[Attrition]]</f>
        <v>No</v>
      </c>
      <c r="D240" t="str">
        <f>Table1[[#This Row],[Department]]</f>
        <v>Sales</v>
      </c>
      <c r="E240">
        <f>Table1[[#This Row],[EnvironmentSatisfaction]]</f>
        <v>3</v>
      </c>
      <c r="F240">
        <f>Table1[[#This Row],[HourlyRate]]</f>
        <v>56</v>
      </c>
      <c r="G240" t="str">
        <f>Table1[[#This Row],[JobRole]]</f>
        <v>Sales Representative</v>
      </c>
      <c r="H240">
        <f>Table1[[#This Row],[JobSatisfaction]]</f>
        <v>2</v>
      </c>
      <c r="I240">
        <f>Table1[[#This Row],[YearsAtCompany]]</f>
        <v>4</v>
      </c>
      <c r="J240">
        <f>Table1[[#This Row],[YearsSinceLastPromotion]]</f>
        <v>1</v>
      </c>
      <c r="K240">
        <f>Table1[[#This Row],[EmployeeNumber]]</f>
        <v>330</v>
      </c>
      <c r="L240">
        <f>Table1[[#This Row],[DistanceFromHome]]</f>
        <v>4</v>
      </c>
      <c r="M240" t="str">
        <f>Table1[[#This Row],[OverTime]]</f>
        <v>No</v>
      </c>
      <c r="N240">
        <f>Table1[[#This Row],[WorkLifeBalance]]</f>
        <v>3</v>
      </c>
      <c r="O240" t="str" cm="1">
        <f t="array" ref="O240">_xlfn.IFS(A240&lt;=30,"18-30",A240&lt;=40,"31-40",A240&lt;=50,"41-50",A240&gt;50,"51+")</f>
        <v>31-40</v>
      </c>
      <c r="P240" t="str" cm="1">
        <f t="array" ref="P240">_xlfn.IFS(F240&lt;=45,"45 or below",F240&lt;= 60,"46-60",F240&lt;=75,"61-75",F240&lt;=90,"76-90",F240&gt;90,"91 or above")</f>
        <v>46-60</v>
      </c>
      <c r="Q2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40" t="str" cm="1">
        <f t="array" ref="R2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1" spans="1:18" hidden="1" x14ac:dyDescent="0.2">
      <c r="A241">
        <f>Table1[[#This Row],[Age]]</f>
        <v>32</v>
      </c>
      <c r="B241">
        <f>IF(Table3[[#This Row],[Attrition]] = "Yes", 1,0)</f>
        <v>1</v>
      </c>
      <c r="C241" t="str">
        <f>Table1[[#This Row],[Attrition]]</f>
        <v>Yes</v>
      </c>
      <c r="D241" t="str">
        <f>Table1[[#This Row],[Department]]</f>
        <v>Research &amp; Development</v>
      </c>
      <c r="E241">
        <f>Table1[[#This Row],[EnvironmentSatisfaction]]</f>
        <v>4</v>
      </c>
      <c r="F241">
        <f>Table1[[#This Row],[HourlyRate]]</f>
        <v>62</v>
      </c>
      <c r="G241" t="str">
        <f>Table1[[#This Row],[JobRole]]</f>
        <v>Laboratory Technician</v>
      </c>
      <c r="H241">
        <f>Table1[[#This Row],[JobSatisfaction]]</f>
        <v>3</v>
      </c>
      <c r="I241">
        <f>Table1[[#This Row],[YearsAtCompany]]</f>
        <v>3</v>
      </c>
      <c r="J241">
        <f>Table1[[#This Row],[YearsSinceLastPromotion]]</f>
        <v>1</v>
      </c>
      <c r="K241">
        <f>Table1[[#This Row],[EmployeeNumber]]</f>
        <v>331</v>
      </c>
      <c r="L241">
        <f>Table1[[#This Row],[DistanceFromHome]]</f>
        <v>1</v>
      </c>
      <c r="M241" t="str">
        <f>Table1[[#This Row],[OverTime]]</f>
        <v>Yes</v>
      </c>
      <c r="N241">
        <f>Table1[[#This Row],[WorkLifeBalance]]</f>
        <v>1</v>
      </c>
      <c r="O241" t="str" cm="1">
        <f t="array" ref="O241">_xlfn.IFS(A241&lt;=30,"18-30",A241&lt;=40,"31-40",A241&lt;=50,"41-50",A241&gt;50,"51+")</f>
        <v>31-40</v>
      </c>
      <c r="P241" t="str" cm="1">
        <f t="array" ref="P241">_xlfn.IFS(F241&lt;=45,"45 or below",F241&lt;= 60,"46-60",F241&lt;=75,"61-75",F241&lt;=90,"76-90",F241&gt;90,"91 or above")</f>
        <v>61-75</v>
      </c>
      <c r="Q24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41" t="str" cm="1">
        <f t="array" ref="R241" xml:space="preserve"> _xlfn.IFS(Table3[[#This Row],[Flight Risk Score]] = "NA","NA",Table3[[#This Row],[Flight Risk Score]] &gt;= 70,"High Risk",Table3[[#This Row],[Flight Risk Score]] &gt;= 50, "Medium Risk", Table3[[#This Row],[Flight Risk Score]] &gt;= 30,"Low Risk",Table3[[#This Row],[Flight Risk Score]] &lt; 30,"Very Low Risk")</f>
        <v>NA</v>
      </c>
    </row>
    <row r="242" spans="1:18" x14ac:dyDescent="0.2">
      <c r="A242">
        <f>Table1[[#This Row],[Age]]</f>
        <v>39</v>
      </c>
      <c r="B242">
        <f>IF(Table3[[#This Row],[Attrition]] = "Yes", 1,0)</f>
        <v>0</v>
      </c>
      <c r="C242" t="str">
        <f>Table1[[#This Row],[Attrition]]</f>
        <v>No</v>
      </c>
      <c r="D242" t="str">
        <f>Table1[[#This Row],[Department]]</f>
        <v>Research &amp; Development</v>
      </c>
      <c r="E242">
        <f>Table1[[#This Row],[EnvironmentSatisfaction]]</f>
        <v>3</v>
      </c>
      <c r="F242">
        <f>Table1[[#This Row],[HourlyRate]]</f>
        <v>96</v>
      </c>
      <c r="G242" t="str">
        <f>Table1[[#This Row],[JobRole]]</f>
        <v>Laboratory Technician</v>
      </c>
      <c r="H242">
        <f>Table1[[#This Row],[JobSatisfaction]]</f>
        <v>3</v>
      </c>
      <c r="I242">
        <f>Table1[[#This Row],[YearsAtCompany]]</f>
        <v>3</v>
      </c>
      <c r="J242">
        <f>Table1[[#This Row],[YearsSinceLastPromotion]]</f>
        <v>1</v>
      </c>
      <c r="K242">
        <f>Table1[[#This Row],[EmployeeNumber]]</f>
        <v>332</v>
      </c>
      <c r="L242">
        <f>Table1[[#This Row],[DistanceFromHome]]</f>
        <v>1</v>
      </c>
      <c r="M242" t="str">
        <f>Table1[[#This Row],[OverTime]]</f>
        <v>No</v>
      </c>
      <c r="N242">
        <f>Table1[[#This Row],[WorkLifeBalance]]</f>
        <v>3</v>
      </c>
      <c r="O242" t="str" cm="1">
        <f t="array" ref="O242">_xlfn.IFS(A242&lt;=30,"18-30",A242&lt;=40,"31-40",A242&lt;=50,"41-50",A242&gt;50,"51+")</f>
        <v>31-40</v>
      </c>
      <c r="P242" t="str" cm="1">
        <f t="array" ref="P242">_xlfn.IFS(F242&lt;=45,"45 or below",F242&lt;= 60,"46-60",F242&lt;=75,"61-75",F242&lt;=90,"76-90",F242&gt;90,"91 or above")</f>
        <v>91 or above</v>
      </c>
      <c r="Q2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42" t="str" cm="1">
        <f t="array" ref="R2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3" spans="1:18" x14ac:dyDescent="0.2">
      <c r="A243">
        <f>Table1[[#This Row],[Age]]</f>
        <v>32</v>
      </c>
      <c r="B243">
        <f>IF(Table3[[#This Row],[Attrition]] = "Yes", 1,0)</f>
        <v>0</v>
      </c>
      <c r="C243" t="str">
        <f>Table1[[#This Row],[Attrition]]</f>
        <v>No</v>
      </c>
      <c r="D243" t="str">
        <f>Table1[[#This Row],[Department]]</f>
        <v>Sales</v>
      </c>
      <c r="E243">
        <f>Table1[[#This Row],[EnvironmentSatisfaction]]</f>
        <v>3</v>
      </c>
      <c r="F243">
        <f>Table1[[#This Row],[HourlyRate]]</f>
        <v>100</v>
      </c>
      <c r="G243" t="str">
        <f>Table1[[#This Row],[JobRole]]</f>
        <v>Sales Executive</v>
      </c>
      <c r="H243">
        <f>Table1[[#This Row],[JobSatisfaction]]</f>
        <v>4</v>
      </c>
      <c r="I243">
        <f>Table1[[#This Row],[YearsAtCompany]]</f>
        <v>3</v>
      </c>
      <c r="J243">
        <f>Table1[[#This Row],[YearsSinceLastPromotion]]</f>
        <v>2</v>
      </c>
      <c r="K243">
        <f>Table1[[#This Row],[EmployeeNumber]]</f>
        <v>333</v>
      </c>
      <c r="L243">
        <f>Table1[[#This Row],[DistanceFromHome]]</f>
        <v>26</v>
      </c>
      <c r="M243" t="str">
        <f>Table1[[#This Row],[OverTime]]</f>
        <v>No</v>
      </c>
      <c r="N243">
        <f>Table1[[#This Row],[WorkLifeBalance]]</f>
        <v>3</v>
      </c>
      <c r="O243" t="str" cm="1">
        <f t="array" ref="O243">_xlfn.IFS(A243&lt;=30,"18-30",A243&lt;=40,"31-40",A243&lt;=50,"41-50",A243&gt;50,"51+")</f>
        <v>31-40</v>
      </c>
      <c r="P243" t="str" cm="1">
        <f t="array" ref="P243">_xlfn.IFS(F243&lt;=45,"45 or below",F243&lt;= 60,"46-60",F243&lt;=75,"61-75",F243&lt;=90,"76-90",F243&gt;90,"91 or above")</f>
        <v>91 or above</v>
      </c>
      <c r="Q2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43" t="str" cm="1">
        <f t="array" ref="R2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4" spans="1:18" x14ac:dyDescent="0.2">
      <c r="A244">
        <f>Table1[[#This Row],[Age]]</f>
        <v>41</v>
      </c>
      <c r="B244">
        <f>IF(Table3[[#This Row],[Attrition]] = "Yes", 1,0)</f>
        <v>0</v>
      </c>
      <c r="C244" t="str">
        <f>Table1[[#This Row],[Attrition]]</f>
        <v>No</v>
      </c>
      <c r="D244" t="str">
        <f>Table1[[#This Row],[Department]]</f>
        <v>Research &amp; Development</v>
      </c>
      <c r="E244">
        <f>Table1[[#This Row],[EnvironmentSatisfaction]]</f>
        <v>3</v>
      </c>
      <c r="F244">
        <f>Table1[[#This Row],[HourlyRate]]</f>
        <v>36</v>
      </c>
      <c r="G244" t="str">
        <f>Table1[[#This Row],[JobRole]]</f>
        <v>Research Scientist</v>
      </c>
      <c r="H244">
        <f>Table1[[#This Row],[JobSatisfaction]]</f>
        <v>1</v>
      </c>
      <c r="I244">
        <f>Table1[[#This Row],[YearsAtCompany]]</f>
        <v>1</v>
      </c>
      <c r="J244">
        <f>Table1[[#This Row],[YearsSinceLastPromotion]]</f>
        <v>0</v>
      </c>
      <c r="K244">
        <f>Table1[[#This Row],[EmployeeNumber]]</f>
        <v>334</v>
      </c>
      <c r="L244">
        <f>Table1[[#This Row],[DistanceFromHome]]</f>
        <v>19</v>
      </c>
      <c r="M244" t="str">
        <f>Table1[[#This Row],[OverTime]]</f>
        <v>No</v>
      </c>
      <c r="N244">
        <f>Table1[[#This Row],[WorkLifeBalance]]</f>
        <v>2</v>
      </c>
      <c r="O244" t="str" cm="1">
        <f t="array" ref="O244">_xlfn.IFS(A244&lt;=30,"18-30",A244&lt;=40,"31-40",A244&lt;=50,"41-50",A244&gt;50,"51+")</f>
        <v>41-50</v>
      </c>
      <c r="P244" t="str" cm="1">
        <f t="array" ref="P244">_xlfn.IFS(F244&lt;=45,"45 or below",F244&lt;= 60,"46-60",F244&lt;=75,"61-75",F244&lt;=90,"76-90",F244&gt;90,"91 or above")</f>
        <v>45 or below</v>
      </c>
      <c r="Q2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44" t="str" cm="1">
        <f t="array" ref="R24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5" spans="1:18" x14ac:dyDescent="0.2">
      <c r="A245">
        <f>Table1[[#This Row],[Age]]</f>
        <v>40</v>
      </c>
      <c r="B245">
        <f>IF(Table3[[#This Row],[Attrition]] = "Yes", 1,0)</f>
        <v>0</v>
      </c>
      <c r="C245" t="str">
        <f>Table1[[#This Row],[Attrition]]</f>
        <v>No</v>
      </c>
      <c r="D245" t="str">
        <f>Table1[[#This Row],[Department]]</f>
        <v>Research &amp; Development</v>
      </c>
      <c r="E245">
        <f>Table1[[#This Row],[EnvironmentSatisfaction]]</f>
        <v>1</v>
      </c>
      <c r="F245">
        <f>Table1[[#This Row],[HourlyRate]]</f>
        <v>62</v>
      </c>
      <c r="G245" t="str">
        <f>Table1[[#This Row],[JobRole]]</f>
        <v>Research Scientist</v>
      </c>
      <c r="H245">
        <f>Table1[[#This Row],[JobSatisfaction]]</f>
        <v>4</v>
      </c>
      <c r="I245">
        <f>Table1[[#This Row],[YearsAtCompany]]</f>
        <v>9</v>
      </c>
      <c r="J245">
        <f>Table1[[#This Row],[YearsSinceLastPromotion]]</f>
        <v>4</v>
      </c>
      <c r="K245">
        <f>Table1[[#This Row],[EmployeeNumber]]</f>
        <v>335</v>
      </c>
      <c r="L245">
        <f>Table1[[#This Row],[DistanceFromHome]]</f>
        <v>24</v>
      </c>
      <c r="M245" t="str">
        <f>Table1[[#This Row],[OverTime]]</f>
        <v>No</v>
      </c>
      <c r="N245">
        <f>Table1[[#This Row],[WorkLifeBalance]]</f>
        <v>3</v>
      </c>
      <c r="O245" t="str" cm="1">
        <f t="array" ref="O245">_xlfn.IFS(A245&lt;=30,"18-30",A245&lt;=40,"31-40",A245&lt;=50,"41-50",A245&gt;50,"51+")</f>
        <v>31-40</v>
      </c>
      <c r="P245" t="str" cm="1">
        <f t="array" ref="P245">_xlfn.IFS(F245&lt;=45,"45 or below",F245&lt;= 60,"46-60",F245&lt;=75,"61-75",F245&lt;=90,"76-90",F245&gt;90,"91 or above")</f>
        <v>61-75</v>
      </c>
      <c r="Q2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45" t="str" cm="1">
        <f t="array" ref="R2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6" spans="1:18" x14ac:dyDescent="0.2">
      <c r="A246">
        <f>Table1[[#This Row],[Age]]</f>
        <v>45</v>
      </c>
      <c r="B246">
        <f>IF(Table3[[#This Row],[Attrition]] = "Yes", 1,0)</f>
        <v>0</v>
      </c>
      <c r="C246" t="str">
        <f>Table1[[#This Row],[Attrition]]</f>
        <v>No</v>
      </c>
      <c r="D246" t="str">
        <f>Table1[[#This Row],[Department]]</f>
        <v>Research &amp; Development</v>
      </c>
      <c r="E246">
        <f>Table1[[#This Row],[EnvironmentSatisfaction]]</f>
        <v>3</v>
      </c>
      <c r="F246">
        <f>Table1[[#This Row],[HourlyRate]]</f>
        <v>70</v>
      </c>
      <c r="G246" t="str">
        <f>Table1[[#This Row],[JobRole]]</f>
        <v>Manager</v>
      </c>
      <c r="H246">
        <f>Table1[[#This Row],[JobSatisfaction]]</f>
        <v>4</v>
      </c>
      <c r="I246">
        <f>Table1[[#This Row],[YearsAtCompany]]</f>
        <v>24</v>
      </c>
      <c r="J246">
        <f>Table1[[#This Row],[YearsSinceLastPromotion]]</f>
        <v>1</v>
      </c>
      <c r="K246">
        <f>Table1[[#This Row],[EmployeeNumber]]</f>
        <v>336</v>
      </c>
      <c r="L246">
        <f>Table1[[#This Row],[DistanceFromHome]]</f>
        <v>1</v>
      </c>
      <c r="M246" t="str">
        <f>Table1[[#This Row],[OverTime]]</f>
        <v>No</v>
      </c>
      <c r="N246">
        <f>Table1[[#This Row],[WorkLifeBalance]]</f>
        <v>3</v>
      </c>
      <c r="O246" t="str" cm="1">
        <f t="array" ref="O246">_xlfn.IFS(A246&lt;=30,"18-30",A246&lt;=40,"31-40",A246&lt;=50,"41-50",A246&gt;50,"51+")</f>
        <v>41-50</v>
      </c>
      <c r="P246" t="str" cm="1">
        <f t="array" ref="P246">_xlfn.IFS(F246&lt;=45,"45 or below",F246&lt;= 60,"46-60",F246&lt;=75,"61-75",F246&lt;=90,"76-90",F246&gt;90,"91 or above")</f>
        <v>61-75</v>
      </c>
      <c r="Q2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46" t="str" cm="1">
        <f t="array" ref="R2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7" spans="1:18" x14ac:dyDescent="0.2">
      <c r="A247">
        <f>Table1[[#This Row],[Age]]</f>
        <v>31</v>
      </c>
      <c r="B247">
        <f>IF(Table3[[#This Row],[Attrition]] = "Yes", 1,0)</f>
        <v>0</v>
      </c>
      <c r="C247" t="str">
        <f>Table1[[#This Row],[Attrition]]</f>
        <v>No</v>
      </c>
      <c r="D247" t="str">
        <f>Table1[[#This Row],[Department]]</f>
        <v>Research &amp; Development</v>
      </c>
      <c r="E247">
        <f>Table1[[#This Row],[EnvironmentSatisfaction]]</f>
        <v>2</v>
      </c>
      <c r="F247">
        <f>Table1[[#This Row],[HourlyRate]]</f>
        <v>73</v>
      </c>
      <c r="G247" t="str">
        <f>Table1[[#This Row],[JobRole]]</f>
        <v>Research Director</v>
      </c>
      <c r="H247">
        <f>Table1[[#This Row],[JobSatisfaction]]</f>
        <v>3</v>
      </c>
      <c r="I247">
        <f>Table1[[#This Row],[YearsAtCompany]]</f>
        <v>2</v>
      </c>
      <c r="J247">
        <f>Table1[[#This Row],[YearsSinceLastPromotion]]</f>
        <v>2</v>
      </c>
      <c r="K247">
        <f>Table1[[#This Row],[EmployeeNumber]]</f>
        <v>337</v>
      </c>
      <c r="L247">
        <f>Table1[[#This Row],[DistanceFromHome]]</f>
        <v>3</v>
      </c>
      <c r="M247" t="str">
        <f>Table1[[#This Row],[OverTime]]</f>
        <v>No</v>
      </c>
      <c r="N247">
        <f>Table1[[#This Row],[WorkLifeBalance]]</f>
        <v>3</v>
      </c>
      <c r="O247" t="str" cm="1">
        <f t="array" ref="O247">_xlfn.IFS(A247&lt;=30,"18-30",A247&lt;=40,"31-40",A247&lt;=50,"41-50",A247&gt;50,"51+")</f>
        <v>31-40</v>
      </c>
      <c r="P247" t="str" cm="1">
        <f t="array" ref="P247">_xlfn.IFS(F247&lt;=45,"45 or below",F247&lt;= 60,"46-60",F247&lt;=75,"61-75",F247&lt;=90,"76-90",F247&gt;90,"91 or above")</f>
        <v>61-75</v>
      </c>
      <c r="Q2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47" t="str" cm="1">
        <f t="array" ref="R24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8" spans="1:18" x14ac:dyDescent="0.2">
      <c r="A248">
        <f>Table1[[#This Row],[Age]]</f>
        <v>33</v>
      </c>
      <c r="B248">
        <f>IF(Table3[[#This Row],[Attrition]] = "Yes", 1,0)</f>
        <v>0</v>
      </c>
      <c r="C248" t="str">
        <f>Table1[[#This Row],[Attrition]]</f>
        <v>No</v>
      </c>
      <c r="D248" t="str">
        <f>Table1[[#This Row],[Department]]</f>
        <v>Research &amp; Development</v>
      </c>
      <c r="E248">
        <f>Table1[[#This Row],[EnvironmentSatisfaction]]</f>
        <v>3</v>
      </c>
      <c r="F248">
        <f>Table1[[#This Row],[HourlyRate]]</f>
        <v>63</v>
      </c>
      <c r="G248" t="str">
        <f>Table1[[#This Row],[JobRole]]</f>
        <v>Research Scientist</v>
      </c>
      <c r="H248">
        <f>Table1[[#This Row],[JobSatisfaction]]</f>
        <v>4</v>
      </c>
      <c r="I248">
        <f>Table1[[#This Row],[YearsAtCompany]]</f>
        <v>2</v>
      </c>
      <c r="J248">
        <f>Table1[[#This Row],[YearsSinceLastPromotion]]</f>
        <v>0</v>
      </c>
      <c r="K248">
        <f>Table1[[#This Row],[EmployeeNumber]]</f>
        <v>338</v>
      </c>
      <c r="L248">
        <f>Table1[[#This Row],[DistanceFromHome]]</f>
        <v>5</v>
      </c>
      <c r="M248" t="str">
        <f>Table1[[#This Row],[OverTime]]</f>
        <v>No</v>
      </c>
      <c r="N248">
        <f>Table1[[#This Row],[WorkLifeBalance]]</f>
        <v>2</v>
      </c>
      <c r="O248" t="str" cm="1">
        <f t="array" ref="O248">_xlfn.IFS(A248&lt;=30,"18-30",A248&lt;=40,"31-40",A248&lt;=50,"41-50",A248&gt;50,"51+")</f>
        <v>31-40</v>
      </c>
      <c r="P248" t="str" cm="1">
        <f t="array" ref="P248">_xlfn.IFS(F248&lt;=45,"45 or below",F248&lt;= 60,"46-60",F248&lt;=75,"61-75",F248&lt;=90,"76-90",F248&gt;90,"91 or above")</f>
        <v>61-75</v>
      </c>
      <c r="Q2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48" t="str" cm="1">
        <f t="array" ref="R2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49" spans="1:18" x14ac:dyDescent="0.2">
      <c r="A249">
        <f>Table1[[#This Row],[Age]]</f>
        <v>34</v>
      </c>
      <c r="B249">
        <f>IF(Table3[[#This Row],[Attrition]] = "Yes", 1,0)</f>
        <v>0</v>
      </c>
      <c r="C249" t="str">
        <f>Table1[[#This Row],[Attrition]]</f>
        <v>No</v>
      </c>
      <c r="D249" t="str">
        <f>Table1[[#This Row],[Department]]</f>
        <v>Research &amp; Development</v>
      </c>
      <c r="E249">
        <f>Table1[[#This Row],[EnvironmentSatisfaction]]</f>
        <v>4</v>
      </c>
      <c r="F249">
        <f>Table1[[#This Row],[HourlyRate]]</f>
        <v>84</v>
      </c>
      <c r="G249" t="str">
        <f>Table1[[#This Row],[JobRole]]</f>
        <v>Manufacturing Director</v>
      </c>
      <c r="H249">
        <f>Table1[[#This Row],[JobSatisfaction]]</f>
        <v>1</v>
      </c>
      <c r="I249">
        <f>Table1[[#This Row],[YearsAtCompany]]</f>
        <v>11</v>
      </c>
      <c r="J249">
        <f>Table1[[#This Row],[YearsSinceLastPromotion]]</f>
        <v>5</v>
      </c>
      <c r="K249">
        <f>Table1[[#This Row],[EmployeeNumber]]</f>
        <v>339</v>
      </c>
      <c r="L249">
        <f>Table1[[#This Row],[DistanceFromHome]]</f>
        <v>2</v>
      </c>
      <c r="M249" t="str">
        <f>Table1[[#This Row],[OverTime]]</f>
        <v>No</v>
      </c>
      <c r="N249">
        <f>Table1[[#This Row],[WorkLifeBalance]]</f>
        <v>3</v>
      </c>
      <c r="O249" t="str" cm="1">
        <f t="array" ref="O249">_xlfn.IFS(A249&lt;=30,"18-30",A249&lt;=40,"31-40",A249&lt;=50,"41-50",A249&gt;50,"51+")</f>
        <v>31-40</v>
      </c>
      <c r="P249" t="str" cm="1">
        <f t="array" ref="P249">_xlfn.IFS(F249&lt;=45,"45 or below",F249&lt;= 60,"46-60",F249&lt;=75,"61-75",F249&lt;=90,"76-90",F249&gt;90,"91 or above")</f>
        <v>76-90</v>
      </c>
      <c r="Q2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49" t="str" cm="1">
        <f t="array" ref="R2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0" spans="1:18" x14ac:dyDescent="0.2">
      <c r="A250">
        <f>Table1[[#This Row],[Age]]</f>
        <v>37</v>
      </c>
      <c r="B250">
        <f>IF(Table3[[#This Row],[Attrition]] = "Yes", 1,0)</f>
        <v>0</v>
      </c>
      <c r="C250" t="str">
        <f>Table1[[#This Row],[Attrition]]</f>
        <v>No</v>
      </c>
      <c r="D250" t="str">
        <f>Table1[[#This Row],[Department]]</f>
        <v>Research &amp; Development</v>
      </c>
      <c r="E250">
        <f>Table1[[#This Row],[EnvironmentSatisfaction]]</f>
        <v>3</v>
      </c>
      <c r="F250">
        <f>Table1[[#This Row],[HourlyRate]]</f>
        <v>83</v>
      </c>
      <c r="G250" t="str">
        <f>Table1[[#This Row],[JobRole]]</f>
        <v>Research Scientist</v>
      </c>
      <c r="H250">
        <f>Table1[[#This Row],[JobSatisfaction]]</f>
        <v>1</v>
      </c>
      <c r="I250">
        <f>Table1[[#This Row],[YearsAtCompany]]</f>
        <v>3</v>
      </c>
      <c r="J250">
        <f>Table1[[#This Row],[YearsSinceLastPromotion]]</f>
        <v>0</v>
      </c>
      <c r="K250">
        <f>Table1[[#This Row],[EmployeeNumber]]</f>
        <v>340</v>
      </c>
      <c r="L250">
        <f>Table1[[#This Row],[DistanceFromHome]]</f>
        <v>1</v>
      </c>
      <c r="M250" t="str">
        <f>Table1[[#This Row],[OverTime]]</f>
        <v>No</v>
      </c>
      <c r="N250">
        <f>Table1[[#This Row],[WorkLifeBalance]]</f>
        <v>2</v>
      </c>
      <c r="O250" t="str" cm="1">
        <f t="array" ref="O250">_xlfn.IFS(A250&lt;=30,"18-30",A250&lt;=40,"31-40",A250&lt;=50,"41-50",A250&gt;50,"51+")</f>
        <v>31-40</v>
      </c>
      <c r="P250" t="str" cm="1">
        <f t="array" ref="P250">_xlfn.IFS(F250&lt;=45,"45 or below",F250&lt;= 60,"46-60",F250&lt;=75,"61-75",F250&lt;=90,"76-90",F250&gt;90,"91 or above")</f>
        <v>76-90</v>
      </c>
      <c r="Q2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50" t="str" cm="1">
        <f t="array" ref="R2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1" spans="1:18" x14ac:dyDescent="0.2">
      <c r="A251">
        <f>Table1[[#This Row],[Age]]</f>
        <v>45</v>
      </c>
      <c r="B251">
        <f>IF(Table3[[#This Row],[Attrition]] = "Yes", 1,0)</f>
        <v>0</v>
      </c>
      <c r="C251" t="str">
        <f>Table1[[#This Row],[Attrition]]</f>
        <v>No</v>
      </c>
      <c r="D251" t="str">
        <f>Table1[[#This Row],[Department]]</f>
        <v>Research &amp; Development</v>
      </c>
      <c r="E251">
        <f>Table1[[#This Row],[EnvironmentSatisfaction]]</f>
        <v>1</v>
      </c>
      <c r="F251">
        <f>Table1[[#This Row],[HourlyRate]]</f>
        <v>77</v>
      </c>
      <c r="G251" t="str">
        <f>Table1[[#This Row],[JobRole]]</f>
        <v>Manufacturing Director</v>
      </c>
      <c r="H251">
        <f>Table1[[#This Row],[JobSatisfaction]]</f>
        <v>3</v>
      </c>
      <c r="I251">
        <f>Table1[[#This Row],[YearsAtCompany]]</f>
        <v>3</v>
      </c>
      <c r="J251">
        <f>Table1[[#This Row],[YearsSinceLastPromotion]]</f>
        <v>0</v>
      </c>
      <c r="K251">
        <f>Table1[[#This Row],[EmployeeNumber]]</f>
        <v>341</v>
      </c>
      <c r="L251">
        <f>Table1[[#This Row],[DistanceFromHome]]</f>
        <v>7</v>
      </c>
      <c r="M251" t="str">
        <f>Table1[[#This Row],[OverTime]]</f>
        <v>No</v>
      </c>
      <c r="N251">
        <f>Table1[[#This Row],[WorkLifeBalance]]</f>
        <v>3</v>
      </c>
      <c r="O251" t="str" cm="1">
        <f t="array" ref="O251">_xlfn.IFS(A251&lt;=30,"18-30",A251&lt;=40,"31-40",A251&lt;=50,"41-50",A251&gt;50,"51+")</f>
        <v>41-50</v>
      </c>
      <c r="P251" t="str" cm="1">
        <f t="array" ref="P251">_xlfn.IFS(F251&lt;=45,"45 or below",F251&lt;= 60,"46-60",F251&lt;=75,"61-75",F251&lt;=90,"76-90",F251&gt;90,"91 or above")</f>
        <v>76-90</v>
      </c>
      <c r="Q2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51" t="str" cm="1">
        <f t="array" ref="R2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2" spans="1:18" hidden="1" x14ac:dyDescent="0.2">
      <c r="A252">
        <f>Table1[[#This Row],[Age]]</f>
        <v>37</v>
      </c>
      <c r="B252">
        <f>IF(Table3[[#This Row],[Attrition]] = "Yes", 1,0)</f>
        <v>1</v>
      </c>
      <c r="C252" t="str">
        <f>Table1[[#This Row],[Attrition]]</f>
        <v>Yes</v>
      </c>
      <c r="D252" t="str">
        <f>Table1[[#This Row],[Department]]</f>
        <v>Research &amp; Development</v>
      </c>
      <c r="E252">
        <f>Table1[[#This Row],[EnvironmentSatisfaction]]</f>
        <v>1</v>
      </c>
      <c r="F252">
        <f>Table1[[#This Row],[HourlyRate]]</f>
        <v>61</v>
      </c>
      <c r="G252" t="str">
        <f>Table1[[#This Row],[JobRole]]</f>
        <v>Manufacturing Director</v>
      </c>
      <c r="H252">
        <f>Table1[[#This Row],[JobSatisfaction]]</f>
        <v>3</v>
      </c>
      <c r="I252">
        <f>Table1[[#This Row],[YearsAtCompany]]</f>
        <v>1</v>
      </c>
      <c r="J252">
        <f>Table1[[#This Row],[YearsSinceLastPromotion]]</f>
        <v>0</v>
      </c>
      <c r="K252">
        <f>Table1[[#This Row],[EmployeeNumber]]</f>
        <v>342</v>
      </c>
      <c r="L252">
        <f>Table1[[#This Row],[DistanceFromHome]]</f>
        <v>10</v>
      </c>
      <c r="M252" t="str">
        <f>Table1[[#This Row],[OverTime]]</f>
        <v>No</v>
      </c>
      <c r="N252">
        <f>Table1[[#This Row],[WorkLifeBalance]]</f>
        <v>3</v>
      </c>
      <c r="O252" t="str" cm="1">
        <f t="array" ref="O252">_xlfn.IFS(A252&lt;=30,"18-30",A252&lt;=40,"31-40",A252&lt;=50,"41-50",A252&gt;50,"51+")</f>
        <v>31-40</v>
      </c>
      <c r="P252" t="str" cm="1">
        <f t="array" ref="P252">_xlfn.IFS(F252&lt;=45,"45 or below",F252&lt;= 60,"46-60",F252&lt;=75,"61-75",F252&lt;=90,"76-90",F252&gt;90,"91 or above")</f>
        <v>61-75</v>
      </c>
      <c r="Q25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52" t="str" cm="1">
        <f t="array" ref="R252" xml:space="preserve"> _xlfn.IFS(Table3[[#This Row],[Flight Risk Score]] = "NA","NA",Table3[[#This Row],[Flight Risk Score]] &gt;= 70,"High Risk",Table3[[#This Row],[Flight Risk Score]] &gt;= 50, "Medium Risk", Table3[[#This Row],[Flight Risk Score]] &gt;= 30,"Low Risk",Table3[[#This Row],[Flight Risk Score]] &lt; 30,"Very Low Risk")</f>
        <v>NA</v>
      </c>
    </row>
    <row r="253" spans="1:18" x14ac:dyDescent="0.2">
      <c r="A253">
        <f>Table1[[#This Row],[Age]]</f>
        <v>39</v>
      </c>
      <c r="B253">
        <f>IF(Table3[[#This Row],[Attrition]] = "Yes", 1,0)</f>
        <v>0</v>
      </c>
      <c r="C253" t="str">
        <f>Table1[[#This Row],[Attrition]]</f>
        <v>No</v>
      </c>
      <c r="D253" t="str">
        <f>Table1[[#This Row],[Department]]</f>
        <v>Research &amp; Development</v>
      </c>
      <c r="E253">
        <f>Table1[[#This Row],[EnvironmentSatisfaction]]</f>
        <v>3</v>
      </c>
      <c r="F253">
        <f>Table1[[#This Row],[HourlyRate]]</f>
        <v>64</v>
      </c>
      <c r="G253" t="str">
        <f>Table1[[#This Row],[JobRole]]</f>
        <v>Healthcare Representative</v>
      </c>
      <c r="H253">
        <f>Table1[[#This Row],[JobSatisfaction]]</f>
        <v>3</v>
      </c>
      <c r="I253">
        <f>Table1[[#This Row],[YearsAtCompany]]</f>
        <v>19</v>
      </c>
      <c r="J253">
        <f>Table1[[#This Row],[YearsSinceLastPromotion]]</f>
        <v>11</v>
      </c>
      <c r="K253">
        <f>Table1[[#This Row],[EmployeeNumber]]</f>
        <v>343</v>
      </c>
      <c r="L253">
        <f>Table1[[#This Row],[DistanceFromHome]]</f>
        <v>2</v>
      </c>
      <c r="M253" t="str">
        <f>Table1[[#This Row],[OverTime]]</f>
        <v>No</v>
      </c>
      <c r="N253">
        <f>Table1[[#This Row],[WorkLifeBalance]]</f>
        <v>3</v>
      </c>
      <c r="O253" t="str" cm="1">
        <f t="array" ref="O253">_xlfn.IFS(A253&lt;=30,"18-30",A253&lt;=40,"31-40",A253&lt;=50,"41-50",A253&gt;50,"51+")</f>
        <v>31-40</v>
      </c>
      <c r="P253" t="str" cm="1">
        <f t="array" ref="P253">_xlfn.IFS(F253&lt;=45,"45 or below",F253&lt;= 60,"46-60",F253&lt;=75,"61-75",F253&lt;=90,"76-90",F253&gt;90,"91 or above")</f>
        <v>61-75</v>
      </c>
      <c r="Q2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53" t="str" cm="1">
        <f t="array" ref="R2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4" spans="1:18" x14ac:dyDescent="0.2">
      <c r="A254">
        <f>Table1[[#This Row],[Age]]</f>
        <v>29</v>
      </c>
      <c r="B254">
        <f>IF(Table3[[#This Row],[Attrition]] = "Yes", 1,0)</f>
        <v>0</v>
      </c>
      <c r="C254" t="str">
        <f>Table1[[#This Row],[Attrition]]</f>
        <v>No</v>
      </c>
      <c r="D254" t="str">
        <f>Table1[[#This Row],[Department]]</f>
        <v>Research &amp; Development</v>
      </c>
      <c r="E254">
        <f>Table1[[#This Row],[EnvironmentSatisfaction]]</f>
        <v>3</v>
      </c>
      <c r="F254">
        <f>Table1[[#This Row],[HourlyRate]]</f>
        <v>60</v>
      </c>
      <c r="G254" t="str">
        <f>Table1[[#This Row],[JobRole]]</f>
        <v>Research Scientist</v>
      </c>
      <c r="H254">
        <f>Table1[[#This Row],[JobSatisfaction]]</f>
        <v>4</v>
      </c>
      <c r="I254">
        <f>Table1[[#This Row],[YearsAtCompany]]</f>
        <v>6</v>
      </c>
      <c r="J254">
        <f>Table1[[#This Row],[YearsSinceLastPromotion]]</f>
        <v>1</v>
      </c>
      <c r="K254">
        <f>Table1[[#This Row],[EmployeeNumber]]</f>
        <v>346</v>
      </c>
      <c r="L254">
        <f>Table1[[#This Row],[DistanceFromHome]]</f>
        <v>15</v>
      </c>
      <c r="M254" t="str">
        <f>Table1[[#This Row],[OverTime]]</f>
        <v>No</v>
      </c>
      <c r="N254">
        <f>Table1[[#This Row],[WorkLifeBalance]]</f>
        <v>3</v>
      </c>
      <c r="O254" t="str" cm="1">
        <f t="array" ref="O254">_xlfn.IFS(A254&lt;=30,"18-30",A254&lt;=40,"31-40",A254&lt;=50,"41-50",A254&gt;50,"51+")</f>
        <v>18-30</v>
      </c>
      <c r="P254" t="str" cm="1">
        <f t="array" ref="P254">_xlfn.IFS(F254&lt;=45,"45 or below",F254&lt;= 60,"46-60",F254&lt;=75,"61-75",F254&lt;=90,"76-90",F254&gt;90,"91 or above")</f>
        <v>46-60</v>
      </c>
      <c r="Q2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54" t="str" cm="1">
        <f t="array" ref="R25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5" spans="1:18" x14ac:dyDescent="0.2">
      <c r="A255">
        <f>Table1[[#This Row],[Age]]</f>
        <v>42</v>
      </c>
      <c r="B255">
        <f>IF(Table3[[#This Row],[Attrition]] = "Yes", 1,0)</f>
        <v>0</v>
      </c>
      <c r="C255" t="str">
        <f>Table1[[#This Row],[Attrition]]</f>
        <v>No</v>
      </c>
      <c r="D255" t="str">
        <f>Table1[[#This Row],[Department]]</f>
        <v>Research &amp; Development</v>
      </c>
      <c r="E255">
        <f>Table1[[#This Row],[EnvironmentSatisfaction]]</f>
        <v>4</v>
      </c>
      <c r="F255">
        <f>Table1[[#This Row],[HourlyRate]]</f>
        <v>82</v>
      </c>
      <c r="G255" t="str">
        <f>Table1[[#This Row],[JobRole]]</f>
        <v>Research Scientist</v>
      </c>
      <c r="H255">
        <f>Table1[[#This Row],[JobSatisfaction]]</f>
        <v>1</v>
      </c>
      <c r="I255">
        <f>Table1[[#This Row],[YearsAtCompany]]</f>
        <v>3</v>
      </c>
      <c r="J255">
        <f>Table1[[#This Row],[YearsSinceLastPromotion]]</f>
        <v>0</v>
      </c>
      <c r="K255">
        <f>Table1[[#This Row],[EmployeeNumber]]</f>
        <v>347</v>
      </c>
      <c r="L255">
        <f>Table1[[#This Row],[DistanceFromHome]]</f>
        <v>17</v>
      </c>
      <c r="M255" t="str">
        <f>Table1[[#This Row],[OverTime]]</f>
        <v>Yes</v>
      </c>
      <c r="N255">
        <f>Table1[[#This Row],[WorkLifeBalance]]</f>
        <v>3</v>
      </c>
      <c r="O255" t="str" cm="1">
        <f t="array" ref="O255">_xlfn.IFS(A255&lt;=30,"18-30",A255&lt;=40,"31-40",A255&lt;=50,"41-50",A255&gt;50,"51+")</f>
        <v>41-50</v>
      </c>
      <c r="P255" t="str" cm="1">
        <f t="array" ref="P255">_xlfn.IFS(F255&lt;=45,"45 or below",F255&lt;= 60,"46-60",F255&lt;=75,"61-75",F255&lt;=90,"76-90",F255&gt;90,"91 or above")</f>
        <v>76-90</v>
      </c>
      <c r="Q2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55" t="str" cm="1">
        <f t="array" ref="R25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56" spans="1:18" x14ac:dyDescent="0.2">
      <c r="A256">
        <f>Table1[[#This Row],[Age]]</f>
        <v>29</v>
      </c>
      <c r="B256">
        <f>IF(Table3[[#This Row],[Attrition]] = "Yes", 1,0)</f>
        <v>0</v>
      </c>
      <c r="C256" t="str">
        <f>Table1[[#This Row],[Attrition]]</f>
        <v>No</v>
      </c>
      <c r="D256" t="str">
        <f>Table1[[#This Row],[Department]]</f>
        <v>Sales</v>
      </c>
      <c r="E256">
        <f>Table1[[#This Row],[EnvironmentSatisfaction]]</f>
        <v>4</v>
      </c>
      <c r="F256">
        <f>Table1[[#This Row],[HourlyRate]]</f>
        <v>45</v>
      </c>
      <c r="G256" t="str">
        <f>Table1[[#This Row],[JobRole]]</f>
        <v>Sales Executive</v>
      </c>
      <c r="H256">
        <f>Table1[[#This Row],[JobSatisfaction]]</f>
        <v>4</v>
      </c>
      <c r="I256">
        <f>Table1[[#This Row],[YearsAtCompany]]</f>
        <v>3</v>
      </c>
      <c r="J256">
        <f>Table1[[#This Row],[YearsSinceLastPromotion]]</f>
        <v>0</v>
      </c>
      <c r="K256">
        <f>Table1[[#This Row],[EmployeeNumber]]</f>
        <v>349</v>
      </c>
      <c r="L256">
        <f>Table1[[#This Row],[DistanceFromHome]]</f>
        <v>20</v>
      </c>
      <c r="M256" t="str">
        <f>Table1[[#This Row],[OverTime]]</f>
        <v>No</v>
      </c>
      <c r="N256">
        <f>Table1[[#This Row],[WorkLifeBalance]]</f>
        <v>3</v>
      </c>
      <c r="O256" t="str" cm="1">
        <f t="array" ref="O256">_xlfn.IFS(A256&lt;=30,"18-30",A256&lt;=40,"31-40",A256&lt;=50,"41-50",A256&gt;50,"51+")</f>
        <v>18-30</v>
      </c>
      <c r="P256" t="str" cm="1">
        <f t="array" ref="P256">_xlfn.IFS(F256&lt;=45,"45 or below",F256&lt;= 60,"46-60",F256&lt;=75,"61-75",F256&lt;=90,"76-90",F256&gt;90,"91 or above")</f>
        <v>45 or below</v>
      </c>
      <c r="Q2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56" t="str" cm="1">
        <f t="array" ref="R2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7" spans="1:18" x14ac:dyDescent="0.2">
      <c r="A257">
        <f>Table1[[#This Row],[Age]]</f>
        <v>25</v>
      </c>
      <c r="B257">
        <f>IF(Table3[[#This Row],[Attrition]] = "Yes", 1,0)</f>
        <v>0</v>
      </c>
      <c r="C257" t="str">
        <f>Table1[[#This Row],[Attrition]]</f>
        <v>No</v>
      </c>
      <c r="D257" t="str">
        <f>Table1[[#This Row],[Department]]</f>
        <v>Research &amp; Development</v>
      </c>
      <c r="E257">
        <f>Table1[[#This Row],[EnvironmentSatisfaction]]</f>
        <v>1</v>
      </c>
      <c r="F257">
        <f>Table1[[#This Row],[HourlyRate]]</f>
        <v>62</v>
      </c>
      <c r="G257" t="str">
        <f>Table1[[#This Row],[JobRole]]</f>
        <v>Manufacturing Director</v>
      </c>
      <c r="H257">
        <f>Table1[[#This Row],[JobSatisfaction]]</f>
        <v>3</v>
      </c>
      <c r="I257">
        <f>Table1[[#This Row],[YearsAtCompany]]</f>
        <v>4</v>
      </c>
      <c r="J257">
        <f>Table1[[#This Row],[YearsSinceLastPromotion]]</f>
        <v>1</v>
      </c>
      <c r="K257">
        <f>Table1[[#This Row],[EmployeeNumber]]</f>
        <v>350</v>
      </c>
      <c r="L257">
        <f>Table1[[#This Row],[DistanceFromHome]]</f>
        <v>1</v>
      </c>
      <c r="M257" t="str">
        <f>Table1[[#This Row],[OverTime]]</f>
        <v>No</v>
      </c>
      <c r="N257">
        <f>Table1[[#This Row],[WorkLifeBalance]]</f>
        <v>3</v>
      </c>
      <c r="O257" t="str" cm="1">
        <f t="array" ref="O257">_xlfn.IFS(A257&lt;=30,"18-30",A257&lt;=40,"31-40",A257&lt;=50,"41-50",A257&gt;50,"51+")</f>
        <v>18-30</v>
      </c>
      <c r="P257" t="str" cm="1">
        <f t="array" ref="P257">_xlfn.IFS(F257&lt;=45,"45 or below",F257&lt;= 60,"46-60",F257&lt;=75,"61-75",F257&lt;=90,"76-90",F257&gt;90,"91 or above")</f>
        <v>61-75</v>
      </c>
      <c r="Q2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57" t="str" cm="1">
        <f t="array" ref="R2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58" spans="1:18" x14ac:dyDescent="0.2">
      <c r="A258">
        <f>Table1[[#This Row],[Age]]</f>
        <v>42</v>
      </c>
      <c r="B258">
        <f>IF(Table3[[#This Row],[Attrition]] = "Yes", 1,0)</f>
        <v>0</v>
      </c>
      <c r="C258" t="str">
        <f>Table1[[#This Row],[Attrition]]</f>
        <v>No</v>
      </c>
      <c r="D258" t="str">
        <f>Table1[[#This Row],[Department]]</f>
        <v>Research &amp; Development</v>
      </c>
      <c r="E258">
        <f>Table1[[#This Row],[EnvironmentSatisfaction]]</f>
        <v>4</v>
      </c>
      <c r="F258">
        <f>Table1[[#This Row],[HourlyRate]]</f>
        <v>56</v>
      </c>
      <c r="G258" t="str">
        <f>Table1[[#This Row],[JobRole]]</f>
        <v>Laboratory Technician</v>
      </c>
      <c r="H258">
        <f>Table1[[#This Row],[JobSatisfaction]]</f>
        <v>1</v>
      </c>
      <c r="I258">
        <f>Table1[[#This Row],[YearsAtCompany]]</f>
        <v>9</v>
      </c>
      <c r="J258">
        <f>Table1[[#This Row],[YearsSinceLastPromotion]]</f>
        <v>7</v>
      </c>
      <c r="K258">
        <f>Table1[[#This Row],[EmployeeNumber]]</f>
        <v>351</v>
      </c>
      <c r="L258">
        <f>Table1[[#This Row],[DistanceFromHome]]</f>
        <v>2</v>
      </c>
      <c r="M258" t="str">
        <f>Table1[[#This Row],[OverTime]]</f>
        <v>Yes</v>
      </c>
      <c r="N258">
        <f>Table1[[#This Row],[WorkLifeBalance]]</f>
        <v>3</v>
      </c>
      <c r="O258" t="str" cm="1">
        <f t="array" ref="O258">_xlfn.IFS(A258&lt;=30,"18-30",A258&lt;=40,"31-40",A258&lt;=50,"41-50",A258&gt;50,"51+")</f>
        <v>41-50</v>
      </c>
      <c r="P258" t="str" cm="1">
        <f t="array" ref="P258">_xlfn.IFS(F258&lt;=45,"45 or below",F258&lt;= 60,"46-60",F258&lt;=75,"61-75",F258&lt;=90,"76-90",F258&gt;90,"91 or above")</f>
        <v>46-60</v>
      </c>
      <c r="Q2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58" t="str" cm="1">
        <f t="array" ref="R25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59" spans="1:18" x14ac:dyDescent="0.2">
      <c r="A259">
        <f>Table1[[#This Row],[Age]]</f>
        <v>40</v>
      </c>
      <c r="B259">
        <f>IF(Table3[[#This Row],[Attrition]] = "Yes", 1,0)</f>
        <v>0</v>
      </c>
      <c r="C259" t="str">
        <f>Table1[[#This Row],[Attrition]]</f>
        <v>No</v>
      </c>
      <c r="D259" t="str">
        <f>Table1[[#This Row],[Department]]</f>
        <v>Research &amp; Development</v>
      </c>
      <c r="E259">
        <f>Table1[[#This Row],[EnvironmentSatisfaction]]</f>
        <v>1</v>
      </c>
      <c r="F259">
        <f>Table1[[#This Row],[HourlyRate]]</f>
        <v>49</v>
      </c>
      <c r="G259" t="str">
        <f>Table1[[#This Row],[JobRole]]</f>
        <v>Research Director</v>
      </c>
      <c r="H259">
        <f>Table1[[#This Row],[JobSatisfaction]]</f>
        <v>3</v>
      </c>
      <c r="I259">
        <f>Table1[[#This Row],[YearsAtCompany]]</f>
        <v>21</v>
      </c>
      <c r="J259">
        <f>Table1[[#This Row],[YearsSinceLastPromotion]]</f>
        <v>3</v>
      </c>
      <c r="K259">
        <f>Table1[[#This Row],[EmployeeNumber]]</f>
        <v>352</v>
      </c>
      <c r="L259">
        <f>Table1[[#This Row],[DistanceFromHome]]</f>
        <v>2</v>
      </c>
      <c r="M259" t="str">
        <f>Table1[[#This Row],[OverTime]]</f>
        <v>No</v>
      </c>
      <c r="N259">
        <f>Table1[[#This Row],[WorkLifeBalance]]</f>
        <v>3</v>
      </c>
      <c r="O259" t="str" cm="1">
        <f t="array" ref="O259">_xlfn.IFS(A259&lt;=30,"18-30",A259&lt;=40,"31-40",A259&lt;=50,"41-50",A259&gt;50,"51+")</f>
        <v>31-40</v>
      </c>
      <c r="P259" t="str" cm="1">
        <f t="array" ref="P259">_xlfn.IFS(F259&lt;=45,"45 or below",F259&lt;= 60,"46-60",F259&lt;=75,"61-75",F259&lt;=90,"76-90",F259&gt;90,"91 or above")</f>
        <v>46-60</v>
      </c>
      <c r="Q2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59" t="str" cm="1">
        <f t="array" ref="R2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60" spans="1:18" x14ac:dyDescent="0.2">
      <c r="A260">
        <f>Table1[[#This Row],[Age]]</f>
        <v>51</v>
      </c>
      <c r="B260">
        <f>IF(Table3[[#This Row],[Attrition]] = "Yes", 1,0)</f>
        <v>0</v>
      </c>
      <c r="C260" t="str">
        <f>Table1[[#This Row],[Attrition]]</f>
        <v>No</v>
      </c>
      <c r="D260" t="str">
        <f>Table1[[#This Row],[Department]]</f>
        <v>Research &amp; Development</v>
      </c>
      <c r="E260">
        <f>Table1[[#This Row],[EnvironmentSatisfaction]]</f>
        <v>3</v>
      </c>
      <c r="F260">
        <f>Table1[[#This Row],[HourlyRate]]</f>
        <v>96</v>
      </c>
      <c r="G260" t="str">
        <f>Table1[[#This Row],[JobRole]]</f>
        <v>Research Scientist</v>
      </c>
      <c r="H260">
        <f>Table1[[#This Row],[JobSatisfaction]]</f>
        <v>4</v>
      </c>
      <c r="I260">
        <f>Table1[[#This Row],[YearsAtCompany]]</f>
        <v>1</v>
      </c>
      <c r="J260">
        <f>Table1[[#This Row],[YearsSinceLastPromotion]]</f>
        <v>0</v>
      </c>
      <c r="K260">
        <f>Table1[[#This Row],[EmployeeNumber]]</f>
        <v>353</v>
      </c>
      <c r="L260">
        <f>Table1[[#This Row],[DistanceFromHome]]</f>
        <v>1</v>
      </c>
      <c r="M260" t="str">
        <f>Table1[[#This Row],[OverTime]]</f>
        <v>No</v>
      </c>
      <c r="N260">
        <f>Table1[[#This Row],[WorkLifeBalance]]</f>
        <v>2</v>
      </c>
      <c r="O260" t="str" cm="1">
        <f t="array" ref="O260">_xlfn.IFS(A260&lt;=30,"18-30",A260&lt;=40,"31-40",A260&lt;=50,"41-50",A260&gt;50,"51+")</f>
        <v>51+</v>
      </c>
      <c r="P260" t="str" cm="1">
        <f t="array" ref="P260">_xlfn.IFS(F260&lt;=45,"45 or below",F260&lt;= 60,"46-60",F260&lt;=75,"61-75",F260&lt;=90,"76-90",F260&gt;90,"91 or above")</f>
        <v>91 or above</v>
      </c>
      <c r="Q2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60" t="str" cm="1">
        <f t="array" ref="R2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61" spans="1:18" hidden="1" x14ac:dyDescent="0.2">
      <c r="A261">
        <f>Table1[[#This Row],[Age]]</f>
        <v>31</v>
      </c>
      <c r="B261">
        <f>IF(Table3[[#This Row],[Attrition]] = "Yes", 1,0)</f>
        <v>1</v>
      </c>
      <c r="C261" t="str">
        <f>Table1[[#This Row],[Attrition]]</f>
        <v>Yes</v>
      </c>
      <c r="D261" t="str">
        <f>Table1[[#This Row],[Department]]</f>
        <v>Research &amp; Development</v>
      </c>
      <c r="E261">
        <f>Table1[[#This Row],[EnvironmentSatisfaction]]</f>
        <v>3</v>
      </c>
      <c r="F261">
        <f>Table1[[#This Row],[HourlyRate]]</f>
        <v>71</v>
      </c>
      <c r="G261" t="str">
        <f>Table1[[#This Row],[JobRole]]</f>
        <v>Laboratory Technician</v>
      </c>
      <c r="H261">
        <f>Table1[[#This Row],[JobSatisfaction]]</f>
        <v>2</v>
      </c>
      <c r="I261">
        <f>Table1[[#This Row],[YearsAtCompany]]</f>
        <v>5</v>
      </c>
      <c r="J261">
        <f>Table1[[#This Row],[YearsSinceLastPromotion]]</f>
        <v>1</v>
      </c>
      <c r="K261">
        <f>Table1[[#This Row],[EmployeeNumber]]</f>
        <v>355</v>
      </c>
      <c r="L261">
        <f>Table1[[#This Row],[DistanceFromHome]]</f>
        <v>29</v>
      </c>
      <c r="M261" t="str">
        <f>Table1[[#This Row],[OverTime]]</f>
        <v>No</v>
      </c>
      <c r="N261">
        <f>Table1[[#This Row],[WorkLifeBalance]]</f>
        <v>4</v>
      </c>
      <c r="O261" t="str" cm="1">
        <f t="array" ref="O261">_xlfn.IFS(A261&lt;=30,"18-30",A261&lt;=40,"31-40",A261&lt;=50,"41-50",A261&gt;50,"51+")</f>
        <v>31-40</v>
      </c>
      <c r="P261" t="str" cm="1">
        <f t="array" ref="P261">_xlfn.IFS(F261&lt;=45,"45 or below",F261&lt;= 60,"46-60",F261&lt;=75,"61-75",F261&lt;=90,"76-90",F261&gt;90,"91 or above")</f>
        <v>61-75</v>
      </c>
      <c r="Q26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61" t="str" cm="1">
        <f t="array" ref="R261" xml:space="preserve"> _xlfn.IFS(Table3[[#This Row],[Flight Risk Score]] = "NA","NA",Table3[[#This Row],[Flight Risk Score]] &gt;= 70,"High Risk",Table3[[#This Row],[Flight Risk Score]] &gt;= 50, "Medium Risk", Table3[[#This Row],[Flight Risk Score]] &gt;= 30,"Low Risk",Table3[[#This Row],[Flight Risk Score]] &lt; 30,"Very Low Risk")</f>
        <v>NA</v>
      </c>
    </row>
    <row r="262" spans="1:18" x14ac:dyDescent="0.2">
      <c r="A262">
        <f>Table1[[#This Row],[Age]]</f>
        <v>32</v>
      </c>
      <c r="B262">
        <f>IF(Table3[[#This Row],[Attrition]] = "Yes", 1,0)</f>
        <v>0</v>
      </c>
      <c r="C262" t="str">
        <f>Table1[[#This Row],[Attrition]]</f>
        <v>No</v>
      </c>
      <c r="D262" t="str">
        <f>Table1[[#This Row],[Department]]</f>
        <v>Research &amp; Development</v>
      </c>
      <c r="E262">
        <f>Table1[[#This Row],[EnvironmentSatisfaction]]</f>
        <v>2</v>
      </c>
      <c r="F262">
        <f>Table1[[#This Row],[HourlyRate]]</f>
        <v>100</v>
      </c>
      <c r="G262" t="str">
        <f>Table1[[#This Row],[JobRole]]</f>
        <v>Laboratory Technician</v>
      </c>
      <c r="H262">
        <f>Table1[[#This Row],[JobSatisfaction]]</f>
        <v>2</v>
      </c>
      <c r="I262">
        <f>Table1[[#This Row],[YearsAtCompany]]</f>
        <v>5</v>
      </c>
      <c r="J262">
        <f>Table1[[#This Row],[YearsSinceLastPromotion]]</f>
        <v>0</v>
      </c>
      <c r="K262">
        <f>Table1[[#This Row],[EmployeeNumber]]</f>
        <v>359</v>
      </c>
      <c r="L262">
        <f>Table1[[#This Row],[DistanceFromHome]]</f>
        <v>7</v>
      </c>
      <c r="M262" t="str">
        <f>Table1[[#This Row],[OverTime]]</f>
        <v>No</v>
      </c>
      <c r="N262">
        <f>Table1[[#This Row],[WorkLifeBalance]]</f>
        <v>1</v>
      </c>
      <c r="O262" t="str" cm="1">
        <f t="array" ref="O262">_xlfn.IFS(A262&lt;=30,"18-30",A262&lt;=40,"31-40",A262&lt;=50,"41-50",A262&gt;50,"51+")</f>
        <v>31-40</v>
      </c>
      <c r="P262" t="str" cm="1">
        <f t="array" ref="P262">_xlfn.IFS(F262&lt;=45,"45 or below",F262&lt;= 60,"46-60",F262&lt;=75,"61-75",F262&lt;=90,"76-90",F262&gt;90,"91 or above")</f>
        <v>91 or above</v>
      </c>
      <c r="Q2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262" t="str" cm="1">
        <f t="array" ref="R26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63" spans="1:18" x14ac:dyDescent="0.2">
      <c r="A263">
        <f>Table1[[#This Row],[Age]]</f>
        <v>38</v>
      </c>
      <c r="B263">
        <f>IF(Table3[[#This Row],[Attrition]] = "Yes", 1,0)</f>
        <v>0</v>
      </c>
      <c r="C263" t="str">
        <f>Table1[[#This Row],[Attrition]]</f>
        <v>No</v>
      </c>
      <c r="D263" t="str">
        <f>Table1[[#This Row],[Department]]</f>
        <v>Sales</v>
      </c>
      <c r="E263">
        <f>Table1[[#This Row],[EnvironmentSatisfaction]]</f>
        <v>4</v>
      </c>
      <c r="F263">
        <f>Table1[[#This Row],[HourlyRate]]</f>
        <v>39</v>
      </c>
      <c r="G263" t="str">
        <f>Table1[[#This Row],[JobRole]]</f>
        <v>Sales Executive</v>
      </c>
      <c r="H263">
        <f>Table1[[#This Row],[JobSatisfaction]]</f>
        <v>4</v>
      </c>
      <c r="I263">
        <f>Table1[[#This Row],[YearsAtCompany]]</f>
        <v>8</v>
      </c>
      <c r="J263">
        <f>Table1[[#This Row],[YearsSinceLastPromotion]]</f>
        <v>7</v>
      </c>
      <c r="K263">
        <f>Table1[[#This Row],[EmployeeNumber]]</f>
        <v>361</v>
      </c>
      <c r="L263">
        <f>Table1[[#This Row],[DistanceFromHome]]</f>
        <v>2</v>
      </c>
      <c r="M263" t="str">
        <f>Table1[[#This Row],[OverTime]]</f>
        <v>No</v>
      </c>
      <c r="N263">
        <f>Table1[[#This Row],[WorkLifeBalance]]</f>
        <v>3</v>
      </c>
      <c r="O263" t="str" cm="1">
        <f t="array" ref="O263">_xlfn.IFS(A263&lt;=30,"18-30",A263&lt;=40,"31-40",A263&lt;=50,"41-50",A263&gt;50,"51+")</f>
        <v>31-40</v>
      </c>
      <c r="P263" t="str" cm="1">
        <f t="array" ref="P263">_xlfn.IFS(F263&lt;=45,"45 or below",F263&lt;= 60,"46-60",F263&lt;=75,"61-75",F263&lt;=90,"76-90",F263&gt;90,"91 or above")</f>
        <v>45 or below</v>
      </c>
      <c r="Q2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63" t="str" cm="1">
        <f t="array" ref="R2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64" spans="1:18" x14ac:dyDescent="0.2">
      <c r="A264">
        <f>Table1[[#This Row],[Age]]</f>
        <v>32</v>
      </c>
      <c r="B264">
        <f>IF(Table3[[#This Row],[Attrition]] = "Yes", 1,0)</f>
        <v>0</v>
      </c>
      <c r="C264" t="str">
        <f>Table1[[#This Row],[Attrition]]</f>
        <v>No</v>
      </c>
      <c r="D264" t="str">
        <f>Table1[[#This Row],[Department]]</f>
        <v>Research &amp; Development</v>
      </c>
      <c r="E264">
        <f>Table1[[#This Row],[EnvironmentSatisfaction]]</f>
        <v>4</v>
      </c>
      <c r="F264">
        <f>Table1[[#This Row],[HourlyRate]]</f>
        <v>84</v>
      </c>
      <c r="G264" t="str">
        <f>Table1[[#This Row],[JobRole]]</f>
        <v>Laboratory Technician</v>
      </c>
      <c r="H264">
        <f>Table1[[#This Row],[JobSatisfaction]]</f>
        <v>1</v>
      </c>
      <c r="I264">
        <f>Table1[[#This Row],[YearsAtCompany]]</f>
        <v>6</v>
      </c>
      <c r="J264">
        <f>Table1[[#This Row],[YearsSinceLastPromotion]]</f>
        <v>0</v>
      </c>
      <c r="K264">
        <f>Table1[[#This Row],[EmployeeNumber]]</f>
        <v>362</v>
      </c>
      <c r="L264">
        <f>Table1[[#This Row],[DistanceFromHome]]</f>
        <v>2</v>
      </c>
      <c r="M264" t="str">
        <f>Table1[[#This Row],[OverTime]]</f>
        <v>No</v>
      </c>
      <c r="N264">
        <f>Table1[[#This Row],[WorkLifeBalance]]</f>
        <v>3</v>
      </c>
      <c r="O264" t="str" cm="1">
        <f t="array" ref="O264">_xlfn.IFS(A264&lt;=30,"18-30",A264&lt;=40,"31-40",A264&lt;=50,"41-50",A264&gt;50,"51+")</f>
        <v>31-40</v>
      </c>
      <c r="P264" t="str" cm="1">
        <f t="array" ref="P264">_xlfn.IFS(F264&lt;=45,"45 or below",F264&lt;= 60,"46-60",F264&lt;=75,"61-75",F264&lt;=90,"76-90",F264&gt;90,"91 or above")</f>
        <v>76-90</v>
      </c>
      <c r="Q2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64" t="str" cm="1">
        <f t="array" ref="R26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65" spans="1:18" x14ac:dyDescent="0.2">
      <c r="A265">
        <f>Table1[[#This Row],[Age]]</f>
        <v>46</v>
      </c>
      <c r="B265">
        <f>IF(Table3[[#This Row],[Attrition]] = "Yes", 1,0)</f>
        <v>0</v>
      </c>
      <c r="C265" t="str">
        <f>Table1[[#This Row],[Attrition]]</f>
        <v>No</v>
      </c>
      <c r="D265" t="str">
        <f>Table1[[#This Row],[Department]]</f>
        <v>Sales</v>
      </c>
      <c r="E265">
        <f>Table1[[#This Row],[EnvironmentSatisfaction]]</f>
        <v>3</v>
      </c>
      <c r="F265">
        <f>Table1[[#This Row],[HourlyRate]]</f>
        <v>75</v>
      </c>
      <c r="G265" t="str">
        <f>Table1[[#This Row],[JobRole]]</f>
        <v>Manager</v>
      </c>
      <c r="H265">
        <f>Table1[[#This Row],[JobSatisfaction]]</f>
        <v>2</v>
      </c>
      <c r="I265">
        <f>Table1[[#This Row],[YearsAtCompany]]</f>
        <v>7</v>
      </c>
      <c r="J265">
        <f>Table1[[#This Row],[YearsSinceLastPromotion]]</f>
        <v>7</v>
      </c>
      <c r="K265">
        <f>Table1[[#This Row],[EmployeeNumber]]</f>
        <v>363</v>
      </c>
      <c r="L265">
        <f>Table1[[#This Row],[DistanceFromHome]]</f>
        <v>2</v>
      </c>
      <c r="M265" t="str">
        <f>Table1[[#This Row],[OverTime]]</f>
        <v>Yes</v>
      </c>
      <c r="N265">
        <f>Table1[[#This Row],[WorkLifeBalance]]</f>
        <v>2</v>
      </c>
      <c r="O265" t="str" cm="1">
        <f t="array" ref="O265">_xlfn.IFS(A265&lt;=30,"18-30",A265&lt;=40,"31-40",A265&lt;=50,"41-50",A265&gt;50,"51+")</f>
        <v>41-50</v>
      </c>
      <c r="P265" t="str" cm="1">
        <f t="array" ref="P265">_xlfn.IFS(F265&lt;=45,"45 or below",F265&lt;= 60,"46-60",F265&lt;=75,"61-75",F265&lt;=90,"76-90",F265&gt;90,"91 or above")</f>
        <v>61-75</v>
      </c>
      <c r="Q2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65" t="str" cm="1">
        <f t="array" ref="R26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66" spans="1:18" hidden="1" x14ac:dyDescent="0.2">
      <c r="A266">
        <f>Table1[[#This Row],[Age]]</f>
        <v>28</v>
      </c>
      <c r="B266">
        <f>IF(Table3[[#This Row],[Attrition]] = "Yes", 1,0)</f>
        <v>1</v>
      </c>
      <c r="C266" t="str">
        <f>Table1[[#This Row],[Attrition]]</f>
        <v>Yes</v>
      </c>
      <c r="D266" t="str">
        <f>Table1[[#This Row],[Department]]</f>
        <v>Research &amp; Development</v>
      </c>
      <c r="E266">
        <f>Table1[[#This Row],[EnvironmentSatisfaction]]</f>
        <v>1</v>
      </c>
      <c r="F266">
        <f>Table1[[#This Row],[HourlyRate]]</f>
        <v>79</v>
      </c>
      <c r="G266" t="str">
        <f>Table1[[#This Row],[JobRole]]</f>
        <v>Laboratory Technician</v>
      </c>
      <c r="H266">
        <f>Table1[[#This Row],[JobSatisfaction]]</f>
        <v>3</v>
      </c>
      <c r="I266">
        <f>Table1[[#This Row],[YearsAtCompany]]</f>
        <v>0</v>
      </c>
      <c r="J266">
        <f>Table1[[#This Row],[YearsSinceLastPromotion]]</f>
        <v>0</v>
      </c>
      <c r="K266">
        <f>Table1[[#This Row],[EmployeeNumber]]</f>
        <v>364</v>
      </c>
      <c r="L266">
        <f>Table1[[#This Row],[DistanceFromHome]]</f>
        <v>2</v>
      </c>
      <c r="M266" t="str">
        <f>Table1[[#This Row],[OverTime]]</f>
        <v>No</v>
      </c>
      <c r="N266">
        <f>Table1[[#This Row],[WorkLifeBalance]]</f>
        <v>1</v>
      </c>
      <c r="O266" t="str" cm="1">
        <f t="array" ref="O266">_xlfn.IFS(A266&lt;=30,"18-30",A266&lt;=40,"31-40",A266&lt;=50,"41-50",A266&gt;50,"51+")</f>
        <v>18-30</v>
      </c>
      <c r="P266" t="str" cm="1">
        <f t="array" ref="P266">_xlfn.IFS(F266&lt;=45,"45 or below",F266&lt;= 60,"46-60",F266&lt;=75,"61-75",F266&lt;=90,"76-90",F266&gt;90,"91 or above")</f>
        <v>76-90</v>
      </c>
      <c r="Q26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66" t="str" cm="1">
        <f t="array" ref="R266" xml:space="preserve"> _xlfn.IFS(Table3[[#This Row],[Flight Risk Score]] = "NA","NA",Table3[[#This Row],[Flight Risk Score]] &gt;= 70,"High Risk",Table3[[#This Row],[Flight Risk Score]] &gt;= 50, "Medium Risk", Table3[[#This Row],[Flight Risk Score]] &gt;= 30,"Low Risk",Table3[[#This Row],[Flight Risk Score]] &lt; 30,"Very Low Risk")</f>
        <v>NA</v>
      </c>
    </row>
    <row r="267" spans="1:18" x14ac:dyDescent="0.2">
      <c r="A267">
        <f>Table1[[#This Row],[Age]]</f>
        <v>29</v>
      </c>
      <c r="B267">
        <f>IF(Table3[[#This Row],[Attrition]] = "Yes", 1,0)</f>
        <v>0</v>
      </c>
      <c r="C267" t="str">
        <f>Table1[[#This Row],[Attrition]]</f>
        <v>No</v>
      </c>
      <c r="D267" t="str">
        <f>Table1[[#This Row],[Department]]</f>
        <v>Sales</v>
      </c>
      <c r="E267">
        <f>Table1[[#This Row],[EnvironmentSatisfaction]]</f>
        <v>1</v>
      </c>
      <c r="F267">
        <f>Table1[[#This Row],[HourlyRate]]</f>
        <v>78</v>
      </c>
      <c r="G267" t="str">
        <f>Table1[[#This Row],[JobRole]]</f>
        <v>Sales Executive</v>
      </c>
      <c r="H267">
        <f>Table1[[#This Row],[JobSatisfaction]]</f>
        <v>2</v>
      </c>
      <c r="I267">
        <f>Table1[[#This Row],[YearsAtCompany]]</f>
        <v>0</v>
      </c>
      <c r="J267">
        <f>Table1[[#This Row],[YearsSinceLastPromotion]]</f>
        <v>0</v>
      </c>
      <c r="K267">
        <f>Table1[[#This Row],[EmployeeNumber]]</f>
        <v>366</v>
      </c>
      <c r="L267">
        <f>Table1[[#This Row],[DistanceFromHome]]</f>
        <v>2</v>
      </c>
      <c r="M267" t="str">
        <f>Table1[[#This Row],[OverTime]]</f>
        <v>No</v>
      </c>
      <c r="N267">
        <f>Table1[[#This Row],[WorkLifeBalance]]</f>
        <v>3</v>
      </c>
      <c r="O267" t="str" cm="1">
        <f t="array" ref="O267">_xlfn.IFS(A267&lt;=30,"18-30",A267&lt;=40,"31-40",A267&lt;=50,"41-50",A267&gt;50,"51+")</f>
        <v>18-30</v>
      </c>
      <c r="P267" t="str" cm="1">
        <f t="array" ref="P267">_xlfn.IFS(F267&lt;=45,"45 or below",F267&lt;= 60,"46-60",F267&lt;=75,"61-75",F267&lt;=90,"76-90",F267&gt;90,"91 or above")</f>
        <v>76-90</v>
      </c>
      <c r="Q2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267" t="str" cm="1">
        <f t="array" ref="R267" xml:space="preserve"> _xlfn.IFS(Table3[[#This Row],[Flight Risk Score]] = "NA","NA",Table3[[#This Row],[Flight Risk Score]] &gt;= 70,"High Risk",Table3[[#This Row],[Flight Risk Score]] &gt;= 50, "Medium Risk", Table3[[#This Row],[Flight Risk Score]] &gt;= 30,"Low Risk",Table3[[#This Row],[Flight Risk Score]] &lt; 30,"Very Low Risk")</f>
        <v>Low Risk</v>
      </c>
    </row>
    <row r="268" spans="1:18" x14ac:dyDescent="0.2">
      <c r="A268">
        <f>Table1[[#This Row],[Age]]</f>
        <v>31</v>
      </c>
      <c r="B268">
        <f>IF(Table3[[#This Row],[Attrition]] = "Yes", 1,0)</f>
        <v>0</v>
      </c>
      <c r="C268" t="str">
        <f>Table1[[#This Row],[Attrition]]</f>
        <v>No</v>
      </c>
      <c r="D268" t="str">
        <f>Table1[[#This Row],[Department]]</f>
        <v>Research &amp; Development</v>
      </c>
      <c r="E268">
        <f>Table1[[#This Row],[EnvironmentSatisfaction]]</f>
        <v>2</v>
      </c>
      <c r="F268">
        <f>Table1[[#This Row],[HourlyRate]]</f>
        <v>64</v>
      </c>
      <c r="G268" t="str">
        <f>Table1[[#This Row],[JobRole]]</f>
        <v>Healthcare Representative</v>
      </c>
      <c r="H268">
        <f>Table1[[#This Row],[JobSatisfaction]]</f>
        <v>4</v>
      </c>
      <c r="I268">
        <f>Table1[[#This Row],[YearsAtCompany]]</f>
        <v>9</v>
      </c>
      <c r="J268">
        <f>Table1[[#This Row],[YearsSinceLastPromotion]]</f>
        <v>7</v>
      </c>
      <c r="K268">
        <f>Table1[[#This Row],[EmployeeNumber]]</f>
        <v>367</v>
      </c>
      <c r="L268">
        <f>Table1[[#This Row],[DistanceFromHome]]</f>
        <v>23</v>
      </c>
      <c r="M268" t="str">
        <f>Table1[[#This Row],[OverTime]]</f>
        <v>No</v>
      </c>
      <c r="N268">
        <f>Table1[[#This Row],[WorkLifeBalance]]</f>
        <v>3</v>
      </c>
      <c r="O268" t="str" cm="1">
        <f t="array" ref="O268">_xlfn.IFS(A268&lt;=30,"18-30",A268&lt;=40,"31-40",A268&lt;=50,"41-50",A268&gt;50,"51+")</f>
        <v>31-40</v>
      </c>
      <c r="P268" t="str" cm="1">
        <f t="array" ref="P268">_xlfn.IFS(F268&lt;=45,"45 or below",F268&lt;= 60,"46-60",F268&lt;=75,"61-75",F268&lt;=90,"76-90",F268&gt;90,"91 or above")</f>
        <v>61-75</v>
      </c>
      <c r="Q2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68" t="str" cm="1">
        <f t="array" ref="R26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69" spans="1:18" x14ac:dyDescent="0.2">
      <c r="A269">
        <f>Table1[[#This Row],[Age]]</f>
        <v>25</v>
      </c>
      <c r="B269">
        <f>IF(Table3[[#This Row],[Attrition]] = "Yes", 1,0)</f>
        <v>0</v>
      </c>
      <c r="C269" t="str">
        <f>Table1[[#This Row],[Attrition]]</f>
        <v>No</v>
      </c>
      <c r="D269" t="str">
        <f>Table1[[#This Row],[Department]]</f>
        <v>Research &amp; Development</v>
      </c>
      <c r="E269">
        <f>Table1[[#This Row],[EnvironmentSatisfaction]]</f>
        <v>2</v>
      </c>
      <c r="F269">
        <f>Table1[[#This Row],[HourlyRate]]</f>
        <v>85</v>
      </c>
      <c r="G269" t="str">
        <f>Table1[[#This Row],[JobRole]]</f>
        <v>Healthcare Representative</v>
      </c>
      <c r="H269">
        <f>Table1[[#This Row],[JobSatisfaction]]</f>
        <v>1</v>
      </c>
      <c r="I269">
        <f>Table1[[#This Row],[YearsAtCompany]]</f>
        <v>6</v>
      </c>
      <c r="J269">
        <f>Table1[[#This Row],[YearsSinceLastPromotion]]</f>
        <v>1</v>
      </c>
      <c r="K269">
        <f>Table1[[#This Row],[EmployeeNumber]]</f>
        <v>369</v>
      </c>
      <c r="L269">
        <f>Table1[[#This Row],[DistanceFromHome]]</f>
        <v>5</v>
      </c>
      <c r="M269" t="str">
        <f>Table1[[#This Row],[OverTime]]</f>
        <v>No</v>
      </c>
      <c r="N269">
        <f>Table1[[#This Row],[WorkLifeBalance]]</f>
        <v>3</v>
      </c>
      <c r="O269" t="str" cm="1">
        <f t="array" ref="O269">_xlfn.IFS(A269&lt;=30,"18-30",A269&lt;=40,"31-40",A269&lt;=50,"41-50",A269&gt;50,"51+")</f>
        <v>18-30</v>
      </c>
      <c r="P269" t="str" cm="1">
        <f t="array" ref="P269">_xlfn.IFS(F269&lt;=45,"45 or below",F269&lt;= 60,"46-60",F269&lt;=75,"61-75",F269&lt;=90,"76-90",F269&gt;90,"91 or above")</f>
        <v>76-90</v>
      </c>
      <c r="Q2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269" t="str" cm="1">
        <f t="array" ref="R2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270" spans="1:18" x14ac:dyDescent="0.2">
      <c r="A270">
        <f>Table1[[#This Row],[Age]]</f>
        <v>45</v>
      </c>
      <c r="B270">
        <f>IF(Table3[[#This Row],[Attrition]] = "Yes", 1,0)</f>
        <v>0</v>
      </c>
      <c r="C270" t="str">
        <f>Table1[[#This Row],[Attrition]]</f>
        <v>No</v>
      </c>
      <c r="D270" t="str">
        <f>Table1[[#This Row],[Department]]</f>
        <v>Research &amp; Development</v>
      </c>
      <c r="E270">
        <f>Table1[[#This Row],[EnvironmentSatisfaction]]</f>
        <v>3</v>
      </c>
      <c r="F270">
        <f>Table1[[#This Row],[HourlyRate]]</f>
        <v>79</v>
      </c>
      <c r="G270" t="str">
        <f>Table1[[#This Row],[JobRole]]</f>
        <v>Healthcare Representative</v>
      </c>
      <c r="H270">
        <f>Table1[[#This Row],[JobSatisfaction]]</f>
        <v>4</v>
      </c>
      <c r="I270">
        <f>Table1[[#This Row],[YearsAtCompany]]</f>
        <v>20</v>
      </c>
      <c r="J270">
        <f>Table1[[#This Row],[YearsSinceLastPromotion]]</f>
        <v>4</v>
      </c>
      <c r="K270">
        <f>Table1[[#This Row],[EmployeeNumber]]</f>
        <v>372</v>
      </c>
      <c r="L270">
        <f>Table1[[#This Row],[DistanceFromHome]]</f>
        <v>20</v>
      </c>
      <c r="M270" t="str">
        <f>Table1[[#This Row],[OverTime]]</f>
        <v>Yes</v>
      </c>
      <c r="N270">
        <f>Table1[[#This Row],[WorkLifeBalance]]</f>
        <v>3</v>
      </c>
      <c r="O270" t="str" cm="1">
        <f t="array" ref="O270">_xlfn.IFS(A270&lt;=30,"18-30",A270&lt;=40,"31-40",A270&lt;=50,"41-50",A270&gt;50,"51+")</f>
        <v>41-50</v>
      </c>
      <c r="P270" t="str" cm="1">
        <f t="array" ref="P270">_xlfn.IFS(F270&lt;=45,"45 or below",F270&lt;= 60,"46-60",F270&lt;=75,"61-75",F270&lt;=90,"76-90",F270&gt;90,"91 or above")</f>
        <v>76-90</v>
      </c>
      <c r="Q2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70" t="str" cm="1">
        <f t="array" ref="R270" xml:space="preserve"> _xlfn.IFS(Table3[[#This Row],[Flight Risk Score]] = "NA","NA",Table3[[#This Row],[Flight Risk Score]] &gt;= 70,"High Risk",Table3[[#This Row],[Flight Risk Score]] &gt;= 50, "Medium Risk", Table3[[#This Row],[Flight Risk Score]] &gt;= 30,"Low Risk",Table3[[#This Row],[Flight Risk Score]] &lt; 30,"Very Low Risk")</f>
        <v>Low Risk</v>
      </c>
    </row>
    <row r="271" spans="1:18" x14ac:dyDescent="0.2">
      <c r="A271">
        <f>Table1[[#This Row],[Age]]</f>
        <v>36</v>
      </c>
      <c r="B271">
        <f>IF(Table3[[#This Row],[Attrition]] = "Yes", 1,0)</f>
        <v>0</v>
      </c>
      <c r="C271" t="str">
        <f>Table1[[#This Row],[Attrition]]</f>
        <v>No</v>
      </c>
      <c r="D271" t="str">
        <f>Table1[[#This Row],[Department]]</f>
        <v>Research &amp; Development</v>
      </c>
      <c r="E271">
        <f>Table1[[#This Row],[EnvironmentSatisfaction]]</f>
        <v>4</v>
      </c>
      <c r="F271">
        <f>Table1[[#This Row],[HourlyRate]]</f>
        <v>47</v>
      </c>
      <c r="G271" t="str">
        <f>Table1[[#This Row],[JobRole]]</f>
        <v>Laboratory Technician</v>
      </c>
      <c r="H271">
        <f>Table1[[#This Row],[JobSatisfaction]]</f>
        <v>4</v>
      </c>
      <c r="I271">
        <f>Table1[[#This Row],[YearsAtCompany]]</f>
        <v>15</v>
      </c>
      <c r="J271">
        <f>Table1[[#This Row],[YearsSinceLastPromotion]]</f>
        <v>10</v>
      </c>
      <c r="K271">
        <f>Table1[[#This Row],[EmployeeNumber]]</f>
        <v>373</v>
      </c>
      <c r="L271">
        <f>Table1[[#This Row],[DistanceFromHome]]</f>
        <v>6</v>
      </c>
      <c r="M271" t="str">
        <f>Table1[[#This Row],[OverTime]]</f>
        <v>No</v>
      </c>
      <c r="N271">
        <f>Table1[[#This Row],[WorkLifeBalance]]</f>
        <v>3</v>
      </c>
      <c r="O271" t="str" cm="1">
        <f t="array" ref="O271">_xlfn.IFS(A271&lt;=30,"18-30",A271&lt;=40,"31-40",A271&lt;=50,"41-50",A271&gt;50,"51+")</f>
        <v>31-40</v>
      </c>
      <c r="P271" t="str" cm="1">
        <f t="array" ref="P271">_xlfn.IFS(F271&lt;=45,"45 or below",F271&lt;= 60,"46-60",F271&lt;=75,"61-75",F271&lt;=90,"76-90",F271&gt;90,"91 or above")</f>
        <v>46-60</v>
      </c>
      <c r="Q2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71" t="str" cm="1">
        <f t="array" ref="R2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72" spans="1:18" x14ac:dyDescent="0.2">
      <c r="A272">
        <f>Table1[[#This Row],[Age]]</f>
        <v>55</v>
      </c>
      <c r="B272">
        <f>IF(Table3[[#This Row],[Attrition]] = "Yes", 1,0)</f>
        <v>0</v>
      </c>
      <c r="C272" t="str">
        <f>Table1[[#This Row],[Attrition]]</f>
        <v>No</v>
      </c>
      <c r="D272" t="str">
        <f>Table1[[#This Row],[Department]]</f>
        <v>Research &amp; Development</v>
      </c>
      <c r="E272">
        <f>Table1[[#This Row],[EnvironmentSatisfaction]]</f>
        <v>4</v>
      </c>
      <c r="F272">
        <f>Table1[[#This Row],[HourlyRate]]</f>
        <v>81</v>
      </c>
      <c r="G272" t="str">
        <f>Table1[[#This Row],[JobRole]]</f>
        <v>Manager</v>
      </c>
      <c r="H272">
        <f>Table1[[#This Row],[JobSatisfaction]]</f>
        <v>1</v>
      </c>
      <c r="I272">
        <f>Table1[[#This Row],[YearsAtCompany]]</f>
        <v>36</v>
      </c>
      <c r="J272">
        <f>Table1[[#This Row],[YearsSinceLastPromotion]]</f>
        <v>4</v>
      </c>
      <c r="K272">
        <f>Table1[[#This Row],[EmployeeNumber]]</f>
        <v>374</v>
      </c>
      <c r="L272">
        <f>Table1[[#This Row],[DistanceFromHome]]</f>
        <v>1</v>
      </c>
      <c r="M272" t="str">
        <f>Table1[[#This Row],[OverTime]]</f>
        <v>Yes</v>
      </c>
      <c r="N272">
        <f>Table1[[#This Row],[WorkLifeBalance]]</f>
        <v>3</v>
      </c>
      <c r="O272" t="str" cm="1">
        <f t="array" ref="O272">_xlfn.IFS(A272&lt;=30,"18-30",A272&lt;=40,"31-40",A272&lt;=50,"41-50",A272&gt;50,"51+")</f>
        <v>51+</v>
      </c>
      <c r="P272" t="str" cm="1">
        <f t="array" ref="P272">_xlfn.IFS(F272&lt;=45,"45 or below",F272&lt;= 60,"46-60",F272&lt;=75,"61-75",F272&lt;=90,"76-90",F272&gt;90,"91 or above")</f>
        <v>76-90</v>
      </c>
      <c r="Q2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72" t="str" cm="1">
        <f t="array" ref="R27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73" spans="1:18" hidden="1" x14ac:dyDescent="0.2">
      <c r="A273">
        <f>Table1[[#This Row],[Age]]</f>
        <v>47</v>
      </c>
      <c r="B273">
        <f>IF(Table3[[#This Row],[Attrition]] = "Yes", 1,0)</f>
        <v>1</v>
      </c>
      <c r="C273" t="str">
        <f>Table1[[#This Row],[Attrition]]</f>
        <v>Yes</v>
      </c>
      <c r="D273" t="str">
        <f>Table1[[#This Row],[Department]]</f>
        <v>Research &amp; Development</v>
      </c>
      <c r="E273">
        <f>Table1[[#This Row],[EnvironmentSatisfaction]]</f>
        <v>1</v>
      </c>
      <c r="F273">
        <f>Table1[[#This Row],[HourlyRate]]</f>
        <v>88</v>
      </c>
      <c r="G273" t="str">
        <f>Table1[[#This Row],[JobRole]]</f>
        <v>Manager</v>
      </c>
      <c r="H273">
        <f>Table1[[#This Row],[JobSatisfaction]]</f>
        <v>2</v>
      </c>
      <c r="I273">
        <f>Table1[[#This Row],[YearsAtCompany]]</f>
        <v>10</v>
      </c>
      <c r="J273">
        <f>Table1[[#This Row],[YearsSinceLastPromotion]]</f>
        <v>9</v>
      </c>
      <c r="K273">
        <f>Table1[[#This Row],[EmployeeNumber]]</f>
        <v>376</v>
      </c>
      <c r="L273">
        <f>Table1[[#This Row],[DistanceFromHome]]</f>
        <v>29</v>
      </c>
      <c r="M273" t="str">
        <f>Table1[[#This Row],[OverTime]]</f>
        <v>Yes</v>
      </c>
      <c r="N273">
        <f>Table1[[#This Row],[WorkLifeBalance]]</f>
        <v>2</v>
      </c>
      <c r="O273" t="str" cm="1">
        <f t="array" ref="O273">_xlfn.IFS(A273&lt;=30,"18-30",A273&lt;=40,"31-40",A273&lt;=50,"41-50",A273&gt;50,"51+")</f>
        <v>41-50</v>
      </c>
      <c r="P273" t="str" cm="1">
        <f t="array" ref="P273">_xlfn.IFS(F273&lt;=45,"45 or below",F273&lt;= 60,"46-60",F273&lt;=75,"61-75",F273&lt;=90,"76-90",F273&gt;90,"91 or above")</f>
        <v>76-90</v>
      </c>
      <c r="Q27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73" t="str" cm="1">
        <f t="array" ref="R273" xml:space="preserve"> _xlfn.IFS(Table3[[#This Row],[Flight Risk Score]] = "NA","NA",Table3[[#This Row],[Flight Risk Score]] &gt;= 70,"High Risk",Table3[[#This Row],[Flight Risk Score]] &gt;= 50, "Medium Risk", Table3[[#This Row],[Flight Risk Score]] &gt;= 30,"Low Risk",Table3[[#This Row],[Flight Risk Score]] &lt; 30,"Very Low Risk")</f>
        <v>NA</v>
      </c>
    </row>
    <row r="274" spans="1:18" x14ac:dyDescent="0.2">
      <c r="A274">
        <f>Table1[[#This Row],[Age]]</f>
        <v>28</v>
      </c>
      <c r="B274">
        <f>IF(Table3[[#This Row],[Attrition]] = "Yes", 1,0)</f>
        <v>0</v>
      </c>
      <c r="C274" t="str">
        <f>Table1[[#This Row],[Attrition]]</f>
        <v>No</v>
      </c>
      <c r="D274" t="str">
        <f>Table1[[#This Row],[Department]]</f>
        <v>Research &amp; Development</v>
      </c>
      <c r="E274">
        <f>Table1[[#This Row],[EnvironmentSatisfaction]]</f>
        <v>4</v>
      </c>
      <c r="F274">
        <f>Table1[[#This Row],[HourlyRate]]</f>
        <v>94</v>
      </c>
      <c r="G274" t="str">
        <f>Table1[[#This Row],[JobRole]]</f>
        <v>Research Scientist</v>
      </c>
      <c r="H274">
        <f>Table1[[#This Row],[JobSatisfaction]]</f>
        <v>4</v>
      </c>
      <c r="I274">
        <f>Table1[[#This Row],[YearsAtCompany]]</f>
        <v>5</v>
      </c>
      <c r="J274">
        <f>Table1[[#This Row],[YearsSinceLastPromotion]]</f>
        <v>0</v>
      </c>
      <c r="K274">
        <f>Table1[[#This Row],[EmployeeNumber]]</f>
        <v>377</v>
      </c>
      <c r="L274">
        <f>Table1[[#This Row],[DistanceFromHome]]</f>
        <v>9</v>
      </c>
      <c r="M274" t="str">
        <f>Table1[[#This Row],[OverTime]]</f>
        <v>No</v>
      </c>
      <c r="N274">
        <f>Table1[[#This Row],[WorkLifeBalance]]</f>
        <v>2</v>
      </c>
      <c r="O274" t="str" cm="1">
        <f t="array" ref="O274">_xlfn.IFS(A274&lt;=30,"18-30",A274&lt;=40,"31-40",A274&lt;=50,"41-50",A274&gt;50,"51+")</f>
        <v>18-30</v>
      </c>
      <c r="P274" t="str" cm="1">
        <f t="array" ref="P274">_xlfn.IFS(F274&lt;=45,"45 or below",F274&lt;= 60,"46-60",F274&lt;=75,"61-75",F274&lt;=90,"76-90",F274&gt;90,"91 or above")</f>
        <v>91 or above</v>
      </c>
      <c r="Q2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74" t="str" cm="1">
        <f t="array" ref="R2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75" spans="1:18" x14ac:dyDescent="0.2">
      <c r="A275">
        <f>Table1[[#This Row],[Age]]</f>
        <v>37</v>
      </c>
      <c r="B275">
        <f>IF(Table3[[#This Row],[Attrition]] = "Yes", 1,0)</f>
        <v>0</v>
      </c>
      <c r="C275" t="str">
        <f>Table1[[#This Row],[Attrition]]</f>
        <v>No</v>
      </c>
      <c r="D275" t="str">
        <f>Table1[[#This Row],[Department]]</f>
        <v>Sales</v>
      </c>
      <c r="E275">
        <f>Table1[[#This Row],[EnvironmentSatisfaction]]</f>
        <v>3</v>
      </c>
      <c r="F275">
        <f>Table1[[#This Row],[HourlyRate]]</f>
        <v>98</v>
      </c>
      <c r="G275" t="str">
        <f>Table1[[#This Row],[JobRole]]</f>
        <v>Sales Executive</v>
      </c>
      <c r="H275">
        <f>Table1[[#This Row],[JobSatisfaction]]</f>
        <v>4</v>
      </c>
      <c r="I275">
        <f>Table1[[#This Row],[YearsAtCompany]]</f>
        <v>5</v>
      </c>
      <c r="J275">
        <f>Table1[[#This Row],[YearsSinceLastPromotion]]</f>
        <v>0</v>
      </c>
      <c r="K275">
        <f>Table1[[#This Row],[EmployeeNumber]]</f>
        <v>378</v>
      </c>
      <c r="L275">
        <f>Table1[[#This Row],[DistanceFromHome]]</f>
        <v>6</v>
      </c>
      <c r="M275" t="str">
        <f>Table1[[#This Row],[OverTime]]</f>
        <v>No</v>
      </c>
      <c r="N275">
        <f>Table1[[#This Row],[WorkLifeBalance]]</f>
        <v>4</v>
      </c>
      <c r="O275" t="str" cm="1">
        <f t="array" ref="O275">_xlfn.IFS(A275&lt;=30,"18-30",A275&lt;=40,"31-40",A275&lt;=50,"41-50",A275&gt;50,"51+")</f>
        <v>31-40</v>
      </c>
      <c r="P275" t="str" cm="1">
        <f t="array" ref="P275">_xlfn.IFS(F275&lt;=45,"45 or below",F275&lt;= 60,"46-60",F275&lt;=75,"61-75",F275&lt;=90,"76-90",F275&gt;90,"91 or above")</f>
        <v>91 or above</v>
      </c>
      <c r="Q2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75" t="str" cm="1">
        <f t="array" ref="R2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76" spans="1:18" x14ac:dyDescent="0.2">
      <c r="A276">
        <f>Table1[[#This Row],[Age]]</f>
        <v>21</v>
      </c>
      <c r="B276">
        <f>IF(Table3[[#This Row],[Attrition]] = "Yes", 1,0)</f>
        <v>0</v>
      </c>
      <c r="C276" t="str">
        <f>Table1[[#This Row],[Attrition]]</f>
        <v>No</v>
      </c>
      <c r="D276" t="str">
        <f>Table1[[#This Row],[Department]]</f>
        <v>Research &amp; Development</v>
      </c>
      <c r="E276">
        <f>Table1[[#This Row],[EnvironmentSatisfaction]]</f>
        <v>4</v>
      </c>
      <c r="F276">
        <f>Table1[[#This Row],[HourlyRate]]</f>
        <v>100</v>
      </c>
      <c r="G276" t="str">
        <f>Table1[[#This Row],[JobRole]]</f>
        <v>Research Scientist</v>
      </c>
      <c r="H276">
        <f>Table1[[#This Row],[JobSatisfaction]]</f>
        <v>3</v>
      </c>
      <c r="I276">
        <f>Table1[[#This Row],[YearsAtCompany]]</f>
        <v>3</v>
      </c>
      <c r="J276">
        <f>Table1[[#This Row],[YearsSinceLastPromotion]]</f>
        <v>1</v>
      </c>
      <c r="K276">
        <f>Table1[[#This Row],[EmployeeNumber]]</f>
        <v>379</v>
      </c>
      <c r="L276">
        <f>Table1[[#This Row],[DistanceFromHome]]</f>
        <v>3</v>
      </c>
      <c r="M276" t="str">
        <f>Table1[[#This Row],[OverTime]]</f>
        <v>No</v>
      </c>
      <c r="N276">
        <f>Table1[[#This Row],[WorkLifeBalance]]</f>
        <v>4</v>
      </c>
      <c r="O276" t="str" cm="1">
        <f t="array" ref="O276">_xlfn.IFS(A276&lt;=30,"18-30",A276&lt;=40,"31-40",A276&lt;=50,"41-50",A276&gt;50,"51+")</f>
        <v>18-30</v>
      </c>
      <c r="P276" t="str" cm="1">
        <f t="array" ref="P276">_xlfn.IFS(F276&lt;=45,"45 or below",F276&lt;= 60,"46-60",F276&lt;=75,"61-75",F276&lt;=90,"76-90",F276&gt;90,"91 or above")</f>
        <v>91 or above</v>
      </c>
      <c r="Q2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76" t="str" cm="1">
        <f t="array" ref="R2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77" spans="1:18" x14ac:dyDescent="0.2">
      <c r="A277">
        <f>Table1[[#This Row],[Age]]</f>
        <v>37</v>
      </c>
      <c r="B277">
        <f>IF(Table3[[#This Row],[Attrition]] = "Yes", 1,0)</f>
        <v>0</v>
      </c>
      <c r="C277" t="str">
        <f>Table1[[#This Row],[Attrition]]</f>
        <v>No</v>
      </c>
      <c r="D277" t="str">
        <f>Table1[[#This Row],[Department]]</f>
        <v>Research &amp; Development</v>
      </c>
      <c r="E277">
        <f>Table1[[#This Row],[EnvironmentSatisfaction]]</f>
        <v>1</v>
      </c>
      <c r="F277">
        <f>Table1[[#This Row],[HourlyRate]]</f>
        <v>80</v>
      </c>
      <c r="G277" t="str">
        <f>Table1[[#This Row],[JobRole]]</f>
        <v>Research Director</v>
      </c>
      <c r="H277">
        <f>Table1[[#This Row],[JobSatisfaction]]</f>
        <v>4</v>
      </c>
      <c r="I277">
        <f>Table1[[#This Row],[YearsAtCompany]]</f>
        <v>5</v>
      </c>
      <c r="J277">
        <f>Table1[[#This Row],[YearsSinceLastPromotion]]</f>
        <v>0</v>
      </c>
      <c r="K277">
        <f>Table1[[#This Row],[EmployeeNumber]]</f>
        <v>380</v>
      </c>
      <c r="L277">
        <f>Table1[[#This Row],[DistanceFromHome]]</f>
        <v>1</v>
      </c>
      <c r="M277" t="str">
        <f>Table1[[#This Row],[OverTime]]</f>
        <v>Yes</v>
      </c>
      <c r="N277">
        <f>Table1[[#This Row],[WorkLifeBalance]]</f>
        <v>3</v>
      </c>
      <c r="O277" t="str" cm="1">
        <f t="array" ref="O277">_xlfn.IFS(A277&lt;=30,"18-30",A277&lt;=40,"31-40",A277&lt;=50,"41-50",A277&gt;50,"51+")</f>
        <v>31-40</v>
      </c>
      <c r="P277" t="str" cm="1">
        <f t="array" ref="P277">_xlfn.IFS(F277&lt;=45,"45 or below",F277&lt;= 60,"46-60",F277&lt;=75,"61-75",F277&lt;=90,"76-90",F277&gt;90,"91 or above")</f>
        <v>76-90</v>
      </c>
      <c r="Q2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77" t="str" cm="1">
        <f t="array" ref="R27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78" spans="1:18" x14ac:dyDescent="0.2">
      <c r="A278">
        <f>Table1[[#This Row],[Age]]</f>
        <v>35</v>
      </c>
      <c r="B278">
        <f>IF(Table3[[#This Row],[Attrition]] = "Yes", 1,0)</f>
        <v>0</v>
      </c>
      <c r="C278" t="str">
        <f>Table1[[#This Row],[Attrition]]</f>
        <v>No</v>
      </c>
      <c r="D278" t="str">
        <f>Table1[[#This Row],[Department]]</f>
        <v>Research &amp; Development</v>
      </c>
      <c r="E278">
        <f>Table1[[#This Row],[EnvironmentSatisfaction]]</f>
        <v>2</v>
      </c>
      <c r="F278">
        <f>Table1[[#This Row],[HourlyRate]]</f>
        <v>71</v>
      </c>
      <c r="G278" t="str">
        <f>Table1[[#This Row],[JobRole]]</f>
        <v>Manager</v>
      </c>
      <c r="H278">
        <f>Table1[[#This Row],[JobSatisfaction]]</f>
        <v>2</v>
      </c>
      <c r="I278">
        <f>Table1[[#This Row],[YearsAtCompany]]</f>
        <v>7</v>
      </c>
      <c r="J278">
        <f>Table1[[#This Row],[YearsSinceLastPromotion]]</f>
        <v>6</v>
      </c>
      <c r="K278">
        <f>Table1[[#This Row],[EmployeeNumber]]</f>
        <v>381</v>
      </c>
      <c r="L278">
        <f>Table1[[#This Row],[DistanceFromHome]]</f>
        <v>22</v>
      </c>
      <c r="M278" t="str">
        <f>Table1[[#This Row],[OverTime]]</f>
        <v>No</v>
      </c>
      <c r="N278">
        <f>Table1[[#This Row],[WorkLifeBalance]]</f>
        <v>2</v>
      </c>
      <c r="O278" t="str" cm="1">
        <f t="array" ref="O278">_xlfn.IFS(A278&lt;=30,"18-30",A278&lt;=40,"31-40",A278&lt;=50,"41-50",A278&gt;50,"51+")</f>
        <v>31-40</v>
      </c>
      <c r="P278" t="str" cm="1">
        <f t="array" ref="P278">_xlfn.IFS(F278&lt;=45,"45 or below",F278&lt;= 60,"46-60",F278&lt;=75,"61-75",F278&lt;=90,"76-90",F278&gt;90,"91 or above")</f>
        <v>61-75</v>
      </c>
      <c r="Q2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278" t="str" cm="1">
        <f t="array" ref="R278" xml:space="preserve"> _xlfn.IFS(Table3[[#This Row],[Flight Risk Score]] = "NA","NA",Table3[[#This Row],[Flight Risk Score]] &gt;= 70,"High Risk",Table3[[#This Row],[Flight Risk Score]] &gt;= 50, "Medium Risk", Table3[[#This Row],[Flight Risk Score]] &gt;= 30,"Low Risk",Table3[[#This Row],[Flight Risk Score]] &lt; 30,"Very Low Risk")</f>
        <v>Low Risk</v>
      </c>
    </row>
    <row r="279" spans="1:18" x14ac:dyDescent="0.2">
      <c r="A279">
        <f>Table1[[#This Row],[Age]]</f>
        <v>38</v>
      </c>
      <c r="B279">
        <f>IF(Table3[[#This Row],[Attrition]] = "Yes", 1,0)</f>
        <v>0</v>
      </c>
      <c r="C279" t="str">
        <f>Table1[[#This Row],[Attrition]]</f>
        <v>No</v>
      </c>
      <c r="D279" t="str">
        <f>Table1[[#This Row],[Department]]</f>
        <v>Sales</v>
      </c>
      <c r="E279">
        <f>Table1[[#This Row],[EnvironmentSatisfaction]]</f>
        <v>1</v>
      </c>
      <c r="F279">
        <f>Table1[[#This Row],[HourlyRate]]</f>
        <v>44</v>
      </c>
      <c r="G279" t="str">
        <f>Table1[[#This Row],[JobRole]]</f>
        <v>Sales Executive</v>
      </c>
      <c r="H279">
        <f>Table1[[#This Row],[JobSatisfaction]]</f>
        <v>1</v>
      </c>
      <c r="I279">
        <f>Table1[[#This Row],[YearsAtCompany]]</f>
        <v>8</v>
      </c>
      <c r="J279">
        <f>Table1[[#This Row],[YearsSinceLastPromotion]]</f>
        <v>7</v>
      </c>
      <c r="K279">
        <f>Table1[[#This Row],[EmployeeNumber]]</f>
        <v>382</v>
      </c>
      <c r="L279">
        <f>Table1[[#This Row],[DistanceFromHome]]</f>
        <v>7</v>
      </c>
      <c r="M279" t="str">
        <f>Table1[[#This Row],[OverTime]]</f>
        <v>Yes</v>
      </c>
      <c r="N279">
        <f>Table1[[#This Row],[WorkLifeBalance]]</f>
        <v>3</v>
      </c>
      <c r="O279" t="str" cm="1">
        <f t="array" ref="O279">_xlfn.IFS(A279&lt;=30,"18-30",A279&lt;=40,"31-40",A279&lt;=50,"41-50",A279&gt;50,"51+")</f>
        <v>31-40</v>
      </c>
      <c r="P279" t="str" cm="1">
        <f t="array" ref="P279">_xlfn.IFS(F279&lt;=45,"45 or below",F279&lt;= 60,"46-60",F279&lt;=75,"61-75",F279&lt;=90,"76-90",F279&gt;90,"91 or above")</f>
        <v>45 or below</v>
      </c>
      <c r="Q2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279" t="str" cm="1">
        <f t="array" ref="R27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80" spans="1:18" x14ac:dyDescent="0.2">
      <c r="A280">
        <f>Table1[[#This Row],[Age]]</f>
        <v>26</v>
      </c>
      <c r="B280">
        <f>IF(Table3[[#This Row],[Attrition]] = "Yes", 1,0)</f>
        <v>0</v>
      </c>
      <c r="C280" t="str">
        <f>Table1[[#This Row],[Attrition]]</f>
        <v>No</v>
      </c>
      <c r="D280" t="str">
        <f>Table1[[#This Row],[Department]]</f>
        <v>Research &amp; Development</v>
      </c>
      <c r="E280">
        <f>Table1[[#This Row],[EnvironmentSatisfaction]]</f>
        <v>3</v>
      </c>
      <c r="F280">
        <f>Table1[[#This Row],[HourlyRate]]</f>
        <v>84</v>
      </c>
      <c r="G280" t="str">
        <f>Table1[[#This Row],[JobRole]]</f>
        <v>Manufacturing Director</v>
      </c>
      <c r="H280">
        <f>Table1[[#This Row],[JobSatisfaction]]</f>
        <v>2</v>
      </c>
      <c r="I280">
        <f>Table1[[#This Row],[YearsAtCompany]]</f>
        <v>6</v>
      </c>
      <c r="J280">
        <f>Table1[[#This Row],[YearsSinceLastPromotion]]</f>
        <v>1</v>
      </c>
      <c r="K280">
        <f>Table1[[#This Row],[EmployeeNumber]]</f>
        <v>384</v>
      </c>
      <c r="L280">
        <f>Table1[[#This Row],[DistanceFromHome]]</f>
        <v>1</v>
      </c>
      <c r="M280" t="str">
        <f>Table1[[#This Row],[OverTime]]</f>
        <v>No</v>
      </c>
      <c r="N280">
        <f>Table1[[#This Row],[WorkLifeBalance]]</f>
        <v>1</v>
      </c>
      <c r="O280" t="str" cm="1">
        <f t="array" ref="O280">_xlfn.IFS(A280&lt;=30,"18-30",A280&lt;=40,"31-40",A280&lt;=50,"41-50",A280&gt;50,"51+")</f>
        <v>18-30</v>
      </c>
      <c r="P280" t="str" cm="1">
        <f t="array" ref="P280">_xlfn.IFS(F280&lt;=45,"45 or below",F280&lt;= 60,"46-60",F280&lt;=75,"61-75",F280&lt;=90,"76-90",F280&gt;90,"91 or above")</f>
        <v>76-90</v>
      </c>
      <c r="Q2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80" t="str" cm="1">
        <f t="array" ref="R28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81" spans="1:18" x14ac:dyDescent="0.2">
      <c r="A281">
        <f>Table1[[#This Row],[Age]]</f>
        <v>50</v>
      </c>
      <c r="B281">
        <f>IF(Table3[[#This Row],[Attrition]] = "Yes", 1,0)</f>
        <v>0</v>
      </c>
      <c r="C281" t="str">
        <f>Table1[[#This Row],[Attrition]]</f>
        <v>No</v>
      </c>
      <c r="D281" t="str">
        <f>Table1[[#This Row],[Department]]</f>
        <v>Research &amp; Development</v>
      </c>
      <c r="E281">
        <f>Table1[[#This Row],[EnvironmentSatisfaction]]</f>
        <v>1</v>
      </c>
      <c r="F281">
        <f>Table1[[#This Row],[HourlyRate]]</f>
        <v>96</v>
      </c>
      <c r="G281" t="str">
        <f>Table1[[#This Row],[JobRole]]</f>
        <v>Research Director</v>
      </c>
      <c r="H281">
        <f>Table1[[#This Row],[JobSatisfaction]]</f>
        <v>2</v>
      </c>
      <c r="I281">
        <f>Table1[[#This Row],[YearsAtCompany]]</f>
        <v>10</v>
      </c>
      <c r="J281">
        <f>Table1[[#This Row],[YearsSinceLastPromotion]]</f>
        <v>1</v>
      </c>
      <c r="K281">
        <f>Table1[[#This Row],[EmployeeNumber]]</f>
        <v>385</v>
      </c>
      <c r="L281">
        <f>Table1[[#This Row],[DistanceFromHome]]</f>
        <v>4</v>
      </c>
      <c r="M281" t="str">
        <f>Table1[[#This Row],[OverTime]]</f>
        <v>No</v>
      </c>
      <c r="N281">
        <f>Table1[[#This Row],[WorkLifeBalance]]</f>
        <v>2</v>
      </c>
      <c r="O281" t="str" cm="1">
        <f t="array" ref="O281">_xlfn.IFS(A281&lt;=30,"18-30",A281&lt;=40,"31-40",A281&lt;=50,"41-50",A281&gt;50,"51+")</f>
        <v>41-50</v>
      </c>
      <c r="P281" t="str" cm="1">
        <f t="array" ref="P281">_xlfn.IFS(F281&lt;=45,"45 or below",F281&lt;= 60,"46-60",F281&lt;=75,"61-75",F281&lt;=90,"76-90",F281&gt;90,"91 or above")</f>
        <v>91 or above</v>
      </c>
      <c r="Q2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281" t="str" cm="1">
        <f t="array" ref="R281" xml:space="preserve"> _xlfn.IFS(Table3[[#This Row],[Flight Risk Score]] = "NA","NA",Table3[[#This Row],[Flight Risk Score]] &gt;= 70,"High Risk",Table3[[#This Row],[Flight Risk Score]] &gt;= 50, "Medium Risk", Table3[[#This Row],[Flight Risk Score]] &gt;= 30,"Low Risk",Table3[[#This Row],[Flight Risk Score]] &lt; 30,"Very Low Risk")</f>
        <v>Low Risk</v>
      </c>
    </row>
    <row r="282" spans="1:18" x14ac:dyDescent="0.2">
      <c r="A282">
        <f>Table1[[#This Row],[Age]]</f>
        <v>53</v>
      </c>
      <c r="B282">
        <f>IF(Table3[[#This Row],[Attrition]] = "Yes", 1,0)</f>
        <v>0</v>
      </c>
      <c r="C282" t="str">
        <f>Table1[[#This Row],[Attrition]]</f>
        <v>No</v>
      </c>
      <c r="D282" t="str">
        <f>Table1[[#This Row],[Department]]</f>
        <v>Research &amp; Development</v>
      </c>
      <c r="E282">
        <f>Table1[[#This Row],[EnvironmentSatisfaction]]</f>
        <v>3</v>
      </c>
      <c r="F282">
        <f>Table1[[#This Row],[HourlyRate]]</f>
        <v>45</v>
      </c>
      <c r="G282" t="str">
        <f>Table1[[#This Row],[JobRole]]</f>
        <v>Research Director</v>
      </c>
      <c r="H282">
        <f>Table1[[#This Row],[JobSatisfaction]]</f>
        <v>3</v>
      </c>
      <c r="I282">
        <f>Table1[[#This Row],[YearsAtCompany]]</f>
        <v>5</v>
      </c>
      <c r="J282">
        <f>Table1[[#This Row],[YearsSinceLastPromotion]]</f>
        <v>1</v>
      </c>
      <c r="K282">
        <f>Table1[[#This Row],[EmployeeNumber]]</f>
        <v>386</v>
      </c>
      <c r="L282">
        <f>Table1[[#This Row],[DistanceFromHome]]</f>
        <v>3</v>
      </c>
      <c r="M282" t="str">
        <f>Table1[[#This Row],[OverTime]]</f>
        <v>Yes</v>
      </c>
      <c r="N282">
        <f>Table1[[#This Row],[WorkLifeBalance]]</f>
        <v>2</v>
      </c>
      <c r="O282" t="str" cm="1">
        <f t="array" ref="O282">_xlfn.IFS(A282&lt;=30,"18-30",A282&lt;=40,"31-40",A282&lt;=50,"41-50",A282&gt;50,"51+")</f>
        <v>51+</v>
      </c>
      <c r="P282" t="str" cm="1">
        <f t="array" ref="P282">_xlfn.IFS(F282&lt;=45,"45 or below",F282&lt;= 60,"46-60",F282&lt;=75,"61-75",F282&lt;=90,"76-90",F282&gt;90,"91 or above")</f>
        <v>45 or below</v>
      </c>
      <c r="Q2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282" t="str" cm="1">
        <f t="array" ref="R282" xml:space="preserve"> _xlfn.IFS(Table3[[#This Row],[Flight Risk Score]] = "NA","NA",Table3[[#This Row],[Flight Risk Score]] &gt;= 70,"High Risk",Table3[[#This Row],[Flight Risk Score]] &gt;= 50, "Medium Risk", Table3[[#This Row],[Flight Risk Score]] &gt;= 30,"Low Risk",Table3[[#This Row],[Flight Risk Score]] &lt; 30,"Very Low Risk")</f>
        <v>Low Risk</v>
      </c>
    </row>
    <row r="283" spans="1:18" x14ac:dyDescent="0.2">
      <c r="A283">
        <f>Table1[[#This Row],[Age]]</f>
        <v>42</v>
      </c>
      <c r="B283">
        <f>IF(Table3[[#This Row],[Attrition]] = "Yes", 1,0)</f>
        <v>0</v>
      </c>
      <c r="C283" t="str">
        <f>Table1[[#This Row],[Attrition]]</f>
        <v>No</v>
      </c>
      <c r="D283" t="str">
        <f>Table1[[#This Row],[Department]]</f>
        <v>Sales</v>
      </c>
      <c r="E283">
        <f>Table1[[#This Row],[EnvironmentSatisfaction]]</f>
        <v>2</v>
      </c>
      <c r="F283">
        <f>Table1[[#This Row],[HourlyRate]]</f>
        <v>99</v>
      </c>
      <c r="G283" t="str">
        <f>Table1[[#This Row],[JobRole]]</f>
        <v>Sales Executive</v>
      </c>
      <c r="H283">
        <f>Table1[[#This Row],[JobSatisfaction]]</f>
        <v>3</v>
      </c>
      <c r="I283">
        <f>Table1[[#This Row],[YearsAtCompany]]</f>
        <v>20</v>
      </c>
      <c r="J283">
        <f>Table1[[#This Row],[YearsSinceLastPromotion]]</f>
        <v>11</v>
      </c>
      <c r="K283">
        <f>Table1[[#This Row],[EmployeeNumber]]</f>
        <v>387</v>
      </c>
      <c r="L283">
        <f>Table1[[#This Row],[DistanceFromHome]]</f>
        <v>1</v>
      </c>
      <c r="M283" t="str">
        <f>Table1[[#This Row],[OverTime]]</f>
        <v>No</v>
      </c>
      <c r="N283">
        <f>Table1[[#This Row],[WorkLifeBalance]]</f>
        <v>3</v>
      </c>
      <c r="O283" t="str" cm="1">
        <f t="array" ref="O283">_xlfn.IFS(A283&lt;=30,"18-30",A283&lt;=40,"31-40",A283&lt;=50,"41-50",A283&gt;50,"51+")</f>
        <v>41-50</v>
      </c>
      <c r="P283" t="str" cm="1">
        <f t="array" ref="P283">_xlfn.IFS(F283&lt;=45,"45 or below",F283&lt;= 60,"46-60",F283&lt;=75,"61-75",F283&lt;=90,"76-90",F283&gt;90,"91 or above")</f>
        <v>91 or above</v>
      </c>
      <c r="Q2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83" t="str" cm="1">
        <f t="array" ref="R2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84" spans="1:18" x14ac:dyDescent="0.2">
      <c r="A284">
        <f>Table1[[#This Row],[Age]]</f>
        <v>29</v>
      </c>
      <c r="B284">
        <f>IF(Table3[[#This Row],[Attrition]] = "Yes", 1,0)</f>
        <v>0</v>
      </c>
      <c r="C284" t="str">
        <f>Table1[[#This Row],[Attrition]]</f>
        <v>No</v>
      </c>
      <c r="D284" t="str">
        <f>Table1[[#This Row],[Department]]</f>
        <v>Sales</v>
      </c>
      <c r="E284">
        <f>Table1[[#This Row],[EnvironmentSatisfaction]]</f>
        <v>2</v>
      </c>
      <c r="F284">
        <f>Table1[[#This Row],[HourlyRate]]</f>
        <v>44</v>
      </c>
      <c r="G284" t="str">
        <f>Table1[[#This Row],[JobRole]]</f>
        <v>Sales Executive</v>
      </c>
      <c r="H284">
        <f>Table1[[#This Row],[JobSatisfaction]]</f>
        <v>4</v>
      </c>
      <c r="I284">
        <f>Table1[[#This Row],[YearsAtCompany]]</f>
        <v>10</v>
      </c>
      <c r="J284">
        <f>Table1[[#This Row],[YearsSinceLastPromotion]]</f>
        <v>0</v>
      </c>
      <c r="K284">
        <f>Table1[[#This Row],[EmployeeNumber]]</f>
        <v>388</v>
      </c>
      <c r="L284">
        <f>Table1[[#This Row],[DistanceFromHome]]</f>
        <v>2</v>
      </c>
      <c r="M284" t="str">
        <f>Table1[[#This Row],[OverTime]]</f>
        <v>No</v>
      </c>
      <c r="N284">
        <f>Table1[[#This Row],[WorkLifeBalance]]</f>
        <v>2</v>
      </c>
      <c r="O284" t="str" cm="1">
        <f t="array" ref="O284">_xlfn.IFS(A284&lt;=30,"18-30",A284&lt;=40,"31-40",A284&lt;=50,"41-50",A284&gt;50,"51+")</f>
        <v>18-30</v>
      </c>
      <c r="P284" t="str" cm="1">
        <f t="array" ref="P284">_xlfn.IFS(F284&lt;=45,"45 or below",F284&lt;= 60,"46-60",F284&lt;=75,"61-75",F284&lt;=90,"76-90",F284&gt;90,"91 or above")</f>
        <v>45 or below</v>
      </c>
      <c r="Q2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84" t="str" cm="1">
        <f t="array" ref="R2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85" spans="1:18" x14ac:dyDescent="0.2">
      <c r="A285">
        <f>Table1[[#This Row],[Age]]</f>
        <v>55</v>
      </c>
      <c r="B285">
        <f>IF(Table3[[#This Row],[Attrition]] = "Yes", 1,0)</f>
        <v>0</v>
      </c>
      <c r="C285" t="str">
        <f>Table1[[#This Row],[Attrition]]</f>
        <v>No</v>
      </c>
      <c r="D285" t="str">
        <f>Table1[[#This Row],[Department]]</f>
        <v>Research &amp; Development</v>
      </c>
      <c r="E285">
        <f>Table1[[#This Row],[EnvironmentSatisfaction]]</f>
        <v>2</v>
      </c>
      <c r="F285">
        <f>Table1[[#This Row],[HourlyRate]]</f>
        <v>37</v>
      </c>
      <c r="G285" t="str">
        <f>Table1[[#This Row],[JobRole]]</f>
        <v>Laboratory Technician</v>
      </c>
      <c r="H285">
        <f>Table1[[#This Row],[JobSatisfaction]]</f>
        <v>4</v>
      </c>
      <c r="I285">
        <f>Table1[[#This Row],[YearsAtCompany]]</f>
        <v>10</v>
      </c>
      <c r="J285">
        <f>Table1[[#This Row],[YearsSinceLastPromotion]]</f>
        <v>0</v>
      </c>
      <c r="K285">
        <f>Table1[[#This Row],[EmployeeNumber]]</f>
        <v>389</v>
      </c>
      <c r="L285">
        <f>Table1[[#This Row],[DistanceFromHome]]</f>
        <v>20</v>
      </c>
      <c r="M285" t="str">
        <f>Table1[[#This Row],[OverTime]]</f>
        <v>Yes</v>
      </c>
      <c r="N285">
        <f>Table1[[#This Row],[WorkLifeBalance]]</f>
        <v>3</v>
      </c>
      <c r="O285" t="str" cm="1">
        <f t="array" ref="O285">_xlfn.IFS(A285&lt;=30,"18-30",A285&lt;=40,"31-40",A285&lt;=50,"41-50",A285&gt;50,"51+")</f>
        <v>51+</v>
      </c>
      <c r="P285" t="str" cm="1">
        <f t="array" ref="P285">_xlfn.IFS(F285&lt;=45,"45 or below",F285&lt;= 60,"46-60",F285&lt;=75,"61-75",F285&lt;=90,"76-90",F285&gt;90,"91 or above")</f>
        <v>45 or below</v>
      </c>
      <c r="Q2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85" t="str" cm="1">
        <f t="array" ref="R28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86" spans="1:18" x14ac:dyDescent="0.2">
      <c r="A286">
        <f>Table1[[#This Row],[Age]]</f>
        <v>26</v>
      </c>
      <c r="B286">
        <f>IF(Table3[[#This Row],[Attrition]] = "Yes", 1,0)</f>
        <v>0</v>
      </c>
      <c r="C286" t="str">
        <f>Table1[[#This Row],[Attrition]]</f>
        <v>No</v>
      </c>
      <c r="D286" t="str">
        <f>Table1[[#This Row],[Department]]</f>
        <v>Research &amp; Development</v>
      </c>
      <c r="E286">
        <f>Table1[[#This Row],[EnvironmentSatisfaction]]</f>
        <v>1</v>
      </c>
      <c r="F286">
        <f>Table1[[#This Row],[HourlyRate]]</f>
        <v>60</v>
      </c>
      <c r="G286" t="str">
        <f>Table1[[#This Row],[JobRole]]</f>
        <v>Healthcare Representative</v>
      </c>
      <c r="H286">
        <f>Table1[[#This Row],[JobSatisfaction]]</f>
        <v>1</v>
      </c>
      <c r="I286">
        <f>Table1[[#This Row],[YearsAtCompany]]</f>
        <v>5</v>
      </c>
      <c r="J286">
        <f>Table1[[#This Row],[YearsSinceLastPromotion]]</f>
        <v>3</v>
      </c>
      <c r="K286">
        <f>Table1[[#This Row],[EmployeeNumber]]</f>
        <v>390</v>
      </c>
      <c r="L286">
        <f>Table1[[#This Row],[DistanceFromHome]]</f>
        <v>11</v>
      </c>
      <c r="M286" t="str">
        <f>Table1[[#This Row],[OverTime]]</f>
        <v>Yes</v>
      </c>
      <c r="N286">
        <f>Table1[[#This Row],[WorkLifeBalance]]</f>
        <v>3</v>
      </c>
      <c r="O286" t="str" cm="1">
        <f t="array" ref="O286">_xlfn.IFS(A286&lt;=30,"18-30",A286&lt;=40,"31-40",A286&lt;=50,"41-50",A286&gt;50,"51+")</f>
        <v>18-30</v>
      </c>
      <c r="P286" t="str" cm="1">
        <f t="array" ref="P286">_xlfn.IFS(F286&lt;=45,"45 or below",F286&lt;= 60,"46-60",F286&lt;=75,"61-75",F286&lt;=90,"76-90",F286&gt;90,"91 or above")</f>
        <v>46-60</v>
      </c>
      <c r="Q2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286" t="str" cm="1">
        <f t="array" ref="R28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87" spans="1:18" x14ac:dyDescent="0.2">
      <c r="A287">
        <f>Table1[[#This Row],[Age]]</f>
        <v>37</v>
      </c>
      <c r="B287">
        <f>IF(Table3[[#This Row],[Attrition]] = "Yes", 1,0)</f>
        <v>0</v>
      </c>
      <c r="C287" t="str">
        <f>Table1[[#This Row],[Attrition]]</f>
        <v>No</v>
      </c>
      <c r="D287" t="str">
        <f>Table1[[#This Row],[Department]]</f>
        <v>Research &amp; Development</v>
      </c>
      <c r="E287">
        <f>Table1[[#This Row],[EnvironmentSatisfaction]]</f>
        <v>4</v>
      </c>
      <c r="F287">
        <f>Table1[[#This Row],[HourlyRate]]</f>
        <v>42</v>
      </c>
      <c r="G287" t="str">
        <f>Table1[[#This Row],[JobRole]]</f>
        <v>Research Scientist</v>
      </c>
      <c r="H287">
        <f>Table1[[#This Row],[JobSatisfaction]]</f>
        <v>4</v>
      </c>
      <c r="I287">
        <f>Table1[[#This Row],[YearsAtCompany]]</f>
        <v>17</v>
      </c>
      <c r="J287">
        <f>Table1[[#This Row],[YearsSinceLastPromotion]]</f>
        <v>5</v>
      </c>
      <c r="K287">
        <f>Table1[[#This Row],[EmployeeNumber]]</f>
        <v>391</v>
      </c>
      <c r="L287">
        <f>Table1[[#This Row],[DistanceFromHome]]</f>
        <v>1</v>
      </c>
      <c r="M287" t="str">
        <f>Table1[[#This Row],[OverTime]]</f>
        <v>No</v>
      </c>
      <c r="N287">
        <f>Table1[[#This Row],[WorkLifeBalance]]</f>
        <v>3</v>
      </c>
      <c r="O287" t="str" cm="1">
        <f t="array" ref="O287">_xlfn.IFS(A287&lt;=30,"18-30",A287&lt;=40,"31-40",A287&lt;=50,"41-50",A287&gt;50,"51+")</f>
        <v>31-40</v>
      </c>
      <c r="P287" t="str" cm="1">
        <f t="array" ref="P287">_xlfn.IFS(F287&lt;=45,"45 or below",F287&lt;= 60,"46-60",F287&lt;=75,"61-75",F287&lt;=90,"76-90",F287&gt;90,"91 or above")</f>
        <v>45 or below</v>
      </c>
      <c r="Q2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87" t="str" cm="1">
        <f t="array" ref="R2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88" spans="1:18" hidden="1" x14ac:dyDescent="0.2">
      <c r="A288">
        <f>Table1[[#This Row],[Age]]</f>
        <v>44</v>
      </c>
      <c r="B288">
        <f>IF(Table3[[#This Row],[Attrition]] = "Yes", 1,0)</f>
        <v>1</v>
      </c>
      <c r="C288" t="str">
        <f>Table1[[#This Row],[Attrition]]</f>
        <v>Yes</v>
      </c>
      <c r="D288" t="str">
        <f>Table1[[#This Row],[Department]]</f>
        <v>Research &amp; Development</v>
      </c>
      <c r="E288">
        <f>Table1[[#This Row],[EnvironmentSatisfaction]]</f>
        <v>4</v>
      </c>
      <c r="F288">
        <f>Table1[[#This Row],[HourlyRate]]</f>
        <v>43</v>
      </c>
      <c r="G288" t="str">
        <f>Table1[[#This Row],[JobRole]]</f>
        <v>Laboratory Technician</v>
      </c>
      <c r="H288">
        <f>Table1[[#This Row],[JobSatisfaction]]</f>
        <v>3</v>
      </c>
      <c r="I288">
        <f>Table1[[#This Row],[YearsAtCompany]]</f>
        <v>1</v>
      </c>
      <c r="J288">
        <f>Table1[[#This Row],[YearsSinceLastPromotion]]</f>
        <v>0</v>
      </c>
      <c r="K288">
        <f>Table1[[#This Row],[EmployeeNumber]]</f>
        <v>392</v>
      </c>
      <c r="L288">
        <f>Table1[[#This Row],[DistanceFromHome]]</f>
        <v>24</v>
      </c>
      <c r="M288" t="str">
        <f>Table1[[#This Row],[OverTime]]</f>
        <v>Yes</v>
      </c>
      <c r="N288">
        <f>Table1[[#This Row],[WorkLifeBalance]]</f>
        <v>1</v>
      </c>
      <c r="O288" t="str" cm="1">
        <f t="array" ref="O288">_xlfn.IFS(A288&lt;=30,"18-30",A288&lt;=40,"31-40",A288&lt;=50,"41-50",A288&gt;50,"51+")</f>
        <v>41-50</v>
      </c>
      <c r="P288" t="str" cm="1">
        <f t="array" ref="P288">_xlfn.IFS(F288&lt;=45,"45 or below",F288&lt;= 60,"46-60",F288&lt;=75,"61-75",F288&lt;=90,"76-90",F288&gt;90,"91 or above")</f>
        <v>45 or below</v>
      </c>
      <c r="Q28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88" t="str" cm="1">
        <f t="array" ref="R288" xml:space="preserve"> _xlfn.IFS(Table3[[#This Row],[Flight Risk Score]] = "NA","NA",Table3[[#This Row],[Flight Risk Score]] &gt;= 70,"High Risk",Table3[[#This Row],[Flight Risk Score]] &gt;= 50, "Medium Risk", Table3[[#This Row],[Flight Risk Score]] &gt;= 30,"Low Risk",Table3[[#This Row],[Flight Risk Score]] &lt; 30,"Very Low Risk")</f>
        <v>NA</v>
      </c>
    </row>
    <row r="289" spans="1:18" x14ac:dyDescent="0.2">
      <c r="A289">
        <f>Table1[[#This Row],[Age]]</f>
        <v>38</v>
      </c>
      <c r="B289">
        <f>IF(Table3[[#This Row],[Attrition]] = "Yes", 1,0)</f>
        <v>0</v>
      </c>
      <c r="C289" t="str">
        <f>Table1[[#This Row],[Attrition]]</f>
        <v>No</v>
      </c>
      <c r="D289" t="str">
        <f>Table1[[#This Row],[Department]]</f>
        <v>Research &amp; Development</v>
      </c>
      <c r="E289">
        <f>Table1[[#This Row],[EnvironmentSatisfaction]]</f>
        <v>4</v>
      </c>
      <c r="F289">
        <f>Table1[[#This Row],[HourlyRate]]</f>
        <v>82</v>
      </c>
      <c r="G289" t="str">
        <f>Table1[[#This Row],[JobRole]]</f>
        <v>Healthcare Representative</v>
      </c>
      <c r="H289">
        <f>Table1[[#This Row],[JobSatisfaction]]</f>
        <v>4</v>
      </c>
      <c r="I289">
        <f>Table1[[#This Row],[YearsAtCompany]]</f>
        <v>2</v>
      </c>
      <c r="J289">
        <f>Table1[[#This Row],[YearsSinceLastPromotion]]</f>
        <v>1</v>
      </c>
      <c r="K289">
        <f>Table1[[#This Row],[EmployeeNumber]]</f>
        <v>393</v>
      </c>
      <c r="L289">
        <f>Table1[[#This Row],[DistanceFromHome]]</f>
        <v>23</v>
      </c>
      <c r="M289" t="str">
        <f>Table1[[#This Row],[OverTime]]</f>
        <v>No</v>
      </c>
      <c r="N289">
        <f>Table1[[#This Row],[WorkLifeBalance]]</f>
        <v>3</v>
      </c>
      <c r="O289" t="str" cm="1">
        <f t="array" ref="O289">_xlfn.IFS(A289&lt;=30,"18-30",A289&lt;=40,"31-40",A289&lt;=50,"41-50",A289&gt;50,"51+")</f>
        <v>31-40</v>
      </c>
      <c r="P289" t="str" cm="1">
        <f t="array" ref="P289">_xlfn.IFS(F289&lt;=45,"45 or below",F289&lt;= 60,"46-60",F289&lt;=75,"61-75",F289&lt;=90,"76-90",F289&gt;90,"91 or above")</f>
        <v>76-90</v>
      </c>
      <c r="Q2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89" t="str" cm="1">
        <f t="array" ref="R2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90" spans="1:18" hidden="1" x14ac:dyDescent="0.2">
      <c r="A290">
        <f>Table1[[#This Row],[Age]]</f>
        <v>26</v>
      </c>
      <c r="B290">
        <f>IF(Table3[[#This Row],[Attrition]] = "Yes", 1,0)</f>
        <v>1</v>
      </c>
      <c r="C290" t="str">
        <f>Table1[[#This Row],[Attrition]]</f>
        <v>Yes</v>
      </c>
      <c r="D290" t="str">
        <f>Table1[[#This Row],[Department]]</f>
        <v>Research &amp; Development</v>
      </c>
      <c r="E290">
        <f>Table1[[#This Row],[EnvironmentSatisfaction]]</f>
        <v>1</v>
      </c>
      <c r="F290">
        <f>Table1[[#This Row],[HourlyRate]]</f>
        <v>45</v>
      </c>
      <c r="G290" t="str">
        <f>Table1[[#This Row],[JobRole]]</f>
        <v>Laboratory Technician</v>
      </c>
      <c r="H290">
        <f>Table1[[#This Row],[JobSatisfaction]]</f>
        <v>2</v>
      </c>
      <c r="I290">
        <f>Table1[[#This Row],[YearsAtCompany]]</f>
        <v>3</v>
      </c>
      <c r="J290">
        <f>Table1[[#This Row],[YearsSinceLastPromotion]]</f>
        <v>0</v>
      </c>
      <c r="K290">
        <f>Table1[[#This Row],[EmployeeNumber]]</f>
        <v>394</v>
      </c>
      <c r="L290">
        <f>Table1[[#This Row],[DistanceFromHome]]</f>
        <v>16</v>
      </c>
      <c r="M290" t="str">
        <f>Table1[[#This Row],[OverTime]]</f>
        <v>Yes</v>
      </c>
      <c r="N290">
        <f>Table1[[#This Row],[WorkLifeBalance]]</f>
        <v>3</v>
      </c>
      <c r="O290" t="str" cm="1">
        <f t="array" ref="O290">_xlfn.IFS(A290&lt;=30,"18-30",A290&lt;=40,"31-40",A290&lt;=50,"41-50",A290&gt;50,"51+")</f>
        <v>18-30</v>
      </c>
      <c r="P290" t="str" cm="1">
        <f t="array" ref="P290">_xlfn.IFS(F290&lt;=45,"45 or below",F290&lt;= 60,"46-60",F290&lt;=75,"61-75",F290&lt;=90,"76-90",F290&gt;90,"91 or above")</f>
        <v>45 or below</v>
      </c>
      <c r="Q29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90" t="str" cm="1">
        <f t="array" ref="R290" xml:space="preserve"> _xlfn.IFS(Table3[[#This Row],[Flight Risk Score]] = "NA","NA",Table3[[#This Row],[Flight Risk Score]] &gt;= 70,"High Risk",Table3[[#This Row],[Flight Risk Score]] &gt;= 50, "Medium Risk", Table3[[#This Row],[Flight Risk Score]] &gt;= 30,"Low Risk",Table3[[#This Row],[Flight Risk Score]] &lt; 30,"Very Low Risk")</f>
        <v>NA</v>
      </c>
    </row>
    <row r="291" spans="1:18" x14ac:dyDescent="0.2">
      <c r="A291">
        <f>Table1[[#This Row],[Age]]</f>
        <v>28</v>
      </c>
      <c r="B291">
        <f>IF(Table3[[#This Row],[Attrition]] = "Yes", 1,0)</f>
        <v>0</v>
      </c>
      <c r="C291" t="str">
        <f>Table1[[#This Row],[Attrition]]</f>
        <v>No</v>
      </c>
      <c r="D291" t="str">
        <f>Table1[[#This Row],[Department]]</f>
        <v>Research &amp; Development</v>
      </c>
      <c r="E291">
        <f>Table1[[#This Row],[EnvironmentSatisfaction]]</f>
        <v>4</v>
      </c>
      <c r="F291">
        <f>Table1[[#This Row],[HourlyRate]]</f>
        <v>66</v>
      </c>
      <c r="G291" t="str">
        <f>Table1[[#This Row],[JobRole]]</f>
        <v>Research Scientist</v>
      </c>
      <c r="H291">
        <f>Table1[[#This Row],[JobSatisfaction]]</f>
        <v>4</v>
      </c>
      <c r="I291">
        <f>Table1[[#This Row],[YearsAtCompany]]</f>
        <v>5</v>
      </c>
      <c r="J291">
        <f>Table1[[#This Row],[YearsSinceLastPromotion]]</f>
        <v>0</v>
      </c>
      <c r="K291">
        <f>Table1[[#This Row],[EmployeeNumber]]</f>
        <v>395</v>
      </c>
      <c r="L291">
        <f>Table1[[#This Row],[DistanceFromHome]]</f>
        <v>8</v>
      </c>
      <c r="M291" t="str">
        <f>Table1[[#This Row],[OverTime]]</f>
        <v>No</v>
      </c>
      <c r="N291">
        <f>Table1[[#This Row],[WorkLifeBalance]]</f>
        <v>3</v>
      </c>
      <c r="O291" t="str" cm="1">
        <f t="array" ref="O291">_xlfn.IFS(A291&lt;=30,"18-30",A291&lt;=40,"31-40",A291&lt;=50,"41-50",A291&gt;50,"51+")</f>
        <v>18-30</v>
      </c>
      <c r="P291" t="str" cm="1">
        <f t="array" ref="P291">_xlfn.IFS(F291&lt;=45,"45 or below",F291&lt;= 60,"46-60",F291&lt;=75,"61-75",F291&lt;=90,"76-90",F291&gt;90,"91 or above")</f>
        <v>61-75</v>
      </c>
      <c r="Q2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291" t="str" cm="1">
        <f t="array" ref="R29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92" spans="1:18" x14ac:dyDescent="0.2">
      <c r="A292">
        <f>Table1[[#This Row],[Age]]</f>
        <v>49</v>
      </c>
      <c r="B292">
        <f>IF(Table3[[#This Row],[Attrition]] = "Yes", 1,0)</f>
        <v>0</v>
      </c>
      <c r="C292" t="str">
        <f>Table1[[#This Row],[Attrition]]</f>
        <v>No</v>
      </c>
      <c r="D292" t="str">
        <f>Table1[[#This Row],[Department]]</f>
        <v>Research &amp; Development</v>
      </c>
      <c r="E292">
        <f>Table1[[#This Row],[EnvironmentSatisfaction]]</f>
        <v>3</v>
      </c>
      <c r="F292">
        <f>Table1[[#This Row],[HourlyRate]]</f>
        <v>35</v>
      </c>
      <c r="G292" t="str">
        <f>Table1[[#This Row],[JobRole]]</f>
        <v>Research Director</v>
      </c>
      <c r="H292">
        <f>Table1[[#This Row],[JobSatisfaction]]</f>
        <v>1</v>
      </c>
      <c r="I292">
        <f>Table1[[#This Row],[YearsAtCompany]]</f>
        <v>3</v>
      </c>
      <c r="J292">
        <f>Table1[[#This Row],[YearsSinceLastPromotion]]</f>
        <v>1</v>
      </c>
      <c r="K292">
        <f>Table1[[#This Row],[EmployeeNumber]]</f>
        <v>396</v>
      </c>
      <c r="L292">
        <f>Table1[[#This Row],[DistanceFromHome]]</f>
        <v>10</v>
      </c>
      <c r="M292" t="str">
        <f>Table1[[#This Row],[OverTime]]</f>
        <v>Yes</v>
      </c>
      <c r="N292">
        <f>Table1[[#This Row],[WorkLifeBalance]]</f>
        <v>3</v>
      </c>
      <c r="O292" t="str" cm="1">
        <f t="array" ref="O292">_xlfn.IFS(A292&lt;=30,"18-30",A292&lt;=40,"31-40",A292&lt;=50,"41-50",A292&gt;50,"51+")</f>
        <v>41-50</v>
      </c>
      <c r="P292" t="str" cm="1">
        <f t="array" ref="P292">_xlfn.IFS(F292&lt;=45,"45 or below",F292&lt;= 60,"46-60",F292&lt;=75,"61-75",F292&lt;=90,"76-90",F292&gt;90,"91 or above")</f>
        <v>45 or below</v>
      </c>
      <c r="Q2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92" t="str" cm="1">
        <f t="array" ref="R29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93" spans="1:18" x14ac:dyDescent="0.2">
      <c r="A293">
        <f>Table1[[#This Row],[Age]]</f>
        <v>36</v>
      </c>
      <c r="B293">
        <f>IF(Table3[[#This Row],[Attrition]] = "Yes", 1,0)</f>
        <v>0</v>
      </c>
      <c r="C293" t="str">
        <f>Table1[[#This Row],[Attrition]]</f>
        <v>No</v>
      </c>
      <c r="D293" t="str">
        <f>Table1[[#This Row],[Department]]</f>
        <v>Research &amp; Development</v>
      </c>
      <c r="E293">
        <f>Table1[[#This Row],[EnvironmentSatisfaction]]</f>
        <v>3</v>
      </c>
      <c r="F293">
        <f>Table1[[#This Row],[HourlyRate]]</f>
        <v>30</v>
      </c>
      <c r="G293" t="str">
        <f>Table1[[#This Row],[JobRole]]</f>
        <v>Research Scientist</v>
      </c>
      <c r="H293">
        <f>Table1[[#This Row],[JobSatisfaction]]</f>
        <v>2</v>
      </c>
      <c r="I293">
        <f>Table1[[#This Row],[YearsAtCompany]]</f>
        <v>8</v>
      </c>
      <c r="J293">
        <f>Table1[[#This Row],[YearsSinceLastPromotion]]</f>
        <v>7</v>
      </c>
      <c r="K293">
        <f>Table1[[#This Row],[EmployeeNumber]]</f>
        <v>397</v>
      </c>
      <c r="L293">
        <f>Table1[[#This Row],[DistanceFromHome]]</f>
        <v>3</v>
      </c>
      <c r="M293" t="str">
        <f>Table1[[#This Row],[OverTime]]</f>
        <v>No</v>
      </c>
      <c r="N293">
        <f>Table1[[#This Row],[WorkLifeBalance]]</f>
        <v>3</v>
      </c>
      <c r="O293" t="str" cm="1">
        <f t="array" ref="O293">_xlfn.IFS(A293&lt;=30,"18-30",A293&lt;=40,"31-40",A293&lt;=50,"41-50",A293&gt;50,"51+")</f>
        <v>31-40</v>
      </c>
      <c r="P293" t="str" cm="1">
        <f t="array" ref="P293">_xlfn.IFS(F293&lt;=45,"45 or below",F293&lt;= 60,"46-60",F293&lt;=75,"61-75",F293&lt;=90,"76-90",F293&gt;90,"91 or above")</f>
        <v>45 or below</v>
      </c>
      <c r="Q2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93" t="str" cm="1">
        <f t="array" ref="R29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94" spans="1:18" x14ac:dyDescent="0.2">
      <c r="A294">
        <f>Table1[[#This Row],[Age]]</f>
        <v>31</v>
      </c>
      <c r="B294">
        <f>IF(Table3[[#This Row],[Attrition]] = "Yes", 1,0)</f>
        <v>0</v>
      </c>
      <c r="C294" t="str">
        <f>Table1[[#This Row],[Attrition]]</f>
        <v>No</v>
      </c>
      <c r="D294" t="str">
        <f>Table1[[#This Row],[Department]]</f>
        <v>Sales</v>
      </c>
      <c r="E294">
        <f>Table1[[#This Row],[EnvironmentSatisfaction]]</f>
        <v>4</v>
      </c>
      <c r="F294">
        <f>Table1[[#This Row],[HourlyRate]]</f>
        <v>84</v>
      </c>
      <c r="G294" t="str">
        <f>Table1[[#This Row],[JobRole]]</f>
        <v>Sales Representative</v>
      </c>
      <c r="H294">
        <f>Table1[[#This Row],[JobSatisfaction]]</f>
        <v>2</v>
      </c>
      <c r="I294">
        <f>Table1[[#This Row],[YearsAtCompany]]</f>
        <v>2</v>
      </c>
      <c r="J294">
        <f>Table1[[#This Row],[YearsSinceLastPromotion]]</f>
        <v>2</v>
      </c>
      <c r="K294">
        <f>Table1[[#This Row],[EmployeeNumber]]</f>
        <v>399</v>
      </c>
      <c r="L294">
        <f>Table1[[#This Row],[DistanceFromHome]]</f>
        <v>5</v>
      </c>
      <c r="M294" t="str">
        <f>Table1[[#This Row],[OverTime]]</f>
        <v>No</v>
      </c>
      <c r="N294">
        <f>Table1[[#This Row],[WorkLifeBalance]]</f>
        <v>2</v>
      </c>
      <c r="O294" t="str" cm="1">
        <f t="array" ref="O294">_xlfn.IFS(A294&lt;=30,"18-30",A294&lt;=40,"31-40",A294&lt;=50,"41-50",A294&gt;50,"51+")</f>
        <v>31-40</v>
      </c>
      <c r="P294" t="str" cm="1">
        <f t="array" ref="P294">_xlfn.IFS(F294&lt;=45,"45 or below",F294&lt;= 60,"46-60",F294&lt;=75,"61-75",F294&lt;=90,"76-90",F294&gt;90,"91 or above")</f>
        <v>76-90</v>
      </c>
      <c r="Q2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94" t="str" cm="1">
        <f t="array" ref="R29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95" spans="1:18" hidden="1" x14ac:dyDescent="0.2">
      <c r="A295">
        <f>Table1[[#This Row],[Age]]</f>
        <v>26</v>
      </c>
      <c r="B295">
        <f>IF(Table3[[#This Row],[Attrition]] = "Yes", 1,0)</f>
        <v>1</v>
      </c>
      <c r="C295" t="str">
        <f>Table1[[#This Row],[Attrition]]</f>
        <v>Yes</v>
      </c>
      <c r="D295" t="str">
        <f>Table1[[#This Row],[Department]]</f>
        <v>Sales</v>
      </c>
      <c r="E295">
        <f>Table1[[#This Row],[EnvironmentSatisfaction]]</f>
        <v>4</v>
      </c>
      <c r="F295">
        <f>Table1[[#This Row],[HourlyRate]]</f>
        <v>48</v>
      </c>
      <c r="G295" t="str">
        <f>Table1[[#This Row],[JobRole]]</f>
        <v>Sales Executive</v>
      </c>
      <c r="H295">
        <f>Table1[[#This Row],[JobSatisfaction]]</f>
        <v>4</v>
      </c>
      <c r="I295">
        <f>Table1[[#This Row],[YearsAtCompany]]</f>
        <v>8</v>
      </c>
      <c r="J295">
        <f>Table1[[#This Row],[YearsSinceLastPromotion]]</f>
        <v>7</v>
      </c>
      <c r="K295">
        <f>Table1[[#This Row],[EmployeeNumber]]</f>
        <v>401</v>
      </c>
      <c r="L295">
        <f>Table1[[#This Row],[DistanceFromHome]]</f>
        <v>4</v>
      </c>
      <c r="M295" t="str">
        <f>Table1[[#This Row],[OverTime]]</f>
        <v>Yes</v>
      </c>
      <c r="N295">
        <f>Table1[[#This Row],[WorkLifeBalance]]</f>
        <v>3</v>
      </c>
      <c r="O295" t="str" cm="1">
        <f t="array" ref="O295">_xlfn.IFS(A295&lt;=30,"18-30",A295&lt;=40,"31-40",A295&lt;=50,"41-50",A295&gt;50,"51+")</f>
        <v>18-30</v>
      </c>
      <c r="P295" t="str" cm="1">
        <f t="array" ref="P295">_xlfn.IFS(F295&lt;=45,"45 or below",F295&lt;= 60,"46-60",F295&lt;=75,"61-75",F295&lt;=90,"76-90",F295&gt;90,"91 or above")</f>
        <v>46-60</v>
      </c>
      <c r="Q29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95" t="str" cm="1">
        <f t="array" ref="R295" xml:space="preserve"> _xlfn.IFS(Table3[[#This Row],[Flight Risk Score]] = "NA","NA",Table3[[#This Row],[Flight Risk Score]] &gt;= 70,"High Risk",Table3[[#This Row],[Flight Risk Score]] &gt;= 50, "Medium Risk", Table3[[#This Row],[Flight Risk Score]] &gt;= 30,"Low Risk",Table3[[#This Row],[Flight Risk Score]] &lt; 30,"Very Low Risk")</f>
        <v>NA</v>
      </c>
    </row>
    <row r="296" spans="1:18" x14ac:dyDescent="0.2">
      <c r="A296">
        <f>Table1[[#This Row],[Age]]</f>
        <v>37</v>
      </c>
      <c r="B296">
        <f>IF(Table3[[#This Row],[Attrition]] = "Yes", 1,0)</f>
        <v>0</v>
      </c>
      <c r="C296" t="str">
        <f>Table1[[#This Row],[Attrition]]</f>
        <v>No</v>
      </c>
      <c r="D296" t="str">
        <f>Table1[[#This Row],[Department]]</f>
        <v>Research &amp; Development</v>
      </c>
      <c r="E296">
        <f>Table1[[#This Row],[EnvironmentSatisfaction]]</f>
        <v>2</v>
      </c>
      <c r="F296">
        <f>Table1[[#This Row],[HourlyRate]]</f>
        <v>53</v>
      </c>
      <c r="G296" t="str">
        <f>Table1[[#This Row],[JobRole]]</f>
        <v>Research Scientist</v>
      </c>
      <c r="H296">
        <f>Table1[[#This Row],[JobSatisfaction]]</f>
        <v>4</v>
      </c>
      <c r="I296">
        <f>Table1[[#This Row],[YearsAtCompany]]</f>
        <v>4</v>
      </c>
      <c r="J296">
        <f>Table1[[#This Row],[YearsSinceLastPromotion]]</f>
        <v>1</v>
      </c>
      <c r="K296">
        <f>Table1[[#This Row],[EmployeeNumber]]</f>
        <v>403</v>
      </c>
      <c r="L296">
        <f>Table1[[#This Row],[DistanceFromHome]]</f>
        <v>9</v>
      </c>
      <c r="M296" t="str">
        <f>Table1[[#This Row],[OverTime]]</f>
        <v>Yes</v>
      </c>
      <c r="N296">
        <f>Table1[[#This Row],[WorkLifeBalance]]</f>
        <v>2</v>
      </c>
      <c r="O296" t="str" cm="1">
        <f t="array" ref="O296">_xlfn.IFS(A296&lt;=30,"18-30",A296&lt;=40,"31-40",A296&lt;=50,"41-50",A296&gt;50,"51+")</f>
        <v>31-40</v>
      </c>
      <c r="P296" t="str" cm="1">
        <f t="array" ref="P296">_xlfn.IFS(F296&lt;=45,"45 or below",F296&lt;= 60,"46-60",F296&lt;=75,"61-75",F296&lt;=90,"76-90",F296&gt;90,"91 or above")</f>
        <v>46-60</v>
      </c>
      <c r="Q2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296" t="str" cm="1">
        <f t="array" ref="R29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297" spans="1:18" x14ac:dyDescent="0.2">
      <c r="A297">
        <f>Table1[[#This Row],[Age]]</f>
        <v>42</v>
      </c>
      <c r="B297">
        <f>IF(Table3[[#This Row],[Attrition]] = "Yes", 1,0)</f>
        <v>0</v>
      </c>
      <c r="C297" t="str">
        <f>Table1[[#This Row],[Attrition]]</f>
        <v>No</v>
      </c>
      <c r="D297" t="str">
        <f>Table1[[#This Row],[Department]]</f>
        <v>Sales</v>
      </c>
      <c r="E297">
        <f>Table1[[#This Row],[EnvironmentSatisfaction]]</f>
        <v>3</v>
      </c>
      <c r="F297">
        <f>Table1[[#This Row],[HourlyRate]]</f>
        <v>77</v>
      </c>
      <c r="G297" t="str">
        <f>Table1[[#This Row],[JobRole]]</f>
        <v>Sales Executive</v>
      </c>
      <c r="H297">
        <f>Table1[[#This Row],[JobSatisfaction]]</f>
        <v>2</v>
      </c>
      <c r="I297">
        <f>Table1[[#This Row],[YearsAtCompany]]</f>
        <v>20</v>
      </c>
      <c r="J297">
        <f>Table1[[#This Row],[YearsSinceLastPromotion]]</f>
        <v>4</v>
      </c>
      <c r="K297">
        <f>Table1[[#This Row],[EmployeeNumber]]</f>
        <v>404</v>
      </c>
      <c r="L297">
        <f>Table1[[#This Row],[DistanceFromHome]]</f>
        <v>26</v>
      </c>
      <c r="M297" t="str">
        <f>Table1[[#This Row],[OverTime]]</f>
        <v>No</v>
      </c>
      <c r="N297">
        <f>Table1[[#This Row],[WorkLifeBalance]]</f>
        <v>4</v>
      </c>
      <c r="O297" t="str" cm="1">
        <f t="array" ref="O297">_xlfn.IFS(A297&lt;=30,"18-30",A297&lt;=40,"31-40",A297&lt;=50,"41-50",A297&gt;50,"51+")</f>
        <v>41-50</v>
      </c>
      <c r="P297" t="str" cm="1">
        <f t="array" ref="P297">_xlfn.IFS(F297&lt;=45,"45 or below",F297&lt;= 60,"46-60",F297&lt;=75,"61-75",F297&lt;=90,"76-90",F297&gt;90,"91 or above")</f>
        <v>76-90</v>
      </c>
      <c r="Q2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97" t="str" cm="1">
        <f t="array" ref="R29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298" spans="1:18" hidden="1" x14ac:dyDescent="0.2">
      <c r="A298">
        <f>Table1[[#This Row],[Age]]</f>
        <v>18</v>
      </c>
      <c r="B298">
        <f>IF(Table3[[#This Row],[Attrition]] = "Yes", 1,0)</f>
        <v>1</v>
      </c>
      <c r="C298" t="str">
        <f>Table1[[#This Row],[Attrition]]</f>
        <v>Yes</v>
      </c>
      <c r="D298" t="str">
        <f>Table1[[#This Row],[Department]]</f>
        <v>Research &amp; Development</v>
      </c>
      <c r="E298">
        <f>Table1[[#This Row],[EnvironmentSatisfaction]]</f>
        <v>3</v>
      </c>
      <c r="F298">
        <f>Table1[[#This Row],[HourlyRate]]</f>
        <v>54</v>
      </c>
      <c r="G298" t="str">
        <f>Table1[[#This Row],[JobRole]]</f>
        <v>Laboratory Technician</v>
      </c>
      <c r="H298">
        <f>Table1[[#This Row],[JobSatisfaction]]</f>
        <v>3</v>
      </c>
      <c r="I298">
        <f>Table1[[#This Row],[YearsAtCompany]]</f>
        <v>0</v>
      </c>
      <c r="J298">
        <f>Table1[[#This Row],[YearsSinceLastPromotion]]</f>
        <v>0</v>
      </c>
      <c r="K298">
        <f>Table1[[#This Row],[EmployeeNumber]]</f>
        <v>405</v>
      </c>
      <c r="L298">
        <f>Table1[[#This Row],[DistanceFromHome]]</f>
        <v>3</v>
      </c>
      <c r="M298" t="str">
        <f>Table1[[#This Row],[OverTime]]</f>
        <v>No</v>
      </c>
      <c r="N298">
        <f>Table1[[#This Row],[WorkLifeBalance]]</f>
        <v>3</v>
      </c>
      <c r="O298" t="str" cm="1">
        <f t="array" ref="O298">_xlfn.IFS(A298&lt;=30,"18-30",A298&lt;=40,"31-40",A298&lt;=50,"41-50",A298&gt;50,"51+")</f>
        <v>18-30</v>
      </c>
      <c r="P298" t="str" cm="1">
        <f t="array" ref="P298">_xlfn.IFS(F298&lt;=45,"45 or below",F298&lt;= 60,"46-60",F298&lt;=75,"61-75",F298&lt;=90,"76-90",F298&gt;90,"91 or above")</f>
        <v>46-60</v>
      </c>
      <c r="Q29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298" t="str" cm="1">
        <f t="array" ref="R298" xml:space="preserve"> _xlfn.IFS(Table3[[#This Row],[Flight Risk Score]] = "NA","NA",Table3[[#This Row],[Flight Risk Score]] &gt;= 70,"High Risk",Table3[[#This Row],[Flight Risk Score]] &gt;= 50, "Medium Risk", Table3[[#This Row],[Flight Risk Score]] &gt;= 30,"Low Risk",Table3[[#This Row],[Flight Risk Score]] &lt; 30,"Very Low Risk")</f>
        <v>NA</v>
      </c>
    </row>
    <row r="299" spans="1:18" x14ac:dyDescent="0.2">
      <c r="A299">
        <f>Table1[[#This Row],[Age]]</f>
        <v>35</v>
      </c>
      <c r="B299">
        <f>IF(Table3[[#This Row],[Attrition]] = "Yes", 1,0)</f>
        <v>0</v>
      </c>
      <c r="C299" t="str">
        <f>Table1[[#This Row],[Attrition]]</f>
        <v>No</v>
      </c>
      <c r="D299" t="str">
        <f>Table1[[#This Row],[Department]]</f>
        <v>Sales</v>
      </c>
      <c r="E299">
        <f>Table1[[#This Row],[EnvironmentSatisfaction]]</f>
        <v>3</v>
      </c>
      <c r="F299">
        <f>Table1[[#This Row],[HourlyRate]]</f>
        <v>96</v>
      </c>
      <c r="G299" t="str">
        <f>Table1[[#This Row],[JobRole]]</f>
        <v>Sales Executive</v>
      </c>
      <c r="H299">
        <f>Table1[[#This Row],[JobSatisfaction]]</f>
        <v>2</v>
      </c>
      <c r="I299">
        <f>Table1[[#This Row],[YearsAtCompany]]</f>
        <v>11</v>
      </c>
      <c r="J299">
        <f>Table1[[#This Row],[YearsSinceLastPromotion]]</f>
        <v>6</v>
      </c>
      <c r="K299">
        <f>Table1[[#This Row],[EmployeeNumber]]</f>
        <v>406</v>
      </c>
      <c r="L299">
        <f>Table1[[#This Row],[DistanceFromHome]]</f>
        <v>16</v>
      </c>
      <c r="M299" t="str">
        <f>Table1[[#This Row],[OverTime]]</f>
        <v>No</v>
      </c>
      <c r="N299">
        <f>Table1[[#This Row],[WorkLifeBalance]]</f>
        <v>2</v>
      </c>
      <c r="O299" t="str" cm="1">
        <f t="array" ref="O299">_xlfn.IFS(A299&lt;=30,"18-30",A299&lt;=40,"31-40",A299&lt;=50,"41-50",A299&gt;50,"51+")</f>
        <v>31-40</v>
      </c>
      <c r="P299" t="str" cm="1">
        <f t="array" ref="P299">_xlfn.IFS(F299&lt;=45,"45 or below",F299&lt;= 60,"46-60",F299&lt;=75,"61-75",F299&lt;=90,"76-90",F299&gt;90,"91 or above")</f>
        <v>91 or above</v>
      </c>
      <c r="Q2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299" t="str" cm="1">
        <f t="array" ref="R2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0" spans="1:18" x14ac:dyDescent="0.2">
      <c r="A300">
        <f>Table1[[#This Row],[Age]]</f>
        <v>36</v>
      </c>
      <c r="B300">
        <f>IF(Table3[[#This Row],[Attrition]] = "Yes", 1,0)</f>
        <v>0</v>
      </c>
      <c r="C300" t="str">
        <f>Table1[[#This Row],[Attrition]]</f>
        <v>No</v>
      </c>
      <c r="D300" t="str">
        <f>Table1[[#This Row],[Department]]</f>
        <v>Research &amp; Development</v>
      </c>
      <c r="E300">
        <f>Table1[[#This Row],[EnvironmentSatisfaction]]</f>
        <v>3</v>
      </c>
      <c r="F300">
        <f>Table1[[#This Row],[HourlyRate]]</f>
        <v>81</v>
      </c>
      <c r="G300" t="str">
        <f>Table1[[#This Row],[JobRole]]</f>
        <v>Laboratory Technician</v>
      </c>
      <c r="H300">
        <f>Table1[[#This Row],[JobSatisfaction]]</f>
        <v>4</v>
      </c>
      <c r="I300">
        <f>Table1[[#This Row],[YearsAtCompany]]</f>
        <v>1</v>
      </c>
      <c r="J300">
        <f>Table1[[#This Row],[YearsSinceLastPromotion]]</f>
        <v>0</v>
      </c>
      <c r="K300">
        <f>Table1[[#This Row],[EmployeeNumber]]</f>
        <v>407</v>
      </c>
      <c r="L300">
        <f>Table1[[#This Row],[DistanceFromHome]]</f>
        <v>18</v>
      </c>
      <c r="M300" t="str">
        <f>Table1[[#This Row],[OverTime]]</f>
        <v>No</v>
      </c>
      <c r="N300">
        <f>Table1[[#This Row],[WorkLifeBalance]]</f>
        <v>3</v>
      </c>
      <c r="O300" t="str" cm="1">
        <f t="array" ref="O300">_xlfn.IFS(A300&lt;=30,"18-30",A300&lt;=40,"31-40",A300&lt;=50,"41-50",A300&gt;50,"51+")</f>
        <v>31-40</v>
      </c>
      <c r="P300" t="str" cm="1">
        <f t="array" ref="P300">_xlfn.IFS(F300&lt;=45,"45 or below",F300&lt;= 60,"46-60",F300&lt;=75,"61-75",F300&lt;=90,"76-90",F300&gt;90,"91 or above")</f>
        <v>76-90</v>
      </c>
      <c r="Q3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00" t="str" cm="1">
        <f t="array" ref="R3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1" spans="1:18" x14ac:dyDescent="0.2">
      <c r="A301">
        <f>Table1[[#This Row],[Age]]</f>
        <v>51</v>
      </c>
      <c r="B301">
        <f>IF(Table3[[#This Row],[Attrition]] = "Yes", 1,0)</f>
        <v>0</v>
      </c>
      <c r="C301" t="str">
        <f>Table1[[#This Row],[Attrition]]</f>
        <v>No</v>
      </c>
      <c r="D301" t="str">
        <f>Table1[[#This Row],[Department]]</f>
        <v>Research &amp; Development</v>
      </c>
      <c r="E301">
        <f>Table1[[#This Row],[EnvironmentSatisfaction]]</f>
        <v>4</v>
      </c>
      <c r="F301">
        <f>Table1[[#This Row],[HourlyRate]]</f>
        <v>84</v>
      </c>
      <c r="G301" t="str">
        <f>Table1[[#This Row],[JobRole]]</f>
        <v>Manufacturing Director</v>
      </c>
      <c r="H301">
        <f>Table1[[#This Row],[JobSatisfaction]]</f>
        <v>2</v>
      </c>
      <c r="I301">
        <f>Table1[[#This Row],[YearsAtCompany]]</f>
        <v>4</v>
      </c>
      <c r="J301">
        <f>Table1[[#This Row],[YearsSinceLastPromotion]]</f>
        <v>1</v>
      </c>
      <c r="K301">
        <f>Table1[[#This Row],[EmployeeNumber]]</f>
        <v>408</v>
      </c>
      <c r="L301">
        <f>Table1[[#This Row],[DistanceFromHome]]</f>
        <v>2</v>
      </c>
      <c r="M301" t="str">
        <f>Table1[[#This Row],[OverTime]]</f>
        <v>No</v>
      </c>
      <c r="N301">
        <f>Table1[[#This Row],[WorkLifeBalance]]</f>
        <v>3</v>
      </c>
      <c r="O301" t="str" cm="1">
        <f t="array" ref="O301">_xlfn.IFS(A301&lt;=30,"18-30",A301&lt;=40,"31-40",A301&lt;=50,"41-50",A301&gt;50,"51+")</f>
        <v>51+</v>
      </c>
      <c r="P301" t="str" cm="1">
        <f t="array" ref="P301">_xlfn.IFS(F301&lt;=45,"45 or below",F301&lt;= 60,"46-60",F301&lt;=75,"61-75",F301&lt;=90,"76-90",F301&gt;90,"91 or above")</f>
        <v>76-90</v>
      </c>
      <c r="Q3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01" t="str" cm="1">
        <f t="array" ref="R3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2" spans="1:18" x14ac:dyDescent="0.2">
      <c r="A302">
        <f>Table1[[#This Row],[Age]]</f>
        <v>41</v>
      </c>
      <c r="B302">
        <f>IF(Table3[[#This Row],[Attrition]] = "Yes", 1,0)</f>
        <v>0</v>
      </c>
      <c r="C302" t="str">
        <f>Table1[[#This Row],[Attrition]]</f>
        <v>No</v>
      </c>
      <c r="D302" t="str">
        <f>Table1[[#This Row],[Department]]</f>
        <v>Sales</v>
      </c>
      <c r="E302">
        <f>Table1[[#This Row],[EnvironmentSatisfaction]]</f>
        <v>4</v>
      </c>
      <c r="F302">
        <f>Table1[[#This Row],[HourlyRate]]</f>
        <v>88</v>
      </c>
      <c r="G302" t="str">
        <f>Table1[[#This Row],[JobRole]]</f>
        <v>Manager</v>
      </c>
      <c r="H302">
        <f>Table1[[#This Row],[JobSatisfaction]]</f>
        <v>2</v>
      </c>
      <c r="I302">
        <f>Table1[[#This Row],[YearsAtCompany]]</f>
        <v>22</v>
      </c>
      <c r="J302">
        <f>Table1[[#This Row],[YearsSinceLastPromotion]]</f>
        <v>0</v>
      </c>
      <c r="K302">
        <f>Table1[[#This Row],[EmployeeNumber]]</f>
        <v>410</v>
      </c>
      <c r="L302">
        <f>Table1[[#This Row],[DistanceFromHome]]</f>
        <v>2</v>
      </c>
      <c r="M302" t="str">
        <f>Table1[[#This Row],[OverTime]]</f>
        <v>No</v>
      </c>
      <c r="N302">
        <f>Table1[[#This Row],[WorkLifeBalance]]</f>
        <v>3</v>
      </c>
      <c r="O302" t="str" cm="1">
        <f t="array" ref="O302">_xlfn.IFS(A302&lt;=30,"18-30",A302&lt;=40,"31-40",A302&lt;=50,"41-50",A302&gt;50,"51+")</f>
        <v>41-50</v>
      </c>
      <c r="P302" t="str" cm="1">
        <f t="array" ref="P302">_xlfn.IFS(F302&lt;=45,"45 or below",F302&lt;= 60,"46-60",F302&lt;=75,"61-75",F302&lt;=90,"76-90",F302&gt;90,"91 or above")</f>
        <v>76-90</v>
      </c>
      <c r="Q3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02" t="str" cm="1">
        <f t="array" ref="R30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3" spans="1:18" x14ac:dyDescent="0.2">
      <c r="A303">
        <f>Table1[[#This Row],[Age]]</f>
        <v>18</v>
      </c>
      <c r="B303">
        <f>IF(Table3[[#This Row],[Attrition]] = "Yes", 1,0)</f>
        <v>0</v>
      </c>
      <c r="C303" t="str">
        <f>Table1[[#This Row],[Attrition]]</f>
        <v>No</v>
      </c>
      <c r="D303" t="str">
        <f>Table1[[#This Row],[Department]]</f>
        <v>Sales</v>
      </c>
      <c r="E303">
        <f>Table1[[#This Row],[EnvironmentSatisfaction]]</f>
        <v>4</v>
      </c>
      <c r="F303">
        <f>Table1[[#This Row],[HourlyRate]]</f>
        <v>69</v>
      </c>
      <c r="G303" t="str">
        <f>Table1[[#This Row],[JobRole]]</f>
        <v>Sales Representative</v>
      </c>
      <c r="H303">
        <f>Table1[[#This Row],[JobSatisfaction]]</f>
        <v>3</v>
      </c>
      <c r="I303">
        <f>Table1[[#This Row],[YearsAtCompany]]</f>
        <v>0</v>
      </c>
      <c r="J303">
        <f>Table1[[#This Row],[YearsSinceLastPromotion]]</f>
        <v>0</v>
      </c>
      <c r="K303">
        <f>Table1[[#This Row],[EmployeeNumber]]</f>
        <v>411</v>
      </c>
      <c r="L303">
        <f>Table1[[#This Row],[DistanceFromHome]]</f>
        <v>10</v>
      </c>
      <c r="M303" t="str">
        <f>Table1[[#This Row],[OverTime]]</f>
        <v>No</v>
      </c>
      <c r="N303">
        <f>Table1[[#This Row],[WorkLifeBalance]]</f>
        <v>3</v>
      </c>
      <c r="O303" t="str" cm="1">
        <f t="array" ref="O303">_xlfn.IFS(A303&lt;=30,"18-30",A303&lt;=40,"31-40",A303&lt;=50,"41-50",A303&gt;50,"51+")</f>
        <v>18-30</v>
      </c>
      <c r="P303" t="str" cm="1">
        <f t="array" ref="P303">_xlfn.IFS(F303&lt;=45,"45 or below",F303&lt;= 60,"46-60",F303&lt;=75,"61-75",F303&lt;=90,"76-90",F303&gt;90,"91 or above")</f>
        <v>61-75</v>
      </c>
      <c r="Q3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03" t="str" cm="1">
        <f t="array" ref="R3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4" spans="1:18" x14ac:dyDescent="0.2">
      <c r="A304">
        <f>Table1[[#This Row],[Age]]</f>
        <v>28</v>
      </c>
      <c r="B304">
        <f>IF(Table3[[#This Row],[Attrition]] = "Yes", 1,0)</f>
        <v>0</v>
      </c>
      <c r="C304" t="str">
        <f>Table1[[#This Row],[Attrition]]</f>
        <v>No</v>
      </c>
      <c r="D304" t="str">
        <f>Table1[[#This Row],[Department]]</f>
        <v>Research &amp; Development</v>
      </c>
      <c r="E304">
        <f>Table1[[#This Row],[EnvironmentSatisfaction]]</f>
        <v>2</v>
      </c>
      <c r="F304">
        <f>Table1[[#This Row],[HourlyRate]]</f>
        <v>68</v>
      </c>
      <c r="G304" t="str">
        <f>Table1[[#This Row],[JobRole]]</f>
        <v>Healthcare Representative</v>
      </c>
      <c r="H304">
        <f>Table1[[#This Row],[JobSatisfaction]]</f>
        <v>1</v>
      </c>
      <c r="I304">
        <f>Table1[[#This Row],[YearsAtCompany]]</f>
        <v>8</v>
      </c>
      <c r="J304">
        <f>Table1[[#This Row],[YearsSinceLastPromotion]]</f>
        <v>0</v>
      </c>
      <c r="K304">
        <f>Table1[[#This Row],[EmployeeNumber]]</f>
        <v>412</v>
      </c>
      <c r="L304">
        <f>Table1[[#This Row],[DistanceFromHome]]</f>
        <v>16</v>
      </c>
      <c r="M304" t="str">
        <f>Table1[[#This Row],[OverTime]]</f>
        <v>No</v>
      </c>
      <c r="N304">
        <f>Table1[[#This Row],[WorkLifeBalance]]</f>
        <v>3</v>
      </c>
      <c r="O304" t="str" cm="1">
        <f t="array" ref="O304">_xlfn.IFS(A304&lt;=30,"18-30",A304&lt;=40,"31-40",A304&lt;=50,"41-50",A304&gt;50,"51+")</f>
        <v>18-30</v>
      </c>
      <c r="P304" t="str" cm="1">
        <f t="array" ref="P304">_xlfn.IFS(F304&lt;=45,"45 or below",F304&lt;= 60,"46-60",F304&lt;=75,"61-75",F304&lt;=90,"76-90",F304&gt;90,"91 or above")</f>
        <v>61-75</v>
      </c>
      <c r="Q3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04" t="str" cm="1">
        <f t="array" ref="R304" xml:space="preserve"> _xlfn.IFS(Table3[[#This Row],[Flight Risk Score]] = "NA","NA",Table3[[#This Row],[Flight Risk Score]] &gt;= 70,"High Risk",Table3[[#This Row],[Flight Risk Score]] &gt;= 50, "Medium Risk", Table3[[#This Row],[Flight Risk Score]] &gt;= 30,"Low Risk",Table3[[#This Row],[Flight Risk Score]] &lt; 30,"Very Low Risk")</f>
        <v>Low Risk</v>
      </c>
    </row>
    <row r="305" spans="1:18" x14ac:dyDescent="0.2">
      <c r="A305">
        <f>Table1[[#This Row],[Age]]</f>
        <v>31</v>
      </c>
      <c r="B305">
        <f>IF(Table3[[#This Row],[Attrition]] = "Yes", 1,0)</f>
        <v>0</v>
      </c>
      <c r="C305" t="str">
        <f>Table1[[#This Row],[Attrition]]</f>
        <v>No</v>
      </c>
      <c r="D305" t="str">
        <f>Table1[[#This Row],[Department]]</f>
        <v>Sales</v>
      </c>
      <c r="E305">
        <f>Table1[[#This Row],[EnvironmentSatisfaction]]</f>
        <v>2</v>
      </c>
      <c r="F305">
        <f>Table1[[#This Row],[HourlyRate]]</f>
        <v>100</v>
      </c>
      <c r="G305" t="str">
        <f>Table1[[#This Row],[JobRole]]</f>
        <v>Sales Executive</v>
      </c>
      <c r="H305">
        <f>Table1[[#This Row],[JobSatisfaction]]</f>
        <v>4</v>
      </c>
      <c r="I305">
        <f>Table1[[#This Row],[YearsAtCompany]]</f>
        <v>8</v>
      </c>
      <c r="J305">
        <f>Table1[[#This Row],[YearsSinceLastPromotion]]</f>
        <v>7</v>
      </c>
      <c r="K305">
        <f>Table1[[#This Row],[EmployeeNumber]]</f>
        <v>416</v>
      </c>
      <c r="L305">
        <f>Table1[[#This Row],[DistanceFromHome]]</f>
        <v>7</v>
      </c>
      <c r="M305" t="str">
        <f>Table1[[#This Row],[OverTime]]</f>
        <v>No</v>
      </c>
      <c r="N305">
        <f>Table1[[#This Row],[WorkLifeBalance]]</f>
        <v>2</v>
      </c>
      <c r="O305" t="str" cm="1">
        <f t="array" ref="O305">_xlfn.IFS(A305&lt;=30,"18-30",A305&lt;=40,"31-40",A305&lt;=50,"41-50",A305&gt;50,"51+")</f>
        <v>31-40</v>
      </c>
      <c r="P305" t="str" cm="1">
        <f t="array" ref="P305">_xlfn.IFS(F305&lt;=45,"45 or below",F305&lt;= 60,"46-60",F305&lt;=75,"61-75",F305&lt;=90,"76-90",F305&gt;90,"91 or above")</f>
        <v>91 or above</v>
      </c>
      <c r="Q3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05" t="str" cm="1">
        <f t="array" ref="R3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6" spans="1:18" x14ac:dyDescent="0.2">
      <c r="A306">
        <f>Table1[[#This Row],[Age]]</f>
        <v>39</v>
      </c>
      <c r="B306">
        <f>IF(Table3[[#This Row],[Attrition]] = "Yes", 1,0)</f>
        <v>0</v>
      </c>
      <c r="C306" t="str">
        <f>Table1[[#This Row],[Attrition]]</f>
        <v>No</v>
      </c>
      <c r="D306" t="str">
        <f>Table1[[#This Row],[Department]]</f>
        <v>Research &amp; Development</v>
      </c>
      <c r="E306">
        <f>Table1[[#This Row],[EnvironmentSatisfaction]]</f>
        <v>3</v>
      </c>
      <c r="F306">
        <f>Table1[[#This Row],[HourlyRate]]</f>
        <v>48</v>
      </c>
      <c r="G306" t="str">
        <f>Table1[[#This Row],[JobRole]]</f>
        <v>Healthcare Representative</v>
      </c>
      <c r="H306">
        <f>Table1[[#This Row],[JobSatisfaction]]</f>
        <v>4</v>
      </c>
      <c r="I306">
        <f>Table1[[#This Row],[YearsAtCompany]]</f>
        <v>18</v>
      </c>
      <c r="J306">
        <f>Table1[[#This Row],[YearsSinceLastPromotion]]</f>
        <v>3</v>
      </c>
      <c r="K306">
        <f>Table1[[#This Row],[EmployeeNumber]]</f>
        <v>417</v>
      </c>
      <c r="L306">
        <f>Table1[[#This Row],[DistanceFromHome]]</f>
        <v>1</v>
      </c>
      <c r="M306" t="str">
        <f>Table1[[#This Row],[OverTime]]</f>
        <v>No</v>
      </c>
      <c r="N306">
        <f>Table1[[#This Row],[WorkLifeBalance]]</f>
        <v>2</v>
      </c>
      <c r="O306" t="str" cm="1">
        <f t="array" ref="O306">_xlfn.IFS(A306&lt;=30,"18-30",A306&lt;=40,"31-40",A306&lt;=50,"41-50",A306&gt;50,"51+")</f>
        <v>31-40</v>
      </c>
      <c r="P306" t="str" cm="1">
        <f t="array" ref="P306">_xlfn.IFS(F306&lt;=45,"45 or below",F306&lt;= 60,"46-60",F306&lt;=75,"61-75",F306&lt;=90,"76-90",F306&gt;90,"91 or above")</f>
        <v>46-60</v>
      </c>
      <c r="Q3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06" t="str" cm="1">
        <f t="array" ref="R3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7" spans="1:18" x14ac:dyDescent="0.2">
      <c r="A307">
        <f>Table1[[#This Row],[Age]]</f>
        <v>36</v>
      </c>
      <c r="B307">
        <f>IF(Table3[[#This Row],[Attrition]] = "Yes", 1,0)</f>
        <v>0</v>
      </c>
      <c r="C307" t="str">
        <f>Table1[[#This Row],[Attrition]]</f>
        <v>No</v>
      </c>
      <c r="D307" t="str">
        <f>Table1[[#This Row],[Department]]</f>
        <v>Research &amp; Development</v>
      </c>
      <c r="E307">
        <f>Table1[[#This Row],[EnvironmentSatisfaction]]</f>
        <v>2</v>
      </c>
      <c r="F307">
        <f>Table1[[#This Row],[HourlyRate]]</f>
        <v>47</v>
      </c>
      <c r="G307" t="str">
        <f>Table1[[#This Row],[JobRole]]</f>
        <v>Laboratory Technician</v>
      </c>
      <c r="H307">
        <f>Table1[[#This Row],[JobSatisfaction]]</f>
        <v>2</v>
      </c>
      <c r="I307">
        <f>Table1[[#This Row],[YearsAtCompany]]</f>
        <v>9</v>
      </c>
      <c r="J307">
        <f>Table1[[#This Row],[YearsSinceLastPromotion]]</f>
        <v>0</v>
      </c>
      <c r="K307">
        <f>Table1[[#This Row],[EmployeeNumber]]</f>
        <v>419</v>
      </c>
      <c r="L307">
        <f>Table1[[#This Row],[DistanceFromHome]]</f>
        <v>24</v>
      </c>
      <c r="M307" t="str">
        <f>Table1[[#This Row],[OverTime]]</f>
        <v>No</v>
      </c>
      <c r="N307">
        <f>Table1[[#This Row],[WorkLifeBalance]]</f>
        <v>3</v>
      </c>
      <c r="O307" t="str" cm="1">
        <f t="array" ref="O307">_xlfn.IFS(A307&lt;=30,"18-30",A307&lt;=40,"31-40",A307&lt;=50,"41-50",A307&gt;50,"51+")</f>
        <v>31-40</v>
      </c>
      <c r="P307" t="str" cm="1">
        <f t="array" ref="P307">_xlfn.IFS(F307&lt;=45,"45 or below",F307&lt;= 60,"46-60",F307&lt;=75,"61-75",F307&lt;=90,"76-90",F307&gt;90,"91 or above")</f>
        <v>46-60</v>
      </c>
      <c r="Q3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07" t="str" cm="1">
        <f t="array" ref="R307" xml:space="preserve"> _xlfn.IFS(Table3[[#This Row],[Flight Risk Score]] = "NA","NA",Table3[[#This Row],[Flight Risk Score]] &gt;= 70,"High Risk",Table3[[#This Row],[Flight Risk Score]] &gt;= 50, "Medium Risk", Table3[[#This Row],[Flight Risk Score]] &gt;= 30,"Low Risk",Table3[[#This Row],[Flight Risk Score]] &lt; 30,"Very Low Risk")</f>
        <v>Low Risk</v>
      </c>
    </row>
    <row r="308" spans="1:18" x14ac:dyDescent="0.2">
      <c r="A308">
        <f>Table1[[#This Row],[Age]]</f>
        <v>32</v>
      </c>
      <c r="B308">
        <f>IF(Table3[[#This Row],[Attrition]] = "Yes", 1,0)</f>
        <v>0</v>
      </c>
      <c r="C308" t="str">
        <f>Table1[[#This Row],[Attrition]]</f>
        <v>No</v>
      </c>
      <c r="D308" t="str">
        <f>Table1[[#This Row],[Department]]</f>
        <v>Sales</v>
      </c>
      <c r="E308">
        <f>Table1[[#This Row],[EnvironmentSatisfaction]]</f>
        <v>4</v>
      </c>
      <c r="F308">
        <f>Table1[[#This Row],[HourlyRate]]</f>
        <v>91</v>
      </c>
      <c r="G308" t="str">
        <f>Table1[[#This Row],[JobRole]]</f>
        <v>Sales Executive</v>
      </c>
      <c r="H308">
        <f>Table1[[#This Row],[JobSatisfaction]]</f>
        <v>3</v>
      </c>
      <c r="I308">
        <f>Table1[[#This Row],[YearsAtCompany]]</f>
        <v>13</v>
      </c>
      <c r="J308">
        <f>Table1[[#This Row],[YearsSinceLastPromotion]]</f>
        <v>4</v>
      </c>
      <c r="K308">
        <f>Table1[[#This Row],[EmployeeNumber]]</f>
        <v>420</v>
      </c>
      <c r="L308">
        <f>Table1[[#This Row],[DistanceFromHome]]</f>
        <v>7</v>
      </c>
      <c r="M308" t="str">
        <f>Table1[[#This Row],[OverTime]]</f>
        <v>No</v>
      </c>
      <c r="N308">
        <f>Table1[[#This Row],[WorkLifeBalance]]</f>
        <v>2</v>
      </c>
      <c r="O308" t="str" cm="1">
        <f t="array" ref="O308">_xlfn.IFS(A308&lt;=30,"18-30",A308&lt;=40,"31-40",A308&lt;=50,"41-50",A308&gt;50,"51+")</f>
        <v>31-40</v>
      </c>
      <c r="P308" t="str" cm="1">
        <f t="array" ref="P308">_xlfn.IFS(F308&lt;=45,"45 or below",F308&lt;= 60,"46-60",F308&lt;=75,"61-75",F308&lt;=90,"76-90",F308&gt;90,"91 or above")</f>
        <v>91 or above</v>
      </c>
      <c r="Q3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08" t="str" cm="1">
        <f t="array" ref="R30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09" spans="1:18" x14ac:dyDescent="0.2">
      <c r="A309">
        <f>Table1[[#This Row],[Age]]</f>
        <v>38</v>
      </c>
      <c r="B309">
        <f>IF(Table3[[#This Row],[Attrition]] = "Yes", 1,0)</f>
        <v>0</v>
      </c>
      <c r="C309" t="str">
        <f>Table1[[#This Row],[Attrition]]</f>
        <v>No</v>
      </c>
      <c r="D309" t="str">
        <f>Table1[[#This Row],[Department]]</f>
        <v>Research &amp; Development</v>
      </c>
      <c r="E309">
        <f>Table1[[#This Row],[EnvironmentSatisfaction]]</f>
        <v>1</v>
      </c>
      <c r="F309">
        <f>Table1[[#This Row],[HourlyRate]]</f>
        <v>81</v>
      </c>
      <c r="G309" t="str">
        <f>Table1[[#This Row],[JobRole]]</f>
        <v>Research Director</v>
      </c>
      <c r="H309">
        <f>Table1[[#This Row],[JobSatisfaction]]</f>
        <v>2</v>
      </c>
      <c r="I309">
        <f>Table1[[#This Row],[YearsAtCompany]]</f>
        <v>10</v>
      </c>
      <c r="J309">
        <f>Table1[[#This Row],[YearsSinceLastPromotion]]</f>
        <v>0</v>
      </c>
      <c r="K309">
        <f>Table1[[#This Row],[EmployeeNumber]]</f>
        <v>421</v>
      </c>
      <c r="L309">
        <f>Table1[[#This Row],[DistanceFromHome]]</f>
        <v>25</v>
      </c>
      <c r="M309" t="str">
        <f>Table1[[#This Row],[OverTime]]</f>
        <v>No</v>
      </c>
      <c r="N309">
        <f>Table1[[#This Row],[WorkLifeBalance]]</f>
        <v>3</v>
      </c>
      <c r="O309" t="str" cm="1">
        <f t="array" ref="O309">_xlfn.IFS(A309&lt;=30,"18-30",A309&lt;=40,"31-40",A309&lt;=50,"41-50",A309&gt;50,"51+")</f>
        <v>31-40</v>
      </c>
      <c r="P309" t="str" cm="1">
        <f t="array" ref="P309">_xlfn.IFS(F309&lt;=45,"45 or below",F309&lt;= 60,"46-60",F309&lt;=75,"61-75",F309&lt;=90,"76-90",F309&gt;90,"91 or above")</f>
        <v>76-90</v>
      </c>
      <c r="Q3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09" t="str" cm="1">
        <f t="array" ref="R309" xml:space="preserve"> _xlfn.IFS(Table3[[#This Row],[Flight Risk Score]] = "NA","NA",Table3[[#This Row],[Flight Risk Score]] &gt;= 70,"High Risk",Table3[[#This Row],[Flight Risk Score]] &gt;= 50, "Medium Risk", Table3[[#This Row],[Flight Risk Score]] &gt;= 30,"Low Risk",Table3[[#This Row],[Flight Risk Score]] &lt; 30,"Very Low Risk")</f>
        <v>Low Risk</v>
      </c>
    </row>
    <row r="310" spans="1:18" x14ac:dyDescent="0.2">
      <c r="A310">
        <f>Table1[[#This Row],[Age]]</f>
        <v>58</v>
      </c>
      <c r="B310">
        <f>IF(Table3[[#This Row],[Attrition]] = "Yes", 1,0)</f>
        <v>0</v>
      </c>
      <c r="C310" t="str">
        <f>Table1[[#This Row],[Attrition]]</f>
        <v>No</v>
      </c>
      <c r="D310" t="str">
        <f>Table1[[#This Row],[Department]]</f>
        <v>Research &amp; Development</v>
      </c>
      <c r="E310">
        <f>Table1[[#This Row],[EnvironmentSatisfaction]]</f>
        <v>4</v>
      </c>
      <c r="F310">
        <f>Table1[[#This Row],[HourlyRate]]</f>
        <v>32</v>
      </c>
      <c r="G310" t="str">
        <f>Table1[[#This Row],[JobRole]]</f>
        <v>Healthcare Representative</v>
      </c>
      <c r="H310">
        <f>Table1[[#This Row],[JobSatisfaction]]</f>
        <v>3</v>
      </c>
      <c r="I310">
        <f>Table1[[#This Row],[YearsAtCompany]]</f>
        <v>5</v>
      </c>
      <c r="J310">
        <f>Table1[[#This Row],[YearsSinceLastPromotion]]</f>
        <v>1</v>
      </c>
      <c r="K310">
        <f>Table1[[#This Row],[EmployeeNumber]]</f>
        <v>422</v>
      </c>
      <c r="L310">
        <f>Table1[[#This Row],[DistanceFromHome]]</f>
        <v>1</v>
      </c>
      <c r="M310" t="str">
        <f>Table1[[#This Row],[OverTime]]</f>
        <v>Yes</v>
      </c>
      <c r="N310">
        <f>Table1[[#This Row],[WorkLifeBalance]]</f>
        <v>3</v>
      </c>
      <c r="O310" t="str" cm="1">
        <f t="array" ref="O310">_xlfn.IFS(A310&lt;=30,"18-30",A310&lt;=40,"31-40",A310&lt;=50,"41-50",A310&gt;50,"51+")</f>
        <v>51+</v>
      </c>
      <c r="P310" t="str" cm="1">
        <f t="array" ref="P310">_xlfn.IFS(F310&lt;=45,"45 or below",F310&lt;= 60,"46-60",F310&lt;=75,"61-75",F310&lt;=90,"76-90",F310&gt;90,"91 or above")</f>
        <v>45 or below</v>
      </c>
      <c r="Q3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10" t="str" cm="1">
        <f t="array" ref="R310" xml:space="preserve"> _xlfn.IFS(Table3[[#This Row],[Flight Risk Score]] = "NA","NA",Table3[[#This Row],[Flight Risk Score]] &gt;= 70,"High Risk",Table3[[#This Row],[Flight Risk Score]] &gt;= 50, "Medium Risk", Table3[[#This Row],[Flight Risk Score]] &gt;= 30,"Low Risk",Table3[[#This Row],[Flight Risk Score]] &lt; 30,"Very Low Risk")</f>
        <v>Low Risk</v>
      </c>
    </row>
    <row r="311" spans="1:18" x14ac:dyDescent="0.2">
      <c r="A311">
        <f>Table1[[#This Row],[Age]]</f>
        <v>31</v>
      </c>
      <c r="B311">
        <f>IF(Table3[[#This Row],[Attrition]] = "Yes", 1,0)</f>
        <v>0</v>
      </c>
      <c r="C311" t="str">
        <f>Table1[[#This Row],[Attrition]]</f>
        <v>No</v>
      </c>
      <c r="D311" t="str">
        <f>Table1[[#This Row],[Department]]</f>
        <v>Research &amp; Development</v>
      </c>
      <c r="E311">
        <f>Table1[[#This Row],[EnvironmentSatisfaction]]</f>
        <v>3</v>
      </c>
      <c r="F311">
        <f>Table1[[#This Row],[HourlyRate]]</f>
        <v>86</v>
      </c>
      <c r="G311" t="str">
        <f>Table1[[#This Row],[JobRole]]</f>
        <v>Research Scientist</v>
      </c>
      <c r="H311">
        <f>Table1[[#This Row],[JobSatisfaction]]</f>
        <v>4</v>
      </c>
      <c r="I311">
        <f>Table1[[#This Row],[YearsAtCompany]]</f>
        <v>5</v>
      </c>
      <c r="J311">
        <f>Table1[[#This Row],[YearsSinceLastPromotion]]</f>
        <v>0</v>
      </c>
      <c r="K311">
        <f>Table1[[#This Row],[EmployeeNumber]]</f>
        <v>423</v>
      </c>
      <c r="L311">
        <f>Table1[[#This Row],[DistanceFromHome]]</f>
        <v>5</v>
      </c>
      <c r="M311" t="str">
        <f>Table1[[#This Row],[OverTime]]</f>
        <v>Yes</v>
      </c>
      <c r="N311">
        <f>Table1[[#This Row],[WorkLifeBalance]]</f>
        <v>3</v>
      </c>
      <c r="O311" t="str" cm="1">
        <f t="array" ref="O311">_xlfn.IFS(A311&lt;=30,"18-30",A311&lt;=40,"31-40",A311&lt;=50,"41-50",A311&gt;50,"51+")</f>
        <v>31-40</v>
      </c>
      <c r="P311" t="str" cm="1">
        <f t="array" ref="P311">_xlfn.IFS(F311&lt;=45,"45 or below",F311&lt;= 60,"46-60",F311&lt;=75,"61-75",F311&lt;=90,"76-90",F311&gt;90,"91 or above")</f>
        <v>76-90</v>
      </c>
      <c r="Q3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11" t="str" cm="1">
        <f t="array" ref="R311" xml:space="preserve"> _xlfn.IFS(Table3[[#This Row],[Flight Risk Score]] = "NA","NA",Table3[[#This Row],[Flight Risk Score]] &gt;= 70,"High Risk",Table3[[#This Row],[Flight Risk Score]] &gt;= 50, "Medium Risk", Table3[[#This Row],[Flight Risk Score]] &gt;= 30,"Low Risk",Table3[[#This Row],[Flight Risk Score]] &lt; 30,"Very Low Risk")</f>
        <v>Low Risk</v>
      </c>
    </row>
    <row r="312" spans="1:18" x14ac:dyDescent="0.2">
      <c r="A312">
        <f>Table1[[#This Row],[Age]]</f>
        <v>31</v>
      </c>
      <c r="B312">
        <f>IF(Table3[[#This Row],[Attrition]] = "Yes", 1,0)</f>
        <v>0</v>
      </c>
      <c r="C312" t="str">
        <f>Table1[[#This Row],[Attrition]]</f>
        <v>No</v>
      </c>
      <c r="D312" t="str">
        <f>Table1[[#This Row],[Department]]</f>
        <v>Human Resources</v>
      </c>
      <c r="E312">
        <f>Table1[[#This Row],[EnvironmentSatisfaction]]</f>
        <v>1</v>
      </c>
      <c r="F312">
        <f>Table1[[#This Row],[HourlyRate]]</f>
        <v>62</v>
      </c>
      <c r="G312" t="str">
        <f>Table1[[#This Row],[JobRole]]</f>
        <v>Human Resources</v>
      </c>
      <c r="H312">
        <f>Table1[[#This Row],[JobSatisfaction]]</f>
        <v>1</v>
      </c>
      <c r="I312">
        <f>Table1[[#This Row],[YearsAtCompany]]</f>
        <v>2</v>
      </c>
      <c r="J312">
        <f>Table1[[#This Row],[YearsSinceLastPromotion]]</f>
        <v>1</v>
      </c>
      <c r="K312">
        <f>Table1[[#This Row],[EmployeeNumber]]</f>
        <v>424</v>
      </c>
      <c r="L312">
        <f>Table1[[#This Row],[DistanceFromHome]]</f>
        <v>2</v>
      </c>
      <c r="M312" t="str">
        <f>Table1[[#This Row],[OverTime]]</f>
        <v>No</v>
      </c>
      <c r="N312">
        <f>Table1[[#This Row],[WorkLifeBalance]]</f>
        <v>3</v>
      </c>
      <c r="O312" t="str" cm="1">
        <f t="array" ref="O312">_xlfn.IFS(A312&lt;=30,"18-30",A312&lt;=40,"31-40",A312&lt;=50,"41-50",A312&gt;50,"51+")</f>
        <v>31-40</v>
      </c>
      <c r="P312" t="str" cm="1">
        <f t="array" ref="P312">_xlfn.IFS(F312&lt;=45,"45 or below",F312&lt;= 60,"46-60",F312&lt;=75,"61-75",F312&lt;=90,"76-90",F312&gt;90,"91 or above")</f>
        <v>61-75</v>
      </c>
      <c r="Q3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12" t="str" cm="1">
        <f t="array" ref="R312" xml:space="preserve"> _xlfn.IFS(Table3[[#This Row],[Flight Risk Score]] = "NA","NA",Table3[[#This Row],[Flight Risk Score]] &gt;= 70,"High Risk",Table3[[#This Row],[Flight Risk Score]] &gt;= 50, "Medium Risk", Table3[[#This Row],[Flight Risk Score]] &gt;= 30,"Low Risk",Table3[[#This Row],[Flight Risk Score]] &lt; 30,"Very Low Risk")</f>
        <v>Low Risk</v>
      </c>
    </row>
    <row r="313" spans="1:18" x14ac:dyDescent="0.2">
      <c r="A313">
        <f>Table1[[#This Row],[Age]]</f>
        <v>45</v>
      </c>
      <c r="B313">
        <f>IF(Table3[[#This Row],[Attrition]] = "Yes", 1,0)</f>
        <v>0</v>
      </c>
      <c r="C313" t="str">
        <f>Table1[[#This Row],[Attrition]]</f>
        <v>No</v>
      </c>
      <c r="D313" t="str">
        <f>Table1[[#This Row],[Department]]</f>
        <v>Research &amp; Development</v>
      </c>
      <c r="E313">
        <f>Table1[[#This Row],[EnvironmentSatisfaction]]</f>
        <v>1</v>
      </c>
      <c r="F313">
        <f>Table1[[#This Row],[HourlyRate]]</f>
        <v>97</v>
      </c>
      <c r="G313" t="str">
        <f>Table1[[#This Row],[JobRole]]</f>
        <v>Laboratory Technician</v>
      </c>
      <c r="H313">
        <f>Table1[[#This Row],[JobSatisfaction]]</f>
        <v>1</v>
      </c>
      <c r="I313">
        <f>Table1[[#This Row],[YearsAtCompany]]</f>
        <v>24</v>
      </c>
      <c r="J313">
        <f>Table1[[#This Row],[YearsSinceLastPromotion]]</f>
        <v>9</v>
      </c>
      <c r="K313">
        <f>Table1[[#This Row],[EmployeeNumber]]</f>
        <v>425</v>
      </c>
      <c r="L313">
        <f>Table1[[#This Row],[DistanceFromHome]]</f>
        <v>7</v>
      </c>
      <c r="M313" t="str">
        <f>Table1[[#This Row],[OverTime]]</f>
        <v>No</v>
      </c>
      <c r="N313">
        <f>Table1[[#This Row],[WorkLifeBalance]]</f>
        <v>3</v>
      </c>
      <c r="O313" t="str" cm="1">
        <f t="array" ref="O313">_xlfn.IFS(A313&lt;=30,"18-30",A313&lt;=40,"31-40",A313&lt;=50,"41-50",A313&gt;50,"51+")</f>
        <v>41-50</v>
      </c>
      <c r="P313" t="str" cm="1">
        <f t="array" ref="P313">_xlfn.IFS(F313&lt;=45,"45 or below",F313&lt;= 60,"46-60",F313&lt;=75,"61-75",F313&lt;=90,"76-90",F313&gt;90,"91 or above")</f>
        <v>91 or above</v>
      </c>
      <c r="Q3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13" t="str" cm="1">
        <f t="array" ref="R313" xml:space="preserve"> _xlfn.IFS(Table3[[#This Row],[Flight Risk Score]] = "NA","NA",Table3[[#This Row],[Flight Risk Score]] &gt;= 70,"High Risk",Table3[[#This Row],[Flight Risk Score]] &gt;= 50, "Medium Risk", Table3[[#This Row],[Flight Risk Score]] &gt;= 30,"Low Risk",Table3[[#This Row],[Flight Risk Score]] &lt; 30,"Very Low Risk")</f>
        <v>Low Risk</v>
      </c>
    </row>
    <row r="314" spans="1:18" x14ac:dyDescent="0.2">
      <c r="A314">
        <f>Table1[[#This Row],[Age]]</f>
        <v>31</v>
      </c>
      <c r="B314">
        <f>IF(Table3[[#This Row],[Attrition]] = "Yes", 1,0)</f>
        <v>0</v>
      </c>
      <c r="C314" t="str">
        <f>Table1[[#This Row],[Attrition]]</f>
        <v>No</v>
      </c>
      <c r="D314" t="str">
        <f>Table1[[#This Row],[Department]]</f>
        <v>Research &amp; Development</v>
      </c>
      <c r="E314">
        <f>Table1[[#This Row],[EnvironmentSatisfaction]]</f>
        <v>3</v>
      </c>
      <c r="F314">
        <f>Table1[[#This Row],[HourlyRate]]</f>
        <v>32</v>
      </c>
      <c r="G314" t="str">
        <f>Table1[[#This Row],[JobRole]]</f>
        <v>Research Scientist</v>
      </c>
      <c r="H314">
        <f>Table1[[#This Row],[JobSatisfaction]]</f>
        <v>4</v>
      </c>
      <c r="I314">
        <f>Table1[[#This Row],[YearsAtCompany]]</f>
        <v>2</v>
      </c>
      <c r="J314">
        <f>Table1[[#This Row],[YearsSinceLastPromotion]]</f>
        <v>2</v>
      </c>
      <c r="K314">
        <f>Table1[[#This Row],[EmployeeNumber]]</f>
        <v>426</v>
      </c>
      <c r="L314">
        <f>Table1[[#This Row],[DistanceFromHome]]</f>
        <v>2</v>
      </c>
      <c r="M314" t="str">
        <f>Table1[[#This Row],[OverTime]]</f>
        <v>Yes</v>
      </c>
      <c r="N314">
        <f>Table1[[#This Row],[WorkLifeBalance]]</f>
        <v>1</v>
      </c>
      <c r="O314" t="str" cm="1">
        <f t="array" ref="O314">_xlfn.IFS(A314&lt;=30,"18-30",A314&lt;=40,"31-40",A314&lt;=50,"41-50",A314&gt;50,"51+")</f>
        <v>31-40</v>
      </c>
      <c r="P314" t="str" cm="1">
        <f t="array" ref="P314">_xlfn.IFS(F314&lt;=45,"45 or below",F314&lt;= 60,"46-60",F314&lt;=75,"61-75",F314&lt;=90,"76-90",F314&gt;90,"91 or above")</f>
        <v>45 or below</v>
      </c>
      <c r="Q3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314" t="str" cm="1">
        <f t="array" ref="R314" xml:space="preserve"> _xlfn.IFS(Table3[[#This Row],[Flight Risk Score]] = "NA","NA",Table3[[#This Row],[Flight Risk Score]] &gt;= 70,"High Risk",Table3[[#This Row],[Flight Risk Score]] &gt;= 50, "Medium Risk", Table3[[#This Row],[Flight Risk Score]] &gt;= 30,"Low Risk",Table3[[#This Row],[Flight Risk Score]] &lt; 30,"Very Low Risk")</f>
        <v>High Risk</v>
      </c>
    </row>
    <row r="315" spans="1:18" x14ac:dyDescent="0.2">
      <c r="A315">
        <f>Table1[[#This Row],[Age]]</f>
        <v>33</v>
      </c>
      <c r="B315">
        <f>IF(Table3[[#This Row],[Attrition]] = "Yes", 1,0)</f>
        <v>0</v>
      </c>
      <c r="C315" t="str">
        <f>Table1[[#This Row],[Attrition]]</f>
        <v>No</v>
      </c>
      <c r="D315" t="str">
        <f>Table1[[#This Row],[Department]]</f>
        <v>Research &amp; Development</v>
      </c>
      <c r="E315">
        <f>Table1[[#This Row],[EnvironmentSatisfaction]]</f>
        <v>4</v>
      </c>
      <c r="F315">
        <f>Table1[[#This Row],[HourlyRate]]</f>
        <v>74</v>
      </c>
      <c r="G315" t="str">
        <f>Table1[[#This Row],[JobRole]]</f>
        <v>Manager</v>
      </c>
      <c r="H315">
        <f>Table1[[#This Row],[JobSatisfaction]]</f>
        <v>2</v>
      </c>
      <c r="I315">
        <f>Table1[[#This Row],[YearsAtCompany]]</f>
        <v>10</v>
      </c>
      <c r="J315">
        <f>Table1[[#This Row],[YearsSinceLastPromotion]]</f>
        <v>8</v>
      </c>
      <c r="K315">
        <f>Table1[[#This Row],[EmployeeNumber]]</f>
        <v>428</v>
      </c>
      <c r="L315">
        <f>Table1[[#This Row],[DistanceFromHome]]</f>
        <v>5</v>
      </c>
      <c r="M315" t="str">
        <f>Table1[[#This Row],[OverTime]]</f>
        <v>No</v>
      </c>
      <c r="N315">
        <f>Table1[[#This Row],[WorkLifeBalance]]</f>
        <v>3</v>
      </c>
      <c r="O315" t="str" cm="1">
        <f t="array" ref="O315">_xlfn.IFS(A315&lt;=30,"18-30",A315&lt;=40,"31-40",A315&lt;=50,"41-50",A315&gt;50,"51+")</f>
        <v>31-40</v>
      </c>
      <c r="P315" t="str" cm="1">
        <f t="array" ref="P315">_xlfn.IFS(F315&lt;=45,"45 or below",F315&lt;= 60,"46-60",F315&lt;=75,"61-75",F315&lt;=90,"76-90",F315&gt;90,"91 or above")</f>
        <v>61-75</v>
      </c>
      <c r="Q3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15" t="str" cm="1">
        <f t="array" ref="R3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16" spans="1:18" x14ac:dyDescent="0.2">
      <c r="A316">
        <f>Table1[[#This Row],[Age]]</f>
        <v>39</v>
      </c>
      <c r="B316">
        <f>IF(Table3[[#This Row],[Attrition]] = "Yes", 1,0)</f>
        <v>0</v>
      </c>
      <c r="C316" t="str">
        <f>Table1[[#This Row],[Attrition]]</f>
        <v>No</v>
      </c>
      <c r="D316" t="str">
        <f>Table1[[#This Row],[Department]]</f>
        <v>Research &amp; Development</v>
      </c>
      <c r="E316">
        <f>Table1[[#This Row],[EnvironmentSatisfaction]]</f>
        <v>3</v>
      </c>
      <c r="F316">
        <f>Table1[[#This Row],[HourlyRate]]</f>
        <v>99</v>
      </c>
      <c r="G316" t="str">
        <f>Table1[[#This Row],[JobRole]]</f>
        <v>Manager</v>
      </c>
      <c r="H316">
        <f>Table1[[#This Row],[JobSatisfaction]]</f>
        <v>1</v>
      </c>
      <c r="I316">
        <f>Table1[[#This Row],[YearsAtCompany]]</f>
        <v>21</v>
      </c>
      <c r="J316">
        <f>Table1[[#This Row],[YearsSinceLastPromotion]]</f>
        <v>11</v>
      </c>
      <c r="K316">
        <f>Table1[[#This Row],[EmployeeNumber]]</f>
        <v>429</v>
      </c>
      <c r="L316">
        <f>Table1[[#This Row],[DistanceFromHome]]</f>
        <v>10</v>
      </c>
      <c r="M316" t="str">
        <f>Table1[[#This Row],[OverTime]]</f>
        <v>Yes</v>
      </c>
      <c r="N316">
        <f>Table1[[#This Row],[WorkLifeBalance]]</f>
        <v>3</v>
      </c>
      <c r="O316" t="str" cm="1">
        <f t="array" ref="O316">_xlfn.IFS(A316&lt;=30,"18-30",A316&lt;=40,"31-40",A316&lt;=50,"41-50",A316&gt;50,"51+")</f>
        <v>31-40</v>
      </c>
      <c r="P316" t="str" cm="1">
        <f t="array" ref="P316">_xlfn.IFS(F316&lt;=45,"45 or below",F316&lt;= 60,"46-60",F316&lt;=75,"61-75",F316&lt;=90,"76-90",F316&gt;90,"91 or above")</f>
        <v>91 or above</v>
      </c>
      <c r="Q3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16" t="str" cm="1">
        <f t="array" ref="R31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17" spans="1:18" x14ac:dyDescent="0.2">
      <c r="A317">
        <f>Table1[[#This Row],[Age]]</f>
        <v>43</v>
      </c>
      <c r="B317">
        <f>IF(Table3[[#This Row],[Attrition]] = "Yes", 1,0)</f>
        <v>0</v>
      </c>
      <c r="C317" t="str">
        <f>Table1[[#This Row],[Attrition]]</f>
        <v>No</v>
      </c>
      <c r="D317" t="str">
        <f>Table1[[#This Row],[Department]]</f>
        <v>Research &amp; Development</v>
      </c>
      <c r="E317">
        <f>Table1[[#This Row],[EnvironmentSatisfaction]]</f>
        <v>3</v>
      </c>
      <c r="F317">
        <f>Table1[[#This Row],[HourlyRate]]</f>
        <v>33</v>
      </c>
      <c r="G317" t="str">
        <f>Table1[[#This Row],[JobRole]]</f>
        <v>Laboratory Technician</v>
      </c>
      <c r="H317">
        <f>Table1[[#This Row],[JobSatisfaction]]</f>
        <v>4</v>
      </c>
      <c r="I317">
        <f>Table1[[#This Row],[YearsAtCompany]]</f>
        <v>8</v>
      </c>
      <c r="J317">
        <f>Table1[[#This Row],[YearsSinceLastPromotion]]</f>
        <v>1</v>
      </c>
      <c r="K317">
        <f>Table1[[#This Row],[EmployeeNumber]]</f>
        <v>430</v>
      </c>
      <c r="L317">
        <f>Table1[[#This Row],[DistanceFromHome]]</f>
        <v>10</v>
      </c>
      <c r="M317" t="str">
        <f>Table1[[#This Row],[OverTime]]</f>
        <v>No</v>
      </c>
      <c r="N317">
        <f>Table1[[#This Row],[WorkLifeBalance]]</f>
        <v>3</v>
      </c>
      <c r="O317" t="str" cm="1">
        <f t="array" ref="O317">_xlfn.IFS(A317&lt;=30,"18-30",A317&lt;=40,"31-40",A317&lt;=50,"41-50",A317&gt;50,"51+")</f>
        <v>41-50</v>
      </c>
      <c r="P317" t="str" cm="1">
        <f t="array" ref="P317">_xlfn.IFS(F317&lt;=45,"45 or below",F317&lt;= 60,"46-60",F317&lt;=75,"61-75",F317&lt;=90,"76-90",F317&gt;90,"91 or above")</f>
        <v>45 or below</v>
      </c>
      <c r="Q3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17" t="str" cm="1">
        <f t="array" ref="R31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18" spans="1:18" x14ac:dyDescent="0.2">
      <c r="A318">
        <f>Table1[[#This Row],[Age]]</f>
        <v>49</v>
      </c>
      <c r="B318">
        <f>IF(Table3[[#This Row],[Attrition]] = "Yes", 1,0)</f>
        <v>0</v>
      </c>
      <c r="C318" t="str">
        <f>Table1[[#This Row],[Attrition]]</f>
        <v>No</v>
      </c>
      <c r="D318" t="str">
        <f>Table1[[#This Row],[Department]]</f>
        <v>Research &amp; Development</v>
      </c>
      <c r="E318">
        <f>Table1[[#This Row],[EnvironmentSatisfaction]]</f>
        <v>3</v>
      </c>
      <c r="F318">
        <f>Table1[[#This Row],[HourlyRate]]</f>
        <v>90</v>
      </c>
      <c r="G318" t="str">
        <f>Table1[[#This Row],[JobRole]]</f>
        <v>Healthcare Representative</v>
      </c>
      <c r="H318">
        <f>Table1[[#This Row],[JobSatisfaction]]</f>
        <v>3</v>
      </c>
      <c r="I318">
        <f>Table1[[#This Row],[YearsAtCompany]]</f>
        <v>7</v>
      </c>
      <c r="J318">
        <f>Table1[[#This Row],[YearsSinceLastPromotion]]</f>
        <v>0</v>
      </c>
      <c r="K318">
        <f>Table1[[#This Row],[EmployeeNumber]]</f>
        <v>431</v>
      </c>
      <c r="L318">
        <f>Table1[[#This Row],[DistanceFromHome]]</f>
        <v>1</v>
      </c>
      <c r="M318" t="str">
        <f>Table1[[#This Row],[OverTime]]</f>
        <v>Yes</v>
      </c>
      <c r="N318">
        <f>Table1[[#This Row],[WorkLifeBalance]]</f>
        <v>3</v>
      </c>
      <c r="O318" t="str" cm="1">
        <f t="array" ref="O318">_xlfn.IFS(A318&lt;=30,"18-30",A318&lt;=40,"31-40",A318&lt;=50,"41-50",A318&gt;50,"51+")</f>
        <v>41-50</v>
      </c>
      <c r="P318" t="str" cm="1">
        <f t="array" ref="P318">_xlfn.IFS(F318&lt;=45,"45 or below",F318&lt;= 60,"46-60",F318&lt;=75,"61-75",F318&lt;=90,"76-90",F318&gt;90,"91 or above")</f>
        <v>76-90</v>
      </c>
      <c r="Q3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18" t="str" cm="1">
        <f t="array" ref="R318" xml:space="preserve"> _xlfn.IFS(Table3[[#This Row],[Flight Risk Score]] = "NA","NA",Table3[[#This Row],[Flight Risk Score]] &gt;= 70,"High Risk",Table3[[#This Row],[Flight Risk Score]] &gt;= 50, "Medium Risk", Table3[[#This Row],[Flight Risk Score]] &gt;= 30,"Low Risk",Table3[[#This Row],[Flight Risk Score]] &lt; 30,"Very Low Risk")</f>
        <v>Low Risk</v>
      </c>
    </row>
    <row r="319" spans="1:18" hidden="1" x14ac:dyDescent="0.2">
      <c r="A319">
        <f>Table1[[#This Row],[Age]]</f>
        <v>52</v>
      </c>
      <c r="B319">
        <f>IF(Table3[[#This Row],[Attrition]] = "Yes", 1,0)</f>
        <v>1</v>
      </c>
      <c r="C319" t="str">
        <f>Table1[[#This Row],[Attrition]]</f>
        <v>Yes</v>
      </c>
      <c r="D319" t="str">
        <f>Table1[[#This Row],[Department]]</f>
        <v>Research &amp; Development</v>
      </c>
      <c r="E319">
        <f>Table1[[#This Row],[EnvironmentSatisfaction]]</f>
        <v>3</v>
      </c>
      <c r="F319">
        <f>Table1[[#This Row],[HourlyRate]]</f>
        <v>85</v>
      </c>
      <c r="G319" t="str">
        <f>Table1[[#This Row],[JobRole]]</f>
        <v>Research Scientist</v>
      </c>
      <c r="H319">
        <f>Table1[[#This Row],[JobSatisfaction]]</f>
        <v>2</v>
      </c>
      <c r="I319">
        <f>Table1[[#This Row],[YearsAtCompany]]</f>
        <v>8</v>
      </c>
      <c r="J319">
        <f>Table1[[#This Row],[YearsSinceLastPromotion]]</f>
        <v>7</v>
      </c>
      <c r="K319">
        <f>Table1[[#This Row],[EmployeeNumber]]</f>
        <v>433</v>
      </c>
      <c r="L319">
        <f>Table1[[#This Row],[DistanceFromHome]]</f>
        <v>8</v>
      </c>
      <c r="M319" t="str">
        <f>Table1[[#This Row],[OverTime]]</f>
        <v>No</v>
      </c>
      <c r="N319">
        <f>Table1[[#This Row],[WorkLifeBalance]]</f>
        <v>2</v>
      </c>
      <c r="O319" t="str" cm="1">
        <f t="array" ref="O319">_xlfn.IFS(A319&lt;=30,"18-30",A319&lt;=40,"31-40",A319&lt;=50,"41-50",A319&gt;50,"51+")</f>
        <v>51+</v>
      </c>
      <c r="P319" t="str" cm="1">
        <f t="array" ref="P319">_xlfn.IFS(F319&lt;=45,"45 or below",F319&lt;= 60,"46-60",F319&lt;=75,"61-75",F319&lt;=90,"76-90",F319&gt;90,"91 or above")</f>
        <v>76-90</v>
      </c>
      <c r="Q31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19" t="str" cm="1">
        <f t="array" ref="R319" xml:space="preserve"> _xlfn.IFS(Table3[[#This Row],[Flight Risk Score]] = "NA","NA",Table3[[#This Row],[Flight Risk Score]] &gt;= 70,"High Risk",Table3[[#This Row],[Flight Risk Score]] &gt;= 50, "Medium Risk", Table3[[#This Row],[Flight Risk Score]] &gt;= 30,"Low Risk",Table3[[#This Row],[Flight Risk Score]] &lt; 30,"Very Low Risk")</f>
        <v>NA</v>
      </c>
    </row>
    <row r="320" spans="1:18" x14ac:dyDescent="0.2">
      <c r="A320">
        <f>Table1[[#This Row],[Age]]</f>
        <v>27</v>
      </c>
      <c r="B320">
        <f>IF(Table3[[#This Row],[Attrition]] = "Yes", 1,0)</f>
        <v>0</v>
      </c>
      <c r="C320" t="str">
        <f>Table1[[#This Row],[Attrition]]</f>
        <v>No</v>
      </c>
      <c r="D320" t="str">
        <f>Table1[[#This Row],[Department]]</f>
        <v>Research &amp; Development</v>
      </c>
      <c r="E320">
        <f>Table1[[#This Row],[EnvironmentSatisfaction]]</f>
        <v>3</v>
      </c>
      <c r="F320">
        <f>Table1[[#This Row],[HourlyRate]]</f>
        <v>85</v>
      </c>
      <c r="G320" t="str">
        <f>Table1[[#This Row],[JobRole]]</f>
        <v>Research Scientist</v>
      </c>
      <c r="H320">
        <f>Table1[[#This Row],[JobSatisfaction]]</f>
        <v>2</v>
      </c>
      <c r="I320">
        <f>Table1[[#This Row],[YearsAtCompany]]</f>
        <v>4</v>
      </c>
      <c r="J320">
        <f>Table1[[#This Row],[YearsSinceLastPromotion]]</f>
        <v>1</v>
      </c>
      <c r="K320">
        <f>Table1[[#This Row],[EmployeeNumber]]</f>
        <v>434</v>
      </c>
      <c r="L320">
        <f>Table1[[#This Row],[DistanceFromHome]]</f>
        <v>5</v>
      </c>
      <c r="M320" t="str">
        <f>Table1[[#This Row],[OverTime]]</f>
        <v>Yes</v>
      </c>
      <c r="N320">
        <f>Table1[[#This Row],[WorkLifeBalance]]</f>
        <v>2</v>
      </c>
      <c r="O320" t="str" cm="1">
        <f t="array" ref="O320">_xlfn.IFS(A320&lt;=30,"18-30",A320&lt;=40,"31-40",A320&lt;=50,"41-50",A320&gt;50,"51+")</f>
        <v>18-30</v>
      </c>
      <c r="P320" t="str" cm="1">
        <f t="array" ref="P320">_xlfn.IFS(F320&lt;=45,"45 or below",F320&lt;= 60,"46-60",F320&lt;=75,"61-75",F320&lt;=90,"76-90",F320&gt;90,"91 or above")</f>
        <v>76-90</v>
      </c>
      <c r="Q3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20" t="str" cm="1">
        <f t="array" ref="R32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21" spans="1:18" x14ac:dyDescent="0.2">
      <c r="A321">
        <f>Table1[[#This Row],[Age]]</f>
        <v>32</v>
      </c>
      <c r="B321">
        <f>IF(Table3[[#This Row],[Attrition]] = "Yes", 1,0)</f>
        <v>0</v>
      </c>
      <c r="C321" t="str">
        <f>Table1[[#This Row],[Attrition]]</f>
        <v>No</v>
      </c>
      <c r="D321" t="str">
        <f>Table1[[#This Row],[Department]]</f>
        <v>Sales</v>
      </c>
      <c r="E321">
        <f>Table1[[#This Row],[EnvironmentSatisfaction]]</f>
        <v>3</v>
      </c>
      <c r="F321">
        <f>Table1[[#This Row],[HourlyRate]]</f>
        <v>65</v>
      </c>
      <c r="G321" t="str">
        <f>Table1[[#This Row],[JobRole]]</f>
        <v>Sales Executive</v>
      </c>
      <c r="H321">
        <f>Table1[[#This Row],[JobSatisfaction]]</f>
        <v>2</v>
      </c>
      <c r="I321">
        <f>Table1[[#This Row],[YearsAtCompany]]</f>
        <v>13</v>
      </c>
      <c r="J321">
        <f>Table1[[#This Row],[YearsSinceLastPromotion]]</f>
        <v>11</v>
      </c>
      <c r="K321">
        <f>Table1[[#This Row],[EmployeeNumber]]</f>
        <v>436</v>
      </c>
      <c r="L321">
        <f>Table1[[#This Row],[DistanceFromHome]]</f>
        <v>8</v>
      </c>
      <c r="M321" t="str">
        <f>Table1[[#This Row],[OverTime]]</f>
        <v>Yes</v>
      </c>
      <c r="N321">
        <f>Table1[[#This Row],[WorkLifeBalance]]</f>
        <v>3</v>
      </c>
      <c r="O321" t="str" cm="1">
        <f t="array" ref="O321">_xlfn.IFS(A321&lt;=30,"18-30",A321&lt;=40,"31-40",A321&lt;=50,"41-50",A321&gt;50,"51+")</f>
        <v>31-40</v>
      </c>
      <c r="P321" t="str" cm="1">
        <f t="array" ref="P321">_xlfn.IFS(F321&lt;=45,"45 or below",F321&lt;= 60,"46-60",F321&lt;=75,"61-75",F321&lt;=90,"76-90",F321&gt;90,"91 or above")</f>
        <v>61-75</v>
      </c>
      <c r="Q3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21" t="str" cm="1">
        <f t="array" ref="R32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22" spans="1:18" x14ac:dyDescent="0.2">
      <c r="A322">
        <f>Table1[[#This Row],[Age]]</f>
        <v>27</v>
      </c>
      <c r="B322">
        <f>IF(Table3[[#This Row],[Attrition]] = "Yes", 1,0)</f>
        <v>0</v>
      </c>
      <c r="C322" t="str">
        <f>Table1[[#This Row],[Attrition]]</f>
        <v>No</v>
      </c>
      <c r="D322" t="str">
        <f>Table1[[#This Row],[Department]]</f>
        <v>Sales</v>
      </c>
      <c r="E322">
        <f>Table1[[#This Row],[EnvironmentSatisfaction]]</f>
        <v>4</v>
      </c>
      <c r="F322">
        <f>Table1[[#This Row],[HourlyRate]]</f>
        <v>74</v>
      </c>
      <c r="G322" t="str">
        <f>Table1[[#This Row],[JobRole]]</f>
        <v>Sales Executive</v>
      </c>
      <c r="H322">
        <f>Table1[[#This Row],[JobSatisfaction]]</f>
        <v>3</v>
      </c>
      <c r="I322">
        <f>Table1[[#This Row],[YearsAtCompany]]</f>
        <v>5</v>
      </c>
      <c r="J322">
        <f>Table1[[#This Row],[YearsSinceLastPromotion]]</f>
        <v>0</v>
      </c>
      <c r="K322">
        <f>Table1[[#This Row],[EmployeeNumber]]</f>
        <v>437</v>
      </c>
      <c r="L322">
        <f>Table1[[#This Row],[DistanceFromHome]]</f>
        <v>2</v>
      </c>
      <c r="M322" t="str">
        <f>Table1[[#This Row],[OverTime]]</f>
        <v>Yes</v>
      </c>
      <c r="N322">
        <f>Table1[[#This Row],[WorkLifeBalance]]</f>
        <v>3</v>
      </c>
      <c r="O322" t="str" cm="1">
        <f t="array" ref="O322">_xlfn.IFS(A322&lt;=30,"18-30",A322&lt;=40,"31-40",A322&lt;=50,"41-50",A322&gt;50,"51+")</f>
        <v>18-30</v>
      </c>
      <c r="P322" t="str" cm="1">
        <f t="array" ref="P322">_xlfn.IFS(F322&lt;=45,"45 or below",F322&lt;= 60,"46-60",F322&lt;=75,"61-75",F322&lt;=90,"76-90",F322&gt;90,"91 or above")</f>
        <v>61-75</v>
      </c>
      <c r="Q3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22" t="str" cm="1">
        <f t="array" ref="R322" xml:space="preserve"> _xlfn.IFS(Table3[[#This Row],[Flight Risk Score]] = "NA","NA",Table3[[#This Row],[Flight Risk Score]] &gt;= 70,"High Risk",Table3[[#This Row],[Flight Risk Score]] &gt;= 50, "Medium Risk", Table3[[#This Row],[Flight Risk Score]] &gt;= 30,"Low Risk",Table3[[#This Row],[Flight Risk Score]] &lt; 30,"Very Low Risk")</f>
        <v>Low Risk</v>
      </c>
    </row>
    <row r="323" spans="1:18" x14ac:dyDescent="0.2">
      <c r="A323">
        <f>Table1[[#This Row],[Age]]</f>
        <v>31</v>
      </c>
      <c r="B323">
        <f>IF(Table3[[#This Row],[Attrition]] = "Yes", 1,0)</f>
        <v>0</v>
      </c>
      <c r="C323" t="str">
        <f>Table1[[#This Row],[Attrition]]</f>
        <v>No</v>
      </c>
      <c r="D323" t="str">
        <f>Table1[[#This Row],[Department]]</f>
        <v>Sales</v>
      </c>
      <c r="E323">
        <f>Table1[[#This Row],[EnvironmentSatisfaction]]</f>
        <v>4</v>
      </c>
      <c r="F323">
        <f>Table1[[#This Row],[HourlyRate]]</f>
        <v>73</v>
      </c>
      <c r="G323" t="str">
        <f>Table1[[#This Row],[JobRole]]</f>
        <v>Sales Executive</v>
      </c>
      <c r="H323">
        <f>Table1[[#This Row],[JobSatisfaction]]</f>
        <v>4</v>
      </c>
      <c r="I323">
        <f>Table1[[#This Row],[YearsAtCompany]]</f>
        <v>7</v>
      </c>
      <c r="J323">
        <f>Table1[[#This Row],[YearsSinceLastPromotion]]</f>
        <v>1</v>
      </c>
      <c r="K323">
        <f>Table1[[#This Row],[EmployeeNumber]]</f>
        <v>438</v>
      </c>
      <c r="L323">
        <f>Table1[[#This Row],[DistanceFromHome]]</f>
        <v>7</v>
      </c>
      <c r="M323" t="str">
        <f>Table1[[#This Row],[OverTime]]</f>
        <v>No</v>
      </c>
      <c r="N323">
        <f>Table1[[#This Row],[WorkLifeBalance]]</f>
        <v>3</v>
      </c>
      <c r="O323" t="str" cm="1">
        <f t="array" ref="O323">_xlfn.IFS(A323&lt;=30,"18-30",A323&lt;=40,"31-40",A323&lt;=50,"41-50",A323&gt;50,"51+")</f>
        <v>31-40</v>
      </c>
      <c r="P323" t="str" cm="1">
        <f t="array" ref="P323">_xlfn.IFS(F323&lt;=45,"45 or below",F323&lt;= 60,"46-60",F323&lt;=75,"61-75",F323&lt;=90,"76-90",F323&gt;90,"91 or above")</f>
        <v>61-75</v>
      </c>
      <c r="Q3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23" t="str" cm="1">
        <f t="array" ref="R3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24" spans="1:18" x14ac:dyDescent="0.2">
      <c r="A324">
        <f>Table1[[#This Row],[Age]]</f>
        <v>32</v>
      </c>
      <c r="B324">
        <f>IF(Table3[[#This Row],[Attrition]] = "Yes", 1,0)</f>
        <v>0</v>
      </c>
      <c r="C324" t="str">
        <f>Table1[[#This Row],[Attrition]]</f>
        <v>No</v>
      </c>
      <c r="D324" t="str">
        <f>Table1[[#This Row],[Department]]</f>
        <v>Research &amp; Development</v>
      </c>
      <c r="E324">
        <f>Table1[[#This Row],[EnvironmentSatisfaction]]</f>
        <v>1</v>
      </c>
      <c r="F324">
        <f>Table1[[#This Row],[HourlyRate]]</f>
        <v>74</v>
      </c>
      <c r="G324" t="str">
        <f>Table1[[#This Row],[JobRole]]</f>
        <v>Research Scientist</v>
      </c>
      <c r="H324">
        <f>Table1[[#This Row],[JobSatisfaction]]</f>
        <v>4</v>
      </c>
      <c r="I324">
        <f>Table1[[#This Row],[YearsAtCompany]]</f>
        <v>7</v>
      </c>
      <c r="J324">
        <f>Table1[[#This Row],[YearsSinceLastPromotion]]</f>
        <v>0</v>
      </c>
      <c r="K324">
        <f>Table1[[#This Row],[EmployeeNumber]]</f>
        <v>439</v>
      </c>
      <c r="L324">
        <f>Table1[[#This Row],[DistanceFromHome]]</f>
        <v>2</v>
      </c>
      <c r="M324" t="str">
        <f>Table1[[#This Row],[OverTime]]</f>
        <v>No</v>
      </c>
      <c r="N324">
        <f>Table1[[#This Row],[WorkLifeBalance]]</f>
        <v>2</v>
      </c>
      <c r="O324" t="str" cm="1">
        <f t="array" ref="O324">_xlfn.IFS(A324&lt;=30,"18-30",A324&lt;=40,"31-40",A324&lt;=50,"41-50",A324&gt;50,"51+")</f>
        <v>31-40</v>
      </c>
      <c r="P324" t="str" cm="1">
        <f t="array" ref="P324">_xlfn.IFS(F324&lt;=45,"45 or below",F324&lt;= 60,"46-60",F324&lt;=75,"61-75",F324&lt;=90,"76-90",F324&gt;90,"91 or above")</f>
        <v>61-75</v>
      </c>
      <c r="Q3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24" t="str" cm="1">
        <f t="array" ref="R3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25" spans="1:18" hidden="1" x14ac:dyDescent="0.2">
      <c r="A325">
        <f>Table1[[#This Row],[Age]]</f>
        <v>28</v>
      </c>
      <c r="B325">
        <f>IF(Table3[[#This Row],[Attrition]] = "Yes", 1,0)</f>
        <v>1</v>
      </c>
      <c r="C325" t="str">
        <f>Table1[[#This Row],[Attrition]]</f>
        <v>Yes</v>
      </c>
      <c r="D325" t="str">
        <f>Table1[[#This Row],[Department]]</f>
        <v>Research &amp; Development</v>
      </c>
      <c r="E325">
        <f>Table1[[#This Row],[EnvironmentSatisfaction]]</f>
        <v>1</v>
      </c>
      <c r="F325">
        <f>Table1[[#This Row],[HourlyRate]]</f>
        <v>84</v>
      </c>
      <c r="G325" t="str">
        <f>Table1[[#This Row],[JobRole]]</f>
        <v>Research Scientist</v>
      </c>
      <c r="H325">
        <f>Table1[[#This Row],[JobSatisfaction]]</f>
        <v>4</v>
      </c>
      <c r="I325">
        <f>Table1[[#This Row],[YearsAtCompany]]</f>
        <v>3</v>
      </c>
      <c r="J325">
        <f>Table1[[#This Row],[YearsSinceLastPromotion]]</f>
        <v>2</v>
      </c>
      <c r="K325">
        <f>Table1[[#This Row],[EmployeeNumber]]</f>
        <v>440</v>
      </c>
      <c r="L325">
        <f>Table1[[#This Row],[DistanceFromHome]]</f>
        <v>2</v>
      </c>
      <c r="M325" t="str">
        <f>Table1[[#This Row],[OverTime]]</f>
        <v>Yes</v>
      </c>
      <c r="N325">
        <f>Table1[[#This Row],[WorkLifeBalance]]</f>
        <v>2</v>
      </c>
      <c r="O325" t="str" cm="1">
        <f t="array" ref="O325">_xlfn.IFS(A325&lt;=30,"18-30",A325&lt;=40,"31-40",A325&lt;=50,"41-50",A325&gt;50,"51+")</f>
        <v>18-30</v>
      </c>
      <c r="P325" t="str" cm="1">
        <f t="array" ref="P325">_xlfn.IFS(F325&lt;=45,"45 or below",F325&lt;= 60,"46-60",F325&lt;=75,"61-75",F325&lt;=90,"76-90",F325&gt;90,"91 or above")</f>
        <v>76-90</v>
      </c>
      <c r="Q32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25" t="str" cm="1">
        <f t="array" ref="R325" xml:space="preserve"> _xlfn.IFS(Table3[[#This Row],[Flight Risk Score]] = "NA","NA",Table3[[#This Row],[Flight Risk Score]] &gt;= 70,"High Risk",Table3[[#This Row],[Flight Risk Score]] &gt;= 50, "Medium Risk", Table3[[#This Row],[Flight Risk Score]] &gt;= 30,"Low Risk",Table3[[#This Row],[Flight Risk Score]] &lt; 30,"Very Low Risk")</f>
        <v>NA</v>
      </c>
    </row>
    <row r="326" spans="1:18" x14ac:dyDescent="0.2">
      <c r="A326">
        <f>Table1[[#This Row],[Age]]</f>
        <v>30</v>
      </c>
      <c r="B326">
        <f>IF(Table3[[#This Row],[Attrition]] = "Yes", 1,0)</f>
        <v>0</v>
      </c>
      <c r="C326" t="str">
        <f>Table1[[#This Row],[Attrition]]</f>
        <v>No</v>
      </c>
      <c r="D326" t="str">
        <f>Table1[[#This Row],[Department]]</f>
        <v>Research &amp; Development</v>
      </c>
      <c r="E326">
        <f>Table1[[#This Row],[EnvironmentSatisfaction]]</f>
        <v>4</v>
      </c>
      <c r="F326">
        <f>Table1[[#This Row],[HourlyRate]]</f>
        <v>64</v>
      </c>
      <c r="G326" t="str">
        <f>Table1[[#This Row],[JobRole]]</f>
        <v>Research Scientist</v>
      </c>
      <c r="H326">
        <f>Table1[[#This Row],[JobSatisfaction]]</f>
        <v>4</v>
      </c>
      <c r="I326">
        <f>Table1[[#This Row],[YearsAtCompany]]</f>
        <v>10</v>
      </c>
      <c r="J326">
        <f>Table1[[#This Row],[YearsSinceLastPromotion]]</f>
        <v>1</v>
      </c>
      <c r="K326">
        <f>Table1[[#This Row],[EmployeeNumber]]</f>
        <v>441</v>
      </c>
      <c r="L326">
        <f>Table1[[#This Row],[DistanceFromHome]]</f>
        <v>28</v>
      </c>
      <c r="M326" t="str">
        <f>Table1[[#This Row],[OverTime]]</f>
        <v>No</v>
      </c>
      <c r="N326">
        <f>Table1[[#This Row],[WorkLifeBalance]]</f>
        <v>3</v>
      </c>
      <c r="O326" t="str" cm="1">
        <f t="array" ref="O326">_xlfn.IFS(A326&lt;=30,"18-30",A326&lt;=40,"31-40",A326&lt;=50,"41-50",A326&gt;50,"51+")</f>
        <v>18-30</v>
      </c>
      <c r="P326" t="str" cm="1">
        <f t="array" ref="P326">_xlfn.IFS(F326&lt;=45,"45 or below",F326&lt;= 60,"46-60",F326&lt;=75,"61-75",F326&lt;=90,"76-90",F326&gt;90,"91 or above")</f>
        <v>61-75</v>
      </c>
      <c r="Q3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26" t="str" cm="1">
        <f t="array" ref="R3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27" spans="1:18" x14ac:dyDescent="0.2">
      <c r="A327">
        <f>Table1[[#This Row],[Age]]</f>
        <v>31</v>
      </c>
      <c r="B327">
        <f>IF(Table3[[#This Row],[Attrition]] = "Yes", 1,0)</f>
        <v>0</v>
      </c>
      <c r="C327" t="str">
        <f>Table1[[#This Row],[Attrition]]</f>
        <v>No</v>
      </c>
      <c r="D327" t="str">
        <f>Table1[[#This Row],[Department]]</f>
        <v>Research &amp; Development</v>
      </c>
      <c r="E327">
        <f>Table1[[#This Row],[EnvironmentSatisfaction]]</f>
        <v>3</v>
      </c>
      <c r="F327">
        <f>Table1[[#This Row],[HourlyRate]]</f>
        <v>48</v>
      </c>
      <c r="G327" t="str">
        <f>Table1[[#This Row],[JobRole]]</f>
        <v>Manufacturing Director</v>
      </c>
      <c r="H327">
        <f>Table1[[#This Row],[JobSatisfaction]]</f>
        <v>3</v>
      </c>
      <c r="I327">
        <f>Table1[[#This Row],[YearsAtCompany]]</f>
        <v>10</v>
      </c>
      <c r="J327">
        <f>Table1[[#This Row],[YearsSinceLastPromotion]]</f>
        <v>8</v>
      </c>
      <c r="K327">
        <f>Table1[[#This Row],[EmployeeNumber]]</f>
        <v>442</v>
      </c>
      <c r="L327">
        <f>Table1[[#This Row],[DistanceFromHome]]</f>
        <v>7</v>
      </c>
      <c r="M327" t="str">
        <f>Table1[[#This Row],[OverTime]]</f>
        <v>No</v>
      </c>
      <c r="N327">
        <f>Table1[[#This Row],[WorkLifeBalance]]</f>
        <v>3</v>
      </c>
      <c r="O327" t="str" cm="1">
        <f t="array" ref="O327">_xlfn.IFS(A327&lt;=30,"18-30",A327&lt;=40,"31-40",A327&lt;=50,"41-50",A327&gt;50,"51+")</f>
        <v>31-40</v>
      </c>
      <c r="P327" t="str" cm="1">
        <f t="array" ref="P327">_xlfn.IFS(F327&lt;=45,"45 or below",F327&lt;= 60,"46-60",F327&lt;=75,"61-75",F327&lt;=90,"76-90",F327&gt;90,"91 or above")</f>
        <v>46-60</v>
      </c>
      <c r="Q3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27" t="str" cm="1">
        <f t="array" ref="R3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28" spans="1:18" x14ac:dyDescent="0.2">
      <c r="A328">
        <f>Table1[[#This Row],[Age]]</f>
        <v>39</v>
      </c>
      <c r="B328">
        <f>IF(Table3[[#This Row],[Attrition]] = "Yes", 1,0)</f>
        <v>0</v>
      </c>
      <c r="C328" t="str">
        <f>Table1[[#This Row],[Attrition]]</f>
        <v>No</v>
      </c>
      <c r="D328" t="str">
        <f>Table1[[#This Row],[Department]]</f>
        <v>Research &amp; Development</v>
      </c>
      <c r="E328">
        <f>Table1[[#This Row],[EnvironmentSatisfaction]]</f>
        <v>3</v>
      </c>
      <c r="F328">
        <f>Table1[[#This Row],[HourlyRate]]</f>
        <v>54</v>
      </c>
      <c r="G328" t="str">
        <f>Table1[[#This Row],[JobRole]]</f>
        <v>Manager</v>
      </c>
      <c r="H328">
        <f>Table1[[#This Row],[JobSatisfaction]]</f>
        <v>4</v>
      </c>
      <c r="I328">
        <f>Table1[[#This Row],[YearsAtCompany]]</f>
        <v>21</v>
      </c>
      <c r="J328">
        <f>Table1[[#This Row],[YearsSinceLastPromotion]]</f>
        <v>13</v>
      </c>
      <c r="K328">
        <f>Table1[[#This Row],[EmployeeNumber]]</f>
        <v>444</v>
      </c>
      <c r="L328">
        <f>Table1[[#This Row],[DistanceFromHome]]</f>
        <v>7</v>
      </c>
      <c r="M328" t="str">
        <f>Table1[[#This Row],[OverTime]]</f>
        <v>No</v>
      </c>
      <c r="N328">
        <f>Table1[[#This Row],[WorkLifeBalance]]</f>
        <v>3</v>
      </c>
      <c r="O328" t="str" cm="1">
        <f t="array" ref="O328">_xlfn.IFS(A328&lt;=30,"18-30",A328&lt;=40,"31-40",A328&lt;=50,"41-50",A328&gt;50,"51+")</f>
        <v>31-40</v>
      </c>
      <c r="P328" t="str" cm="1">
        <f t="array" ref="P328">_xlfn.IFS(F328&lt;=45,"45 or below",F328&lt;= 60,"46-60",F328&lt;=75,"61-75",F328&lt;=90,"76-90",F328&gt;90,"91 or above")</f>
        <v>46-60</v>
      </c>
      <c r="Q3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28" t="str" cm="1">
        <f t="array" ref="R3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29" spans="1:18" hidden="1" x14ac:dyDescent="0.2">
      <c r="A329">
        <f>Table1[[#This Row],[Age]]</f>
        <v>39</v>
      </c>
      <c r="B329">
        <f>IF(Table3[[#This Row],[Attrition]] = "Yes", 1,0)</f>
        <v>1</v>
      </c>
      <c r="C329" t="str">
        <f>Table1[[#This Row],[Attrition]]</f>
        <v>Yes</v>
      </c>
      <c r="D329" t="str">
        <f>Table1[[#This Row],[Department]]</f>
        <v>Sales</v>
      </c>
      <c r="E329">
        <f>Table1[[#This Row],[EnvironmentSatisfaction]]</f>
        <v>4</v>
      </c>
      <c r="F329">
        <f>Table1[[#This Row],[HourlyRate]]</f>
        <v>41</v>
      </c>
      <c r="G329" t="str">
        <f>Table1[[#This Row],[JobRole]]</f>
        <v>Sales Executive</v>
      </c>
      <c r="H329">
        <f>Table1[[#This Row],[JobSatisfaction]]</f>
        <v>3</v>
      </c>
      <c r="I329">
        <f>Table1[[#This Row],[YearsAtCompany]]</f>
        <v>1</v>
      </c>
      <c r="J329">
        <f>Table1[[#This Row],[YearsSinceLastPromotion]]</f>
        <v>0</v>
      </c>
      <c r="K329">
        <f>Table1[[#This Row],[EmployeeNumber]]</f>
        <v>445</v>
      </c>
      <c r="L329">
        <f>Table1[[#This Row],[DistanceFromHome]]</f>
        <v>3</v>
      </c>
      <c r="M329" t="str">
        <f>Table1[[#This Row],[OverTime]]</f>
        <v>Yes</v>
      </c>
      <c r="N329">
        <f>Table1[[#This Row],[WorkLifeBalance]]</f>
        <v>2</v>
      </c>
      <c r="O329" t="str" cm="1">
        <f t="array" ref="O329">_xlfn.IFS(A329&lt;=30,"18-30",A329&lt;=40,"31-40",A329&lt;=50,"41-50",A329&gt;50,"51+")</f>
        <v>31-40</v>
      </c>
      <c r="P329" t="str" cm="1">
        <f t="array" ref="P329">_xlfn.IFS(F329&lt;=45,"45 or below",F329&lt;= 60,"46-60",F329&lt;=75,"61-75",F329&lt;=90,"76-90",F329&gt;90,"91 or above")</f>
        <v>45 or below</v>
      </c>
      <c r="Q32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29" t="str" cm="1">
        <f t="array" ref="R329" xml:space="preserve"> _xlfn.IFS(Table3[[#This Row],[Flight Risk Score]] = "NA","NA",Table3[[#This Row],[Flight Risk Score]] &gt;= 70,"High Risk",Table3[[#This Row],[Flight Risk Score]] &gt;= 50, "Medium Risk", Table3[[#This Row],[Flight Risk Score]] &gt;= 30,"Low Risk",Table3[[#This Row],[Flight Risk Score]] &lt; 30,"Very Low Risk")</f>
        <v>NA</v>
      </c>
    </row>
    <row r="330" spans="1:18" x14ac:dyDescent="0.2">
      <c r="A330">
        <f>Table1[[#This Row],[Age]]</f>
        <v>33</v>
      </c>
      <c r="B330">
        <f>IF(Table3[[#This Row],[Attrition]] = "Yes", 1,0)</f>
        <v>0</v>
      </c>
      <c r="C330" t="str">
        <f>Table1[[#This Row],[Attrition]]</f>
        <v>No</v>
      </c>
      <c r="D330" t="str">
        <f>Table1[[#This Row],[Department]]</f>
        <v>Sales</v>
      </c>
      <c r="E330">
        <f>Table1[[#This Row],[EnvironmentSatisfaction]]</f>
        <v>2</v>
      </c>
      <c r="F330">
        <f>Table1[[#This Row],[HourlyRate]]</f>
        <v>46</v>
      </c>
      <c r="G330" t="str">
        <f>Table1[[#This Row],[JobRole]]</f>
        <v>Sales Executive</v>
      </c>
      <c r="H330">
        <f>Table1[[#This Row],[JobSatisfaction]]</f>
        <v>4</v>
      </c>
      <c r="I330">
        <f>Table1[[#This Row],[YearsAtCompany]]</f>
        <v>7</v>
      </c>
      <c r="J330">
        <f>Table1[[#This Row],[YearsSinceLastPromotion]]</f>
        <v>0</v>
      </c>
      <c r="K330">
        <f>Table1[[#This Row],[EmployeeNumber]]</f>
        <v>446</v>
      </c>
      <c r="L330">
        <f>Table1[[#This Row],[DistanceFromHome]]</f>
        <v>10</v>
      </c>
      <c r="M330" t="str">
        <f>Table1[[#This Row],[OverTime]]</f>
        <v>No</v>
      </c>
      <c r="N330">
        <f>Table1[[#This Row],[WorkLifeBalance]]</f>
        <v>2</v>
      </c>
      <c r="O330" t="str" cm="1">
        <f t="array" ref="O330">_xlfn.IFS(A330&lt;=30,"18-30",A330&lt;=40,"31-40",A330&lt;=50,"41-50",A330&gt;50,"51+")</f>
        <v>31-40</v>
      </c>
      <c r="P330" t="str" cm="1">
        <f t="array" ref="P330">_xlfn.IFS(F330&lt;=45,"45 or below",F330&lt;= 60,"46-60",F330&lt;=75,"61-75",F330&lt;=90,"76-90",F330&gt;90,"91 or above")</f>
        <v>46-60</v>
      </c>
      <c r="Q3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30" t="str" cm="1">
        <f t="array" ref="R3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1" spans="1:18" x14ac:dyDescent="0.2">
      <c r="A331">
        <f>Table1[[#This Row],[Age]]</f>
        <v>47</v>
      </c>
      <c r="B331">
        <f>IF(Table3[[#This Row],[Attrition]] = "Yes", 1,0)</f>
        <v>0</v>
      </c>
      <c r="C331" t="str">
        <f>Table1[[#This Row],[Attrition]]</f>
        <v>No</v>
      </c>
      <c r="D331" t="str">
        <f>Table1[[#This Row],[Department]]</f>
        <v>Research &amp; Development</v>
      </c>
      <c r="E331">
        <f>Table1[[#This Row],[EnvironmentSatisfaction]]</f>
        <v>4</v>
      </c>
      <c r="F331">
        <f>Table1[[#This Row],[HourlyRate]]</f>
        <v>42</v>
      </c>
      <c r="G331" t="str">
        <f>Table1[[#This Row],[JobRole]]</f>
        <v>Research Director</v>
      </c>
      <c r="H331">
        <f>Table1[[#This Row],[JobSatisfaction]]</f>
        <v>3</v>
      </c>
      <c r="I331">
        <f>Table1[[#This Row],[YearsAtCompany]]</f>
        <v>3</v>
      </c>
      <c r="J331">
        <f>Table1[[#This Row],[YearsSinceLastPromotion]]</f>
        <v>1</v>
      </c>
      <c r="K331">
        <f>Table1[[#This Row],[EmployeeNumber]]</f>
        <v>447</v>
      </c>
      <c r="L331">
        <f>Table1[[#This Row],[DistanceFromHome]]</f>
        <v>5</v>
      </c>
      <c r="M331" t="str">
        <f>Table1[[#This Row],[OverTime]]</f>
        <v>No</v>
      </c>
      <c r="N331">
        <f>Table1[[#This Row],[WorkLifeBalance]]</f>
        <v>3</v>
      </c>
      <c r="O331" t="str" cm="1">
        <f t="array" ref="O331">_xlfn.IFS(A331&lt;=30,"18-30",A331&lt;=40,"31-40",A331&lt;=50,"41-50",A331&gt;50,"51+")</f>
        <v>41-50</v>
      </c>
      <c r="P331" t="str" cm="1">
        <f t="array" ref="P331">_xlfn.IFS(F331&lt;=45,"45 or below",F331&lt;= 60,"46-60",F331&lt;=75,"61-75",F331&lt;=90,"76-90",F331&gt;90,"91 or above")</f>
        <v>45 or below</v>
      </c>
      <c r="Q3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31" t="str" cm="1">
        <f t="array" ref="R3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2" spans="1:18" x14ac:dyDescent="0.2">
      <c r="A332">
        <f>Table1[[#This Row],[Age]]</f>
        <v>43</v>
      </c>
      <c r="B332">
        <f>IF(Table3[[#This Row],[Attrition]] = "Yes", 1,0)</f>
        <v>0</v>
      </c>
      <c r="C332" t="str">
        <f>Table1[[#This Row],[Attrition]]</f>
        <v>No</v>
      </c>
      <c r="D332" t="str">
        <f>Table1[[#This Row],[Department]]</f>
        <v>Research &amp; Development</v>
      </c>
      <c r="E332">
        <f>Table1[[#This Row],[EnvironmentSatisfaction]]</f>
        <v>3</v>
      </c>
      <c r="F332">
        <f>Table1[[#This Row],[HourlyRate]]</f>
        <v>82</v>
      </c>
      <c r="G332" t="str">
        <f>Table1[[#This Row],[JobRole]]</f>
        <v>Laboratory Technician</v>
      </c>
      <c r="H332">
        <f>Table1[[#This Row],[JobSatisfaction]]</f>
        <v>3</v>
      </c>
      <c r="I332">
        <f>Table1[[#This Row],[YearsAtCompany]]</f>
        <v>9</v>
      </c>
      <c r="J332">
        <f>Table1[[#This Row],[YearsSinceLastPromotion]]</f>
        <v>0</v>
      </c>
      <c r="K332">
        <f>Table1[[#This Row],[EmployeeNumber]]</f>
        <v>448</v>
      </c>
      <c r="L332">
        <f>Table1[[#This Row],[DistanceFromHome]]</f>
        <v>10</v>
      </c>
      <c r="M332" t="str">
        <f>Table1[[#This Row],[OverTime]]</f>
        <v>No</v>
      </c>
      <c r="N332">
        <f>Table1[[#This Row],[WorkLifeBalance]]</f>
        <v>4</v>
      </c>
      <c r="O332" t="str" cm="1">
        <f t="array" ref="O332">_xlfn.IFS(A332&lt;=30,"18-30",A332&lt;=40,"31-40",A332&lt;=50,"41-50",A332&gt;50,"51+")</f>
        <v>41-50</v>
      </c>
      <c r="P332" t="str" cm="1">
        <f t="array" ref="P332">_xlfn.IFS(F332&lt;=45,"45 or below",F332&lt;= 60,"46-60",F332&lt;=75,"61-75",F332&lt;=90,"76-90",F332&gt;90,"91 or above")</f>
        <v>76-90</v>
      </c>
      <c r="Q3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32" t="str" cm="1">
        <f t="array" ref="R3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3" spans="1:18" x14ac:dyDescent="0.2">
      <c r="A333">
        <f>Table1[[#This Row],[Age]]</f>
        <v>27</v>
      </c>
      <c r="B333">
        <f>IF(Table3[[#This Row],[Attrition]] = "Yes", 1,0)</f>
        <v>0</v>
      </c>
      <c r="C333" t="str">
        <f>Table1[[#This Row],[Attrition]]</f>
        <v>No</v>
      </c>
      <c r="D333" t="str">
        <f>Table1[[#This Row],[Department]]</f>
        <v>Sales</v>
      </c>
      <c r="E333">
        <f>Table1[[#This Row],[EnvironmentSatisfaction]]</f>
        <v>3</v>
      </c>
      <c r="F333">
        <f>Table1[[#This Row],[HourlyRate]]</f>
        <v>73</v>
      </c>
      <c r="G333" t="str">
        <f>Table1[[#This Row],[JobRole]]</f>
        <v>Sales Executive</v>
      </c>
      <c r="H333">
        <f>Table1[[#This Row],[JobSatisfaction]]</f>
        <v>2</v>
      </c>
      <c r="I333">
        <f>Table1[[#This Row],[YearsAtCompany]]</f>
        <v>5</v>
      </c>
      <c r="J333">
        <f>Table1[[#This Row],[YearsSinceLastPromotion]]</f>
        <v>1</v>
      </c>
      <c r="K333">
        <f>Table1[[#This Row],[EmployeeNumber]]</f>
        <v>449</v>
      </c>
      <c r="L333">
        <f>Table1[[#This Row],[DistanceFromHome]]</f>
        <v>1</v>
      </c>
      <c r="M333" t="str">
        <f>Table1[[#This Row],[OverTime]]</f>
        <v>Yes</v>
      </c>
      <c r="N333">
        <f>Table1[[#This Row],[WorkLifeBalance]]</f>
        <v>3</v>
      </c>
      <c r="O333" t="str" cm="1">
        <f t="array" ref="O333">_xlfn.IFS(A333&lt;=30,"18-30",A333&lt;=40,"31-40",A333&lt;=50,"41-50",A333&gt;50,"51+")</f>
        <v>18-30</v>
      </c>
      <c r="P333" t="str" cm="1">
        <f t="array" ref="P333">_xlfn.IFS(F333&lt;=45,"45 or below",F333&lt;= 60,"46-60",F333&lt;=75,"61-75",F333&lt;=90,"76-90",F333&gt;90,"91 or above")</f>
        <v>61-75</v>
      </c>
      <c r="Q3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33" t="str" cm="1">
        <f t="array" ref="R33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34" spans="1:18" x14ac:dyDescent="0.2">
      <c r="A334">
        <f>Table1[[#This Row],[Age]]</f>
        <v>54</v>
      </c>
      <c r="B334">
        <f>IF(Table3[[#This Row],[Attrition]] = "Yes", 1,0)</f>
        <v>0</v>
      </c>
      <c r="C334" t="str">
        <f>Table1[[#This Row],[Attrition]]</f>
        <v>No</v>
      </c>
      <c r="D334" t="str">
        <f>Table1[[#This Row],[Department]]</f>
        <v>Research &amp; Development</v>
      </c>
      <c r="E334">
        <f>Table1[[#This Row],[EnvironmentSatisfaction]]</f>
        <v>4</v>
      </c>
      <c r="F334">
        <f>Table1[[#This Row],[HourlyRate]]</f>
        <v>31</v>
      </c>
      <c r="G334" t="str">
        <f>Table1[[#This Row],[JobRole]]</f>
        <v>Research Scientist</v>
      </c>
      <c r="H334">
        <f>Table1[[#This Row],[JobSatisfaction]]</f>
        <v>3</v>
      </c>
      <c r="I334">
        <f>Table1[[#This Row],[YearsAtCompany]]</f>
        <v>4</v>
      </c>
      <c r="J334">
        <f>Table1[[#This Row],[YearsSinceLastPromotion]]</f>
        <v>0</v>
      </c>
      <c r="K334">
        <f>Table1[[#This Row],[EmployeeNumber]]</f>
        <v>450</v>
      </c>
      <c r="L334">
        <f>Table1[[#This Row],[DistanceFromHome]]</f>
        <v>20</v>
      </c>
      <c r="M334" t="str">
        <f>Table1[[#This Row],[OverTime]]</f>
        <v>No</v>
      </c>
      <c r="N334">
        <f>Table1[[#This Row],[WorkLifeBalance]]</f>
        <v>2</v>
      </c>
      <c r="O334" t="str" cm="1">
        <f t="array" ref="O334">_xlfn.IFS(A334&lt;=30,"18-30",A334&lt;=40,"31-40",A334&lt;=50,"41-50",A334&gt;50,"51+")</f>
        <v>51+</v>
      </c>
      <c r="P334" t="str" cm="1">
        <f t="array" ref="P334">_xlfn.IFS(F334&lt;=45,"45 or below",F334&lt;= 60,"46-60",F334&lt;=75,"61-75",F334&lt;=90,"76-90",F334&gt;90,"91 or above")</f>
        <v>45 or below</v>
      </c>
      <c r="Q3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34" t="str" cm="1">
        <f t="array" ref="R3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5" spans="1:18" x14ac:dyDescent="0.2">
      <c r="A335">
        <f>Table1[[#This Row],[Age]]</f>
        <v>43</v>
      </c>
      <c r="B335">
        <f>IF(Table3[[#This Row],[Attrition]] = "Yes", 1,0)</f>
        <v>0</v>
      </c>
      <c r="C335" t="str">
        <f>Table1[[#This Row],[Attrition]]</f>
        <v>No</v>
      </c>
      <c r="D335" t="str">
        <f>Table1[[#This Row],[Department]]</f>
        <v>Research &amp; Development</v>
      </c>
      <c r="E335">
        <f>Table1[[#This Row],[EnvironmentSatisfaction]]</f>
        <v>3</v>
      </c>
      <c r="F335">
        <f>Table1[[#This Row],[HourlyRate]]</f>
        <v>43</v>
      </c>
      <c r="G335" t="str">
        <f>Table1[[#This Row],[JobRole]]</f>
        <v>Healthcare Representative</v>
      </c>
      <c r="H335">
        <f>Table1[[#This Row],[JobSatisfaction]]</f>
        <v>1</v>
      </c>
      <c r="I335">
        <f>Table1[[#This Row],[YearsAtCompany]]</f>
        <v>1</v>
      </c>
      <c r="J335">
        <f>Table1[[#This Row],[YearsSinceLastPromotion]]</f>
        <v>0</v>
      </c>
      <c r="K335">
        <f>Table1[[#This Row],[EmployeeNumber]]</f>
        <v>451</v>
      </c>
      <c r="L335">
        <f>Table1[[#This Row],[DistanceFromHome]]</f>
        <v>7</v>
      </c>
      <c r="M335" t="str">
        <f>Table1[[#This Row],[OverTime]]</f>
        <v>No</v>
      </c>
      <c r="N335">
        <f>Table1[[#This Row],[WorkLifeBalance]]</f>
        <v>2</v>
      </c>
      <c r="O335" t="str" cm="1">
        <f t="array" ref="O335">_xlfn.IFS(A335&lt;=30,"18-30",A335&lt;=40,"31-40",A335&lt;=50,"41-50",A335&gt;50,"51+")</f>
        <v>41-50</v>
      </c>
      <c r="P335" t="str" cm="1">
        <f t="array" ref="P335">_xlfn.IFS(F335&lt;=45,"45 or below",F335&lt;= 60,"46-60",F335&lt;=75,"61-75",F335&lt;=90,"76-90",F335&gt;90,"91 or above")</f>
        <v>45 or below</v>
      </c>
      <c r="Q3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35" t="str" cm="1">
        <f t="array" ref="R3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6" spans="1:18" x14ac:dyDescent="0.2">
      <c r="A336">
        <f>Table1[[#This Row],[Age]]</f>
        <v>45</v>
      </c>
      <c r="B336">
        <f>IF(Table3[[#This Row],[Attrition]] = "Yes", 1,0)</f>
        <v>0</v>
      </c>
      <c r="C336" t="str">
        <f>Table1[[#This Row],[Attrition]]</f>
        <v>No</v>
      </c>
      <c r="D336" t="str">
        <f>Table1[[#This Row],[Department]]</f>
        <v>Research &amp; Development</v>
      </c>
      <c r="E336">
        <f>Table1[[#This Row],[EnvironmentSatisfaction]]</f>
        <v>4</v>
      </c>
      <c r="F336">
        <f>Table1[[#This Row],[HourlyRate]]</f>
        <v>75</v>
      </c>
      <c r="G336" t="str">
        <f>Table1[[#This Row],[JobRole]]</f>
        <v>Research Scientist</v>
      </c>
      <c r="H336">
        <f>Table1[[#This Row],[JobSatisfaction]]</f>
        <v>4</v>
      </c>
      <c r="I336">
        <f>Table1[[#This Row],[YearsAtCompany]]</f>
        <v>10</v>
      </c>
      <c r="J336">
        <f>Table1[[#This Row],[YearsSinceLastPromotion]]</f>
        <v>9</v>
      </c>
      <c r="K336">
        <f>Table1[[#This Row],[EmployeeNumber]]</f>
        <v>452</v>
      </c>
      <c r="L336">
        <f>Table1[[#This Row],[DistanceFromHome]]</f>
        <v>8</v>
      </c>
      <c r="M336" t="str">
        <f>Table1[[#This Row],[OverTime]]</f>
        <v>No</v>
      </c>
      <c r="N336">
        <f>Table1[[#This Row],[WorkLifeBalance]]</f>
        <v>3</v>
      </c>
      <c r="O336" t="str" cm="1">
        <f t="array" ref="O336">_xlfn.IFS(A336&lt;=30,"18-30",A336&lt;=40,"31-40",A336&lt;=50,"41-50",A336&gt;50,"51+")</f>
        <v>41-50</v>
      </c>
      <c r="P336" t="str" cm="1">
        <f t="array" ref="P336">_xlfn.IFS(F336&lt;=45,"45 or below",F336&lt;= 60,"46-60",F336&lt;=75,"61-75",F336&lt;=90,"76-90",F336&gt;90,"91 or above")</f>
        <v>61-75</v>
      </c>
      <c r="Q3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36" t="str" cm="1">
        <f t="array" ref="R3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37" spans="1:18" x14ac:dyDescent="0.2">
      <c r="A337">
        <f>Table1[[#This Row],[Age]]</f>
        <v>40</v>
      </c>
      <c r="B337">
        <f>IF(Table3[[#This Row],[Attrition]] = "Yes", 1,0)</f>
        <v>0</v>
      </c>
      <c r="C337" t="str">
        <f>Table1[[#This Row],[Attrition]]</f>
        <v>No</v>
      </c>
      <c r="D337" t="str">
        <f>Table1[[#This Row],[Department]]</f>
        <v>Sales</v>
      </c>
      <c r="E337">
        <f>Table1[[#This Row],[EnvironmentSatisfaction]]</f>
        <v>2</v>
      </c>
      <c r="F337">
        <f>Table1[[#This Row],[HourlyRate]]</f>
        <v>57</v>
      </c>
      <c r="G337" t="str">
        <f>Table1[[#This Row],[JobRole]]</f>
        <v>Sales Executive</v>
      </c>
      <c r="H337">
        <f>Table1[[#This Row],[JobSatisfaction]]</f>
        <v>4</v>
      </c>
      <c r="I337">
        <f>Table1[[#This Row],[YearsAtCompany]]</f>
        <v>4</v>
      </c>
      <c r="J337">
        <f>Table1[[#This Row],[YearsSinceLastPromotion]]</f>
        <v>0</v>
      </c>
      <c r="K337">
        <f>Table1[[#This Row],[EmployeeNumber]]</f>
        <v>453</v>
      </c>
      <c r="L337">
        <f>Table1[[#This Row],[DistanceFromHome]]</f>
        <v>1</v>
      </c>
      <c r="M337" t="str">
        <f>Table1[[#This Row],[OverTime]]</f>
        <v>Yes</v>
      </c>
      <c r="N337">
        <f>Table1[[#This Row],[WorkLifeBalance]]</f>
        <v>2</v>
      </c>
      <c r="O337" t="str" cm="1">
        <f t="array" ref="O337">_xlfn.IFS(A337&lt;=30,"18-30",A337&lt;=40,"31-40",A337&lt;=50,"41-50",A337&gt;50,"51+")</f>
        <v>31-40</v>
      </c>
      <c r="P337" t="str" cm="1">
        <f t="array" ref="P337">_xlfn.IFS(F337&lt;=45,"45 or below",F337&lt;= 60,"46-60",F337&lt;=75,"61-75",F337&lt;=90,"76-90",F337&gt;90,"91 or above")</f>
        <v>46-60</v>
      </c>
      <c r="Q3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37" t="str" cm="1">
        <f t="array" ref="R33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38" spans="1:18" hidden="1" x14ac:dyDescent="0.2">
      <c r="A338">
        <f>Table1[[#This Row],[Age]]</f>
        <v>29</v>
      </c>
      <c r="B338">
        <f>IF(Table3[[#This Row],[Attrition]] = "Yes", 1,0)</f>
        <v>1</v>
      </c>
      <c r="C338" t="str">
        <f>Table1[[#This Row],[Attrition]]</f>
        <v>Yes</v>
      </c>
      <c r="D338" t="str">
        <f>Table1[[#This Row],[Department]]</f>
        <v>Research &amp; Development</v>
      </c>
      <c r="E338">
        <f>Table1[[#This Row],[EnvironmentSatisfaction]]</f>
        <v>2</v>
      </c>
      <c r="F338">
        <f>Table1[[#This Row],[HourlyRate]]</f>
        <v>77</v>
      </c>
      <c r="G338" t="str">
        <f>Table1[[#This Row],[JobRole]]</f>
        <v>Laboratory Technician</v>
      </c>
      <c r="H338">
        <f>Table1[[#This Row],[JobSatisfaction]]</f>
        <v>1</v>
      </c>
      <c r="I338">
        <f>Table1[[#This Row],[YearsAtCompany]]</f>
        <v>7</v>
      </c>
      <c r="J338">
        <f>Table1[[#This Row],[YearsSinceLastPromotion]]</f>
        <v>0</v>
      </c>
      <c r="K338">
        <f>Table1[[#This Row],[EmployeeNumber]]</f>
        <v>454</v>
      </c>
      <c r="L338">
        <f>Table1[[#This Row],[DistanceFromHome]]</f>
        <v>8</v>
      </c>
      <c r="M338" t="str">
        <f>Table1[[#This Row],[OverTime]]</f>
        <v>Yes</v>
      </c>
      <c r="N338">
        <f>Table1[[#This Row],[WorkLifeBalance]]</f>
        <v>2</v>
      </c>
      <c r="O338" t="str" cm="1">
        <f t="array" ref="O338">_xlfn.IFS(A338&lt;=30,"18-30",A338&lt;=40,"31-40",A338&lt;=50,"41-50",A338&gt;50,"51+")</f>
        <v>18-30</v>
      </c>
      <c r="P338" t="str" cm="1">
        <f t="array" ref="P338">_xlfn.IFS(F338&lt;=45,"45 or below",F338&lt;= 60,"46-60",F338&lt;=75,"61-75",F338&lt;=90,"76-90",F338&gt;90,"91 or above")</f>
        <v>76-90</v>
      </c>
      <c r="Q3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38" t="str" cm="1">
        <f t="array" ref="R338" xml:space="preserve"> _xlfn.IFS(Table3[[#This Row],[Flight Risk Score]] = "NA","NA",Table3[[#This Row],[Flight Risk Score]] &gt;= 70,"High Risk",Table3[[#This Row],[Flight Risk Score]] &gt;= 50, "Medium Risk", Table3[[#This Row],[Flight Risk Score]] &gt;= 30,"Low Risk",Table3[[#This Row],[Flight Risk Score]] &lt; 30,"Very Low Risk")</f>
        <v>NA</v>
      </c>
    </row>
    <row r="339" spans="1:18" x14ac:dyDescent="0.2">
      <c r="A339">
        <f>Table1[[#This Row],[Age]]</f>
        <v>29</v>
      </c>
      <c r="B339">
        <f>IF(Table3[[#This Row],[Attrition]] = "Yes", 1,0)</f>
        <v>0</v>
      </c>
      <c r="C339" t="str">
        <f>Table1[[#This Row],[Attrition]]</f>
        <v>No</v>
      </c>
      <c r="D339" t="str">
        <f>Table1[[#This Row],[Department]]</f>
        <v>Research &amp; Development</v>
      </c>
      <c r="E339">
        <f>Table1[[#This Row],[EnvironmentSatisfaction]]</f>
        <v>2</v>
      </c>
      <c r="F339">
        <f>Table1[[#This Row],[HourlyRate]]</f>
        <v>30</v>
      </c>
      <c r="G339" t="str">
        <f>Table1[[#This Row],[JobRole]]</f>
        <v>Laboratory Technician</v>
      </c>
      <c r="H339">
        <f>Table1[[#This Row],[JobSatisfaction]]</f>
        <v>4</v>
      </c>
      <c r="I339">
        <f>Table1[[#This Row],[YearsAtCompany]]</f>
        <v>3</v>
      </c>
      <c r="J339">
        <f>Table1[[#This Row],[YearsSinceLastPromotion]]</f>
        <v>2</v>
      </c>
      <c r="K339">
        <f>Table1[[#This Row],[EmployeeNumber]]</f>
        <v>455</v>
      </c>
      <c r="L339">
        <f>Table1[[#This Row],[DistanceFromHome]]</f>
        <v>9</v>
      </c>
      <c r="M339" t="str">
        <f>Table1[[#This Row],[OverTime]]</f>
        <v>No</v>
      </c>
      <c r="N339">
        <f>Table1[[#This Row],[WorkLifeBalance]]</f>
        <v>3</v>
      </c>
      <c r="O339" t="str" cm="1">
        <f t="array" ref="O339">_xlfn.IFS(A339&lt;=30,"18-30",A339&lt;=40,"31-40",A339&lt;=50,"41-50",A339&gt;50,"51+")</f>
        <v>18-30</v>
      </c>
      <c r="P339" t="str" cm="1">
        <f t="array" ref="P339">_xlfn.IFS(F339&lt;=45,"45 or below",F339&lt;= 60,"46-60",F339&lt;=75,"61-75",F339&lt;=90,"76-90",F339&gt;90,"91 or above")</f>
        <v>45 or below</v>
      </c>
      <c r="Q3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39" t="str" cm="1">
        <f t="array" ref="R3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40" spans="1:18" x14ac:dyDescent="0.2">
      <c r="A340">
        <f>Table1[[#This Row],[Age]]</f>
        <v>30</v>
      </c>
      <c r="B340">
        <f>IF(Table3[[#This Row],[Attrition]] = "Yes", 1,0)</f>
        <v>0</v>
      </c>
      <c r="C340" t="str">
        <f>Table1[[#This Row],[Attrition]]</f>
        <v>No</v>
      </c>
      <c r="D340" t="str">
        <f>Table1[[#This Row],[Department]]</f>
        <v>Sales</v>
      </c>
      <c r="E340">
        <f>Table1[[#This Row],[EnvironmentSatisfaction]]</f>
        <v>4</v>
      </c>
      <c r="F340">
        <f>Table1[[#This Row],[HourlyRate]]</f>
        <v>30</v>
      </c>
      <c r="G340" t="str">
        <f>Table1[[#This Row],[JobRole]]</f>
        <v>Sales Executive</v>
      </c>
      <c r="H340">
        <f>Table1[[#This Row],[JobSatisfaction]]</f>
        <v>3</v>
      </c>
      <c r="I340">
        <f>Table1[[#This Row],[YearsAtCompany]]</f>
        <v>10</v>
      </c>
      <c r="J340">
        <f>Table1[[#This Row],[YearsSinceLastPromotion]]</f>
        <v>1</v>
      </c>
      <c r="K340">
        <f>Table1[[#This Row],[EmployeeNumber]]</f>
        <v>456</v>
      </c>
      <c r="L340">
        <f>Table1[[#This Row],[DistanceFromHome]]</f>
        <v>5</v>
      </c>
      <c r="M340" t="str">
        <f>Table1[[#This Row],[OverTime]]</f>
        <v>No</v>
      </c>
      <c r="N340">
        <f>Table1[[#This Row],[WorkLifeBalance]]</f>
        <v>3</v>
      </c>
      <c r="O340" t="str" cm="1">
        <f t="array" ref="O340">_xlfn.IFS(A340&lt;=30,"18-30",A340&lt;=40,"31-40",A340&lt;=50,"41-50",A340&gt;50,"51+")</f>
        <v>18-30</v>
      </c>
      <c r="P340" t="str" cm="1">
        <f t="array" ref="P340">_xlfn.IFS(F340&lt;=45,"45 or below",F340&lt;= 60,"46-60",F340&lt;=75,"61-75",F340&lt;=90,"76-90",F340&gt;90,"91 or above")</f>
        <v>45 or below</v>
      </c>
      <c r="Q3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40" t="str" cm="1">
        <f t="array" ref="R3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41" spans="1:18" x14ac:dyDescent="0.2">
      <c r="A341">
        <f>Table1[[#This Row],[Age]]</f>
        <v>27</v>
      </c>
      <c r="B341">
        <f>IF(Table3[[#This Row],[Attrition]] = "Yes", 1,0)</f>
        <v>0</v>
      </c>
      <c r="C341" t="str">
        <f>Table1[[#This Row],[Attrition]]</f>
        <v>No</v>
      </c>
      <c r="D341" t="str">
        <f>Table1[[#This Row],[Department]]</f>
        <v>Sales</v>
      </c>
      <c r="E341">
        <f>Table1[[#This Row],[EnvironmentSatisfaction]]</f>
        <v>2</v>
      </c>
      <c r="F341">
        <f>Table1[[#This Row],[HourlyRate]]</f>
        <v>56</v>
      </c>
      <c r="G341" t="str">
        <f>Table1[[#This Row],[JobRole]]</f>
        <v>Sales Executive</v>
      </c>
      <c r="H341">
        <f>Table1[[#This Row],[JobSatisfaction]]</f>
        <v>2</v>
      </c>
      <c r="I341">
        <f>Table1[[#This Row],[YearsAtCompany]]</f>
        <v>8</v>
      </c>
      <c r="J341">
        <f>Table1[[#This Row],[YearsSinceLastPromotion]]</f>
        <v>0</v>
      </c>
      <c r="K341">
        <f>Table1[[#This Row],[EmployeeNumber]]</f>
        <v>458</v>
      </c>
      <c r="L341">
        <f>Table1[[#This Row],[DistanceFromHome]]</f>
        <v>8</v>
      </c>
      <c r="M341" t="str">
        <f>Table1[[#This Row],[OverTime]]</f>
        <v>No</v>
      </c>
      <c r="N341">
        <f>Table1[[#This Row],[WorkLifeBalance]]</f>
        <v>3</v>
      </c>
      <c r="O341" t="str" cm="1">
        <f t="array" ref="O341">_xlfn.IFS(A341&lt;=30,"18-30",A341&lt;=40,"31-40",A341&lt;=50,"41-50",A341&gt;50,"51+")</f>
        <v>18-30</v>
      </c>
      <c r="P341" t="str" cm="1">
        <f t="array" ref="P341">_xlfn.IFS(F341&lt;=45,"45 or below",F341&lt;= 60,"46-60",F341&lt;=75,"61-75",F341&lt;=90,"76-90",F341&gt;90,"91 or above")</f>
        <v>46-60</v>
      </c>
      <c r="Q3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41" t="str" cm="1">
        <f t="array" ref="R341" xml:space="preserve"> _xlfn.IFS(Table3[[#This Row],[Flight Risk Score]] = "NA","NA",Table3[[#This Row],[Flight Risk Score]] &gt;= 70,"High Risk",Table3[[#This Row],[Flight Risk Score]] &gt;= 50, "Medium Risk", Table3[[#This Row],[Flight Risk Score]] &gt;= 30,"Low Risk",Table3[[#This Row],[Flight Risk Score]] &lt; 30,"Very Low Risk")</f>
        <v>Low Risk</v>
      </c>
    </row>
    <row r="342" spans="1:18" x14ac:dyDescent="0.2">
      <c r="A342">
        <f>Table1[[#This Row],[Age]]</f>
        <v>37</v>
      </c>
      <c r="B342">
        <f>IF(Table3[[#This Row],[Attrition]] = "Yes", 1,0)</f>
        <v>0</v>
      </c>
      <c r="C342" t="str">
        <f>Table1[[#This Row],[Attrition]]</f>
        <v>No</v>
      </c>
      <c r="D342" t="str">
        <f>Table1[[#This Row],[Department]]</f>
        <v>Research &amp; Development</v>
      </c>
      <c r="E342">
        <f>Table1[[#This Row],[EnvironmentSatisfaction]]</f>
        <v>4</v>
      </c>
      <c r="F342">
        <f>Table1[[#This Row],[HourlyRate]]</f>
        <v>61</v>
      </c>
      <c r="G342" t="str">
        <f>Table1[[#This Row],[JobRole]]</f>
        <v>Manufacturing Director</v>
      </c>
      <c r="H342">
        <f>Table1[[#This Row],[JobSatisfaction]]</f>
        <v>4</v>
      </c>
      <c r="I342">
        <f>Table1[[#This Row],[YearsAtCompany]]</f>
        <v>6</v>
      </c>
      <c r="J342">
        <f>Table1[[#This Row],[YearsSinceLastPromotion]]</f>
        <v>0</v>
      </c>
      <c r="K342">
        <f>Table1[[#This Row],[EmployeeNumber]]</f>
        <v>460</v>
      </c>
      <c r="L342">
        <f>Table1[[#This Row],[DistanceFromHome]]</f>
        <v>5</v>
      </c>
      <c r="M342" t="str">
        <f>Table1[[#This Row],[OverTime]]</f>
        <v>No</v>
      </c>
      <c r="N342">
        <f>Table1[[#This Row],[WorkLifeBalance]]</f>
        <v>2</v>
      </c>
      <c r="O342" t="str" cm="1">
        <f t="array" ref="O342">_xlfn.IFS(A342&lt;=30,"18-30",A342&lt;=40,"31-40",A342&lt;=50,"41-50",A342&gt;50,"51+")</f>
        <v>31-40</v>
      </c>
      <c r="P342" t="str" cm="1">
        <f t="array" ref="P342">_xlfn.IFS(F342&lt;=45,"45 or below",F342&lt;= 60,"46-60",F342&lt;=75,"61-75",F342&lt;=90,"76-90",F342&gt;90,"91 or above")</f>
        <v>61-75</v>
      </c>
      <c r="Q3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42" t="str" cm="1">
        <f t="array" ref="R3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43" spans="1:18" x14ac:dyDescent="0.2">
      <c r="A343">
        <f>Table1[[#This Row],[Age]]</f>
        <v>38</v>
      </c>
      <c r="B343">
        <f>IF(Table3[[#This Row],[Attrition]] = "Yes", 1,0)</f>
        <v>0</v>
      </c>
      <c r="C343" t="str">
        <f>Table1[[#This Row],[Attrition]]</f>
        <v>No</v>
      </c>
      <c r="D343" t="str">
        <f>Table1[[#This Row],[Department]]</f>
        <v>Research &amp; Development</v>
      </c>
      <c r="E343">
        <f>Table1[[#This Row],[EnvironmentSatisfaction]]</f>
        <v>3</v>
      </c>
      <c r="F343">
        <f>Table1[[#This Row],[HourlyRate]]</f>
        <v>92</v>
      </c>
      <c r="G343" t="str">
        <f>Table1[[#This Row],[JobRole]]</f>
        <v>Research Director</v>
      </c>
      <c r="H343">
        <f>Table1[[#This Row],[JobSatisfaction]]</f>
        <v>4</v>
      </c>
      <c r="I343">
        <f>Table1[[#This Row],[YearsAtCompany]]</f>
        <v>11</v>
      </c>
      <c r="J343">
        <f>Table1[[#This Row],[YearsSinceLastPromotion]]</f>
        <v>2</v>
      </c>
      <c r="K343">
        <f>Table1[[#This Row],[EmployeeNumber]]</f>
        <v>461</v>
      </c>
      <c r="L343">
        <f>Table1[[#This Row],[DistanceFromHome]]</f>
        <v>15</v>
      </c>
      <c r="M343" t="str">
        <f>Table1[[#This Row],[OverTime]]</f>
        <v>Yes</v>
      </c>
      <c r="N343">
        <f>Table1[[#This Row],[WorkLifeBalance]]</f>
        <v>3</v>
      </c>
      <c r="O343" t="str" cm="1">
        <f t="array" ref="O343">_xlfn.IFS(A343&lt;=30,"18-30",A343&lt;=40,"31-40",A343&lt;=50,"41-50",A343&gt;50,"51+")</f>
        <v>31-40</v>
      </c>
      <c r="P343" t="str" cm="1">
        <f t="array" ref="P343">_xlfn.IFS(F343&lt;=45,"45 or below",F343&lt;= 60,"46-60",F343&lt;=75,"61-75",F343&lt;=90,"76-90",F343&gt;90,"91 or above")</f>
        <v>91 or above</v>
      </c>
      <c r="Q3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43" t="str" cm="1">
        <f t="array" ref="R343" xml:space="preserve"> _xlfn.IFS(Table3[[#This Row],[Flight Risk Score]] = "NA","NA",Table3[[#This Row],[Flight Risk Score]] &gt;= 70,"High Risk",Table3[[#This Row],[Flight Risk Score]] &gt;= 50, "Medium Risk", Table3[[#This Row],[Flight Risk Score]] &gt;= 30,"Low Risk",Table3[[#This Row],[Flight Risk Score]] &lt; 30,"Very Low Risk")</f>
        <v>Low Risk</v>
      </c>
    </row>
    <row r="344" spans="1:18" x14ac:dyDescent="0.2">
      <c r="A344">
        <f>Table1[[#This Row],[Age]]</f>
        <v>31</v>
      </c>
      <c r="B344">
        <f>IF(Table3[[#This Row],[Attrition]] = "Yes", 1,0)</f>
        <v>0</v>
      </c>
      <c r="C344" t="str">
        <f>Table1[[#This Row],[Attrition]]</f>
        <v>No</v>
      </c>
      <c r="D344" t="str">
        <f>Table1[[#This Row],[Department]]</f>
        <v>Research &amp; Development</v>
      </c>
      <c r="E344">
        <f>Table1[[#This Row],[EnvironmentSatisfaction]]</f>
        <v>3</v>
      </c>
      <c r="F344">
        <f>Table1[[#This Row],[HourlyRate]]</f>
        <v>39</v>
      </c>
      <c r="G344" t="str">
        <f>Table1[[#This Row],[JobRole]]</f>
        <v>Manufacturing Director</v>
      </c>
      <c r="H344">
        <f>Table1[[#This Row],[JobSatisfaction]]</f>
        <v>4</v>
      </c>
      <c r="I344">
        <f>Table1[[#This Row],[YearsAtCompany]]</f>
        <v>11</v>
      </c>
      <c r="J344">
        <f>Table1[[#This Row],[YearsSinceLastPromotion]]</f>
        <v>4</v>
      </c>
      <c r="K344">
        <f>Table1[[#This Row],[EmployeeNumber]]</f>
        <v>462</v>
      </c>
      <c r="L344">
        <f>Table1[[#This Row],[DistanceFromHome]]</f>
        <v>7</v>
      </c>
      <c r="M344" t="str">
        <f>Table1[[#This Row],[OverTime]]</f>
        <v>Yes</v>
      </c>
      <c r="N344">
        <f>Table1[[#This Row],[WorkLifeBalance]]</f>
        <v>2</v>
      </c>
      <c r="O344" t="str" cm="1">
        <f t="array" ref="O344">_xlfn.IFS(A344&lt;=30,"18-30",A344&lt;=40,"31-40",A344&lt;=50,"41-50",A344&gt;50,"51+")</f>
        <v>31-40</v>
      </c>
      <c r="P344" t="str" cm="1">
        <f t="array" ref="P344">_xlfn.IFS(F344&lt;=45,"45 or below",F344&lt;= 60,"46-60",F344&lt;=75,"61-75",F344&lt;=90,"76-90",F344&gt;90,"91 or above")</f>
        <v>45 or below</v>
      </c>
      <c r="Q3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44" t="str" cm="1">
        <f t="array" ref="R344" xml:space="preserve"> _xlfn.IFS(Table3[[#This Row],[Flight Risk Score]] = "NA","NA",Table3[[#This Row],[Flight Risk Score]] &gt;= 70,"High Risk",Table3[[#This Row],[Flight Risk Score]] &gt;= 50, "Medium Risk", Table3[[#This Row],[Flight Risk Score]] &gt;= 30,"Low Risk",Table3[[#This Row],[Flight Risk Score]] &lt; 30,"Very Low Risk")</f>
        <v>Low Risk</v>
      </c>
    </row>
    <row r="345" spans="1:18" x14ac:dyDescent="0.2">
      <c r="A345">
        <f>Table1[[#This Row],[Age]]</f>
        <v>29</v>
      </c>
      <c r="B345">
        <f>IF(Table3[[#This Row],[Attrition]] = "Yes", 1,0)</f>
        <v>0</v>
      </c>
      <c r="C345" t="str">
        <f>Table1[[#This Row],[Attrition]]</f>
        <v>No</v>
      </c>
      <c r="D345" t="str">
        <f>Table1[[#This Row],[Department]]</f>
        <v>Sales</v>
      </c>
      <c r="E345">
        <f>Table1[[#This Row],[EnvironmentSatisfaction]]</f>
        <v>4</v>
      </c>
      <c r="F345">
        <f>Table1[[#This Row],[HourlyRate]]</f>
        <v>39</v>
      </c>
      <c r="G345" t="str">
        <f>Table1[[#This Row],[JobRole]]</f>
        <v>Sales Executive</v>
      </c>
      <c r="H345">
        <f>Table1[[#This Row],[JobSatisfaction]]</f>
        <v>2</v>
      </c>
      <c r="I345">
        <f>Table1[[#This Row],[YearsAtCompany]]</f>
        <v>7</v>
      </c>
      <c r="J345">
        <f>Table1[[#This Row],[YearsSinceLastPromotion]]</f>
        <v>1</v>
      </c>
      <c r="K345">
        <f>Table1[[#This Row],[EmployeeNumber]]</f>
        <v>463</v>
      </c>
      <c r="L345">
        <f>Table1[[#This Row],[DistanceFromHome]]</f>
        <v>10</v>
      </c>
      <c r="M345" t="str">
        <f>Table1[[#This Row],[OverTime]]</f>
        <v>Yes</v>
      </c>
      <c r="N345">
        <f>Table1[[#This Row],[WorkLifeBalance]]</f>
        <v>3</v>
      </c>
      <c r="O345" t="str" cm="1">
        <f t="array" ref="O345">_xlfn.IFS(A345&lt;=30,"18-30",A345&lt;=40,"31-40",A345&lt;=50,"41-50",A345&gt;50,"51+")</f>
        <v>18-30</v>
      </c>
      <c r="P345" t="str" cm="1">
        <f t="array" ref="P345">_xlfn.IFS(F345&lt;=45,"45 or below",F345&lt;= 60,"46-60",F345&lt;=75,"61-75",F345&lt;=90,"76-90",F345&gt;90,"91 or above")</f>
        <v>45 or below</v>
      </c>
      <c r="Q3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45" t="str" cm="1">
        <f t="array" ref="R34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46" spans="1:18" x14ac:dyDescent="0.2">
      <c r="A346">
        <f>Table1[[#This Row],[Age]]</f>
        <v>35</v>
      </c>
      <c r="B346">
        <f>IF(Table3[[#This Row],[Attrition]] = "Yes", 1,0)</f>
        <v>0</v>
      </c>
      <c r="C346" t="str">
        <f>Table1[[#This Row],[Attrition]]</f>
        <v>No</v>
      </c>
      <c r="D346" t="str">
        <f>Table1[[#This Row],[Department]]</f>
        <v>Research &amp; Development</v>
      </c>
      <c r="E346">
        <f>Table1[[#This Row],[EnvironmentSatisfaction]]</f>
        <v>3</v>
      </c>
      <c r="F346">
        <f>Table1[[#This Row],[HourlyRate]]</f>
        <v>62</v>
      </c>
      <c r="G346" t="str">
        <f>Table1[[#This Row],[JobRole]]</f>
        <v>Manufacturing Director</v>
      </c>
      <c r="H346">
        <f>Table1[[#This Row],[JobSatisfaction]]</f>
        <v>2</v>
      </c>
      <c r="I346">
        <f>Table1[[#This Row],[YearsAtCompany]]</f>
        <v>16</v>
      </c>
      <c r="J346">
        <f>Table1[[#This Row],[YearsSinceLastPromotion]]</f>
        <v>0</v>
      </c>
      <c r="K346">
        <f>Table1[[#This Row],[EmployeeNumber]]</f>
        <v>464</v>
      </c>
      <c r="L346">
        <f>Table1[[#This Row],[DistanceFromHome]]</f>
        <v>5</v>
      </c>
      <c r="M346" t="str">
        <f>Table1[[#This Row],[OverTime]]</f>
        <v>No</v>
      </c>
      <c r="N346">
        <f>Table1[[#This Row],[WorkLifeBalance]]</f>
        <v>3</v>
      </c>
      <c r="O346" t="str" cm="1">
        <f t="array" ref="O346">_xlfn.IFS(A346&lt;=30,"18-30",A346&lt;=40,"31-40",A346&lt;=50,"41-50",A346&gt;50,"51+")</f>
        <v>31-40</v>
      </c>
      <c r="P346" t="str" cm="1">
        <f t="array" ref="P346">_xlfn.IFS(F346&lt;=45,"45 or below",F346&lt;= 60,"46-60",F346&lt;=75,"61-75",F346&lt;=90,"76-90",F346&gt;90,"91 or above")</f>
        <v>61-75</v>
      </c>
      <c r="Q3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46" t="str" cm="1">
        <f t="array" ref="R3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47" spans="1:18" x14ac:dyDescent="0.2">
      <c r="A347">
        <f>Table1[[#This Row],[Age]]</f>
        <v>23</v>
      </c>
      <c r="B347">
        <f>IF(Table3[[#This Row],[Attrition]] = "Yes", 1,0)</f>
        <v>0</v>
      </c>
      <c r="C347" t="str">
        <f>Table1[[#This Row],[Attrition]]</f>
        <v>No</v>
      </c>
      <c r="D347" t="str">
        <f>Table1[[#This Row],[Department]]</f>
        <v>Research &amp; Development</v>
      </c>
      <c r="E347">
        <f>Table1[[#This Row],[EnvironmentSatisfaction]]</f>
        <v>3</v>
      </c>
      <c r="F347">
        <f>Table1[[#This Row],[HourlyRate]]</f>
        <v>83</v>
      </c>
      <c r="G347" t="str">
        <f>Table1[[#This Row],[JobRole]]</f>
        <v>Research Scientist</v>
      </c>
      <c r="H347">
        <f>Table1[[#This Row],[JobSatisfaction]]</f>
        <v>4</v>
      </c>
      <c r="I347">
        <f>Table1[[#This Row],[YearsAtCompany]]</f>
        <v>4</v>
      </c>
      <c r="J347">
        <f>Table1[[#This Row],[YearsSinceLastPromotion]]</f>
        <v>0</v>
      </c>
      <c r="K347">
        <f>Table1[[#This Row],[EmployeeNumber]]</f>
        <v>465</v>
      </c>
      <c r="L347">
        <f>Table1[[#This Row],[DistanceFromHome]]</f>
        <v>26</v>
      </c>
      <c r="M347" t="str">
        <f>Table1[[#This Row],[OverTime]]</f>
        <v>No</v>
      </c>
      <c r="N347">
        <f>Table1[[#This Row],[WorkLifeBalance]]</f>
        <v>2</v>
      </c>
      <c r="O347" t="str" cm="1">
        <f t="array" ref="O347">_xlfn.IFS(A347&lt;=30,"18-30",A347&lt;=40,"31-40",A347&lt;=50,"41-50",A347&gt;50,"51+")</f>
        <v>18-30</v>
      </c>
      <c r="P347" t="str" cm="1">
        <f t="array" ref="P347">_xlfn.IFS(F347&lt;=45,"45 or below",F347&lt;= 60,"46-60",F347&lt;=75,"61-75",F347&lt;=90,"76-90",F347&gt;90,"91 or above")</f>
        <v>76-90</v>
      </c>
      <c r="Q3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47" t="str" cm="1">
        <f t="array" ref="R34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48" spans="1:18" x14ac:dyDescent="0.2">
      <c r="A348">
        <f>Table1[[#This Row],[Age]]</f>
        <v>41</v>
      </c>
      <c r="B348">
        <f>IF(Table3[[#This Row],[Attrition]] = "Yes", 1,0)</f>
        <v>0</v>
      </c>
      <c r="C348" t="str">
        <f>Table1[[#This Row],[Attrition]]</f>
        <v>No</v>
      </c>
      <c r="D348" t="str">
        <f>Table1[[#This Row],[Department]]</f>
        <v>Research &amp; Development</v>
      </c>
      <c r="E348">
        <f>Table1[[#This Row],[EnvironmentSatisfaction]]</f>
        <v>4</v>
      </c>
      <c r="F348">
        <f>Table1[[#This Row],[HourlyRate]]</f>
        <v>95</v>
      </c>
      <c r="G348" t="str">
        <f>Table1[[#This Row],[JobRole]]</f>
        <v>Manufacturing Director</v>
      </c>
      <c r="H348">
        <f>Table1[[#This Row],[JobSatisfaction]]</f>
        <v>2</v>
      </c>
      <c r="I348">
        <f>Table1[[#This Row],[YearsAtCompany]]</f>
        <v>5</v>
      </c>
      <c r="J348">
        <f>Table1[[#This Row],[YearsSinceLastPromotion]]</f>
        <v>1</v>
      </c>
      <c r="K348">
        <f>Table1[[#This Row],[EmployeeNumber]]</f>
        <v>466</v>
      </c>
      <c r="L348">
        <f>Table1[[#This Row],[DistanceFromHome]]</f>
        <v>6</v>
      </c>
      <c r="M348" t="str">
        <f>Table1[[#This Row],[OverTime]]</f>
        <v>Yes</v>
      </c>
      <c r="N348">
        <f>Table1[[#This Row],[WorkLifeBalance]]</f>
        <v>3</v>
      </c>
      <c r="O348" t="str" cm="1">
        <f t="array" ref="O348">_xlfn.IFS(A348&lt;=30,"18-30",A348&lt;=40,"31-40",A348&lt;=50,"41-50",A348&gt;50,"51+")</f>
        <v>41-50</v>
      </c>
      <c r="P348" t="str" cm="1">
        <f t="array" ref="P348">_xlfn.IFS(F348&lt;=45,"45 or below",F348&lt;= 60,"46-60",F348&lt;=75,"61-75",F348&lt;=90,"76-90",F348&gt;90,"91 or above")</f>
        <v>91 or above</v>
      </c>
      <c r="Q3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48" t="str" cm="1">
        <f t="array" ref="R34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49" spans="1:18" x14ac:dyDescent="0.2">
      <c r="A349">
        <f>Table1[[#This Row],[Age]]</f>
        <v>47</v>
      </c>
      <c r="B349">
        <f>IF(Table3[[#This Row],[Attrition]] = "Yes", 1,0)</f>
        <v>0</v>
      </c>
      <c r="C349" t="str">
        <f>Table1[[#This Row],[Attrition]]</f>
        <v>No</v>
      </c>
      <c r="D349" t="str">
        <f>Table1[[#This Row],[Department]]</f>
        <v>Sales</v>
      </c>
      <c r="E349">
        <f>Table1[[#This Row],[EnvironmentSatisfaction]]</f>
        <v>2</v>
      </c>
      <c r="F349">
        <f>Table1[[#This Row],[HourlyRate]]</f>
        <v>99</v>
      </c>
      <c r="G349" t="str">
        <f>Table1[[#This Row],[JobRole]]</f>
        <v>Sales Representative</v>
      </c>
      <c r="H349">
        <f>Table1[[#This Row],[JobSatisfaction]]</f>
        <v>3</v>
      </c>
      <c r="I349">
        <f>Table1[[#This Row],[YearsAtCompany]]</f>
        <v>0</v>
      </c>
      <c r="J349">
        <f>Table1[[#This Row],[YearsSinceLastPromotion]]</f>
        <v>0</v>
      </c>
      <c r="K349">
        <f>Table1[[#This Row],[EmployeeNumber]]</f>
        <v>467</v>
      </c>
      <c r="L349">
        <f>Table1[[#This Row],[DistanceFromHome]]</f>
        <v>4</v>
      </c>
      <c r="M349" t="str">
        <f>Table1[[#This Row],[OverTime]]</f>
        <v>No</v>
      </c>
      <c r="N349">
        <f>Table1[[#This Row],[WorkLifeBalance]]</f>
        <v>3</v>
      </c>
      <c r="O349" t="str" cm="1">
        <f t="array" ref="O349">_xlfn.IFS(A349&lt;=30,"18-30",A349&lt;=40,"31-40",A349&lt;=50,"41-50",A349&gt;50,"51+")</f>
        <v>41-50</v>
      </c>
      <c r="P349" t="str" cm="1">
        <f t="array" ref="P349">_xlfn.IFS(F349&lt;=45,"45 or below",F349&lt;= 60,"46-60",F349&lt;=75,"61-75",F349&lt;=90,"76-90",F349&gt;90,"91 or above")</f>
        <v>91 or above</v>
      </c>
      <c r="Q3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49" t="str" cm="1">
        <f t="array" ref="R3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0" spans="1:18" x14ac:dyDescent="0.2">
      <c r="A350">
        <f>Table1[[#This Row],[Age]]</f>
        <v>42</v>
      </c>
      <c r="B350">
        <f>IF(Table3[[#This Row],[Attrition]] = "Yes", 1,0)</f>
        <v>0</v>
      </c>
      <c r="C350" t="str">
        <f>Table1[[#This Row],[Attrition]]</f>
        <v>No</v>
      </c>
      <c r="D350" t="str">
        <f>Table1[[#This Row],[Department]]</f>
        <v>Research &amp; Development</v>
      </c>
      <c r="E350">
        <f>Table1[[#This Row],[EnvironmentSatisfaction]]</f>
        <v>1</v>
      </c>
      <c r="F350">
        <f>Table1[[#This Row],[HourlyRate]]</f>
        <v>44</v>
      </c>
      <c r="G350" t="str">
        <f>Table1[[#This Row],[JobRole]]</f>
        <v>Research Director</v>
      </c>
      <c r="H350">
        <f>Table1[[#This Row],[JobSatisfaction]]</f>
        <v>4</v>
      </c>
      <c r="I350">
        <f>Table1[[#This Row],[YearsAtCompany]]</f>
        <v>1</v>
      </c>
      <c r="J350">
        <f>Table1[[#This Row],[YearsSinceLastPromotion]]</f>
        <v>0</v>
      </c>
      <c r="K350">
        <f>Table1[[#This Row],[EmployeeNumber]]</f>
        <v>468</v>
      </c>
      <c r="L350">
        <f>Table1[[#This Row],[DistanceFromHome]]</f>
        <v>23</v>
      </c>
      <c r="M350" t="str">
        <f>Table1[[#This Row],[OverTime]]</f>
        <v>No</v>
      </c>
      <c r="N350">
        <f>Table1[[#This Row],[WorkLifeBalance]]</f>
        <v>3</v>
      </c>
      <c r="O350" t="str" cm="1">
        <f t="array" ref="O350">_xlfn.IFS(A350&lt;=30,"18-30",A350&lt;=40,"31-40",A350&lt;=50,"41-50",A350&gt;50,"51+")</f>
        <v>41-50</v>
      </c>
      <c r="P350" t="str" cm="1">
        <f t="array" ref="P350">_xlfn.IFS(F350&lt;=45,"45 or below",F350&lt;= 60,"46-60",F350&lt;=75,"61-75",F350&lt;=90,"76-90",F350&gt;90,"91 or above")</f>
        <v>45 or below</v>
      </c>
      <c r="Q3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50" t="str" cm="1">
        <f t="array" ref="R3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1" spans="1:18" x14ac:dyDescent="0.2">
      <c r="A351">
        <f>Table1[[#This Row],[Age]]</f>
        <v>29</v>
      </c>
      <c r="B351">
        <f>IF(Table3[[#This Row],[Attrition]] = "Yes", 1,0)</f>
        <v>0</v>
      </c>
      <c r="C351" t="str">
        <f>Table1[[#This Row],[Attrition]]</f>
        <v>No</v>
      </c>
      <c r="D351" t="str">
        <f>Table1[[#This Row],[Department]]</f>
        <v>Sales</v>
      </c>
      <c r="E351">
        <f>Table1[[#This Row],[EnvironmentSatisfaction]]</f>
        <v>4</v>
      </c>
      <c r="F351">
        <f>Table1[[#This Row],[HourlyRate]]</f>
        <v>61</v>
      </c>
      <c r="G351" t="str">
        <f>Table1[[#This Row],[JobRole]]</f>
        <v>Sales Executive</v>
      </c>
      <c r="H351">
        <f>Table1[[#This Row],[JobSatisfaction]]</f>
        <v>3</v>
      </c>
      <c r="I351">
        <f>Table1[[#This Row],[YearsAtCompany]]</f>
        <v>4</v>
      </c>
      <c r="J351">
        <f>Table1[[#This Row],[YearsSinceLastPromotion]]</f>
        <v>0</v>
      </c>
      <c r="K351">
        <f>Table1[[#This Row],[EmployeeNumber]]</f>
        <v>469</v>
      </c>
      <c r="L351">
        <f>Table1[[#This Row],[DistanceFromHome]]</f>
        <v>2</v>
      </c>
      <c r="M351" t="str">
        <f>Table1[[#This Row],[OverTime]]</f>
        <v>No</v>
      </c>
      <c r="N351">
        <f>Table1[[#This Row],[WorkLifeBalance]]</f>
        <v>2</v>
      </c>
      <c r="O351" t="str" cm="1">
        <f t="array" ref="O351">_xlfn.IFS(A351&lt;=30,"18-30",A351&lt;=40,"31-40",A351&lt;=50,"41-50",A351&gt;50,"51+")</f>
        <v>18-30</v>
      </c>
      <c r="P351" t="str" cm="1">
        <f t="array" ref="P351">_xlfn.IFS(F351&lt;=45,"45 or below",F351&lt;= 60,"46-60",F351&lt;=75,"61-75",F351&lt;=90,"76-90",F351&gt;90,"91 or above")</f>
        <v>61-75</v>
      </c>
      <c r="Q3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51" t="str" cm="1">
        <f t="array" ref="R3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2" spans="1:18" x14ac:dyDescent="0.2">
      <c r="A352">
        <f>Table1[[#This Row],[Age]]</f>
        <v>42</v>
      </c>
      <c r="B352">
        <f>IF(Table3[[#This Row],[Attrition]] = "Yes", 1,0)</f>
        <v>0</v>
      </c>
      <c r="C352" t="str">
        <f>Table1[[#This Row],[Attrition]]</f>
        <v>No</v>
      </c>
      <c r="D352" t="str">
        <f>Table1[[#This Row],[Department]]</f>
        <v>Human Resources</v>
      </c>
      <c r="E352">
        <f>Table1[[#This Row],[EnvironmentSatisfaction]]</f>
        <v>3</v>
      </c>
      <c r="F352">
        <f>Table1[[#This Row],[HourlyRate]]</f>
        <v>52</v>
      </c>
      <c r="G352" t="str">
        <f>Table1[[#This Row],[JobRole]]</f>
        <v>Human Resources</v>
      </c>
      <c r="H352">
        <f>Table1[[#This Row],[JobSatisfaction]]</f>
        <v>3</v>
      </c>
      <c r="I352">
        <f>Table1[[#This Row],[YearsAtCompany]]</f>
        <v>3</v>
      </c>
      <c r="J352">
        <f>Table1[[#This Row],[YearsSinceLastPromotion]]</f>
        <v>1</v>
      </c>
      <c r="K352">
        <f>Table1[[#This Row],[EmployeeNumber]]</f>
        <v>470</v>
      </c>
      <c r="L352">
        <f>Table1[[#This Row],[DistanceFromHome]]</f>
        <v>2</v>
      </c>
      <c r="M352" t="str">
        <f>Table1[[#This Row],[OverTime]]</f>
        <v>Yes</v>
      </c>
      <c r="N352">
        <f>Table1[[#This Row],[WorkLifeBalance]]</f>
        <v>3</v>
      </c>
      <c r="O352" t="str" cm="1">
        <f t="array" ref="O352">_xlfn.IFS(A352&lt;=30,"18-30",A352&lt;=40,"31-40",A352&lt;=50,"41-50",A352&gt;50,"51+")</f>
        <v>41-50</v>
      </c>
      <c r="P352" t="str" cm="1">
        <f t="array" ref="P352">_xlfn.IFS(F352&lt;=45,"45 or below",F352&lt;= 60,"46-60",F352&lt;=75,"61-75",F352&lt;=90,"76-90",F352&gt;90,"91 or above")</f>
        <v>46-60</v>
      </c>
      <c r="Q3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52" t="str" cm="1">
        <f t="array" ref="R3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353" spans="1:18" x14ac:dyDescent="0.2">
      <c r="A353">
        <f>Table1[[#This Row],[Age]]</f>
        <v>32</v>
      </c>
      <c r="B353">
        <f>IF(Table3[[#This Row],[Attrition]] = "Yes", 1,0)</f>
        <v>0</v>
      </c>
      <c r="C353" t="str">
        <f>Table1[[#This Row],[Attrition]]</f>
        <v>No</v>
      </c>
      <c r="D353" t="str">
        <f>Table1[[#This Row],[Department]]</f>
        <v>Research &amp; Development</v>
      </c>
      <c r="E353">
        <f>Table1[[#This Row],[EnvironmentSatisfaction]]</f>
        <v>3</v>
      </c>
      <c r="F353">
        <f>Table1[[#This Row],[HourlyRate]]</f>
        <v>75</v>
      </c>
      <c r="G353" t="str">
        <f>Table1[[#This Row],[JobRole]]</f>
        <v>Laboratory Technician</v>
      </c>
      <c r="H353">
        <f>Table1[[#This Row],[JobSatisfaction]]</f>
        <v>2</v>
      </c>
      <c r="I353">
        <f>Table1[[#This Row],[YearsAtCompany]]</f>
        <v>8</v>
      </c>
      <c r="J353">
        <f>Table1[[#This Row],[YearsSinceLastPromotion]]</f>
        <v>0</v>
      </c>
      <c r="K353">
        <f>Table1[[#This Row],[EmployeeNumber]]</f>
        <v>471</v>
      </c>
      <c r="L353">
        <f>Table1[[#This Row],[DistanceFromHome]]</f>
        <v>2</v>
      </c>
      <c r="M353" t="str">
        <f>Table1[[#This Row],[OverTime]]</f>
        <v>No</v>
      </c>
      <c r="N353">
        <f>Table1[[#This Row],[WorkLifeBalance]]</f>
        <v>3</v>
      </c>
      <c r="O353" t="str" cm="1">
        <f t="array" ref="O353">_xlfn.IFS(A353&lt;=30,"18-30",A353&lt;=40,"31-40",A353&lt;=50,"41-50",A353&gt;50,"51+")</f>
        <v>31-40</v>
      </c>
      <c r="P353" t="str" cm="1">
        <f t="array" ref="P353">_xlfn.IFS(F353&lt;=45,"45 or below",F353&lt;= 60,"46-60",F353&lt;=75,"61-75",F353&lt;=90,"76-90",F353&gt;90,"91 or above")</f>
        <v>61-75</v>
      </c>
      <c r="Q3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53" t="str" cm="1">
        <f t="array" ref="R3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4" spans="1:18" x14ac:dyDescent="0.2">
      <c r="A354">
        <f>Table1[[#This Row],[Age]]</f>
        <v>48</v>
      </c>
      <c r="B354">
        <f>IF(Table3[[#This Row],[Attrition]] = "Yes", 1,0)</f>
        <v>0</v>
      </c>
      <c r="C354" t="str">
        <f>Table1[[#This Row],[Attrition]]</f>
        <v>No</v>
      </c>
      <c r="D354" t="str">
        <f>Table1[[#This Row],[Department]]</f>
        <v>Sales</v>
      </c>
      <c r="E354">
        <f>Table1[[#This Row],[EnvironmentSatisfaction]]</f>
        <v>1</v>
      </c>
      <c r="F354">
        <f>Table1[[#This Row],[HourlyRate]]</f>
        <v>91</v>
      </c>
      <c r="G354" t="str">
        <f>Table1[[#This Row],[JobRole]]</f>
        <v>Manager</v>
      </c>
      <c r="H354">
        <f>Table1[[#This Row],[JobSatisfaction]]</f>
        <v>3</v>
      </c>
      <c r="I354">
        <f>Table1[[#This Row],[YearsAtCompany]]</f>
        <v>0</v>
      </c>
      <c r="J354">
        <f>Table1[[#This Row],[YearsSinceLastPromotion]]</f>
        <v>0</v>
      </c>
      <c r="K354">
        <f>Table1[[#This Row],[EmployeeNumber]]</f>
        <v>473</v>
      </c>
      <c r="L354">
        <f>Table1[[#This Row],[DistanceFromHome]]</f>
        <v>29</v>
      </c>
      <c r="M354" t="str">
        <f>Table1[[#This Row],[OverTime]]</f>
        <v>No</v>
      </c>
      <c r="N354">
        <f>Table1[[#This Row],[WorkLifeBalance]]</f>
        <v>1</v>
      </c>
      <c r="O354" t="str" cm="1">
        <f t="array" ref="O354">_xlfn.IFS(A354&lt;=30,"18-30",A354&lt;=40,"31-40",A354&lt;=50,"41-50",A354&gt;50,"51+")</f>
        <v>41-50</v>
      </c>
      <c r="P354" t="str" cm="1">
        <f t="array" ref="P354">_xlfn.IFS(F354&lt;=45,"45 or below",F354&lt;= 60,"46-60",F354&lt;=75,"61-75",F354&lt;=90,"76-90",F354&gt;90,"91 or above")</f>
        <v>91 or above</v>
      </c>
      <c r="Q3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54" t="str" cm="1">
        <f t="array" ref="R35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55" spans="1:18" x14ac:dyDescent="0.2">
      <c r="A355">
        <f>Table1[[#This Row],[Age]]</f>
        <v>37</v>
      </c>
      <c r="B355">
        <f>IF(Table3[[#This Row],[Attrition]] = "Yes", 1,0)</f>
        <v>0</v>
      </c>
      <c r="C355" t="str">
        <f>Table1[[#This Row],[Attrition]]</f>
        <v>No</v>
      </c>
      <c r="D355" t="str">
        <f>Table1[[#This Row],[Department]]</f>
        <v>Research &amp; Development</v>
      </c>
      <c r="E355">
        <f>Table1[[#This Row],[EnvironmentSatisfaction]]</f>
        <v>3</v>
      </c>
      <c r="F355">
        <f>Table1[[#This Row],[HourlyRate]]</f>
        <v>51</v>
      </c>
      <c r="G355" t="str">
        <f>Table1[[#This Row],[JobRole]]</f>
        <v>Research Scientist</v>
      </c>
      <c r="H355">
        <f>Table1[[#This Row],[JobSatisfaction]]</f>
        <v>1</v>
      </c>
      <c r="I355">
        <f>Table1[[#This Row],[YearsAtCompany]]</f>
        <v>7</v>
      </c>
      <c r="J355">
        <f>Table1[[#This Row],[YearsSinceLastPromotion]]</f>
        <v>6</v>
      </c>
      <c r="K355">
        <f>Table1[[#This Row],[EmployeeNumber]]</f>
        <v>474</v>
      </c>
      <c r="L355">
        <f>Table1[[#This Row],[DistanceFromHome]]</f>
        <v>6</v>
      </c>
      <c r="M355" t="str">
        <f>Table1[[#This Row],[OverTime]]</f>
        <v>Yes</v>
      </c>
      <c r="N355">
        <f>Table1[[#This Row],[WorkLifeBalance]]</f>
        <v>3</v>
      </c>
      <c r="O355" t="str" cm="1">
        <f t="array" ref="O355">_xlfn.IFS(A355&lt;=30,"18-30",A355&lt;=40,"31-40",A355&lt;=50,"41-50",A355&gt;50,"51+")</f>
        <v>31-40</v>
      </c>
      <c r="P355" t="str" cm="1">
        <f t="array" ref="P355">_xlfn.IFS(F355&lt;=45,"45 or below",F355&lt;= 60,"46-60",F355&lt;=75,"61-75",F355&lt;=90,"76-90",F355&gt;90,"91 or above")</f>
        <v>46-60</v>
      </c>
      <c r="Q3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55" t="str" cm="1">
        <f t="array" ref="R35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56" spans="1:18" x14ac:dyDescent="0.2">
      <c r="A356">
        <f>Table1[[#This Row],[Age]]</f>
        <v>30</v>
      </c>
      <c r="B356">
        <f>IF(Table3[[#This Row],[Attrition]] = "Yes", 1,0)</f>
        <v>0</v>
      </c>
      <c r="C356" t="str">
        <f>Table1[[#This Row],[Attrition]]</f>
        <v>No</v>
      </c>
      <c r="D356" t="str">
        <f>Table1[[#This Row],[Department]]</f>
        <v>Sales</v>
      </c>
      <c r="E356">
        <f>Table1[[#This Row],[EnvironmentSatisfaction]]</f>
        <v>4</v>
      </c>
      <c r="F356">
        <f>Table1[[#This Row],[HourlyRate]]</f>
        <v>85</v>
      </c>
      <c r="G356" t="str">
        <f>Table1[[#This Row],[JobRole]]</f>
        <v>Sales Executive</v>
      </c>
      <c r="H356">
        <f>Table1[[#This Row],[JobSatisfaction]]</f>
        <v>3</v>
      </c>
      <c r="I356">
        <f>Table1[[#This Row],[YearsAtCompany]]</f>
        <v>2</v>
      </c>
      <c r="J356">
        <f>Table1[[#This Row],[YearsSinceLastPromotion]]</f>
        <v>2</v>
      </c>
      <c r="K356">
        <f>Table1[[#This Row],[EmployeeNumber]]</f>
        <v>475</v>
      </c>
      <c r="L356">
        <f>Table1[[#This Row],[DistanceFromHome]]</f>
        <v>25</v>
      </c>
      <c r="M356" t="str">
        <f>Table1[[#This Row],[OverTime]]</f>
        <v>Yes</v>
      </c>
      <c r="N356">
        <f>Table1[[#This Row],[WorkLifeBalance]]</f>
        <v>4</v>
      </c>
      <c r="O356" t="str" cm="1">
        <f t="array" ref="O356">_xlfn.IFS(A356&lt;=30,"18-30",A356&lt;=40,"31-40",A356&lt;=50,"41-50",A356&gt;50,"51+")</f>
        <v>18-30</v>
      </c>
      <c r="P356" t="str" cm="1">
        <f t="array" ref="P356">_xlfn.IFS(F356&lt;=45,"45 or below",F356&lt;= 60,"46-60",F356&lt;=75,"61-75",F356&lt;=90,"76-90",F356&gt;90,"91 or above")</f>
        <v>76-90</v>
      </c>
      <c r="Q3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56" t="str" cm="1">
        <f t="array" ref="R356" xml:space="preserve"> _xlfn.IFS(Table3[[#This Row],[Flight Risk Score]] = "NA","NA",Table3[[#This Row],[Flight Risk Score]] &gt;= 70,"High Risk",Table3[[#This Row],[Flight Risk Score]] &gt;= 50, "Medium Risk", Table3[[#This Row],[Flight Risk Score]] &gt;= 30,"Low Risk",Table3[[#This Row],[Flight Risk Score]] &lt; 30,"Very Low Risk")</f>
        <v>Low Risk</v>
      </c>
    </row>
    <row r="357" spans="1:18" x14ac:dyDescent="0.2">
      <c r="A357">
        <f>Table1[[#This Row],[Age]]</f>
        <v>26</v>
      </c>
      <c r="B357">
        <f>IF(Table3[[#This Row],[Attrition]] = "Yes", 1,0)</f>
        <v>0</v>
      </c>
      <c r="C357" t="str">
        <f>Table1[[#This Row],[Attrition]]</f>
        <v>No</v>
      </c>
      <c r="D357" t="str">
        <f>Table1[[#This Row],[Department]]</f>
        <v>Sales</v>
      </c>
      <c r="E357">
        <f>Table1[[#This Row],[EnvironmentSatisfaction]]</f>
        <v>3</v>
      </c>
      <c r="F357">
        <f>Table1[[#This Row],[HourlyRate]]</f>
        <v>57</v>
      </c>
      <c r="G357" t="str">
        <f>Table1[[#This Row],[JobRole]]</f>
        <v>Sales Executive</v>
      </c>
      <c r="H357">
        <f>Table1[[#This Row],[JobSatisfaction]]</f>
        <v>3</v>
      </c>
      <c r="I357">
        <f>Table1[[#This Row],[YearsAtCompany]]</f>
        <v>8</v>
      </c>
      <c r="J357">
        <f>Table1[[#This Row],[YearsSinceLastPromotion]]</f>
        <v>7</v>
      </c>
      <c r="K357">
        <f>Table1[[#This Row],[EmployeeNumber]]</f>
        <v>476</v>
      </c>
      <c r="L357">
        <f>Table1[[#This Row],[DistanceFromHome]]</f>
        <v>1</v>
      </c>
      <c r="M357" t="str">
        <f>Table1[[#This Row],[OverTime]]</f>
        <v>No</v>
      </c>
      <c r="N357">
        <f>Table1[[#This Row],[WorkLifeBalance]]</f>
        <v>3</v>
      </c>
      <c r="O357" t="str" cm="1">
        <f t="array" ref="O357">_xlfn.IFS(A357&lt;=30,"18-30",A357&lt;=40,"31-40",A357&lt;=50,"41-50",A357&gt;50,"51+")</f>
        <v>18-30</v>
      </c>
      <c r="P357" t="str" cm="1">
        <f t="array" ref="P357">_xlfn.IFS(F357&lt;=45,"45 or below",F357&lt;= 60,"46-60",F357&lt;=75,"61-75",F357&lt;=90,"76-90",F357&gt;90,"91 or above")</f>
        <v>46-60</v>
      </c>
      <c r="Q3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57" t="str" cm="1">
        <f t="array" ref="R3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8" spans="1:18" x14ac:dyDescent="0.2">
      <c r="A358">
        <f>Table1[[#This Row],[Age]]</f>
        <v>42</v>
      </c>
      <c r="B358">
        <f>IF(Table3[[#This Row],[Attrition]] = "Yes", 1,0)</f>
        <v>0</v>
      </c>
      <c r="C358" t="str">
        <f>Table1[[#This Row],[Attrition]]</f>
        <v>No</v>
      </c>
      <c r="D358" t="str">
        <f>Table1[[#This Row],[Department]]</f>
        <v>Research &amp; Development</v>
      </c>
      <c r="E358">
        <f>Table1[[#This Row],[EnvironmentSatisfaction]]</f>
        <v>1</v>
      </c>
      <c r="F358">
        <f>Table1[[#This Row],[HourlyRate]]</f>
        <v>98</v>
      </c>
      <c r="G358" t="str">
        <f>Table1[[#This Row],[JobRole]]</f>
        <v>Healthcare Representative</v>
      </c>
      <c r="H358">
        <f>Table1[[#This Row],[JobSatisfaction]]</f>
        <v>4</v>
      </c>
      <c r="I358">
        <f>Table1[[#This Row],[YearsAtCompany]]</f>
        <v>1</v>
      </c>
      <c r="J358">
        <f>Table1[[#This Row],[YearsSinceLastPromotion]]</f>
        <v>0</v>
      </c>
      <c r="K358">
        <f>Table1[[#This Row],[EmployeeNumber]]</f>
        <v>477</v>
      </c>
      <c r="L358">
        <f>Table1[[#This Row],[DistanceFromHome]]</f>
        <v>2</v>
      </c>
      <c r="M358" t="str">
        <f>Table1[[#This Row],[OverTime]]</f>
        <v>No</v>
      </c>
      <c r="N358">
        <f>Table1[[#This Row],[WorkLifeBalance]]</f>
        <v>3</v>
      </c>
      <c r="O358" t="str" cm="1">
        <f t="array" ref="O358">_xlfn.IFS(A358&lt;=30,"18-30",A358&lt;=40,"31-40",A358&lt;=50,"41-50",A358&gt;50,"51+")</f>
        <v>41-50</v>
      </c>
      <c r="P358" t="str" cm="1">
        <f t="array" ref="P358">_xlfn.IFS(F358&lt;=45,"45 or below",F358&lt;= 60,"46-60",F358&lt;=75,"61-75",F358&lt;=90,"76-90",F358&gt;90,"91 or above")</f>
        <v>91 or above</v>
      </c>
      <c r="Q3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58" t="str" cm="1">
        <f t="array" ref="R3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59" spans="1:18" hidden="1" x14ac:dyDescent="0.2">
      <c r="A359">
        <f>Table1[[#This Row],[Age]]</f>
        <v>21</v>
      </c>
      <c r="B359">
        <f>IF(Table3[[#This Row],[Attrition]] = "Yes", 1,0)</f>
        <v>1</v>
      </c>
      <c r="C359" t="str">
        <f>Table1[[#This Row],[Attrition]]</f>
        <v>Yes</v>
      </c>
      <c r="D359" t="str">
        <f>Table1[[#This Row],[Department]]</f>
        <v>Sales</v>
      </c>
      <c r="E359">
        <f>Table1[[#This Row],[EnvironmentSatisfaction]]</f>
        <v>1</v>
      </c>
      <c r="F359">
        <f>Table1[[#This Row],[HourlyRate]]</f>
        <v>99</v>
      </c>
      <c r="G359" t="str">
        <f>Table1[[#This Row],[JobRole]]</f>
        <v>Sales Representative</v>
      </c>
      <c r="H359">
        <f>Table1[[#This Row],[JobSatisfaction]]</f>
        <v>2</v>
      </c>
      <c r="I359">
        <f>Table1[[#This Row],[YearsAtCompany]]</f>
        <v>3</v>
      </c>
      <c r="J359">
        <f>Table1[[#This Row],[YearsSinceLastPromotion]]</f>
        <v>1</v>
      </c>
      <c r="K359">
        <f>Table1[[#This Row],[EmployeeNumber]]</f>
        <v>478</v>
      </c>
      <c r="L359">
        <f>Table1[[#This Row],[DistanceFromHome]]</f>
        <v>1</v>
      </c>
      <c r="M359" t="str">
        <f>Table1[[#This Row],[OverTime]]</f>
        <v>Yes</v>
      </c>
      <c r="N359">
        <f>Table1[[#This Row],[WorkLifeBalance]]</f>
        <v>3</v>
      </c>
      <c r="O359" t="str" cm="1">
        <f t="array" ref="O359">_xlfn.IFS(A359&lt;=30,"18-30",A359&lt;=40,"31-40",A359&lt;=50,"41-50",A359&gt;50,"51+")</f>
        <v>18-30</v>
      </c>
      <c r="P359" t="str" cm="1">
        <f t="array" ref="P359">_xlfn.IFS(F359&lt;=45,"45 or below",F359&lt;= 60,"46-60",F359&lt;=75,"61-75",F359&lt;=90,"76-90",F359&gt;90,"91 or above")</f>
        <v>91 or above</v>
      </c>
      <c r="Q35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59" t="str" cm="1">
        <f t="array" ref="R359" xml:space="preserve"> _xlfn.IFS(Table3[[#This Row],[Flight Risk Score]] = "NA","NA",Table3[[#This Row],[Flight Risk Score]] &gt;= 70,"High Risk",Table3[[#This Row],[Flight Risk Score]] &gt;= 50, "Medium Risk", Table3[[#This Row],[Flight Risk Score]] &gt;= 30,"Low Risk",Table3[[#This Row],[Flight Risk Score]] &lt; 30,"Very Low Risk")</f>
        <v>NA</v>
      </c>
    </row>
    <row r="360" spans="1:18" x14ac:dyDescent="0.2">
      <c r="A360">
        <f>Table1[[#This Row],[Age]]</f>
        <v>36</v>
      </c>
      <c r="B360">
        <f>IF(Table3[[#This Row],[Attrition]] = "Yes", 1,0)</f>
        <v>0</v>
      </c>
      <c r="C360" t="str">
        <f>Table1[[#This Row],[Attrition]]</f>
        <v>No</v>
      </c>
      <c r="D360" t="str">
        <f>Table1[[#This Row],[Department]]</f>
        <v>Sales</v>
      </c>
      <c r="E360">
        <f>Table1[[#This Row],[EnvironmentSatisfaction]]</f>
        <v>4</v>
      </c>
      <c r="F360">
        <f>Table1[[#This Row],[HourlyRate]]</f>
        <v>45</v>
      </c>
      <c r="G360" t="str">
        <f>Table1[[#This Row],[JobRole]]</f>
        <v>Sales Executive</v>
      </c>
      <c r="H360">
        <f>Table1[[#This Row],[JobSatisfaction]]</f>
        <v>4</v>
      </c>
      <c r="I360">
        <f>Table1[[#This Row],[YearsAtCompany]]</f>
        <v>1</v>
      </c>
      <c r="J360">
        <f>Table1[[#This Row],[YearsSinceLastPromotion]]</f>
        <v>0</v>
      </c>
      <c r="K360">
        <f>Table1[[#This Row],[EmployeeNumber]]</f>
        <v>479</v>
      </c>
      <c r="L360">
        <f>Table1[[#This Row],[DistanceFromHome]]</f>
        <v>1</v>
      </c>
      <c r="M360" t="str">
        <f>Table1[[#This Row],[OverTime]]</f>
        <v>No</v>
      </c>
      <c r="N360">
        <f>Table1[[#This Row],[WorkLifeBalance]]</f>
        <v>3</v>
      </c>
      <c r="O360" t="str" cm="1">
        <f t="array" ref="O360">_xlfn.IFS(A360&lt;=30,"18-30",A360&lt;=40,"31-40",A360&lt;=50,"41-50",A360&gt;50,"51+")</f>
        <v>31-40</v>
      </c>
      <c r="P360" t="str" cm="1">
        <f t="array" ref="P360">_xlfn.IFS(F360&lt;=45,"45 or below",F360&lt;= 60,"46-60",F360&lt;=75,"61-75",F360&lt;=90,"76-90",F360&gt;90,"91 or above")</f>
        <v>45 or below</v>
      </c>
      <c r="Q3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60" t="str" cm="1">
        <f t="array" ref="R3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61" spans="1:18" x14ac:dyDescent="0.2">
      <c r="A361">
        <f>Table1[[#This Row],[Age]]</f>
        <v>36</v>
      </c>
      <c r="B361">
        <f>IF(Table3[[#This Row],[Attrition]] = "Yes", 1,0)</f>
        <v>0</v>
      </c>
      <c r="C361" t="str">
        <f>Table1[[#This Row],[Attrition]]</f>
        <v>No</v>
      </c>
      <c r="D361" t="str">
        <f>Table1[[#This Row],[Department]]</f>
        <v>Sales</v>
      </c>
      <c r="E361">
        <f>Table1[[#This Row],[EnvironmentSatisfaction]]</f>
        <v>1</v>
      </c>
      <c r="F361">
        <f>Table1[[#This Row],[HourlyRate]]</f>
        <v>48</v>
      </c>
      <c r="G361" t="str">
        <f>Table1[[#This Row],[JobRole]]</f>
        <v>Sales Executive</v>
      </c>
      <c r="H361">
        <f>Table1[[#This Row],[JobSatisfaction]]</f>
        <v>4</v>
      </c>
      <c r="I361">
        <f>Table1[[#This Row],[YearsAtCompany]]</f>
        <v>13</v>
      </c>
      <c r="J361">
        <f>Table1[[#This Row],[YearsSinceLastPromotion]]</f>
        <v>1</v>
      </c>
      <c r="K361">
        <f>Table1[[#This Row],[EmployeeNumber]]</f>
        <v>481</v>
      </c>
      <c r="L361">
        <f>Table1[[#This Row],[DistanceFromHome]]</f>
        <v>3</v>
      </c>
      <c r="M361" t="str">
        <f>Table1[[#This Row],[OverTime]]</f>
        <v>No</v>
      </c>
      <c r="N361">
        <f>Table1[[#This Row],[WorkLifeBalance]]</f>
        <v>3</v>
      </c>
      <c r="O361" t="str" cm="1">
        <f t="array" ref="O361">_xlfn.IFS(A361&lt;=30,"18-30",A361&lt;=40,"31-40",A361&lt;=50,"41-50",A361&gt;50,"51+")</f>
        <v>31-40</v>
      </c>
      <c r="P361" t="str" cm="1">
        <f t="array" ref="P361">_xlfn.IFS(F361&lt;=45,"45 or below",F361&lt;= 60,"46-60",F361&lt;=75,"61-75",F361&lt;=90,"76-90",F361&gt;90,"91 or above")</f>
        <v>46-60</v>
      </c>
      <c r="Q3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61" t="str" cm="1">
        <f t="array" ref="R3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62" spans="1:18" x14ac:dyDescent="0.2">
      <c r="A362">
        <f>Table1[[#This Row],[Age]]</f>
        <v>57</v>
      </c>
      <c r="B362">
        <f>IF(Table3[[#This Row],[Attrition]] = "Yes", 1,0)</f>
        <v>0</v>
      </c>
      <c r="C362" t="str">
        <f>Table1[[#This Row],[Attrition]]</f>
        <v>No</v>
      </c>
      <c r="D362" t="str">
        <f>Table1[[#This Row],[Department]]</f>
        <v>Research &amp; Development</v>
      </c>
      <c r="E362">
        <f>Table1[[#This Row],[EnvironmentSatisfaction]]</f>
        <v>4</v>
      </c>
      <c r="F362">
        <f>Table1[[#This Row],[HourlyRate]]</f>
        <v>88</v>
      </c>
      <c r="G362" t="str">
        <f>Table1[[#This Row],[JobRole]]</f>
        <v>Healthcare Representative</v>
      </c>
      <c r="H362">
        <f>Table1[[#This Row],[JobSatisfaction]]</f>
        <v>3</v>
      </c>
      <c r="I362">
        <f>Table1[[#This Row],[YearsAtCompany]]</f>
        <v>3</v>
      </c>
      <c r="J362">
        <f>Table1[[#This Row],[YearsSinceLastPromotion]]</f>
        <v>1</v>
      </c>
      <c r="K362">
        <f>Table1[[#This Row],[EmployeeNumber]]</f>
        <v>482</v>
      </c>
      <c r="L362">
        <f>Table1[[#This Row],[DistanceFromHome]]</f>
        <v>1</v>
      </c>
      <c r="M362" t="str">
        <f>Table1[[#This Row],[OverTime]]</f>
        <v>No</v>
      </c>
      <c r="N362">
        <f>Table1[[#This Row],[WorkLifeBalance]]</f>
        <v>3</v>
      </c>
      <c r="O362" t="str" cm="1">
        <f t="array" ref="O362">_xlfn.IFS(A362&lt;=30,"18-30",A362&lt;=40,"31-40",A362&lt;=50,"41-50",A362&gt;50,"51+")</f>
        <v>51+</v>
      </c>
      <c r="P362" t="str" cm="1">
        <f t="array" ref="P362">_xlfn.IFS(F362&lt;=45,"45 or below",F362&lt;= 60,"46-60",F362&lt;=75,"61-75",F362&lt;=90,"76-90",F362&gt;90,"91 or above")</f>
        <v>76-90</v>
      </c>
      <c r="Q3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62" t="str" cm="1">
        <f t="array" ref="R3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63" spans="1:18" x14ac:dyDescent="0.2">
      <c r="A363">
        <f>Table1[[#This Row],[Age]]</f>
        <v>40</v>
      </c>
      <c r="B363">
        <f>IF(Table3[[#This Row],[Attrition]] = "Yes", 1,0)</f>
        <v>0</v>
      </c>
      <c r="C363" t="str">
        <f>Table1[[#This Row],[Attrition]]</f>
        <v>No</v>
      </c>
      <c r="D363" t="str">
        <f>Table1[[#This Row],[Department]]</f>
        <v>Research &amp; Development</v>
      </c>
      <c r="E363">
        <f>Table1[[#This Row],[EnvironmentSatisfaction]]</f>
        <v>4</v>
      </c>
      <c r="F363">
        <f>Table1[[#This Row],[HourlyRate]]</f>
        <v>46</v>
      </c>
      <c r="G363" t="str">
        <f>Table1[[#This Row],[JobRole]]</f>
        <v>Laboratory Technician</v>
      </c>
      <c r="H363">
        <f>Table1[[#This Row],[JobSatisfaction]]</f>
        <v>3</v>
      </c>
      <c r="I363">
        <f>Table1[[#This Row],[YearsAtCompany]]</f>
        <v>7</v>
      </c>
      <c r="J363">
        <f>Table1[[#This Row],[YearsSinceLastPromotion]]</f>
        <v>1</v>
      </c>
      <c r="K363">
        <f>Table1[[#This Row],[EmployeeNumber]]</f>
        <v>483</v>
      </c>
      <c r="L363">
        <f>Table1[[#This Row],[DistanceFromHome]]</f>
        <v>10</v>
      </c>
      <c r="M363" t="str">
        <f>Table1[[#This Row],[OverTime]]</f>
        <v>Yes</v>
      </c>
      <c r="N363">
        <f>Table1[[#This Row],[WorkLifeBalance]]</f>
        <v>3</v>
      </c>
      <c r="O363" t="str" cm="1">
        <f t="array" ref="O363">_xlfn.IFS(A363&lt;=30,"18-30",A363&lt;=40,"31-40",A363&lt;=50,"41-50",A363&gt;50,"51+")</f>
        <v>31-40</v>
      </c>
      <c r="P363" t="str" cm="1">
        <f t="array" ref="P363">_xlfn.IFS(F363&lt;=45,"45 or below",F363&lt;= 60,"46-60",F363&lt;=75,"61-75",F363&lt;=90,"76-90",F363&gt;90,"91 or above")</f>
        <v>46-60</v>
      </c>
      <c r="Q3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63" t="str" cm="1">
        <f t="array" ref="R363" xml:space="preserve"> _xlfn.IFS(Table3[[#This Row],[Flight Risk Score]] = "NA","NA",Table3[[#This Row],[Flight Risk Score]] &gt;= 70,"High Risk",Table3[[#This Row],[Flight Risk Score]] &gt;= 50, "Medium Risk", Table3[[#This Row],[Flight Risk Score]] &gt;= 30,"Low Risk",Table3[[#This Row],[Flight Risk Score]] &lt; 30,"Very Low Risk")</f>
        <v>Low Risk</v>
      </c>
    </row>
    <row r="364" spans="1:18" x14ac:dyDescent="0.2">
      <c r="A364">
        <f>Table1[[#This Row],[Age]]</f>
        <v>21</v>
      </c>
      <c r="B364">
        <f>IF(Table3[[#This Row],[Attrition]] = "Yes", 1,0)</f>
        <v>0</v>
      </c>
      <c r="C364" t="str">
        <f>Table1[[#This Row],[Attrition]]</f>
        <v>No</v>
      </c>
      <c r="D364" t="str">
        <f>Table1[[#This Row],[Department]]</f>
        <v>Sales</v>
      </c>
      <c r="E364">
        <f>Table1[[#This Row],[EnvironmentSatisfaction]]</f>
        <v>1</v>
      </c>
      <c r="F364">
        <f>Table1[[#This Row],[HourlyRate]]</f>
        <v>39</v>
      </c>
      <c r="G364" t="str">
        <f>Table1[[#This Row],[JobRole]]</f>
        <v>Sales Representative</v>
      </c>
      <c r="H364">
        <f>Table1[[#This Row],[JobSatisfaction]]</f>
        <v>4</v>
      </c>
      <c r="I364">
        <f>Table1[[#This Row],[YearsAtCompany]]</f>
        <v>3</v>
      </c>
      <c r="J364">
        <f>Table1[[#This Row],[YearsSinceLastPromotion]]</f>
        <v>2</v>
      </c>
      <c r="K364">
        <f>Table1[[#This Row],[EmployeeNumber]]</f>
        <v>484</v>
      </c>
      <c r="L364">
        <f>Table1[[#This Row],[DistanceFromHome]]</f>
        <v>9</v>
      </c>
      <c r="M364" t="str">
        <f>Table1[[#This Row],[OverTime]]</f>
        <v>No</v>
      </c>
      <c r="N364">
        <f>Table1[[#This Row],[WorkLifeBalance]]</f>
        <v>2</v>
      </c>
      <c r="O364" t="str" cm="1">
        <f t="array" ref="O364">_xlfn.IFS(A364&lt;=30,"18-30",A364&lt;=40,"31-40",A364&lt;=50,"41-50",A364&gt;50,"51+")</f>
        <v>18-30</v>
      </c>
      <c r="P364" t="str" cm="1">
        <f t="array" ref="P364">_xlfn.IFS(F364&lt;=45,"45 or below",F364&lt;= 60,"46-60",F364&lt;=75,"61-75",F364&lt;=90,"76-90",F364&gt;90,"91 or above")</f>
        <v>45 or below</v>
      </c>
      <c r="Q3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64" t="str" cm="1">
        <f t="array" ref="R36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65" spans="1:18" hidden="1" x14ac:dyDescent="0.2">
      <c r="A365">
        <f>Table1[[#This Row],[Age]]</f>
        <v>33</v>
      </c>
      <c r="B365">
        <f>IF(Table3[[#This Row],[Attrition]] = "Yes", 1,0)</f>
        <v>1</v>
      </c>
      <c r="C365" t="str">
        <f>Table1[[#This Row],[Attrition]]</f>
        <v>Yes</v>
      </c>
      <c r="D365" t="str">
        <f>Table1[[#This Row],[Department]]</f>
        <v>Sales</v>
      </c>
      <c r="E365">
        <f>Table1[[#This Row],[EnvironmentSatisfaction]]</f>
        <v>4</v>
      </c>
      <c r="F365">
        <f>Table1[[#This Row],[HourlyRate]]</f>
        <v>34</v>
      </c>
      <c r="G365" t="str">
        <f>Table1[[#This Row],[JobRole]]</f>
        <v>Sales Representative</v>
      </c>
      <c r="H365">
        <f>Table1[[#This Row],[JobSatisfaction]]</f>
        <v>3</v>
      </c>
      <c r="I365">
        <f>Table1[[#This Row],[YearsAtCompany]]</f>
        <v>1</v>
      </c>
      <c r="J365">
        <f>Table1[[#This Row],[YearsSinceLastPromotion]]</f>
        <v>0</v>
      </c>
      <c r="K365">
        <f>Table1[[#This Row],[EmployeeNumber]]</f>
        <v>485</v>
      </c>
      <c r="L365">
        <f>Table1[[#This Row],[DistanceFromHome]]</f>
        <v>5</v>
      </c>
      <c r="M365" t="str">
        <f>Table1[[#This Row],[OverTime]]</f>
        <v>Yes</v>
      </c>
      <c r="N365">
        <f>Table1[[#This Row],[WorkLifeBalance]]</f>
        <v>3</v>
      </c>
      <c r="O365" t="str" cm="1">
        <f t="array" ref="O365">_xlfn.IFS(A365&lt;=30,"18-30",A365&lt;=40,"31-40",A365&lt;=50,"41-50",A365&gt;50,"51+")</f>
        <v>31-40</v>
      </c>
      <c r="P365" t="str" cm="1">
        <f t="array" ref="P365">_xlfn.IFS(F365&lt;=45,"45 or below",F365&lt;= 60,"46-60",F365&lt;=75,"61-75",F365&lt;=90,"76-90",F365&gt;90,"91 or above")</f>
        <v>45 or below</v>
      </c>
      <c r="Q36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65" t="str" cm="1">
        <f t="array" ref="R365" xml:space="preserve"> _xlfn.IFS(Table3[[#This Row],[Flight Risk Score]] = "NA","NA",Table3[[#This Row],[Flight Risk Score]] &gt;= 70,"High Risk",Table3[[#This Row],[Flight Risk Score]] &gt;= 50, "Medium Risk", Table3[[#This Row],[Flight Risk Score]] &gt;= 30,"Low Risk",Table3[[#This Row],[Flight Risk Score]] &lt; 30,"Very Low Risk")</f>
        <v>NA</v>
      </c>
    </row>
    <row r="366" spans="1:18" x14ac:dyDescent="0.2">
      <c r="A366">
        <f>Table1[[#This Row],[Age]]</f>
        <v>37</v>
      </c>
      <c r="B366">
        <f>IF(Table3[[#This Row],[Attrition]] = "Yes", 1,0)</f>
        <v>0</v>
      </c>
      <c r="C366" t="str">
        <f>Table1[[#This Row],[Attrition]]</f>
        <v>No</v>
      </c>
      <c r="D366" t="str">
        <f>Table1[[#This Row],[Department]]</f>
        <v>Research &amp; Development</v>
      </c>
      <c r="E366">
        <f>Table1[[#This Row],[EnvironmentSatisfaction]]</f>
        <v>3</v>
      </c>
      <c r="F366">
        <f>Table1[[#This Row],[HourlyRate]]</f>
        <v>98</v>
      </c>
      <c r="G366" t="str">
        <f>Table1[[#This Row],[JobRole]]</f>
        <v>Laboratory Technician</v>
      </c>
      <c r="H366">
        <f>Table1[[#This Row],[JobSatisfaction]]</f>
        <v>1</v>
      </c>
      <c r="I366">
        <f>Table1[[#This Row],[YearsAtCompany]]</f>
        <v>5</v>
      </c>
      <c r="J366">
        <f>Table1[[#This Row],[YearsSinceLastPromotion]]</f>
        <v>0</v>
      </c>
      <c r="K366">
        <f>Table1[[#This Row],[EmployeeNumber]]</f>
        <v>486</v>
      </c>
      <c r="L366">
        <f>Table1[[#This Row],[DistanceFromHome]]</f>
        <v>10</v>
      </c>
      <c r="M366" t="str">
        <f>Table1[[#This Row],[OverTime]]</f>
        <v>No</v>
      </c>
      <c r="N366">
        <f>Table1[[#This Row],[WorkLifeBalance]]</f>
        <v>3</v>
      </c>
      <c r="O366" t="str" cm="1">
        <f t="array" ref="O366">_xlfn.IFS(A366&lt;=30,"18-30",A366&lt;=40,"31-40",A366&lt;=50,"41-50",A366&gt;50,"51+")</f>
        <v>31-40</v>
      </c>
      <c r="P366" t="str" cm="1">
        <f t="array" ref="P366">_xlfn.IFS(F366&lt;=45,"45 or below",F366&lt;= 60,"46-60",F366&lt;=75,"61-75",F366&lt;=90,"76-90",F366&gt;90,"91 or above")</f>
        <v>91 or above</v>
      </c>
      <c r="Q3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66" t="str" cm="1">
        <f t="array" ref="R3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67" spans="1:18" x14ac:dyDescent="0.2">
      <c r="A367">
        <f>Table1[[#This Row],[Age]]</f>
        <v>46</v>
      </c>
      <c r="B367">
        <f>IF(Table3[[#This Row],[Attrition]] = "Yes", 1,0)</f>
        <v>0</v>
      </c>
      <c r="C367" t="str">
        <f>Table1[[#This Row],[Attrition]]</f>
        <v>No</v>
      </c>
      <c r="D367" t="str">
        <f>Table1[[#This Row],[Department]]</f>
        <v>Research &amp; Development</v>
      </c>
      <c r="E367">
        <f>Table1[[#This Row],[EnvironmentSatisfaction]]</f>
        <v>3</v>
      </c>
      <c r="F367">
        <f>Table1[[#This Row],[HourlyRate]]</f>
        <v>30</v>
      </c>
      <c r="G367" t="str">
        <f>Table1[[#This Row],[JobRole]]</f>
        <v>Manufacturing Director</v>
      </c>
      <c r="H367">
        <f>Table1[[#This Row],[JobSatisfaction]]</f>
        <v>3</v>
      </c>
      <c r="I367">
        <f>Table1[[#This Row],[YearsAtCompany]]</f>
        <v>1</v>
      </c>
      <c r="J367">
        <f>Table1[[#This Row],[YearsSinceLastPromotion]]</f>
        <v>0</v>
      </c>
      <c r="K367">
        <f>Table1[[#This Row],[EmployeeNumber]]</f>
        <v>487</v>
      </c>
      <c r="L367">
        <f>Table1[[#This Row],[DistanceFromHome]]</f>
        <v>7</v>
      </c>
      <c r="M367" t="str">
        <f>Table1[[#This Row],[OverTime]]</f>
        <v>No</v>
      </c>
      <c r="N367">
        <f>Table1[[#This Row],[WorkLifeBalance]]</f>
        <v>4</v>
      </c>
      <c r="O367" t="str" cm="1">
        <f t="array" ref="O367">_xlfn.IFS(A367&lt;=30,"18-30",A367&lt;=40,"31-40",A367&lt;=50,"41-50",A367&gt;50,"51+")</f>
        <v>41-50</v>
      </c>
      <c r="P367" t="str" cm="1">
        <f t="array" ref="P367">_xlfn.IFS(F367&lt;=45,"45 or below",F367&lt;= 60,"46-60",F367&lt;=75,"61-75",F367&lt;=90,"76-90",F367&gt;90,"91 or above")</f>
        <v>45 or below</v>
      </c>
      <c r="Q3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67" t="str" cm="1">
        <f t="array" ref="R3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68" spans="1:18" hidden="1" x14ac:dyDescent="0.2">
      <c r="A368">
        <f>Table1[[#This Row],[Age]]</f>
        <v>41</v>
      </c>
      <c r="B368">
        <f>IF(Table3[[#This Row],[Attrition]] = "Yes", 1,0)</f>
        <v>1</v>
      </c>
      <c r="C368" t="str">
        <f>Table1[[#This Row],[Attrition]]</f>
        <v>Yes</v>
      </c>
      <c r="D368" t="str">
        <f>Table1[[#This Row],[Department]]</f>
        <v>Sales</v>
      </c>
      <c r="E368">
        <f>Table1[[#This Row],[EnvironmentSatisfaction]]</f>
        <v>1</v>
      </c>
      <c r="F368">
        <f>Table1[[#This Row],[HourlyRate]]</f>
        <v>56</v>
      </c>
      <c r="G368" t="str">
        <f>Table1[[#This Row],[JobRole]]</f>
        <v>Sales Executive</v>
      </c>
      <c r="H368">
        <f>Table1[[#This Row],[JobSatisfaction]]</f>
        <v>2</v>
      </c>
      <c r="I368">
        <f>Table1[[#This Row],[YearsAtCompany]]</f>
        <v>8</v>
      </c>
      <c r="J368">
        <f>Table1[[#This Row],[YearsSinceLastPromotion]]</f>
        <v>7</v>
      </c>
      <c r="K368">
        <f>Table1[[#This Row],[EmployeeNumber]]</f>
        <v>488</v>
      </c>
      <c r="L368">
        <f>Table1[[#This Row],[DistanceFromHome]]</f>
        <v>4</v>
      </c>
      <c r="M368" t="str">
        <f>Table1[[#This Row],[OverTime]]</f>
        <v>No</v>
      </c>
      <c r="N368">
        <f>Table1[[#This Row],[WorkLifeBalance]]</f>
        <v>3</v>
      </c>
      <c r="O368" t="str" cm="1">
        <f t="array" ref="O368">_xlfn.IFS(A368&lt;=30,"18-30",A368&lt;=40,"31-40",A368&lt;=50,"41-50",A368&gt;50,"51+")</f>
        <v>41-50</v>
      </c>
      <c r="P368" t="str" cm="1">
        <f t="array" ref="P368">_xlfn.IFS(F368&lt;=45,"45 or below",F368&lt;= 60,"46-60",F368&lt;=75,"61-75",F368&lt;=90,"76-90",F368&gt;90,"91 or above")</f>
        <v>46-60</v>
      </c>
      <c r="Q36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68" t="str" cm="1">
        <f t="array" ref="R368" xml:space="preserve"> _xlfn.IFS(Table3[[#This Row],[Flight Risk Score]] = "NA","NA",Table3[[#This Row],[Flight Risk Score]] &gt;= 70,"High Risk",Table3[[#This Row],[Flight Risk Score]] &gt;= 50, "Medium Risk", Table3[[#This Row],[Flight Risk Score]] &gt;= 30,"Low Risk",Table3[[#This Row],[Flight Risk Score]] &lt; 30,"Very Low Risk")</f>
        <v>NA</v>
      </c>
    </row>
    <row r="369" spans="1:18" x14ac:dyDescent="0.2">
      <c r="A369">
        <f>Table1[[#This Row],[Age]]</f>
        <v>50</v>
      </c>
      <c r="B369">
        <f>IF(Table3[[#This Row],[Attrition]] = "Yes", 1,0)</f>
        <v>0</v>
      </c>
      <c r="C369" t="str">
        <f>Table1[[#This Row],[Attrition]]</f>
        <v>No</v>
      </c>
      <c r="D369" t="str">
        <f>Table1[[#This Row],[Department]]</f>
        <v>Research &amp; Development</v>
      </c>
      <c r="E369">
        <f>Table1[[#This Row],[EnvironmentSatisfaction]]</f>
        <v>4</v>
      </c>
      <c r="F369">
        <f>Table1[[#This Row],[HourlyRate]]</f>
        <v>100</v>
      </c>
      <c r="G369" t="str">
        <f>Table1[[#This Row],[JobRole]]</f>
        <v>Healthcare Representative</v>
      </c>
      <c r="H369">
        <f>Table1[[#This Row],[JobSatisfaction]]</f>
        <v>4</v>
      </c>
      <c r="I369">
        <f>Table1[[#This Row],[YearsAtCompany]]</f>
        <v>4</v>
      </c>
      <c r="J369">
        <f>Table1[[#This Row],[YearsSinceLastPromotion]]</f>
        <v>1</v>
      </c>
      <c r="K369">
        <f>Table1[[#This Row],[EmployeeNumber]]</f>
        <v>491</v>
      </c>
      <c r="L369">
        <f>Table1[[#This Row],[DistanceFromHome]]</f>
        <v>10</v>
      </c>
      <c r="M369" t="str">
        <f>Table1[[#This Row],[OverTime]]</f>
        <v>No</v>
      </c>
      <c r="N369">
        <f>Table1[[#This Row],[WorkLifeBalance]]</f>
        <v>3</v>
      </c>
      <c r="O369" t="str" cm="1">
        <f t="array" ref="O369">_xlfn.IFS(A369&lt;=30,"18-30",A369&lt;=40,"31-40",A369&lt;=50,"41-50",A369&gt;50,"51+")</f>
        <v>41-50</v>
      </c>
      <c r="P369" t="str" cm="1">
        <f t="array" ref="P369">_xlfn.IFS(F369&lt;=45,"45 or below",F369&lt;= 60,"46-60",F369&lt;=75,"61-75",F369&lt;=90,"76-90",F369&gt;90,"91 or above")</f>
        <v>91 or above</v>
      </c>
      <c r="Q3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69" t="str" cm="1">
        <f t="array" ref="R36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0" spans="1:18" hidden="1" x14ac:dyDescent="0.2">
      <c r="A370">
        <f>Table1[[#This Row],[Age]]</f>
        <v>40</v>
      </c>
      <c r="B370">
        <f>IF(Table3[[#This Row],[Attrition]] = "Yes", 1,0)</f>
        <v>1</v>
      </c>
      <c r="C370" t="str">
        <f>Table1[[#This Row],[Attrition]]</f>
        <v>Yes</v>
      </c>
      <c r="D370" t="str">
        <f>Table1[[#This Row],[Department]]</f>
        <v>Sales</v>
      </c>
      <c r="E370">
        <f>Table1[[#This Row],[EnvironmentSatisfaction]]</f>
        <v>3</v>
      </c>
      <c r="F370">
        <f>Table1[[#This Row],[HourlyRate]]</f>
        <v>68</v>
      </c>
      <c r="G370" t="str">
        <f>Table1[[#This Row],[JobRole]]</f>
        <v>Sales Executive</v>
      </c>
      <c r="H370">
        <f>Table1[[#This Row],[JobSatisfaction]]</f>
        <v>3</v>
      </c>
      <c r="I370">
        <f>Table1[[#This Row],[YearsAtCompany]]</f>
        <v>6</v>
      </c>
      <c r="J370">
        <f>Table1[[#This Row],[YearsSinceLastPromotion]]</f>
        <v>1</v>
      </c>
      <c r="K370">
        <f>Table1[[#This Row],[EmployeeNumber]]</f>
        <v>492</v>
      </c>
      <c r="L370">
        <f>Table1[[#This Row],[DistanceFromHome]]</f>
        <v>22</v>
      </c>
      <c r="M370" t="str">
        <f>Table1[[#This Row],[OverTime]]</f>
        <v>Yes</v>
      </c>
      <c r="N370">
        <f>Table1[[#This Row],[WorkLifeBalance]]</f>
        <v>3</v>
      </c>
      <c r="O370" t="str" cm="1">
        <f t="array" ref="O370">_xlfn.IFS(A370&lt;=30,"18-30",A370&lt;=40,"31-40",A370&lt;=50,"41-50",A370&gt;50,"51+")</f>
        <v>31-40</v>
      </c>
      <c r="P370" t="str" cm="1">
        <f t="array" ref="P370">_xlfn.IFS(F370&lt;=45,"45 or below",F370&lt;= 60,"46-60",F370&lt;=75,"61-75",F370&lt;=90,"76-90",F370&gt;90,"91 or above")</f>
        <v>61-75</v>
      </c>
      <c r="Q37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70" t="str" cm="1">
        <f t="array" ref="R370" xml:space="preserve"> _xlfn.IFS(Table3[[#This Row],[Flight Risk Score]] = "NA","NA",Table3[[#This Row],[Flight Risk Score]] &gt;= 70,"High Risk",Table3[[#This Row],[Flight Risk Score]] &gt;= 50, "Medium Risk", Table3[[#This Row],[Flight Risk Score]] &gt;= 30,"Low Risk",Table3[[#This Row],[Flight Risk Score]] &lt; 30,"Very Low Risk")</f>
        <v>NA</v>
      </c>
    </row>
    <row r="371" spans="1:18" x14ac:dyDescent="0.2">
      <c r="A371">
        <f>Table1[[#This Row],[Age]]</f>
        <v>31</v>
      </c>
      <c r="B371">
        <f>IF(Table3[[#This Row],[Attrition]] = "Yes", 1,0)</f>
        <v>0</v>
      </c>
      <c r="C371" t="str">
        <f>Table1[[#This Row],[Attrition]]</f>
        <v>No</v>
      </c>
      <c r="D371" t="str">
        <f>Table1[[#This Row],[Department]]</f>
        <v>Research &amp; Development</v>
      </c>
      <c r="E371">
        <f>Table1[[#This Row],[EnvironmentSatisfaction]]</f>
        <v>3</v>
      </c>
      <c r="F371">
        <f>Table1[[#This Row],[HourlyRate]]</f>
        <v>42</v>
      </c>
      <c r="G371" t="str">
        <f>Table1[[#This Row],[JobRole]]</f>
        <v>Research Scientist</v>
      </c>
      <c r="H371">
        <f>Table1[[#This Row],[JobSatisfaction]]</f>
        <v>2</v>
      </c>
      <c r="I371">
        <f>Table1[[#This Row],[YearsAtCompany]]</f>
        <v>2</v>
      </c>
      <c r="J371">
        <f>Table1[[#This Row],[YearsSinceLastPromotion]]</f>
        <v>2</v>
      </c>
      <c r="K371">
        <f>Table1[[#This Row],[EmployeeNumber]]</f>
        <v>493</v>
      </c>
      <c r="L371">
        <f>Table1[[#This Row],[DistanceFromHome]]</f>
        <v>9</v>
      </c>
      <c r="M371" t="str">
        <f>Table1[[#This Row],[OverTime]]</f>
        <v>Yes</v>
      </c>
      <c r="N371">
        <f>Table1[[#This Row],[WorkLifeBalance]]</f>
        <v>3</v>
      </c>
      <c r="O371" t="str" cm="1">
        <f t="array" ref="O371">_xlfn.IFS(A371&lt;=30,"18-30",A371&lt;=40,"31-40",A371&lt;=50,"41-50",A371&gt;50,"51+")</f>
        <v>31-40</v>
      </c>
      <c r="P371" t="str" cm="1">
        <f t="array" ref="P371">_xlfn.IFS(F371&lt;=45,"45 or below",F371&lt;= 60,"46-60",F371&lt;=75,"61-75",F371&lt;=90,"76-90",F371&gt;90,"91 or above")</f>
        <v>45 or below</v>
      </c>
      <c r="Q3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71" t="str" cm="1">
        <f t="array" ref="R37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72" spans="1:18" hidden="1" x14ac:dyDescent="0.2">
      <c r="A372">
        <f>Table1[[#This Row],[Age]]</f>
        <v>21</v>
      </c>
      <c r="B372">
        <f>IF(Table3[[#This Row],[Attrition]] = "Yes", 1,0)</f>
        <v>1</v>
      </c>
      <c r="C372" t="str">
        <f>Table1[[#This Row],[Attrition]]</f>
        <v>Yes</v>
      </c>
      <c r="D372" t="str">
        <f>Table1[[#This Row],[Department]]</f>
        <v>Sales</v>
      </c>
      <c r="E372">
        <f>Table1[[#This Row],[EnvironmentSatisfaction]]</f>
        <v>3</v>
      </c>
      <c r="F372">
        <f>Table1[[#This Row],[HourlyRate]]</f>
        <v>90</v>
      </c>
      <c r="G372" t="str">
        <f>Table1[[#This Row],[JobRole]]</f>
        <v>Sales Representative</v>
      </c>
      <c r="H372">
        <f>Table1[[#This Row],[JobSatisfaction]]</f>
        <v>2</v>
      </c>
      <c r="I372">
        <f>Table1[[#This Row],[YearsAtCompany]]</f>
        <v>1</v>
      </c>
      <c r="J372">
        <f>Table1[[#This Row],[YearsSinceLastPromotion]]</f>
        <v>0</v>
      </c>
      <c r="K372">
        <f>Table1[[#This Row],[EmployeeNumber]]</f>
        <v>494</v>
      </c>
      <c r="L372">
        <f>Table1[[#This Row],[DistanceFromHome]]</f>
        <v>12</v>
      </c>
      <c r="M372" t="str">
        <f>Table1[[#This Row],[OverTime]]</f>
        <v>No</v>
      </c>
      <c r="N372">
        <f>Table1[[#This Row],[WorkLifeBalance]]</f>
        <v>3</v>
      </c>
      <c r="O372" t="str" cm="1">
        <f t="array" ref="O372">_xlfn.IFS(A372&lt;=30,"18-30",A372&lt;=40,"31-40",A372&lt;=50,"41-50",A372&gt;50,"51+")</f>
        <v>18-30</v>
      </c>
      <c r="P372" t="str" cm="1">
        <f t="array" ref="P372">_xlfn.IFS(F372&lt;=45,"45 or below",F372&lt;= 60,"46-60",F372&lt;=75,"61-75",F372&lt;=90,"76-90",F372&gt;90,"91 or above")</f>
        <v>76-90</v>
      </c>
      <c r="Q37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72" t="str" cm="1">
        <f t="array" ref="R372" xml:space="preserve"> _xlfn.IFS(Table3[[#This Row],[Flight Risk Score]] = "NA","NA",Table3[[#This Row],[Flight Risk Score]] &gt;= 70,"High Risk",Table3[[#This Row],[Flight Risk Score]] &gt;= 50, "Medium Risk", Table3[[#This Row],[Flight Risk Score]] &gt;= 30,"Low Risk",Table3[[#This Row],[Flight Risk Score]] &lt; 30,"Very Low Risk")</f>
        <v>NA</v>
      </c>
    </row>
    <row r="373" spans="1:18" x14ac:dyDescent="0.2">
      <c r="A373">
        <f>Table1[[#This Row],[Age]]</f>
        <v>29</v>
      </c>
      <c r="B373">
        <f>IF(Table3[[#This Row],[Attrition]] = "Yes", 1,0)</f>
        <v>0</v>
      </c>
      <c r="C373" t="str">
        <f>Table1[[#This Row],[Attrition]]</f>
        <v>No</v>
      </c>
      <c r="D373" t="str">
        <f>Table1[[#This Row],[Department]]</f>
        <v>Research &amp; Development</v>
      </c>
      <c r="E373">
        <f>Table1[[#This Row],[EnvironmentSatisfaction]]</f>
        <v>4</v>
      </c>
      <c r="F373">
        <f>Table1[[#This Row],[HourlyRate]]</f>
        <v>54</v>
      </c>
      <c r="G373" t="str">
        <f>Table1[[#This Row],[JobRole]]</f>
        <v>Research Scientist</v>
      </c>
      <c r="H373">
        <f>Table1[[#This Row],[JobSatisfaction]]</f>
        <v>4</v>
      </c>
      <c r="I373">
        <f>Table1[[#This Row],[YearsAtCompany]]</f>
        <v>3</v>
      </c>
      <c r="J373">
        <f>Table1[[#This Row],[YearsSinceLastPromotion]]</f>
        <v>1</v>
      </c>
      <c r="K373">
        <f>Table1[[#This Row],[EmployeeNumber]]</f>
        <v>495</v>
      </c>
      <c r="L373">
        <f>Table1[[#This Row],[DistanceFromHome]]</f>
        <v>23</v>
      </c>
      <c r="M373" t="str">
        <f>Table1[[#This Row],[OverTime]]</f>
        <v>No</v>
      </c>
      <c r="N373">
        <f>Table1[[#This Row],[WorkLifeBalance]]</f>
        <v>3</v>
      </c>
      <c r="O373" t="str" cm="1">
        <f t="array" ref="O373">_xlfn.IFS(A373&lt;=30,"18-30",A373&lt;=40,"31-40",A373&lt;=50,"41-50",A373&gt;50,"51+")</f>
        <v>18-30</v>
      </c>
      <c r="P373" t="str" cm="1">
        <f t="array" ref="P373">_xlfn.IFS(F373&lt;=45,"45 or below",F373&lt;= 60,"46-60",F373&lt;=75,"61-75",F373&lt;=90,"76-90",F373&gt;90,"91 or above")</f>
        <v>46-60</v>
      </c>
      <c r="Q3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73" t="str" cm="1">
        <f t="array" ref="R3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4" spans="1:18" x14ac:dyDescent="0.2">
      <c r="A374">
        <f>Table1[[#This Row],[Age]]</f>
        <v>35</v>
      </c>
      <c r="B374">
        <f>IF(Table3[[#This Row],[Attrition]] = "Yes", 1,0)</f>
        <v>0</v>
      </c>
      <c r="C374" t="str">
        <f>Table1[[#This Row],[Attrition]]</f>
        <v>No</v>
      </c>
      <c r="D374" t="str">
        <f>Table1[[#This Row],[Department]]</f>
        <v>Research &amp; Development</v>
      </c>
      <c r="E374">
        <f>Table1[[#This Row],[EnvironmentSatisfaction]]</f>
        <v>3</v>
      </c>
      <c r="F374">
        <f>Table1[[#This Row],[HourlyRate]]</f>
        <v>97</v>
      </c>
      <c r="G374" t="str">
        <f>Table1[[#This Row],[JobRole]]</f>
        <v>Healthcare Representative</v>
      </c>
      <c r="H374">
        <f>Table1[[#This Row],[JobSatisfaction]]</f>
        <v>2</v>
      </c>
      <c r="I374">
        <f>Table1[[#This Row],[YearsAtCompany]]</f>
        <v>1</v>
      </c>
      <c r="J374">
        <f>Table1[[#This Row],[YearsSinceLastPromotion]]</f>
        <v>0</v>
      </c>
      <c r="K374">
        <f>Table1[[#This Row],[EmployeeNumber]]</f>
        <v>496</v>
      </c>
      <c r="L374">
        <f>Table1[[#This Row],[DistanceFromHome]]</f>
        <v>9</v>
      </c>
      <c r="M374" t="str">
        <f>Table1[[#This Row],[OverTime]]</f>
        <v>No</v>
      </c>
      <c r="N374">
        <f>Table1[[#This Row],[WorkLifeBalance]]</f>
        <v>3</v>
      </c>
      <c r="O374" t="str" cm="1">
        <f t="array" ref="O374">_xlfn.IFS(A374&lt;=30,"18-30",A374&lt;=40,"31-40",A374&lt;=50,"41-50",A374&gt;50,"51+")</f>
        <v>31-40</v>
      </c>
      <c r="P374" t="str" cm="1">
        <f t="array" ref="P374">_xlfn.IFS(F374&lt;=45,"45 or below",F374&lt;= 60,"46-60",F374&lt;=75,"61-75",F374&lt;=90,"76-90",F374&gt;90,"91 or above")</f>
        <v>91 or above</v>
      </c>
      <c r="Q3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74" t="str" cm="1">
        <f t="array" ref="R3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5" spans="1:18" x14ac:dyDescent="0.2">
      <c r="A375">
        <f>Table1[[#This Row],[Age]]</f>
        <v>27</v>
      </c>
      <c r="B375">
        <f>IF(Table3[[#This Row],[Attrition]] = "Yes", 1,0)</f>
        <v>0</v>
      </c>
      <c r="C375" t="str">
        <f>Table1[[#This Row],[Attrition]]</f>
        <v>No</v>
      </c>
      <c r="D375" t="str">
        <f>Table1[[#This Row],[Department]]</f>
        <v>Research &amp; Development</v>
      </c>
      <c r="E375">
        <f>Table1[[#This Row],[EnvironmentSatisfaction]]</f>
        <v>4</v>
      </c>
      <c r="F375">
        <f>Table1[[#This Row],[HourlyRate]]</f>
        <v>82</v>
      </c>
      <c r="G375" t="str">
        <f>Table1[[#This Row],[JobRole]]</f>
        <v>Laboratory Technician</v>
      </c>
      <c r="H375">
        <f>Table1[[#This Row],[JobSatisfaction]]</f>
        <v>2</v>
      </c>
      <c r="I375">
        <f>Table1[[#This Row],[YearsAtCompany]]</f>
        <v>5</v>
      </c>
      <c r="J375">
        <f>Table1[[#This Row],[YearsSinceLastPromotion]]</f>
        <v>0</v>
      </c>
      <c r="K375">
        <f>Table1[[#This Row],[EmployeeNumber]]</f>
        <v>497</v>
      </c>
      <c r="L375">
        <f>Table1[[#This Row],[DistanceFromHome]]</f>
        <v>1</v>
      </c>
      <c r="M375" t="str">
        <f>Table1[[#This Row],[OverTime]]</f>
        <v>No</v>
      </c>
      <c r="N375">
        <f>Table1[[#This Row],[WorkLifeBalance]]</f>
        <v>3</v>
      </c>
      <c r="O375" t="str" cm="1">
        <f t="array" ref="O375">_xlfn.IFS(A375&lt;=30,"18-30",A375&lt;=40,"31-40",A375&lt;=50,"41-50",A375&gt;50,"51+")</f>
        <v>18-30</v>
      </c>
      <c r="P375" t="str" cm="1">
        <f t="array" ref="P375">_xlfn.IFS(F375&lt;=45,"45 or below",F375&lt;= 60,"46-60",F375&lt;=75,"61-75",F375&lt;=90,"76-90",F375&gt;90,"91 or above")</f>
        <v>76-90</v>
      </c>
      <c r="Q3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75" t="str" cm="1">
        <f t="array" ref="R3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6" spans="1:18" x14ac:dyDescent="0.2">
      <c r="A376">
        <f>Table1[[#This Row],[Age]]</f>
        <v>28</v>
      </c>
      <c r="B376">
        <f>IF(Table3[[#This Row],[Attrition]] = "Yes", 1,0)</f>
        <v>0</v>
      </c>
      <c r="C376" t="str">
        <f>Table1[[#This Row],[Attrition]]</f>
        <v>No</v>
      </c>
      <c r="D376" t="str">
        <f>Table1[[#This Row],[Department]]</f>
        <v>Sales</v>
      </c>
      <c r="E376">
        <f>Table1[[#This Row],[EnvironmentSatisfaction]]</f>
        <v>2</v>
      </c>
      <c r="F376">
        <f>Table1[[#This Row],[HourlyRate]]</f>
        <v>92</v>
      </c>
      <c r="G376" t="str">
        <f>Table1[[#This Row],[JobRole]]</f>
        <v>Sales Executive</v>
      </c>
      <c r="H376">
        <f>Table1[[#This Row],[JobSatisfaction]]</f>
        <v>4</v>
      </c>
      <c r="I376">
        <f>Table1[[#This Row],[YearsAtCompany]]</f>
        <v>7</v>
      </c>
      <c r="J376">
        <f>Table1[[#This Row],[YearsSinceLastPromotion]]</f>
        <v>0</v>
      </c>
      <c r="K376">
        <f>Table1[[#This Row],[EmployeeNumber]]</f>
        <v>498</v>
      </c>
      <c r="L376">
        <f>Table1[[#This Row],[DistanceFromHome]]</f>
        <v>9</v>
      </c>
      <c r="M376" t="str">
        <f>Table1[[#This Row],[OverTime]]</f>
        <v>No</v>
      </c>
      <c r="N376">
        <f>Table1[[#This Row],[WorkLifeBalance]]</f>
        <v>3</v>
      </c>
      <c r="O376" t="str" cm="1">
        <f t="array" ref="O376">_xlfn.IFS(A376&lt;=30,"18-30",A376&lt;=40,"31-40",A376&lt;=50,"41-50",A376&gt;50,"51+")</f>
        <v>18-30</v>
      </c>
      <c r="P376" t="str" cm="1">
        <f t="array" ref="P376">_xlfn.IFS(F376&lt;=45,"45 or below",F376&lt;= 60,"46-60",F376&lt;=75,"61-75",F376&lt;=90,"76-90",F376&gt;90,"91 or above")</f>
        <v>91 or above</v>
      </c>
      <c r="Q3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76" t="str" cm="1">
        <f t="array" ref="R3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7" spans="1:18" x14ac:dyDescent="0.2">
      <c r="A377">
        <f>Table1[[#This Row],[Age]]</f>
        <v>49</v>
      </c>
      <c r="B377">
        <f>IF(Table3[[#This Row],[Attrition]] = "Yes", 1,0)</f>
        <v>0</v>
      </c>
      <c r="C377" t="str">
        <f>Table1[[#This Row],[Attrition]]</f>
        <v>No</v>
      </c>
      <c r="D377" t="str">
        <f>Table1[[#This Row],[Department]]</f>
        <v>Research &amp; Development</v>
      </c>
      <c r="E377">
        <f>Table1[[#This Row],[EnvironmentSatisfaction]]</f>
        <v>2</v>
      </c>
      <c r="F377">
        <f>Table1[[#This Row],[HourlyRate]]</f>
        <v>31</v>
      </c>
      <c r="G377" t="str">
        <f>Table1[[#This Row],[JobRole]]</f>
        <v>Healthcare Representative</v>
      </c>
      <c r="H377">
        <f>Table1[[#This Row],[JobSatisfaction]]</f>
        <v>3</v>
      </c>
      <c r="I377">
        <f>Table1[[#This Row],[YearsAtCompany]]</f>
        <v>5</v>
      </c>
      <c r="J377">
        <f>Table1[[#This Row],[YearsSinceLastPromotion]]</f>
        <v>0</v>
      </c>
      <c r="K377">
        <f>Table1[[#This Row],[EmployeeNumber]]</f>
        <v>499</v>
      </c>
      <c r="L377">
        <f>Table1[[#This Row],[DistanceFromHome]]</f>
        <v>7</v>
      </c>
      <c r="M377" t="str">
        <f>Table1[[#This Row],[OverTime]]</f>
        <v>No</v>
      </c>
      <c r="N377">
        <f>Table1[[#This Row],[WorkLifeBalance]]</f>
        <v>3</v>
      </c>
      <c r="O377" t="str" cm="1">
        <f t="array" ref="O377">_xlfn.IFS(A377&lt;=30,"18-30",A377&lt;=40,"31-40",A377&lt;=50,"41-50",A377&gt;50,"51+")</f>
        <v>41-50</v>
      </c>
      <c r="P377" t="str" cm="1">
        <f t="array" ref="P377">_xlfn.IFS(F377&lt;=45,"45 or below",F377&lt;= 60,"46-60",F377&lt;=75,"61-75",F377&lt;=90,"76-90",F377&gt;90,"91 or above")</f>
        <v>45 or below</v>
      </c>
      <c r="Q3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77" t="str" cm="1">
        <f t="array" ref="R3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8" spans="1:18" x14ac:dyDescent="0.2">
      <c r="A378">
        <f>Table1[[#This Row],[Age]]</f>
        <v>51</v>
      </c>
      <c r="B378">
        <f>IF(Table3[[#This Row],[Attrition]] = "Yes", 1,0)</f>
        <v>0</v>
      </c>
      <c r="C378" t="str">
        <f>Table1[[#This Row],[Attrition]]</f>
        <v>No</v>
      </c>
      <c r="D378" t="str">
        <f>Table1[[#This Row],[Department]]</f>
        <v>Sales</v>
      </c>
      <c r="E378">
        <f>Table1[[#This Row],[EnvironmentSatisfaction]]</f>
        <v>3</v>
      </c>
      <c r="F378">
        <f>Table1[[#This Row],[HourlyRate]]</f>
        <v>87</v>
      </c>
      <c r="G378" t="str">
        <f>Table1[[#This Row],[JobRole]]</f>
        <v>Sales Executive</v>
      </c>
      <c r="H378">
        <f>Table1[[#This Row],[JobSatisfaction]]</f>
        <v>4</v>
      </c>
      <c r="I378">
        <f>Table1[[#This Row],[YearsAtCompany]]</f>
        <v>7</v>
      </c>
      <c r="J378">
        <f>Table1[[#This Row],[YearsSinceLastPromotion]]</f>
        <v>0</v>
      </c>
      <c r="K378">
        <f>Table1[[#This Row],[EmployeeNumber]]</f>
        <v>500</v>
      </c>
      <c r="L378">
        <f>Table1[[#This Row],[DistanceFromHome]]</f>
        <v>14</v>
      </c>
      <c r="M378" t="str">
        <f>Table1[[#This Row],[OverTime]]</f>
        <v>No</v>
      </c>
      <c r="N378">
        <f>Table1[[#This Row],[WorkLifeBalance]]</f>
        <v>2</v>
      </c>
      <c r="O378" t="str" cm="1">
        <f t="array" ref="O378">_xlfn.IFS(A378&lt;=30,"18-30",A378&lt;=40,"31-40",A378&lt;=50,"41-50",A378&gt;50,"51+")</f>
        <v>51+</v>
      </c>
      <c r="P378" t="str" cm="1">
        <f t="array" ref="P378">_xlfn.IFS(F378&lt;=45,"45 or below",F378&lt;= 60,"46-60",F378&lt;=75,"61-75",F378&lt;=90,"76-90",F378&gt;90,"91 or above")</f>
        <v>76-90</v>
      </c>
      <c r="Q3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78" t="str" cm="1">
        <f t="array" ref="R3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79" spans="1:18" x14ac:dyDescent="0.2">
      <c r="A379">
        <f>Table1[[#This Row],[Age]]</f>
        <v>36</v>
      </c>
      <c r="B379">
        <f>IF(Table3[[#This Row],[Attrition]] = "Yes", 1,0)</f>
        <v>0</v>
      </c>
      <c r="C379" t="str">
        <f>Table1[[#This Row],[Attrition]]</f>
        <v>No</v>
      </c>
      <c r="D379" t="str">
        <f>Table1[[#This Row],[Department]]</f>
        <v>Research &amp; Development</v>
      </c>
      <c r="E379">
        <f>Table1[[#This Row],[EnvironmentSatisfaction]]</f>
        <v>4</v>
      </c>
      <c r="F379">
        <f>Table1[[#This Row],[HourlyRate]]</f>
        <v>96</v>
      </c>
      <c r="G379" t="str">
        <f>Table1[[#This Row],[JobRole]]</f>
        <v>Research Scientist</v>
      </c>
      <c r="H379">
        <f>Table1[[#This Row],[JobSatisfaction]]</f>
        <v>3</v>
      </c>
      <c r="I379">
        <f>Table1[[#This Row],[YearsAtCompany]]</f>
        <v>2</v>
      </c>
      <c r="J379">
        <f>Table1[[#This Row],[YearsSinceLastPromotion]]</f>
        <v>2</v>
      </c>
      <c r="K379">
        <f>Table1[[#This Row],[EmployeeNumber]]</f>
        <v>501</v>
      </c>
      <c r="L379">
        <f>Table1[[#This Row],[DistanceFromHome]]</f>
        <v>2</v>
      </c>
      <c r="M379" t="str">
        <f>Table1[[#This Row],[OverTime]]</f>
        <v>No</v>
      </c>
      <c r="N379">
        <f>Table1[[#This Row],[WorkLifeBalance]]</f>
        <v>3</v>
      </c>
      <c r="O379" t="str" cm="1">
        <f t="array" ref="O379">_xlfn.IFS(A379&lt;=30,"18-30",A379&lt;=40,"31-40",A379&lt;=50,"41-50",A379&gt;50,"51+")</f>
        <v>31-40</v>
      </c>
      <c r="P379" t="str" cm="1">
        <f t="array" ref="P379">_xlfn.IFS(F379&lt;=45,"45 or below",F379&lt;= 60,"46-60",F379&lt;=75,"61-75",F379&lt;=90,"76-90",F379&gt;90,"91 or above")</f>
        <v>91 or above</v>
      </c>
      <c r="Q3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79" t="str" cm="1">
        <f t="array" ref="R37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80" spans="1:18" hidden="1" x14ac:dyDescent="0.2">
      <c r="A380">
        <f>Table1[[#This Row],[Age]]</f>
        <v>34</v>
      </c>
      <c r="B380">
        <f>IF(Table3[[#This Row],[Attrition]] = "Yes", 1,0)</f>
        <v>1</v>
      </c>
      <c r="C380" t="str">
        <f>Table1[[#This Row],[Attrition]]</f>
        <v>Yes</v>
      </c>
      <c r="D380" t="str">
        <f>Table1[[#This Row],[Department]]</f>
        <v>Sales</v>
      </c>
      <c r="E380">
        <f>Table1[[#This Row],[EnvironmentSatisfaction]]</f>
        <v>1</v>
      </c>
      <c r="F380">
        <f>Table1[[#This Row],[HourlyRate]]</f>
        <v>67</v>
      </c>
      <c r="G380" t="str">
        <f>Table1[[#This Row],[JobRole]]</f>
        <v>Sales Executive</v>
      </c>
      <c r="H380">
        <f>Table1[[#This Row],[JobSatisfaction]]</f>
        <v>4</v>
      </c>
      <c r="I380">
        <f>Table1[[#This Row],[YearsAtCompany]]</f>
        <v>5</v>
      </c>
      <c r="J380">
        <f>Table1[[#This Row],[YearsSinceLastPromotion]]</f>
        <v>0</v>
      </c>
      <c r="K380">
        <f>Table1[[#This Row],[EmployeeNumber]]</f>
        <v>502</v>
      </c>
      <c r="L380">
        <f>Table1[[#This Row],[DistanceFromHome]]</f>
        <v>19</v>
      </c>
      <c r="M380" t="str">
        <f>Table1[[#This Row],[OverTime]]</f>
        <v>Yes</v>
      </c>
      <c r="N380">
        <f>Table1[[#This Row],[WorkLifeBalance]]</f>
        <v>2</v>
      </c>
      <c r="O380" t="str" cm="1">
        <f t="array" ref="O380">_xlfn.IFS(A380&lt;=30,"18-30",A380&lt;=40,"31-40",A380&lt;=50,"41-50",A380&gt;50,"51+")</f>
        <v>31-40</v>
      </c>
      <c r="P380" t="str" cm="1">
        <f t="array" ref="P380">_xlfn.IFS(F380&lt;=45,"45 or below",F380&lt;= 60,"46-60",F380&lt;=75,"61-75",F380&lt;=90,"76-90",F380&gt;90,"91 or above")</f>
        <v>61-75</v>
      </c>
      <c r="Q38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80" t="str" cm="1">
        <f t="array" ref="R380" xml:space="preserve"> _xlfn.IFS(Table3[[#This Row],[Flight Risk Score]] = "NA","NA",Table3[[#This Row],[Flight Risk Score]] &gt;= 70,"High Risk",Table3[[#This Row],[Flight Risk Score]] &gt;= 50, "Medium Risk", Table3[[#This Row],[Flight Risk Score]] &gt;= 30,"Low Risk",Table3[[#This Row],[Flight Risk Score]] &lt; 30,"Very Low Risk")</f>
        <v>NA</v>
      </c>
    </row>
    <row r="381" spans="1:18" x14ac:dyDescent="0.2">
      <c r="A381">
        <f>Table1[[#This Row],[Age]]</f>
        <v>55</v>
      </c>
      <c r="B381">
        <f>IF(Table3[[#This Row],[Attrition]] = "Yes", 1,0)</f>
        <v>0</v>
      </c>
      <c r="C381" t="str">
        <f>Table1[[#This Row],[Attrition]]</f>
        <v>No</v>
      </c>
      <c r="D381" t="str">
        <f>Table1[[#This Row],[Department]]</f>
        <v>Research &amp; Development</v>
      </c>
      <c r="E381">
        <f>Table1[[#This Row],[EnvironmentSatisfaction]]</f>
        <v>3</v>
      </c>
      <c r="F381">
        <f>Table1[[#This Row],[HourlyRate]]</f>
        <v>97</v>
      </c>
      <c r="G381" t="str">
        <f>Table1[[#This Row],[JobRole]]</f>
        <v>Manager</v>
      </c>
      <c r="H381">
        <f>Table1[[#This Row],[JobSatisfaction]]</f>
        <v>4</v>
      </c>
      <c r="I381">
        <f>Table1[[#This Row],[YearsAtCompany]]</f>
        <v>5</v>
      </c>
      <c r="J381">
        <f>Table1[[#This Row],[YearsSinceLastPromotion]]</f>
        <v>1</v>
      </c>
      <c r="K381">
        <f>Table1[[#This Row],[EmployeeNumber]]</f>
        <v>505</v>
      </c>
      <c r="L381">
        <f>Table1[[#This Row],[DistanceFromHome]]</f>
        <v>2</v>
      </c>
      <c r="M381" t="str">
        <f>Table1[[#This Row],[OverTime]]</f>
        <v>Yes</v>
      </c>
      <c r="N381">
        <f>Table1[[#This Row],[WorkLifeBalance]]</f>
        <v>3</v>
      </c>
      <c r="O381" t="str" cm="1">
        <f t="array" ref="O381">_xlfn.IFS(A381&lt;=30,"18-30",A381&lt;=40,"31-40",A381&lt;=50,"41-50",A381&gt;50,"51+")</f>
        <v>51+</v>
      </c>
      <c r="P381" t="str" cm="1">
        <f t="array" ref="P381">_xlfn.IFS(F381&lt;=45,"45 or below",F381&lt;= 60,"46-60",F381&lt;=75,"61-75",F381&lt;=90,"76-90",F381&gt;90,"91 or above")</f>
        <v>91 or above</v>
      </c>
      <c r="Q3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81" t="str" cm="1">
        <f t="array" ref="R381" xml:space="preserve"> _xlfn.IFS(Table3[[#This Row],[Flight Risk Score]] = "NA","NA",Table3[[#This Row],[Flight Risk Score]] &gt;= 70,"High Risk",Table3[[#This Row],[Flight Risk Score]] &gt;= 50, "Medium Risk", Table3[[#This Row],[Flight Risk Score]] &gt;= 30,"Low Risk",Table3[[#This Row],[Flight Risk Score]] &lt; 30,"Very Low Risk")</f>
        <v>Low Risk</v>
      </c>
    </row>
    <row r="382" spans="1:18" x14ac:dyDescent="0.2">
      <c r="A382">
        <f>Table1[[#This Row],[Age]]</f>
        <v>24</v>
      </c>
      <c r="B382">
        <f>IF(Table3[[#This Row],[Attrition]] = "Yes", 1,0)</f>
        <v>0</v>
      </c>
      <c r="C382" t="str">
        <f>Table1[[#This Row],[Attrition]]</f>
        <v>No</v>
      </c>
      <c r="D382" t="str">
        <f>Table1[[#This Row],[Department]]</f>
        <v>Sales</v>
      </c>
      <c r="E382">
        <f>Table1[[#This Row],[EnvironmentSatisfaction]]</f>
        <v>4</v>
      </c>
      <c r="F382">
        <f>Table1[[#This Row],[HourlyRate]]</f>
        <v>77</v>
      </c>
      <c r="G382" t="str">
        <f>Table1[[#This Row],[JobRole]]</f>
        <v>Sales Executive</v>
      </c>
      <c r="H382">
        <f>Table1[[#This Row],[JobSatisfaction]]</f>
        <v>3</v>
      </c>
      <c r="I382">
        <f>Table1[[#This Row],[YearsAtCompany]]</f>
        <v>5</v>
      </c>
      <c r="J382">
        <f>Table1[[#This Row],[YearsSinceLastPromotion]]</f>
        <v>0</v>
      </c>
      <c r="K382">
        <f>Table1[[#This Row],[EmployeeNumber]]</f>
        <v>507</v>
      </c>
      <c r="L382">
        <f>Table1[[#This Row],[DistanceFromHome]]</f>
        <v>10</v>
      </c>
      <c r="M382" t="str">
        <f>Table1[[#This Row],[OverTime]]</f>
        <v>Yes</v>
      </c>
      <c r="N382">
        <f>Table1[[#This Row],[WorkLifeBalance]]</f>
        <v>4</v>
      </c>
      <c r="O382" t="str" cm="1">
        <f t="array" ref="O382">_xlfn.IFS(A382&lt;=30,"18-30",A382&lt;=40,"31-40",A382&lt;=50,"41-50",A382&gt;50,"51+")</f>
        <v>18-30</v>
      </c>
      <c r="P382" t="str" cm="1">
        <f t="array" ref="P382">_xlfn.IFS(F382&lt;=45,"45 or below",F382&lt;= 60,"46-60",F382&lt;=75,"61-75",F382&lt;=90,"76-90",F382&gt;90,"91 or above")</f>
        <v>76-90</v>
      </c>
      <c r="Q3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82" t="str" cm="1">
        <f t="array" ref="R382" xml:space="preserve"> _xlfn.IFS(Table3[[#This Row],[Flight Risk Score]] = "NA","NA",Table3[[#This Row],[Flight Risk Score]] &gt;= 70,"High Risk",Table3[[#This Row],[Flight Risk Score]] &gt;= 50, "Medium Risk", Table3[[#This Row],[Flight Risk Score]] &gt;= 30,"Low Risk",Table3[[#This Row],[Flight Risk Score]] &lt; 30,"Very Low Risk")</f>
        <v>Low Risk</v>
      </c>
    </row>
    <row r="383" spans="1:18" x14ac:dyDescent="0.2">
      <c r="A383">
        <f>Table1[[#This Row],[Age]]</f>
        <v>30</v>
      </c>
      <c r="B383">
        <f>IF(Table3[[#This Row],[Attrition]] = "Yes", 1,0)</f>
        <v>0</v>
      </c>
      <c r="C383" t="str">
        <f>Table1[[#This Row],[Attrition]]</f>
        <v>No</v>
      </c>
      <c r="D383" t="str">
        <f>Table1[[#This Row],[Department]]</f>
        <v>Sales</v>
      </c>
      <c r="E383">
        <f>Table1[[#This Row],[EnvironmentSatisfaction]]</f>
        <v>3</v>
      </c>
      <c r="F383">
        <f>Table1[[#This Row],[HourlyRate]]</f>
        <v>72</v>
      </c>
      <c r="G383" t="str">
        <f>Table1[[#This Row],[JobRole]]</f>
        <v>Sales Representative</v>
      </c>
      <c r="H383">
        <f>Table1[[#This Row],[JobSatisfaction]]</f>
        <v>2</v>
      </c>
      <c r="I383">
        <f>Table1[[#This Row],[YearsAtCompany]]</f>
        <v>1</v>
      </c>
      <c r="J383">
        <f>Table1[[#This Row],[YearsSinceLastPromotion]]</f>
        <v>0</v>
      </c>
      <c r="K383">
        <f>Table1[[#This Row],[EmployeeNumber]]</f>
        <v>508</v>
      </c>
      <c r="L383">
        <f>Table1[[#This Row],[DistanceFromHome]]</f>
        <v>2</v>
      </c>
      <c r="M383" t="str">
        <f>Table1[[#This Row],[OverTime]]</f>
        <v>No</v>
      </c>
      <c r="N383">
        <f>Table1[[#This Row],[WorkLifeBalance]]</f>
        <v>3</v>
      </c>
      <c r="O383" t="str" cm="1">
        <f t="array" ref="O383">_xlfn.IFS(A383&lt;=30,"18-30",A383&lt;=40,"31-40",A383&lt;=50,"41-50",A383&gt;50,"51+")</f>
        <v>18-30</v>
      </c>
      <c r="P383" t="str" cm="1">
        <f t="array" ref="P383">_xlfn.IFS(F383&lt;=45,"45 or below",F383&lt;= 60,"46-60",F383&lt;=75,"61-75",F383&lt;=90,"76-90",F383&gt;90,"91 or above")</f>
        <v>61-75</v>
      </c>
      <c r="Q3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83" t="str" cm="1">
        <f t="array" ref="R3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84" spans="1:18" hidden="1" x14ac:dyDescent="0.2">
      <c r="A384">
        <f>Table1[[#This Row],[Age]]</f>
        <v>26</v>
      </c>
      <c r="B384">
        <f>IF(Table3[[#This Row],[Attrition]] = "Yes", 1,0)</f>
        <v>1</v>
      </c>
      <c r="C384" t="str">
        <f>Table1[[#This Row],[Attrition]]</f>
        <v>Yes</v>
      </c>
      <c r="D384" t="str">
        <f>Table1[[#This Row],[Department]]</f>
        <v>Research &amp; Development</v>
      </c>
      <c r="E384">
        <f>Table1[[#This Row],[EnvironmentSatisfaction]]</f>
        <v>3</v>
      </c>
      <c r="F384">
        <f>Table1[[#This Row],[HourlyRate]]</f>
        <v>73</v>
      </c>
      <c r="G384" t="str">
        <f>Table1[[#This Row],[JobRole]]</f>
        <v>Research Scientist</v>
      </c>
      <c r="H384">
        <f>Table1[[#This Row],[JobSatisfaction]]</f>
        <v>1</v>
      </c>
      <c r="I384">
        <f>Table1[[#This Row],[YearsAtCompany]]</f>
        <v>6</v>
      </c>
      <c r="J384">
        <f>Table1[[#This Row],[YearsSinceLastPromotion]]</f>
        <v>0</v>
      </c>
      <c r="K384">
        <f>Table1[[#This Row],[EmployeeNumber]]</f>
        <v>510</v>
      </c>
      <c r="L384">
        <f>Table1[[#This Row],[DistanceFromHome]]</f>
        <v>3</v>
      </c>
      <c r="M384" t="str">
        <f>Table1[[#This Row],[OverTime]]</f>
        <v>No</v>
      </c>
      <c r="N384">
        <f>Table1[[#This Row],[WorkLifeBalance]]</f>
        <v>3</v>
      </c>
      <c r="O384" t="str" cm="1">
        <f t="array" ref="O384">_xlfn.IFS(A384&lt;=30,"18-30",A384&lt;=40,"31-40",A384&lt;=50,"41-50",A384&gt;50,"51+")</f>
        <v>18-30</v>
      </c>
      <c r="P384" t="str" cm="1">
        <f t="array" ref="P384">_xlfn.IFS(F384&lt;=45,"45 or below",F384&lt;= 60,"46-60",F384&lt;=75,"61-75",F384&lt;=90,"76-90",F384&gt;90,"91 or above")</f>
        <v>61-75</v>
      </c>
      <c r="Q38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84" t="str" cm="1">
        <f t="array" ref="R384" xml:space="preserve"> _xlfn.IFS(Table3[[#This Row],[Flight Risk Score]] = "NA","NA",Table3[[#This Row],[Flight Risk Score]] &gt;= 70,"High Risk",Table3[[#This Row],[Flight Risk Score]] &gt;= 50, "Medium Risk", Table3[[#This Row],[Flight Risk Score]] &gt;= 30,"Low Risk",Table3[[#This Row],[Flight Risk Score]] &lt; 30,"Very Low Risk")</f>
        <v>NA</v>
      </c>
    </row>
    <row r="385" spans="1:18" x14ac:dyDescent="0.2">
      <c r="A385">
        <f>Table1[[#This Row],[Age]]</f>
        <v>22</v>
      </c>
      <c r="B385">
        <f>IF(Table3[[#This Row],[Attrition]] = "Yes", 1,0)</f>
        <v>0</v>
      </c>
      <c r="C385" t="str">
        <f>Table1[[#This Row],[Attrition]]</f>
        <v>No</v>
      </c>
      <c r="D385" t="str">
        <f>Table1[[#This Row],[Department]]</f>
        <v>Research &amp; Development</v>
      </c>
      <c r="E385">
        <f>Table1[[#This Row],[EnvironmentSatisfaction]]</f>
        <v>1</v>
      </c>
      <c r="F385">
        <f>Table1[[#This Row],[HourlyRate]]</f>
        <v>43</v>
      </c>
      <c r="G385" t="str">
        <f>Table1[[#This Row],[JobRole]]</f>
        <v>Research Scientist</v>
      </c>
      <c r="H385">
        <f>Table1[[#This Row],[JobSatisfaction]]</f>
        <v>2</v>
      </c>
      <c r="I385">
        <f>Table1[[#This Row],[YearsAtCompany]]</f>
        <v>2</v>
      </c>
      <c r="J385">
        <f>Table1[[#This Row],[YearsSinceLastPromotion]]</f>
        <v>1</v>
      </c>
      <c r="K385">
        <f>Table1[[#This Row],[EmployeeNumber]]</f>
        <v>511</v>
      </c>
      <c r="L385">
        <f>Table1[[#This Row],[DistanceFromHome]]</f>
        <v>11</v>
      </c>
      <c r="M385" t="str">
        <f>Table1[[#This Row],[OverTime]]</f>
        <v>No</v>
      </c>
      <c r="N385">
        <f>Table1[[#This Row],[WorkLifeBalance]]</f>
        <v>3</v>
      </c>
      <c r="O385" t="str" cm="1">
        <f t="array" ref="O385">_xlfn.IFS(A385&lt;=30,"18-30",A385&lt;=40,"31-40",A385&lt;=50,"41-50",A385&gt;50,"51+")</f>
        <v>18-30</v>
      </c>
      <c r="P385" t="str" cm="1">
        <f t="array" ref="P385">_xlfn.IFS(F385&lt;=45,"45 or below",F385&lt;= 60,"46-60",F385&lt;=75,"61-75",F385&lt;=90,"76-90",F385&gt;90,"91 or above")</f>
        <v>45 or below</v>
      </c>
      <c r="Q3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85" t="str" cm="1">
        <f t="array" ref="R385" xml:space="preserve"> _xlfn.IFS(Table3[[#This Row],[Flight Risk Score]] = "NA","NA",Table3[[#This Row],[Flight Risk Score]] &gt;= 70,"High Risk",Table3[[#This Row],[Flight Risk Score]] &gt;= 50, "Medium Risk", Table3[[#This Row],[Flight Risk Score]] &gt;= 30,"Low Risk",Table3[[#This Row],[Flight Risk Score]] &lt; 30,"Very Low Risk")</f>
        <v>Low Risk</v>
      </c>
    </row>
    <row r="386" spans="1:18" x14ac:dyDescent="0.2">
      <c r="A386">
        <f>Table1[[#This Row],[Age]]</f>
        <v>36</v>
      </c>
      <c r="B386">
        <f>IF(Table3[[#This Row],[Attrition]] = "Yes", 1,0)</f>
        <v>0</v>
      </c>
      <c r="C386" t="str">
        <f>Table1[[#This Row],[Attrition]]</f>
        <v>No</v>
      </c>
      <c r="D386" t="str">
        <f>Table1[[#This Row],[Department]]</f>
        <v>Sales</v>
      </c>
      <c r="E386">
        <f>Table1[[#This Row],[EnvironmentSatisfaction]]</f>
        <v>2</v>
      </c>
      <c r="F386">
        <f>Table1[[#This Row],[HourlyRate]]</f>
        <v>61</v>
      </c>
      <c r="G386" t="str">
        <f>Table1[[#This Row],[JobRole]]</f>
        <v>Sales Executive</v>
      </c>
      <c r="H386">
        <f>Table1[[#This Row],[JobSatisfaction]]</f>
        <v>3</v>
      </c>
      <c r="I386">
        <f>Table1[[#This Row],[YearsAtCompany]]</f>
        <v>10</v>
      </c>
      <c r="J386">
        <f>Table1[[#This Row],[YearsSinceLastPromotion]]</f>
        <v>9</v>
      </c>
      <c r="K386">
        <f>Table1[[#This Row],[EmployeeNumber]]</f>
        <v>513</v>
      </c>
      <c r="L386">
        <f>Table1[[#This Row],[DistanceFromHome]]</f>
        <v>2</v>
      </c>
      <c r="M386" t="str">
        <f>Table1[[#This Row],[OverTime]]</f>
        <v>No</v>
      </c>
      <c r="N386">
        <f>Table1[[#This Row],[WorkLifeBalance]]</f>
        <v>3</v>
      </c>
      <c r="O386" t="str" cm="1">
        <f t="array" ref="O386">_xlfn.IFS(A386&lt;=30,"18-30",A386&lt;=40,"31-40",A386&lt;=50,"41-50",A386&gt;50,"51+")</f>
        <v>31-40</v>
      </c>
      <c r="P386" t="str" cm="1">
        <f t="array" ref="P386">_xlfn.IFS(F386&lt;=45,"45 or below",F386&lt;= 60,"46-60",F386&lt;=75,"61-75",F386&lt;=90,"76-90",F386&gt;90,"91 or above")</f>
        <v>61-75</v>
      </c>
      <c r="Q3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86" t="str" cm="1">
        <f t="array" ref="R3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87" spans="1:18" hidden="1" x14ac:dyDescent="0.2">
      <c r="A387">
        <f>Table1[[#This Row],[Age]]</f>
        <v>30</v>
      </c>
      <c r="B387">
        <f>IF(Table3[[#This Row],[Attrition]] = "Yes", 1,0)</f>
        <v>1</v>
      </c>
      <c r="C387" t="str">
        <f>Table1[[#This Row],[Attrition]]</f>
        <v>Yes</v>
      </c>
      <c r="D387" t="str">
        <f>Table1[[#This Row],[Department]]</f>
        <v>Research &amp; Development</v>
      </c>
      <c r="E387">
        <f>Table1[[#This Row],[EnvironmentSatisfaction]]</f>
        <v>3</v>
      </c>
      <c r="F387">
        <f>Table1[[#This Row],[HourlyRate]]</f>
        <v>40</v>
      </c>
      <c r="G387" t="str">
        <f>Table1[[#This Row],[JobRole]]</f>
        <v>Research Scientist</v>
      </c>
      <c r="H387">
        <f>Table1[[#This Row],[JobSatisfaction]]</f>
        <v>4</v>
      </c>
      <c r="I387">
        <f>Table1[[#This Row],[YearsAtCompany]]</f>
        <v>1</v>
      </c>
      <c r="J387">
        <f>Table1[[#This Row],[YearsSinceLastPromotion]]</f>
        <v>0</v>
      </c>
      <c r="K387">
        <f>Table1[[#This Row],[EmployeeNumber]]</f>
        <v>514</v>
      </c>
      <c r="L387">
        <f>Table1[[#This Row],[DistanceFromHome]]</f>
        <v>4</v>
      </c>
      <c r="M387" t="str">
        <f>Table1[[#This Row],[OverTime]]</f>
        <v>Yes</v>
      </c>
      <c r="N387">
        <f>Table1[[#This Row],[WorkLifeBalance]]</f>
        <v>3</v>
      </c>
      <c r="O387" t="str" cm="1">
        <f t="array" ref="O387">_xlfn.IFS(A387&lt;=30,"18-30",A387&lt;=40,"31-40",A387&lt;=50,"41-50",A387&gt;50,"51+")</f>
        <v>18-30</v>
      </c>
      <c r="P387" t="str" cm="1">
        <f t="array" ref="P387">_xlfn.IFS(F387&lt;=45,"45 or below",F387&lt;= 60,"46-60",F387&lt;=75,"61-75",F387&lt;=90,"76-90",F387&gt;90,"91 or above")</f>
        <v>45 or below</v>
      </c>
      <c r="Q38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387" t="str" cm="1">
        <f t="array" ref="R387" xml:space="preserve"> _xlfn.IFS(Table3[[#This Row],[Flight Risk Score]] = "NA","NA",Table3[[#This Row],[Flight Risk Score]] &gt;= 70,"High Risk",Table3[[#This Row],[Flight Risk Score]] &gt;= 50, "Medium Risk", Table3[[#This Row],[Flight Risk Score]] &gt;= 30,"Low Risk",Table3[[#This Row],[Flight Risk Score]] &lt; 30,"Very Low Risk")</f>
        <v>NA</v>
      </c>
    </row>
    <row r="388" spans="1:18" x14ac:dyDescent="0.2">
      <c r="A388">
        <f>Table1[[#This Row],[Age]]</f>
        <v>37</v>
      </c>
      <c r="B388">
        <f>IF(Table3[[#This Row],[Attrition]] = "Yes", 1,0)</f>
        <v>0</v>
      </c>
      <c r="C388" t="str">
        <f>Table1[[#This Row],[Attrition]]</f>
        <v>No</v>
      </c>
      <c r="D388" t="str">
        <f>Table1[[#This Row],[Department]]</f>
        <v>Research &amp; Development</v>
      </c>
      <c r="E388">
        <f>Table1[[#This Row],[EnvironmentSatisfaction]]</f>
        <v>4</v>
      </c>
      <c r="F388">
        <f>Table1[[#This Row],[HourlyRate]]</f>
        <v>95</v>
      </c>
      <c r="G388" t="str">
        <f>Table1[[#This Row],[JobRole]]</f>
        <v>Laboratory Technician</v>
      </c>
      <c r="H388">
        <f>Table1[[#This Row],[JobSatisfaction]]</f>
        <v>1</v>
      </c>
      <c r="I388">
        <f>Table1[[#This Row],[YearsAtCompany]]</f>
        <v>18</v>
      </c>
      <c r="J388">
        <f>Table1[[#This Row],[YearsSinceLastPromotion]]</f>
        <v>12</v>
      </c>
      <c r="K388">
        <f>Table1[[#This Row],[EmployeeNumber]]</f>
        <v>515</v>
      </c>
      <c r="L388">
        <f>Table1[[#This Row],[DistanceFromHome]]</f>
        <v>14</v>
      </c>
      <c r="M388" t="str">
        <f>Table1[[#This Row],[OverTime]]</f>
        <v>No</v>
      </c>
      <c r="N388">
        <f>Table1[[#This Row],[WorkLifeBalance]]</f>
        <v>2</v>
      </c>
      <c r="O388" t="str" cm="1">
        <f t="array" ref="O388">_xlfn.IFS(A388&lt;=30,"18-30",A388&lt;=40,"31-40",A388&lt;=50,"41-50",A388&gt;50,"51+")</f>
        <v>31-40</v>
      </c>
      <c r="P388" t="str" cm="1">
        <f t="array" ref="P388">_xlfn.IFS(F388&lt;=45,"45 or below",F388&lt;= 60,"46-60",F388&lt;=75,"61-75",F388&lt;=90,"76-90",F388&gt;90,"91 or above")</f>
        <v>91 or above</v>
      </c>
      <c r="Q3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88" t="str" cm="1">
        <f t="array" ref="R3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89" spans="1:18" x14ac:dyDescent="0.2">
      <c r="A389">
        <f>Table1[[#This Row],[Age]]</f>
        <v>40</v>
      </c>
      <c r="B389">
        <f>IF(Table3[[#This Row],[Attrition]] = "Yes", 1,0)</f>
        <v>0</v>
      </c>
      <c r="C389" t="str">
        <f>Table1[[#This Row],[Attrition]]</f>
        <v>No</v>
      </c>
      <c r="D389" t="str">
        <f>Table1[[#This Row],[Department]]</f>
        <v>Sales</v>
      </c>
      <c r="E389">
        <f>Table1[[#This Row],[EnvironmentSatisfaction]]</f>
        <v>4</v>
      </c>
      <c r="F389">
        <f>Table1[[#This Row],[HourlyRate]]</f>
        <v>46</v>
      </c>
      <c r="G389" t="str">
        <f>Table1[[#This Row],[JobRole]]</f>
        <v>Sales Executive</v>
      </c>
      <c r="H389">
        <f>Table1[[#This Row],[JobSatisfaction]]</f>
        <v>2</v>
      </c>
      <c r="I389">
        <f>Table1[[#This Row],[YearsAtCompany]]</f>
        <v>5</v>
      </c>
      <c r="J389">
        <f>Table1[[#This Row],[YearsSinceLastPromotion]]</f>
        <v>1</v>
      </c>
      <c r="K389">
        <f>Table1[[#This Row],[EmployeeNumber]]</f>
        <v>516</v>
      </c>
      <c r="L389">
        <f>Table1[[#This Row],[DistanceFromHome]]</f>
        <v>2</v>
      </c>
      <c r="M389" t="str">
        <f>Table1[[#This Row],[OverTime]]</f>
        <v>No</v>
      </c>
      <c r="N389">
        <f>Table1[[#This Row],[WorkLifeBalance]]</f>
        <v>3</v>
      </c>
      <c r="O389" t="str" cm="1">
        <f t="array" ref="O389">_xlfn.IFS(A389&lt;=30,"18-30",A389&lt;=40,"31-40",A389&lt;=50,"41-50",A389&gt;50,"51+")</f>
        <v>31-40</v>
      </c>
      <c r="P389" t="str" cm="1">
        <f t="array" ref="P389">_xlfn.IFS(F389&lt;=45,"45 or below",F389&lt;= 60,"46-60",F389&lt;=75,"61-75",F389&lt;=90,"76-90",F389&gt;90,"91 or above")</f>
        <v>46-60</v>
      </c>
      <c r="Q3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89" t="str" cm="1">
        <f t="array" ref="R3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90" spans="1:18" x14ac:dyDescent="0.2">
      <c r="A390">
        <f>Table1[[#This Row],[Age]]</f>
        <v>42</v>
      </c>
      <c r="B390">
        <f>IF(Table3[[#This Row],[Attrition]] = "Yes", 1,0)</f>
        <v>0</v>
      </c>
      <c r="C390" t="str">
        <f>Table1[[#This Row],[Attrition]]</f>
        <v>No</v>
      </c>
      <c r="D390" t="str">
        <f>Table1[[#This Row],[Department]]</f>
        <v>Research &amp; Development</v>
      </c>
      <c r="E390">
        <f>Table1[[#This Row],[EnvironmentSatisfaction]]</f>
        <v>2</v>
      </c>
      <c r="F390">
        <f>Table1[[#This Row],[HourlyRate]]</f>
        <v>95</v>
      </c>
      <c r="G390" t="str">
        <f>Table1[[#This Row],[JobRole]]</f>
        <v>Laboratory Technician</v>
      </c>
      <c r="H390">
        <f>Table1[[#This Row],[JobSatisfaction]]</f>
        <v>1</v>
      </c>
      <c r="I390">
        <f>Table1[[#This Row],[YearsAtCompany]]</f>
        <v>5</v>
      </c>
      <c r="J390">
        <f>Table1[[#This Row],[YearsSinceLastPromotion]]</f>
        <v>1</v>
      </c>
      <c r="K390">
        <f>Table1[[#This Row],[EmployeeNumber]]</f>
        <v>517</v>
      </c>
      <c r="L390">
        <f>Table1[[#This Row],[DistanceFromHome]]</f>
        <v>1</v>
      </c>
      <c r="M390" t="str">
        <f>Table1[[#This Row],[OverTime]]</f>
        <v>No</v>
      </c>
      <c r="N390">
        <f>Table1[[#This Row],[WorkLifeBalance]]</f>
        <v>3</v>
      </c>
      <c r="O390" t="str" cm="1">
        <f t="array" ref="O390">_xlfn.IFS(A390&lt;=30,"18-30",A390&lt;=40,"31-40",A390&lt;=50,"41-50",A390&gt;50,"51+")</f>
        <v>41-50</v>
      </c>
      <c r="P390" t="str" cm="1">
        <f t="array" ref="P390">_xlfn.IFS(F390&lt;=45,"45 or below",F390&lt;= 60,"46-60",F390&lt;=75,"61-75",F390&lt;=90,"76-90",F390&gt;90,"91 or above")</f>
        <v>91 or above</v>
      </c>
      <c r="Q3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90" t="str" cm="1">
        <f t="array" ref="R390" xml:space="preserve"> _xlfn.IFS(Table3[[#This Row],[Flight Risk Score]] = "NA","NA",Table3[[#This Row],[Flight Risk Score]] &gt;= 70,"High Risk",Table3[[#This Row],[Flight Risk Score]] &gt;= 50, "Medium Risk", Table3[[#This Row],[Flight Risk Score]] &gt;= 30,"Low Risk",Table3[[#This Row],[Flight Risk Score]] &lt; 30,"Very Low Risk")</f>
        <v>Low Risk</v>
      </c>
    </row>
    <row r="391" spans="1:18" x14ac:dyDescent="0.2">
      <c r="A391">
        <f>Table1[[#This Row],[Age]]</f>
        <v>37</v>
      </c>
      <c r="B391">
        <f>IF(Table3[[#This Row],[Attrition]] = "Yes", 1,0)</f>
        <v>0</v>
      </c>
      <c r="C391" t="str">
        <f>Table1[[#This Row],[Attrition]]</f>
        <v>No</v>
      </c>
      <c r="D391" t="str">
        <f>Table1[[#This Row],[Department]]</f>
        <v>Research &amp; Development</v>
      </c>
      <c r="E391">
        <f>Table1[[#This Row],[EnvironmentSatisfaction]]</f>
        <v>3</v>
      </c>
      <c r="F391">
        <f>Table1[[#This Row],[HourlyRate]]</f>
        <v>49</v>
      </c>
      <c r="G391" t="str">
        <f>Table1[[#This Row],[JobRole]]</f>
        <v>Manufacturing Director</v>
      </c>
      <c r="H391">
        <f>Table1[[#This Row],[JobSatisfaction]]</f>
        <v>2</v>
      </c>
      <c r="I391">
        <f>Table1[[#This Row],[YearsAtCompany]]</f>
        <v>1</v>
      </c>
      <c r="J391">
        <f>Table1[[#This Row],[YearsSinceLastPromotion]]</f>
        <v>0</v>
      </c>
      <c r="K391">
        <f>Table1[[#This Row],[EmployeeNumber]]</f>
        <v>518</v>
      </c>
      <c r="L391">
        <f>Table1[[#This Row],[DistanceFromHome]]</f>
        <v>10</v>
      </c>
      <c r="M391" t="str">
        <f>Table1[[#This Row],[OverTime]]</f>
        <v>Yes</v>
      </c>
      <c r="N391">
        <f>Table1[[#This Row],[WorkLifeBalance]]</f>
        <v>2</v>
      </c>
      <c r="O391" t="str" cm="1">
        <f t="array" ref="O391">_xlfn.IFS(A391&lt;=30,"18-30",A391&lt;=40,"31-40",A391&lt;=50,"41-50",A391&gt;50,"51+")</f>
        <v>31-40</v>
      </c>
      <c r="P391" t="str" cm="1">
        <f t="array" ref="P391">_xlfn.IFS(F391&lt;=45,"45 or below",F391&lt;= 60,"46-60",F391&lt;=75,"61-75",F391&lt;=90,"76-90",F391&gt;90,"91 or above")</f>
        <v>46-60</v>
      </c>
      <c r="Q3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91" t="str" cm="1">
        <f t="array" ref="R39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92" spans="1:18" x14ac:dyDescent="0.2">
      <c r="A392">
        <f>Table1[[#This Row],[Age]]</f>
        <v>43</v>
      </c>
      <c r="B392">
        <f>IF(Table3[[#This Row],[Attrition]] = "Yes", 1,0)</f>
        <v>0</v>
      </c>
      <c r="C392" t="str">
        <f>Table1[[#This Row],[Attrition]]</f>
        <v>No</v>
      </c>
      <c r="D392" t="str">
        <f>Table1[[#This Row],[Department]]</f>
        <v>Research &amp; Development</v>
      </c>
      <c r="E392">
        <f>Table1[[#This Row],[EnvironmentSatisfaction]]</f>
        <v>1</v>
      </c>
      <c r="F392">
        <f>Table1[[#This Row],[HourlyRate]]</f>
        <v>59</v>
      </c>
      <c r="G392" t="str">
        <f>Table1[[#This Row],[JobRole]]</f>
        <v>Research Director</v>
      </c>
      <c r="H392">
        <f>Table1[[#This Row],[JobSatisfaction]]</f>
        <v>2</v>
      </c>
      <c r="I392">
        <f>Table1[[#This Row],[YearsAtCompany]]</f>
        <v>25</v>
      </c>
      <c r="J392">
        <f>Table1[[#This Row],[YearsSinceLastPromotion]]</f>
        <v>3</v>
      </c>
      <c r="K392">
        <f>Table1[[#This Row],[EmployeeNumber]]</f>
        <v>520</v>
      </c>
      <c r="L392">
        <f>Table1[[#This Row],[DistanceFromHome]]</f>
        <v>12</v>
      </c>
      <c r="M392" t="str">
        <f>Table1[[#This Row],[OverTime]]</f>
        <v>No</v>
      </c>
      <c r="N392">
        <f>Table1[[#This Row],[WorkLifeBalance]]</f>
        <v>3</v>
      </c>
      <c r="O392" t="str" cm="1">
        <f t="array" ref="O392">_xlfn.IFS(A392&lt;=30,"18-30",A392&lt;=40,"31-40",A392&lt;=50,"41-50",A392&gt;50,"51+")</f>
        <v>41-50</v>
      </c>
      <c r="P392" t="str" cm="1">
        <f t="array" ref="P392">_xlfn.IFS(F392&lt;=45,"45 or below",F392&lt;= 60,"46-60",F392&lt;=75,"61-75",F392&lt;=90,"76-90",F392&gt;90,"91 or above")</f>
        <v>46-60</v>
      </c>
      <c r="Q3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92" t="str" cm="1">
        <f t="array" ref="R392" xml:space="preserve"> _xlfn.IFS(Table3[[#This Row],[Flight Risk Score]] = "NA","NA",Table3[[#This Row],[Flight Risk Score]] &gt;= 70,"High Risk",Table3[[#This Row],[Flight Risk Score]] &gt;= 50, "Medium Risk", Table3[[#This Row],[Flight Risk Score]] &gt;= 30,"Low Risk",Table3[[#This Row],[Flight Risk Score]] &lt; 30,"Very Low Risk")</f>
        <v>Low Risk</v>
      </c>
    </row>
    <row r="393" spans="1:18" x14ac:dyDescent="0.2">
      <c r="A393">
        <f>Table1[[#This Row],[Age]]</f>
        <v>40</v>
      </c>
      <c r="B393">
        <f>IF(Table3[[#This Row],[Attrition]] = "Yes", 1,0)</f>
        <v>0</v>
      </c>
      <c r="C393" t="str">
        <f>Table1[[#This Row],[Attrition]]</f>
        <v>No</v>
      </c>
      <c r="D393" t="str">
        <f>Table1[[#This Row],[Department]]</f>
        <v>Research &amp; Development</v>
      </c>
      <c r="E393">
        <f>Table1[[#This Row],[EnvironmentSatisfaction]]</f>
        <v>2</v>
      </c>
      <c r="F393">
        <f>Table1[[#This Row],[HourlyRate]]</f>
        <v>78</v>
      </c>
      <c r="G393" t="str">
        <f>Table1[[#This Row],[JobRole]]</f>
        <v>Laboratory Technician</v>
      </c>
      <c r="H393">
        <f>Table1[[#This Row],[JobSatisfaction]]</f>
        <v>3</v>
      </c>
      <c r="I393">
        <f>Table1[[#This Row],[YearsAtCompany]]</f>
        <v>1</v>
      </c>
      <c r="J393">
        <f>Table1[[#This Row],[YearsSinceLastPromotion]]</f>
        <v>0</v>
      </c>
      <c r="K393">
        <f>Table1[[#This Row],[EmployeeNumber]]</f>
        <v>521</v>
      </c>
      <c r="L393">
        <f>Table1[[#This Row],[DistanceFromHome]]</f>
        <v>2</v>
      </c>
      <c r="M393" t="str">
        <f>Table1[[#This Row],[OverTime]]</f>
        <v>No</v>
      </c>
      <c r="N393">
        <f>Table1[[#This Row],[WorkLifeBalance]]</f>
        <v>3</v>
      </c>
      <c r="O393" t="str" cm="1">
        <f t="array" ref="O393">_xlfn.IFS(A393&lt;=30,"18-30",A393&lt;=40,"31-40",A393&lt;=50,"41-50",A393&gt;50,"51+")</f>
        <v>31-40</v>
      </c>
      <c r="P393" t="str" cm="1">
        <f t="array" ref="P393">_xlfn.IFS(F393&lt;=45,"45 or below",F393&lt;= 60,"46-60",F393&lt;=75,"61-75",F393&lt;=90,"76-90",F393&gt;90,"91 or above")</f>
        <v>76-90</v>
      </c>
      <c r="Q3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393" t="str" cm="1">
        <f t="array" ref="R39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94" spans="1:18" x14ac:dyDescent="0.2">
      <c r="A394">
        <f>Table1[[#This Row],[Age]]</f>
        <v>54</v>
      </c>
      <c r="B394">
        <f>IF(Table3[[#This Row],[Attrition]] = "Yes", 1,0)</f>
        <v>0</v>
      </c>
      <c r="C394" t="str">
        <f>Table1[[#This Row],[Attrition]]</f>
        <v>No</v>
      </c>
      <c r="D394" t="str">
        <f>Table1[[#This Row],[Department]]</f>
        <v>Research &amp; Development</v>
      </c>
      <c r="E394">
        <f>Table1[[#This Row],[EnvironmentSatisfaction]]</f>
        <v>1</v>
      </c>
      <c r="F394">
        <f>Table1[[#This Row],[HourlyRate]]</f>
        <v>86</v>
      </c>
      <c r="G394" t="str">
        <f>Table1[[#This Row],[JobRole]]</f>
        <v>Research Director</v>
      </c>
      <c r="H394">
        <f>Table1[[#This Row],[JobSatisfaction]]</f>
        <v>1</v>
      </c>
      <c r="I394">
        <f>Table1[[#This Row],[YearsAtCompany]]</f>
        <v>4</v>
      </c>
      <c r="J394">
        <f>Table1[[#This Row],[YearsSinceLastPromotion]]</f>
        <v>1</v>
      </c>
      <c r="K394">
        <f>Table1[[#This Row],[EmployeeNumber]]</f>
        <v>522</v>
      </c>
      <c r="L394">
        <f>Table1[[#This Row],[DistanceFromHome]]</f>
        <v>5</v>
      </c>
      <c r="M394" t="str">
        <f>Table1[[#This Row],[OverTime]]</f>
        <v>No</v>
      </c>
      <c r="N394">
        <f>Table1[[#This Row],[WorkLifeBalance]]</f>
        <v>2</v>
      </c>
      <c r="O394" t="str" cm="1">
        <f t="array" ref="O394">_xlfn.IFS(A394&lt;=30,"18-30",A394&lt;=40,"31-40",A394&lt;=50,"41-50",A394&gt;50,"51+")</f>
        <v>51+</v>
      </c>
      <c r="P394" t="str" cm="1">
        <f t="array" ref="P394">_xlfn.IFS(F394&lt;=45,"45 or below",F394&lt;= 60,"46-60",F394&lt;=75,"61-75",F394&lt;=90,"76-90",F394&gt;90,"91 or above")</f>
        <v>76-90</v>
      </c>
      <c r="Q3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394" t="str" cm="1">
        <f t="array" ref="R394" xml:space="preserve"> _xlfn.IFS(Table3[[#This Row],[Flight Risk Score]] = "NA","NA",Table3[[#This Row],[Flight Risk Score]] &gt;= 70,"High Risk",Table3[[#This Row],[Flight Risk Score]] &gt;= 50, "Medium Risk", Table3[[#This Row],[Flight Risk Score]] &gt;= 30,"Low Risk",Table3[[#This Row],[Flight Risk Score]] &lt; 30,"Very Low Risk")</f>
        <v>Low Risk</v>
      </c>
    </row>
    <row r="395" spans="1:18" x14ac:dyDescent="0.2">
      <c r="A395">
        <f>Table1[[#This Row],[Age]]</f>
        <v>34</v>
      </c>
      <c r="B395">
        <f>IF(Table3[[#This Row],[Attrition]] = "Yes", 1,0)</f>
        <v>0</v>
      </c>
      <c r="C395" t="str">
        <f>Table1[[#This Row],[Attrition]]</f>
        <v>No</v>
      </c>
      <c r="D395" t="str">
        <f>Table1[[#This Row],[Department]]</f>
        <v>Sales</v>
      </c>
      <c r="E395">
        <f>Table1[[#This Row],[EnvironmentSatisfaction]]</f>
        <v>3</v>
      </c>
      <c r="F395">
        <f>Table1[[#This Row],[HourlyRate]]</f>
        <v>72</v>
      </c>
      <c r="G395" t="str">
        <f>Table1[[#This Row],[JobRole]]</f>
        <v>Sales Executive</v>
      </c>
      <c r="H395">
        <f>Table1[[#This Row],[JobSatisfaction]]</f>
        <v>3</v>
      </c>
      <c r="I395">
        <f>Table1[[#This Row],[YearsAtCompany]]</f>
        <v>3</v>
      </c>
      <c r="J395">
        <f>Table1[[#This Row],[YearsSinceLastPromotion]]</f>
        <v>1</v>
      </c>
      <c r="K395">
        <f>Table1[[#This Row],[EmployeeNumber]]</f>
        <v>523</v>
      </c>
      <c r="L395">
        <f>Table1[[#This Row],[DistanceFromHome]]</f>
        <v>4</v>
      </c>
      <c r="M395" t="str">
        <f>Table1[[#This Row],[OverTime]]</f>
        <v>No</v>
      </c>
      <c r="N395">
        <f>Table1[[#This Row],[WorkLifeBalance]]</f>
        <v>3</v>
      </c>
      <c r="O395" t="str" cm="1">
        <f t="array" ref="O395">_xlfn.IFS(A395&lt;=30,"18-30",A395&lt;=40,"31-40",A395&lt;=50,"41-50",A395&gt;50,"51+")</f>
        <v>31-40</v>
      </c>
      <c r="P395" t="str" cm="1">
        <f t="array" ref="P395">_xlfn.IFS(F395&lt;=45,"45 or below",F395&lt;= 60,"46-60",F395&lt;=75,"61-75",F395&lt;=90,"76-90",F395&gt;90,"91 or above")</f>
        <v>61-75</v>
      </c>
      <c r="Q3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95" t="str" cm="1">
        <f t="array" ref="R3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96" spans="1:18" x14ac:dyDescent="0.2">
      <c r="A396">
        <f>Table1[[#This Row],[Age]]</f>
        <v>31</v>
      </c>
      <c r="B396">
        <f>IF(Table3[[#This Row],[Attrition]] = "Yes", 1,0)</f>
        <v>0</v>
      </c>
      <c r="C396" t="str">
        <f>Table1[[#This Row],[Attrition]]</f>
        <v>No</v>
      </c>
      <c r="D396" t="str">
        <f>Table1[[#This Row],[Department]]</f>
        <v>Research &amp; Development</v>
      </c>
      <c r="E396">
        <f>Table1[[#This Row],[EnvironmentSatisfaction]]</f>
        <v>2</v>
      </c>
      <c r="F396">
        <f>Table1[[#This Row],[HourlyRate]]</f>
        <v>31</v>
      </c>
      <c r="G396" t="str">
        <f>Table1[[#This Row],[JobRole]]</f>
        <v>Manufacturing Director</v>
      </c>
      <c r="H396">
        <f>Table1[[#This Row],[JobSatisfaction]]</f>
        <v>1</v>
      </c>
      <c r="I396">
        <f>Table1[[#This Row],[YearsAtCompany]]</f>
        <v>13</v>
      </c>
      <c r="J396">
        <f>Table1[[#This Row],[YearsSinceLastPromotion]]</f>
        <v>3</v>
      </c>
      <c r="K396">
        <f>Table1[[#This Row],[EmployeeNumber]]</f>
        <v>524</v>
      </c>
      <c r="L396">
        <f>Table1[[#This Row],[DistanceFromHome]]</f>
        <v>7</v>
      </c>
      <c r="M396" t="str">
        <f>Table1[[#This Row],[OverTime]]</f>
        <v>No</v>
      </c>
      <c r="N396">
        <f>Table1[[#This Row],[WorkLifeBalance]]</f>
        <v>1</v>
      </c>
      <c r="O396" t="str" cm="1">
        <f t="array" ref="O396">_xlfn.IFS(A396&lt;=30,"18-30",A396&lt;=40,"31-40",A396&lt;=50,"41-50",A396&gt;50,"51+")</f>
        <v>31-40</v>
      </c>
      <c r="P396" t="str" cm="1">
        <f t="array" ref="P396">_xlfn.IFS(F396&lt;=45,"45 or below",F396&lt;= 60,"46-60",F396&lt;=75,"61-75",F396&lt;=90,"76-90",F396&gt;90,"91 or above")</f>
        <v>45 or below</v>
      </c>
      <c r="Q3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396" t="str" cm="1">
        <f t="array" ref="R39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397" spans="1:18" x14ac:dyDescent="0.2">
      <c r="A397">
        <f>Table1[[#This Row],[Age]]</f>
        <v>43</v>
      </c>
      <c r="B397">
        <f>IF(Table3[[#This Row],[Attrition]] = "Yes", 1,0)</f>
        <v>0</v>
      </c>
      <c r="C397" t="str">
        <f>Table1[[#This Row],[Attrition]]</f>
        <v>No</v>
      </c>
      <c r="D397" t="str">
        <f>Table1[[#This Row],[Department]]</f>
        <v>Research &amp; Development</v>
      </c>
      <c r="E397">
        <f>Table1[[#This Row],[EnvironmentSatisfaction]]</f>
        <v>4</v>
      </c>
      <c r="F397">
        <f>Table1[[#This Row],[HourlyRate]]</f>
        <v>61</v>
      </c>
      <c r="G397" t="str">
        <f>Table1[[#This Row],[JobRole]]</f>
        <v>Laboratory Technician</v>
      </c>
      <c r="H397">
        <f>Table1[[#This Row],[JobSatisfaction]]</f>
        <v>4</v>
      </c>
      <c r="I397">
        <f>Table1[[#This Row],[YearsAtCompany]]</f>
        <v>3</v>
      </c>
      <c r="J397">
        <f>Table1[[#This Row],[YearsSinceLastPromotion]]</f>
        <v>1</v>
      </c>
      <c r="K397">
        <f>Table1[[#This Row],[EmployeeNumber]]</f>
        <v>525</v>
      </c>
      <c r="L397">
        <f>Table1[[#This Row],[DistanceFromHome]]</f>
        <v>21</v>
      </c>
      <c r="M397" t="str">
        <f>Table1[[#This Row],[OverTime]]</f>
        <v>No</v>
      </c>
      <c r="N397">
        <f>Table1[[#This Row],[WorkLifeBalance]]</f>
        <v>3</v>
      </c>
      <c r="O397" t="str" cm="1">
        <f t="array" ref="O397">_xlfn.IFS(A397&lt;=30,"18-30",A397&lt;=40,"31-40",A397&lt;=50,"41-50",A397&gt;50,"51+")</f>
        <v>41-50</v>
      </c>
      <c r="P397" t="str" cm="1">
        <f t="array" ref="P397">_xlfn.IFS(F397&lt;=45,"45 or below",F397&lt;= 60,"46-60",F397&lt;=75,"61-75",F397&lt;=90,"76-90",F397&gt;90,"91 or above")</f>
        <v>61-75</v>
      </c>
      <c r="Q3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397" t="str" cm="1">
        <f t="array" ref="R39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398" spans="1:18" x14ac:dyDescent="0.2">
      <c r="A398">
        <f>Table1[[#This Row],[Age]]</f>
        <v>43</v>
      </c>
      <c r="B398">
        <f>IF(Table3[[#This Row],[Attrition]] = "Yes", 1,0)</f>
        <v>0</v>
      </c>
      <c r="C398" t="str">
        <f>Table1[[#This Row],[Attrition]]</f>
        <v>No</v>
      </c>
      <c r="D398" t="str">
        <f>Table1[[#This Row],[Department]]</f>
        <v>Research &amp; Development</v>
      </c>
      <c r="E398">
        <f>Table1[[#This Row],[EnvironmentSatisfaction]]</f>
        <v>3</v>
      </c>
      <c r="F398">
        <f>Table1[[#This Row],[HourlyRate]]</f>
        <v>74</v>
      </c>
      <c r="G398" t="str">
        <f>Table1[[#This Row],[JobRole]]</f>
        <v>Healthcare Representative</v>
      </c>
      <c r="H398">
        <f>Table1[[#This Row],[JobSatisfaction]]</f>
        <v>3</v>
      </c>
      <c r="I398">
        <f>Table1[[#This Row],[YearsAtCompany]]</f>
        <v>5</v>
      </c>
      <c r="J398">
        <f>Table1[[#This Row],[YearsSinceLastPromotion]]</f>
        <v>0</v>
      </c>
      <c r="K398">
        <f>Table1[[#This Row],[EmployeeNumber]]</f>
        <v>526</v>
      </c>
      <c r="L398">
        <f>Table1[[#This Row],[DistanceFromHome]]</f>
        <v>8</v>
      </c>
      <c r="M398" t="str">
        <f>Table1[[#This Row],[OverTime]]</f>
        <v>Yes</v>
      </c>
      <c r="N398">
        <f>Table1[[#This Row],[WorkLifeBalance]]</f>
        <v>3</v>
      </c>
      <c r="O398" t="str" cm="1">
        <f t="array" ref="O398">_xlfn.IFS(A398&lt;=30,"18-30",A398&lt;=40,"31-40",A398&lt;=50,"41-50",A398&gt;50,"51+")</f>
        <v>41-50</v>
      </c>
      <c r="P398" t="str" cm="1">
        <f t="array" ref="P398">_xlfn.IFS(F398&lt;=45,"45 or below",F398&lt;= 60,"46-60",F398&lt;=75,"61-75",F398&lt;=90,"76-90",F398&gt;90,"91 or above")</f>
        <v>61-75</v>
      </c>
      <c r="Q3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398" t="str" cm="1">
        <f t="array" ref="R398" xml:space="preserve"> _xlfn.IFS(Table3[[#This Row],[Flight Risk Score]] = "NA","NA",Table3[[#This Row],[Flight Risk Score]] &gt;= 70,"High Risk",Table3[[#This Row],[Flight Risk Score]] &gt;= 50, "Medium Risk", Table3[[#This Row],[Flight Risk Score]] &gt;= 30,"Low Risk",Table3[[#This Row],[Flight Risk Score]] &lt; 30,"Very Low Risk")</f>
        <v>Low Risk</v>
      </c>
    </row>
    <row r="399" spans="1:18" x14ac:dyDescent="0.2">
      <c r="A399">
        <f>Table1[[#This Row],[Age]]</f>
        <v>25</v>
      </c>
      <c r="B399">
        <f>IF(Table3[[#This Row],[Attrition]] = "Yes", 1,0)</f>
        <v>0</v>
      </c>
      <c r="C399" t="str">
        <f>Table1[[#This Row],[Attrition]]</f>
        <v>No</v>
      </c>
      <c r="D399" t="str">
        <f>Table1[[#This Row],[Department]]</f>
        <v>Sales</v>
      </c>
      <c r="E399">
        <f>Table1[[#This Row],[EnvironmentSatisfaction]]</f>
        <v>2</v>
      </c>
      <c r="F399">
        <f>Table1[[#This Row],[HourlyRate]]</f>
        <v>99</v>
      </c>
      <c r="G399" t="str">
        <f>Table1[[#This Row],[JobRole]]</f>
        <v>Sales Executive</v>
      </c>
      <c r="H399">
        <f>Table1[[#This Row],[JobSatisfaction]]</f>
        <v>4</v>
      </c>
      <c r="I399">
        <f>Table1[[#This Row],[YearsAtCompany]]</f>
        <v>5</v>
      </c>
      <c r="J399">
        <f>Table1[[#This Row],[YearsSinceLastPromotion]]</f>
        <v>1</v>
      </c>
      <c r="K399">
        <f>Table1[[#This Row],[EmployeeNumber]]</f>
        <v>527</v>
      </c>
      <c r="L399">
        <f>Table1[[#This Row],[DistanceFromHome]]</f>
        <v>4</v>
      </c>
      <c r="M399" t="str">
        <f>Table1[[#This Row],[OverTime]]</f>
        <v>Yes</v>
      </c>
      <c r="N399">
        <f>Table1[[#This Row],[WorkLifeBalance]]</f>
        <v>3</v>
      </c>
      <c r="O399" t="str" cm="1">
        <f t="array" ref="O399">_xlfn.IFS(A399&lt;=30,"18-30",A399&lt;=40,"31-40",A399&lt;=50,"41-50",A399&gt;50,"51+")</f>
        <v>18-30</v>
      </c>
      <c r="P399" t="str" cm="1">
        <f t="array" ref="P399">_xlfn.IFS(F399&lt;=45,"45 or below",F399&lt;= 60,"46-60",F399&lt;=75,"61-75",F399&lt;=90,"76-90",F399&gt;90,"91 or above")</f>
        <v>91 or above</v>
      </c>
      <c r="Q3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399" t="str" cm="1">
        <f t="array" ref="R39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00" spans="1:18" x14ac:dyDescent="0.2">
      <c r="A400">
        <f>Table1[[#This Row],[Age]]</f>
        <v>37</v>
      </c>
      <c r="B400">
        <f>IF(Table3[[#This Row],[Attrition]] = "Yes", 1,0)</f>
        <v>0</v>
      </c>
      <c r="C400" t="str">
        <f>Table1[[#This Row],[Attrition]]</f>
        <v>No</v>
      </c>
      <c r="D400" t="str">
        <f>Table1[[#This Row],[Department]]</f>
        <v>Research &amp; Development</v>
      </c>
      <c r="E400">
        <f>Table1[[#This Row],[EnvironmentSatisfaction]]</f>
        <v>2</v>
      </c>
      <c r="F400">
        <f>Table1[[#This Row],[HourlyRate]]</f>
        <v>72</v>
      </c>
      <c r="G400" t="str">
        <f>Table1[[#This Row],[JobRole]]</f>
        <v>Research Scientist</v>
      </c>
      <c r="H400">
        <f>Table1[[#This Row],[JobSatisfaction]]</f>
        <v>3</v>
      </c>
      <c r="I400">
        <f>Table1[[#This Row],[YearsAtCompany]]</f>
        <v>13</v>
      </c>
      <c r="J400">
        <f>Table1[[#This Row],[YearsSinceLastPromotion]]</f>
        <v>10</v>
      </c>
      <c r="K400">
        <f>Table1[[#This Row],[EmployeeNumber]]</f>
        <v>529</v>
      </c>
      <c r="L400">
        <f>Table1[[#This Row],[DistanceFromHome]]</f>
        <v>25</v>
      </c>
      <c r="M400" t="str">
        <f>Table1[[#This Row],[OverTime]]</f>
        <v>Yes</v>
      </c>
      <c r="N400">
        <f>Table1[[#This Row],[WorkLifeBalance]]</f>
        <v>3</v>
      </c>
      <c r="O400" t="str" cm="1">
        <f t="array" ref="O400">_xlfn.IFS(A400&lt;=30,"18-30",A400&lt;=40,"31-40",A400&lt;=50,"41-50",A400&gt;50,"51+")</f>
        <v>31-40</v>
      </c>
      <c r="P400" t="str" cm="1">
        <f t="array" ref="P400">_xlfn.IFS(F400&lt;=45,"45 or below",F400&lt;= 60,"46-60",F400&lt;=75,"61-75",F400&lt;=90,"76-90",F400&gt;90,"91 or above")</f>
        <v>61-75</v>
      </c>
      <c r="Q4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00" t="str" cm="1">
        <f t="array" ref="R40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01" spans="1:18" x14ac:dyDescent="0.2">
      <c r="A401">
        <f>Table1[[#This Row],[Age]]</f>
        <v>31</v>
      </c>
      <c r="B401">
        <f>IF(Table3[[#This Row],[Attrition]] = "Yes", 1,0)</f>
        <v>0</v>
      </c>
      <c r="C401" t="str">
        <f>Table1[[#This Row],[Attrition]]</f>
        <v>No</v>
      </c>
      <c r="D401" t="str">
        <f>Table1[[#This Row],[Department]]</f>
        <v>Research &amp; Development</v>
      </c>
      <c r="E401">
        <f>Table1[[#This Row],[EnvironmentSatisfaction]]</f>
        <v>4</v>
      </c>
      <c r="F401">
        <f>Table1[[#This Row],[HourlyRate]]</f>
        <v>98</v>
      </c>
      <c r="G401" t="str">
        <f>Table1[[#This Row],[JobRole]]</f>
        <v>Laboratory Technician</v>
      </c>
      <c r="H401">
        <f>Table1[[#This Row],[JobSatisfaction]]</f>
        <v>1</v>
      </c>
      <c r="I401">
        <f>Table1[[#This Row],[YearsAtCompany]]</f>
        <v>4</v>
      </c>
      <c r="J401">
        <f>Table1[[#This Row],[YearsSinceLastPromotion]]</f>
        <v>3</v>
      </c>
      <c r="K401">
        <f>Table1[[#This Row],[EmployeeNumber]]</f>
        <v>530</v>
      </c>
      <c r="L401">
        <f>Table1[[#This Row],[DistanceFromHome]]</f>
        <v>1</v>
      </c>
      <c r="M401" t="str">
        <f>Table1[[#This Row],[OverTime]]</f>
        <v>No</v>
      </c>
      <c r="N401">
        <f>Table1[[#This Row],[WorkLifeBalance]]</f>
        <v>3</v>
      </c>
      <c r="O401" t="str" cm="1">
        <f t="array" ref="O401">_xlfn.IFS(A401&lt;=30,"18-30",A401&lt;=40,"31-40",A401&lt;=50,"41-50",A401&gt;50,"51+")</f>
        <v>31-40</v>
      </c>
      <c r="P401" t="str" cm="1">
        <f t="array" ref="P401">_xlfn.IFS(F401&lt;=45,"45 or below",F401&lt;= 60,"46-60",F401&lt;=75,"61-75",F401&lt;=90,"76-90",F401&gt;90,"91 or above")</f>
        <v>91 or above</v>
      </c>
      <c r="Q4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01" t="str" cm="1">
        <f t="array" ref="R4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02" spans="1:18" x14ac:dyDescent="0.2">
      <c r="A402">
        <f>Table1[[#This Row],[Age]]</f>
        <v>39</v>
      </c>
      <c r="B402">
        <f>IF(Table3[[#This Row],[Attrition]] = "Yes", 1,0)</f>
        <v>0</v>
      </c>
      <c r="C402" t="str">
        <f>Table1[[#This Row],[Attrition]]</f>
        <v>No</v>
      </c>
      <c r="D402" t="str">
        <f>Table1[[#This Row],[Department]]</f>
        <v>Research &amp; Development</v>
      </c>
      <c r="E402">
        <f>Table1[[#This Row],[EnvironmentSatisfaction]]</f>
        <v>2</v>
      </c>
      <c r="F402">
        <f>Table1[[#This Row],[HourlyRate]]</f>
        <v>52</v>
      </c>
      <c r="G402" t="str">
        <f>Table1[[#This Row],[JobRole]]</f>
        <v>Manager</v>
      </c>
      <c r="H402">
        <f>Table1[[#This Row],[JobSatisfaction]]</f>
        <v>3</v>
      </c>
      <c r="I402">
        <f>Table1[[#This Row],[YearsAtCompany]]</f>
        <v>21</v>
      </c>
      <c r="J402">
        <f>Table1[[#This Row],[YearsSinceLastPromotion]]</f>
        <v>1</v>
      </c>
      <c r="K402">
        <f>Table1[[#This Row],[EmployeeNumber]]</f>
        <v>531</v>
      </c>
      <c r="L402">
        <f>Table1[[#This Row],[DistanceFromHome]]</f>
        <v>1</v>
      </c>
      <c r="M402" t="str">
        <f>Table1[[#This Row],[OverTime]]</f>
        <v>Yes</v>
      </c>
      <c r="N402">
        <f>Table1[[#This Row],[WorkLifeBalance]]</f>
        <v>3</v>
      </c>
      <c r="O402" t="str" cm="1">
        <f t="array" ref="O402">_xlfn.IFS(A402&lt;=30,"18-30",A402&lt;=40,"31-40",A402&lt;=50,"41-50",A402&gt;50,"51+")</f>
        <v>31-40</v>
      </c>
      <c r="P402" t="str" cm="1">
        <f t="array" ref="P402">_xlfn.IFS(F402&lt;=45,"45 or below",F402&lt;= 60,"46-60",F402&lt;=75,"61-75",F402&lt;=90,"76-90",F402&gt;90,"91 or above")</f>
        <v>46-60</v>
      </c>
      <c r="Q4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02" t="str" cm="1">
        <f t="array" ref="R40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03" spans="1:18" x14ac:dyDescent="0.2">
      <c r="A403">
        <f>Table1[[#This Row],[Age]]</f>
        <v>56</v>
      </c>
      <c r="B403">
        <f>IF(Table3[[#This Row],[Attrition]] = "Yes", 1,0)</f>
        <v>0</v>
      </c>
      <c r="C403" t="str">
        <f>Table1[[#This Row],[Attrition]]</f>
        <v>No</v>
      </c>
      <c r="D403" t="str">
        <f>Table1[[#This Row],[Department]]</f>
        <v>Sales</v>
      </c>
      <c r="E403">
        <f>Table1[[#This Row],[EnvironmentSatisfaction]]</f>
        <v>3</v>
      </c>
      <c r="F403">
        <f>Table1[[#This Row],[HourlyRate]]</f>
        <v>86</v>
      </c>
      <c r="G403" t="str">
        <f>Table1[[#This Row],[JobRole]]</f>
        <v>Sales Executive</v>
      </c>
      <c r="H403">
        <f>Table1[[#This Row],[JobSatisfaction]]</f>
        <v>1</v>
      </c>
      <c r="I403">
        <f>Table1[[#This Row],[YearsAtCompany]]</f>
        <v>7</v>
      </c>
      <c r="J403">
        <f>Table1[[#This Row],[YearsSinceLastPromotion]]</f>
        <v>7</v>
      </c>
      <c r="K403">
        <f>Table1[[#This Row],[EmployeeNumber]]</f>
        <v>532</v>
      </c>
      <c r="L403">
        <f>Table1[[#This Row],[DistanceFromHome]]</f>
        <v>6</v>
      </c>
      <c r="M403" t="str">
        <f>Table1[[#This Row],[OverTime]]</f>
        <v>No</v>
      </c>
      <c r="N403">
        <f>Table1[[#This Row],[WorkLifeBalance]]</f>
        <v>2</v>
      </c>
      <c r="O403" t="str" cm="1">
        <f t="array" ref="O403">_xlfn.IFS(A403&lt;=30,"18-30",A403&lt;=40,"31-40",A403&lt;=50,"41-50",A403&gt;50,"51+")</f>
        <v>51+</v>
      </c>
      <c r="P403" t="str" cm="1">
        <f t="array" ref="P403">_xlfn.IFS(F403&lt;=45,"45 or below",F403&lt;= 60,"46-60",F403&lt;=75,"61-75",F403&lt;=90,"76-90",F403&gt;90,"91 or above")</f>
        <v>76-90</v>
      </c>
      <c r="Q4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03" t="str" cm="1">
        <f t="array" ref="R4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04" spans="1:18" x14ac:dyDescent="0.2">
      <c r="A404">
        <f>Table1[[#This Row],[Age]]</f>
        <v>30</v>
      </c>
      <c r="B404">
        <f>IF(Table3[[#This Row],[Attrition]] = "Yes", 1,0)</f>
        <v>0</v>
      </c>
      <c r="C404" t="str">
        <f>Table1[[#This Row],[Attrition]]</f>
        <v>No</v>
      </c>
      <c r="D404" t="str">
        <f>Table1[[#This Row],[Department]]</f>
        <v>Sales</v>
      </c>
      <c r="E404">
        <f>Table1[[#This Row],[EnvironmentSatisfaction]]</f>
        <v>2</v>
      </c>
      <c r="F404">
        <f>Table1[[#This Row],[HourlyRate]]</f>
        <v>83</v>
      </c>
      <c r="G404" t="str">
        <f>Table1[[#This Row],[JobRole]]</f>
        <v>Sales Executive</v>
      </c>
      <c r="H404">
        <f>Table1[[#This Row],[JobSatisfaction]]</f>
        <v>3</v>
      </c>
      <c r="I404">
        <f>Table1[[#This Row],[YearsAtCompany]]</f>
        <v>5</v>
      </c>
      <c r="J404">
        <f>Table1[[#This Row],[YearsSinceLastPromotion]]</f>
        <v>4</v>
      </c>
      <c r="K404">
        <f>Table1[[#This Row],[EmployeeNumber]]</f>
        <v>533</v>
      </c>
      <c r="L404">
        <f>Table1[[#This Row],[DistanceFromHome]]</f>
        <v>12</v>
      </c>
      <c r="M404" t="str">
        <f>Table1[[#This Row],[OverTime]]</f>
        <v>No</v>
      </c>
      <c r="N404">
        <f>Table1[[#This Row],[WorkLifeBalance]]</f>
        <v>3</v>
      </c>
      <c r="O404" t="str" cm="1">
        <f t="array" ref="O404">_xlfn.IFS(A404&lt;=30,"18-30",A404&lt;=40,"31-40",A404&lt;=50,"41-50",A404&gt;50,"51+")</f>
        <v>18-30</v>
      </c>
      <c r="P404" t="str" cm="1">
        <f t="array" ref="P404">_xlfn.IFS(F404&lt;=45,"45 or below",F404&lt;= 60,"46-60",F404&lt;=75,"61-75",F404&lt;=90,"76-90",F404&gt;90,"91 or above")</f>
        <v>76-90</v>
      </c>
      <c r="Q4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04" t="str" cm="1">
        <f t="array" ref="R4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05" spans="1:18" x14ac:dyDescent="0.2">
      <c r="A405">
        <f>Table1[[#This Row],[Age]]</f>
        <v>41</v>
      </c>
      <c r="B405">
        <f>IF(Table3[[#This Row],[Attrition]] = "Yes", 1,0)</f>
        <v>0</v>
      </c>
      <c r="C405" t="str">
        <f>Table1[[#This Row],[Attrition]]</f>
        <v>No</v>
      </c>
      <c r="D405" t="str">
        <f>Table1[[#This Row],[Department]]</f>
        <v>Sales</v>
      </c>
      <c r="E405">
        <f>Table1[[#This Row],[EnvironmentSatisfaction]]</f>
        <v>2</v>
      </c>
      <c r="F405">
        <f>Table1[[#This Row],[HourlyRate]]</f>
        <v>49</v>
      </c>
      <c r="G405" t="str">
        <f>Table1[[#This Row],[JobRole]]</f>
        <v>Sales Executive</v>
      </c>
      <c r="H405">
        <f>Table1[[#This Row],[JobSatisfaction]]</f>
        <v>1</v>
      </c>
      <c r="I405">
        <f>Table1[[#This Row],[YearsAtCompany]]</f>
        <v>10</v>
      </c>
      <c r="J405">
        <f>Table1[[#This Row],[YearsSinceLastPromotion]]</f>
        <v>0</v>
      </c>
      <c r="K405">
        <f>Table1[[#This Row],[EmployeeNumber]]</f>
        <v>534</v>
      </c>
      <c r="L405">
        <f>Table1[[#This Row],[DistanceFromHome]]</f>
        <v>1</v>
      </c>
      <c r="M405" t="str">
        <f>Table1[[#This Row],[OverTime]]</f>
        <v>No</v>
      </c>
      <c r="N405">
        <f>Table1[[#This Row],[WorkLifeBalance]]</f>
        <v>3</v>
      </c>
      <c r="O405" t="str" cm="1">
        <f t="array" ref="O405">_xlfn.IFS(A405&lt;=30,"18-30",A405&lt;=40,"31-40",A405&lt;=50,"41-50",A405&gt;50,"51+")</f>
        <v>41-50</v>
      </c>
      <c r="P405" t="str" cm="1">
        <f t="array" ref="P405">_xlfn.IFS(F405&lt;=45,"45 or below",F405&lt;= 60,"46-60",F405&lt;=75,"61-75",F405&lt;=90,"76-90",F405&gt;90,"91 or above")</f>
        <v>46-60</v>
      </c>
      <c r="Q4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05" t="str" cm="1">
        <f t="array" ref="R405" xml:space="preserve"> _xlfn.IFS(Table3[[#This Row],[Flight Risk Score]] = "NA","NA",Table3[[#This Row],[Flight Risk Score]] &gt;= 70,"High Risk",Table3[[#This Row],[Flight Risk Score]] &gt;= 50, "Medium Risk", Table3[[#This Row],[Flight Risk Score]] &gt;= 30,"Low Risk",Table3[[#This Row],[Flight Risk Score]] &lt; 30,"Very Low Risk")</f>
        <v>Low Risk</v>
      </c>
    </row>
    <row r="406" spans="1:18" x14ac:dyDescent="0.2">
      <c r="A406">
        <f>Table1[[#This Row],[Age]]</f>
        <v>28</v>
      </c>
      <c r="B406">
        <f>IF(Table3[[#This Row],[Attrition]] = "Yes", 1,0)</f>
        <v>0</v>
      </c>
      <c r="C406" t="str">
        <f>Table1[[#This Row],[Attrition]]</f>
        <v>No</v>
      </c>
      <c r="D406" t="str">
        <f>Table1[[#This Row],[Department]]</f>
        <v>Research &amp; Development</v>
      </c>
      <c r="E406">
        <f>Table1[[#This Row],[EnvironmentSatisfaction]]</f>
        <v>3</v>
      </c>
      <c r="F406">
        <f>Table1[[#This Row],[HourlyRate]]</f>
        <v>79</v>
      </c>
      <c r="G406" t="str">
        <f>Table1[[#This Row],[JobRole]]</f>
        <v>Laboratory Technician</v>
      </c>
      <c r="H406">
        <f>Table1[[#This Row],[JobSatisfaction]]</f>
        <v>1</v>
      </c>
      <c r="I406">
        <f>Table1[[#This Row],[YearsAtCompany]]</f>
        <v>10</v>
      </c>
      <c r="J406">
        <f>Table1[[#This Row],[YearsSinceLastPromotion]]</f>
        <v>1</v>
      </c>
      <c r="K406">
        <f>Table1[[#This Row],[EmployeeNumber]]</f>
        <v>536</v>
      </c>
      <c r="L406">
        <f>Table1[[#This Row],[DistanceFromHome]]</f>
        <v>17</v>
      </c>
      <c r="M406" t="str">
        <f>Table1[[#This Row],[OverTime]]</f>
        <v>No</v>
      </c>
      <c r="N406">
        <f>Table1[[#This Row],[WorkLifeBalance]]</f>
        <v>3</v>
      </c>
      <c r="O406" t="str" cm="1">
        <f t="array" ref="O406">_xlfn.IFS(A406&lt;=30,"18-30",A406&lt;=40,"31-40",A406&lt;=50,"41-50",A406&gt;50,"51+")</f>
        <v>18-30</v>
      </c>
      <c r="P406" t="str" cm="1">
        <f t="array" ref="P406">_xlfn.IFS(F406&lt;=45,"45 or below",F406&lt;= 60,"46-60",F406&lt;=75,"61-75",F406&lt;=90,"76-90",F406&gt;90,"91 or above")</f>
        <v>76-90</v>
      </c>
      <c r="Q4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06" t="str" cm="1">
        <f t="array" ref="R4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07" spans="1:18" hidden="1" x14ac:dyDescent="0.2">
      <c r="A407">
        <f>Table1[[#This Row],[Age]]</f>
        <v>25</v>
      </c>
      <c r="B407">
        <f>IF(Table3[[#This Row],[Attrition]] = "Yes", 1,0)</f>
        <v>1</v>
      </c>
      <c r="C407" t="str">
        <f>Table1[[#This Row],[Attrition]]</f>
        <v>Yes</v>
      </c>
      <c r="D407" t="str">
        <f>Table1[[#This Row],[Department]]</f>
        <v>Research &amp; Development</v>
      </c>
      <c r="E407">
        <f>Table1[[#This Row],[EnvironmentSatisfaction]]</f>
        <v>1</v>
      </c>
      <c r="F407">
        <f>Table1[[#This Row],[HourlyRate]]</f>
        <v>91</v>
      </c>
      <c r="G407" t="str">
        <f>Table1[[#This Row],[JobRole]]</f>
        <v>Laboratory Technician</v>
      </c>
      <c r="H407">
        <f>Table1[[#This Row],[JobSatisfaction]]</f>
        <v>1</v>
      </c>
      <c r="I407">
        <f>Table1[[#This Row],[YearsAtCompany]]</f>
        <v>2</v>
      </c>
      <c r="J407">
        <f>Table1[[#This Row],[YearsSinceLastPromotion]]</f>
        <v>0</v>
      </c>
      <c r="K407">
        <f>Table1[[#This Row],[EmployeeNumber]]</f>
        <v>538</v>
      </c>
      <c r="L407">
        <f>Table1[[#This Row],[DistanceFromHome]]</f>
        <v>3</v>
      </c>
      <c r="M407" t="str">
        <f>Table1[[#This Row],[OverTime]]</f>
        <v>No</v>
      </c>
      <c r="N407">
        <f>Table1[[#This Row],[WorkLifeBalance]]</f>
        <v>3</v>
      </c>
      <c r="O407" t="str" cm="1">
        <f t="array" ref="O407">_xlfn.IFS(A407&lt;=30,"18-30",A407&lt;=40,"31-40",A407&lt;=50,"41-50",A407&gt;50,"51+")</f>
        <v>18-30</v>
      </c>
      <c r="P407" t="str" cm="1">
        <f t="array" ref="P407">_xlfn.IFS(F407&lt;=45,"45 or below",F407&lt;= 60,"46-60",F407&lt;=75,"61-75",F407&lt;=90,"76-90",F407&gt;90,"91 or above")</f>
        <v>91 or above</v>
      </c>
      <c r="Q40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07" t="str" cm="1">
        <f t="array" ref="R407" xml:space="preserve"> _xlfn.IFS(Table3[[#This Row],[Flight Risk Score]] = "NA","NA",Table3[[#This Row],[Flight Risk Score]] &gt;= 70,"High Risk",Table3[[#This Row],[Flight Risk Score]] &gt;= 50, "Medium Risk", Table3[[#This Row],[Flight Risk Score]] &gt;= 30,"Low Risk",Table3[[#This Row],[Flight Risk Score]] &lt; 30,"Very Low Risk")</f>
        <v>NA</v>
      </c>
    </row>
    <row r="408" spans="1:18" x14ac:dyDescent="0.2">
      <c r="A408">
        <f>Table1[[#This Row],[Age]]</f>
        <v>52</v>
      </c>
      <c r="B408">
        <f>IF(Table3[[#This Row],[Attrition]] = "Yes", 1,0)</f>
        <v>0</v>
      </c>
      <c r="C408" t="str">
        <f>Table1[[#This Row],[Attrition]]</f>
        <v>No</v>
      </c>
      <c r="D408" t="str">
        <f>Table1[[#This Row],[Department]]</f>
        <v>Research &amp; Development</v>
      </c>
      <c r="E408">
        <f>Table1[[#This Row],[EnvironmentSatisfaction]]</f>
        <v>4</v>
      </c>
      <c r="F408">
        <f>Table1[[#This Row],[HourlyRate]]</f>
        <v>39</v>
      </c>
      <c r="G408" t="str">
        <f>Table1[[#This Row],[JobRole]]</f>
        <v>Manufacturing Director</v>
      </c>
      <c r="H408">
        <f>Table1[[#This Row],[JobSatisfaction]]</f>
        <v>3</v>
      </c>
      <c r="I408">
        <f>Table1[[#This Row],[YearsAtCompany]]</f>
        <v>5</v>
      </c>
      <c r="J408">
        <f>Table1[[#This Row],[YearsSinceLastPromotion]]</f>
        <v>0</v>
      </c>
      <c r="K408">
        <f>Table1[[#This Row],[EmployeeNumber]]</f>
        <v>543</v>
      </c>
      <c r="L408">
        <f>Table1[[#This Row],[DistanceFromHome]]</f>
        <v>3</v>
      </c>
      <c r="M408" t="str">
        <f>Table1[[#This Row],[OverTime]]</f>
        <v>Yes</v>
      </c>
      <c r="N408">
        <f>Table1[[#This Row],[WorkLifeBalance]]</f>
        <v>3</v>
      </c>
      <c r="O408" t="str" cm="1">
        <f t="array" ref="O408">_xlfn.IFS(A408&lt;=30,"18-30",A408&lt;=40,"31-40",A408&lt;=50,"41-50",A408&gt;50,"51+")</f>
        <v>51+</v>
      </c>
      <c r="P408" t="str" cm="1">
        <f t="array" ref="P408">_xlfn.IFS(F408&lt;=45,"45 or below",F408&lt;= 60,"46-60",F408&lt;=75,"61-75",F408&lt;=90,"76-90",F408&gt;90,"91 or above")</f>
        <v>45 or below</v>
      </c>
      <c r="Q4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08" t="str" cm="1">
        <f t="array" ref="R408" xml:space="preserve"> _xlfn.IFS(Table3[[#This Row],[Flight Risk Score]] = "NA","NA",Table3[[#This Row],[Flight Risk Score]] &gt;= 70,"High Risk",Table3[[#This Row],[Flight Risk Score]] &gt;= 50, "Medium Risk", Table3[[#This Row],[Flight Risk Score]] &gt;= 30,"Low Risk",Table3[[#This Row],[Flight Risk Score]] &lt; 30,"Very Low Risk")</f>
        <v>Low Risk</v>
      </c>
    </row>
    <row r="409" spans="1:18" x14ac:dyDescent="0.2">
      <c r="A409">
        <f>Table1[[#This Row],[Age]]</f>
        <v>45</v>
      </c>
      <c r="B409">
        <f>IF(Table3[[#This Row],[Attrition]] = "Yes", 1,0)</f>
        <v>0</v>
      </c>
      <c r="C409" t="str">
        <f>Table1[[#This Row],[Attrition]]</f>
        <v>No</v>
      </c>
      <c r="D409" t="str">
        <f>Table1[[#This Row],[Department]]</f>
        <v>Research &amp; Development</v>
      </c>
      <c r="E409">
        <f>Table1[[#This Row],[EnvironmentSatisfaction]]</f>
        <v>1</v>
      </c>
      <c r="F409">
        <f>Table1[[#This Row],[HourlyRate]]</f>
        <v>69</v>
      </c>
      <c r="G409" t="str">
        <f>Table1[[#This Row],[JobRole]]</f>
        <v>Research Scientist</v>
      </c>
      <c r="H409">
        <f>Table1[[#This Row],[JobSatisfaction]]</f>
        <v>4</v>
      </c>
      <c r="I409">
        <f>Table1[[#This Row],[YearsAtCompany]]</f>
        <v>2</v>
      </c>
      <c r="J409">
        <f>Table1[[#This Row],[YearsSinceLastPromotion]]</f>
        <v>0</v>
      </c>
      <c r="K409">
        <f>Table1[[#This Row],[EmployeeNumber]]</f>
        <v>544</v>
      </c>
      <c r="L409">
        <f>Table1[[#This Row],[DistanceFromHome]]</f>
        <v>10</v>
      </c>
      <c r="M409" t="str">
        <f>Table1[[#This Row],[OverTime]]</f>
        <v>No</v>
      </c>
      <c r="N409">
        <f>Table1[[#This Row],[WorkLifeBalance]]</f>
        <v>2</v>
      </c>
      <c r="O409" t="str" cm="1">
        <f t="array" ref="O409">_xlfn.IFS(A409&lt;=30,"18-30",A409&lt;=40,"31-40",A409&lt;=50,"41-50",A409&gt;50,"51+")</f>
        <v>41-50</v>
      </c>
      <c r="P409" t="str" cm="1">
        <f t="array" ref="P409">_xlfn.IFS(F409&lt;=45,"45 or below",F409&lt;= 60,"46-60",F409&lt;=75,"61-75",F409&lt;=90,"76-90",F409&gt;90,"91 or above")</f>
        <v>61-75</v>
      </c>
      <c r="Q4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09" t="str" cm="1">
        <f t="array" ref="R40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10" spans="1:18" x14ac:dyDescent="0.2">
      <c r="A410">
        <f>Table1[[#This Row],[Age]]</f>
        <v>52</v>
      </c>
      <c r="B410">
        <f>IF(Table3[[#This Row],[Attrition]] = "Yes", 1,0)</f>
        <v>0</v>
      </c>
      <c r="C410" t="str">
        <f>Table1[[#This Row],[Attrition]]</f>
        <v>No</v>
      </c>
      <c r="D410" t="str">
        <f>Table1[[#This Row],[Department]]</f>
        <v>Research &amp; Development</v>
      </c>
      <c r="E410">
        <f>Table1[[#This Row],[EnvironmentSatisfaction]]</f>
        <v>4</v>
      </c>
      <c r="F410">
        <f>Table1[[#This Row],[HourlyRate]]</f>
        <v>30</v>
      </c>
      <c r="G410" t="str">
        <f>Table1[[#This Row],[JobRole]]</f>
        <v>Manager</v>
      </c>
      <c r="H410">
        <f>Table1[[#This Row],[JobSatisfaction]]</f>
        <v>4</v>
      </c>
      <c r="I410">
        <f>Table1[[#This Row],[YearsAtCompany]]</f>
        <v>5</v>
      </c>
      <c r="J410">
        <f>Table1[[#This Row],[YearsSinceLastPromotion]]</f>
        <v>1</v>
      </c>
      <c r="K410">
        <f>Table1[[#This Row],[EmployeeNumber]]</f>
        <v>546</v>
      </c>
      <c r="L410">
        <f>Table1[[#This Row],[DistanceFromHome]]</f>
        <v>4</v>
      </c>
      <c r="M410" t="str">
        <f>Table1[[#This Row],[OverTime]]</f>
        <v>No</v>
      </c>
      <c r="N410">
        <f>Table1[[#This Row],[WorkLifeBalance]]</f>
        <v>1</v>
      </c>
      <c r="O410" t="str" cm="1">
        <f t="array" ref="O410">_xlfn.IFS(A410&lt;=30,"18-30",A410&lt;=40,"31-40",A410&lt;=50,"41-50",A410&gt;50,"51+")</f>
        <v>51+</v>
      </c>
      <c r="P410" t="str" cm="1">
        <f t="array" ref="P410">_xlfn.IFS(F410&lt;=45,"45 or below",F410&lt;= 60,"46-60",F410&lt;=75,"61-75",F410&lt;=90,"76-90",F410&gt;90,"91 or above")</f>
        <v>45 or below</v>
      </c>
      <c r="Q4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10" t="str" cm="1">
        <f t="array" ref="R410" xml:space="preserve"> _xlfn.IFS(Table3[[#This Row],[Flight Risk Score]] = "NA","NA",Table3[[#This Row],[Flight Risk Score]] &gt;= 70,"High Risk",Table3[[#This Row],[Flight Risk Score]] &gt;= 50, "Medium Risk", Table3[[#This Row],[Flight Risk Score]] &gt;= 30,"Low Risk",Table3[[#This Row],[Flight Risk Score]] &lt; 30,"Very Low Risk")</f>
        <v>Low Risk</v>
      </c>
    </row>
    <row r="411" spans="1:18" x14ac:dyDescent="0.2">
      <c r="A411">
        <f>Table1[[#This Row],[Age]]</f>
        <v>42</v>
      </c>
      <c r="B411">
        <f>IF(Table3[[#This Row],[Attrition]] = "Yes", 1,0)</f>
        <v>0</v>
      </c>
      <c r="C411" t="str">
        <f>Table1[[#This Row],[Attrition]]</f>
        <v>No</v>
      </c>
      <c r="D411" t="str">
        <f>Table1[[#This Row],[Department]]</f>
        <v>Research &amp; Development</v>
      </c>
      <c r="E411">
        <f>Table1[[#This Row],[EnvironmentSatisfaction]]</f>
        <v>1</v>
      </c>
      <c r="F411">
        <f>Table1[[#This Row],[HourlyRate]]</f>
        <v>92</v>
      </c>
      <c r="G411" t="str">
        <f>Table1[[#This Row],[JobRole]]</f>
        <v>Research Scientist</v>
      </c>
      <c r="H411">
        <f>Table1[[#This Row],[JobSatisfaction]]</f>
        <v>3</v>
      </c>
      <c r="I411">
        <f>Table1[[#This Row],[YearsAtCompany]]</f>
        <v>5</v>
      </c>
      <c r="J411">
        <f>Table1[[#This Row],[YearsSinceLastPromotion]]</f>
        <v>0</v>
      </c>
      <c r="K411">
        <f>Table1[[#This Row],[EmployeeNumber]]</f>
        <v>547</v>
      </c>
      <c r="L411">
        <f>Table1[[#This Row],[DistanceFromHome]]</f>
        <v>29</v>
      </c>
      <c r="M411" t="str">
        <f>Table1[[#This Row],[OverTime]]</f>
        <v>No</v>
      </c>
      <c r="N411">
        <f>Table1[[#This Row],[WorkLifeBalance]]</f>
        <v>3</v>
      </c>
      <c r="O411" t="str" cm="1">
        <f t="array" ref="O411">_xlfn.IFS(A411&lt;=30,"18-30",A411&lt;=40,"31-40",A411&lt;=50,"41-50",A411&gt;50,"51+")</f>
        <v>41-50</v>
      </c>
      <c r="P411" t="str" cm="1">
        <f t="array" ref="P411">_xlfn.IFS(F411&lt;=45,"45 or below",F411&lt;= 60,"46-60",F411&lt;=75,"61-75",F411&lt;=90,"76-90",F411&gt;90,"91 or above")</f>
        <v>91 or above</v>
      </c>
      <c r="Q4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11" t="str" cm="1">
        <f t="array" ref="R4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12" spans="1:18" x14ac:dyDescent="0.2">
      <c r="A412">
        <f>Table1[[#This Row],[Age]]</f>
        <v>30</v>
      </c>
      <c r="B412">
        <f>IF(Table3[[#This Row],[Attrition]] = "Yes", 1,0)</f>
        <v>0</v>
      </c>
      <c r="C412" t="str">
        <f>Table1[[#This Row],[Attrition]]</f>
        <v>No</v>
      </c>
      <c r="D412" t="str">
        <f>Table1[[#This Row],[Department]]</f>
        <v>Research &amp; Development</v>
      </c>
      <c r="E412">
        <f>Table1[[#This Row],[EnvironmentSatisfaction]]</f>
        <v>3</v>
      </c>
      <c r="F412">
        <f>Table1[[#This Row],[HourlyRate]]</f>
        <v>43</v>
      </c>
      <c r="G412" t="str">
        <f>Table1[[#This Row],[JobRole]]</f>
        <v>Manufacturing Director</v>
      </c>
      <c r="H412">
        <f>Table1[[#This Row],[JobSatisfaction]]</f>
        <v>4</v>
      </c>
      <c r="I412">
        <f>Table1[[#This Row],[YearsAtCompany]]</f>
        <v>5</v>
      </c>
      <c r="J412">
        <f>Table1[[#This Row],[YearsSinceLastPromotion]]</f>
        <v>0</v>
      </c>
      <c r="K412">
        <f>Table1[[#This Row],[EmployeeNumber]]</f>
        <v>548</v>
      </c>
      <c r="L412">
        <f>Table1[[#This Row],[DistanceFromHome]]</f>
        <v>2</v>
      </c>
      <c r="M412" t="str">
        <f>Table1[[#This Row],[OverTime]]</f>
        <v>No</v>
      </c>
      <c r="N412">
        <f>Table1[[#This Row],[WorkLifeBalance]]</f>
        <v>3</v>
      </c>
      <c r="O412" t="str" cm="1">
        <f t="array" ref="O412">_xlfn.IFS(A412&lt;=30,"18-30",A412&lt;=40,"31-40",A412&lt;=50,"41-50",A412&gt;50,"51+")</f>
        <v>18-30</v>
      </c>
      <c r="P412" t="str" cm="1">
        <f t="array" ref="P412">_xlfn.IFS(F412&lt;=45,"45 or below",F412&lt;= 60,"46-60",F412&lt;=75,"61-75",F412&lt;=90,"76-90",F412&gt;90,"91 or above")</f>
        <v>45 or below</v>
      </c>
      <c r="Q4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12" t="str" cm="1">
        <f t="array" ref="R41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13" spans="1:18" x14ac:dyDescent="0.2">
      <c r="A413">
        <f>Table1[[#This Row],[Age]]</f>
        <v>60</v>
      </c>
      <c r="B413">
        <f>IF(Table3[[#This Row],[Attrition]] = "Yes", 1,0)</f>
        <v>0</v>
      </c>
      <c r="C413" t="str">
        <f>Table1[[#This Row],[Attrition]]</f>
        <v>No</v>
      </c>
      <c r="D413" t="str">
        <f>Table1[[#This Row],[Department]]</f>
        <v>Research &amp; Development</v>
      </c>
      <c r="E413">
        <f>Table1[[#This Row],[EnvironmentSatisfaction]]</f>
        <v>1</v>
      </c>
      <c r="F413">
        <f>Table1[[#This Row],[HourlyRate]]</f>
        <v>41</v>
      </c>
      <c r="G413" t="str">
        <f>Table1[[#This Row],[JobRole]]</f>
        <v>Manager</v>
      </c>
      <c r="H413">
        <f>Table1[[#This Row],[JobSatisfaction]]</f>
        <v>1</v>
      </c>
      <c r="I413">
        <f>Table1[[#This Row],[YearsAtCompany]]</f>
        <v>29</v>
      </c>
      <c r="J413">
        <f>Table1[[#This Row],[YearsSinceLastPromotion]]</f>
        <v>11</v>
      </c>
      <c r="K413">
        <f>Table1[[#This Row],[EmployeeNumber]]</f>
        <v>549</v>
      </c>
      <c r="L413">
        <f>Table1[[#This Row],[DistanceFromHome]]</f>
        <v>7</v>
      </c>
      <c r="M413" t="str">
        <f>Table1[[#This Row],[OverTime]]</f>
        <v>No</v>
      </c>
      <c r="N413">
        <f>Table1[[#This Row],[WorkLifeBalance]]</f>
        <v>1</v>
      </c>
      <c r="O413" t="str" cm="1">
        <f t="array" ref="O413">_xlfn.IFS(A413&lt;=30,"18-30",A413&lt;=40,"31-40",A413&lt;=50,"41-50",A413&gt;50,"51+")</f>
        <v>51+</v>
      </c>
      <c r="P413" t="str" cm="1">
        <f t="array" ref="P413">_xlfn.IFS(F413&lt;=45,"45 or below",F413&lt;= 60,"46-60",F413&lt;=75,"61-75",F413&lt;=90,"76-90",F413&gt;90,"91 or above")</f>
        <v>45 or below</v>
      </c>
      <c r="Q4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413" t="str" cm="1">
        <f t="array" ref="R41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14" spans="1:18" x14ac:dyDescent="0.2">
      <c r="A414">
        <f>Table1[[#This Row],[Age]]</f>
        <v>46</v>
      </c>
      <c r="B414">
        <f>IF(Table3[[#This Row],[Attrition]] = "Yes", 1,0)</f>
        <v>0</v>
      </c>
      <c r="C414" t="str">
        <f>Table1[[#This Row],[Attrition]]</f>
        <v>No</v>
      </c>
      <c r="D414" t="str">
        <f>Table1[[#This Row],[Department]]</f>
        <v>Research &amp; Development</v>
      </c>
      <c r="E414">
        <f>Table1[[#This Row],[EnvironmentSatisfaction]]</f>
        <v>3</v>
      </c>
      <c r="F414">
        <f>Table1[[#This Row],[HourlyRate]]</f>
        <v>87</v>
      </c>
      <c r="G414" t="str">
        <f>Table1[[#This Row],[JobRole]]</f>
        <v>Manufacturing Director</v>
      </c>
      <c r="H414">
        <f>Table1[[#This Row],[JobSatisfaction]]</f>
        <v>3</v>
      </c>
      <c r="I414">
        <f>Table1[[#This Row],[YearsAtCompany]]</f>
        <v>10</v>
      </c>
      <c r="J414">
        <f>Table1[[#This Row],[YearsSinceLastPromotion]]</f>
        <v>0</v>
      </c>
      <c r="K414">
        <f>Table1[[#This Row],[EmployeeNumber]]</f>
        <v>550</v>
      </c>
      <c r="L414">
        <f>Table1[[#This Row],[DistanceFromHome]]</f>
        <v>18</v>
      </c>
      <c r="M414" t="str">
        <f>Table1[[#This Row],[OverTime]]</f>
        <v>No</v>
      </c>
      <c r="N414">
        <f>Table1[[#This Row],[WorkLifeBalance]]</f>
        <v>2</v>
      </c>
      <c r="O414" t="str" cm="1">
        <f t="array" ref="O414">_xlfn.IFS(A414&lt;=30,"18-30",A414&lt;=40,"31-40",A414&lt;=50,"41-50",A414&gt;50,"51+")</f>
        <v>41-50</v>
      </c>
      <c r="P414" t="str" cm="1">
        <f t="array" ref="P414">_xlfn.IFS(F414&lt;=45,"45 or below",F414&lt;= 60,"46-60",F414&lt;=75,"61-75",F414&lt;=90,"76-90",F414&gt;90,"91 or above")</f>
        <v>76-90</v>
      </c>
      <c r="Q4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14" t="str" cm="1">
        <f t="array" ref="R4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15" spans="1:18" x14ac:dyDescent="0.2">
      <c r="A415">
        <f>Table1[[#This Row],[Age]]</f>
        <v>42</v>
      </c>
      <c r="B415">
        <f>IF(Table3[[#This Row],[Attrition]] = "Yes", 1,0)</f>
        <v>0</v>
      </c>
      <c r="C415" t="str">
        <f>Table1[[#This Row],[Attrition]]</f>
        <v>No</v>
      </c>
      <c r="D415" t="str">
        <f>Table1[[#This Row],[Department]]</f>
        <v>Research &amp; Development</v>
      </c>
      <c r="E415">
        <f>Table1[[#This Row],[EnvironmentSatisfaction]]</f>
        <v>4</v>
      </c>
      <c r="F415">
        <f>Table1[[#This Row],[HourlyRate]]</f>
        <v>88</v>
      </c>
      <c r="G415" t="str">
        <f>Table1[[#This Row],[JobRole]]</f>
        <v>Healthcare Representative</v>
      </c>
      <c r="H415">
        <f>Table1[[#This Row],[JobSatisfaction]]</f>
        <v>4</v>
      </c>
      <c r="I415">
        <f>Table1[[#This Row],[YearsAtCompany]]</f>
        <v>6</v>
      </c>
      <c r="J415">
        <f>Table1[[#This Row],[YearsSinceLastPromotion]]</f>
        <v>0</v>
      </c>
      <c r="K415">
        <f>Table1[[#This Row],[EmployeeNumber]]</f>
        <v>551</v>
      </c>
      <c r="L415">
        <f>Table1[[#This Row],[DistanceFromHome]]</f>
        <v>28</v>
      </c>
      <c r="M415" t="str">
        <f>Table1[[#This Row],[OverTime]]</f>
        <v>No</v>
      </c>
      <c r="N415">
        <f>Table1[[#This Row],[WorkLifeBalance]]</f>
        <v>4</v>
      </c>
      <c r="O415" t="str" cm="1">
        <f t="array" ref="O415">_xlfn.IFS(A415&lt;=30,"18-30",A415&lt;=40,"31-40",A415&lt;=50,"41-50",A415&gt;50,"51+")</f>
        <v>41-50</v>
      </c>
      <c r="P415" t="str" cm="1">
        <f t="array" ref="P415">_xlfn.IFS(F415&lt;=45,"45 or below",F415&lt;= 60,"46-60",F415&lt;=75,"61-75",F415&lt;=90,"76-90",F415&gt;90,"91 or above")</f>
        <v>76-90</v>
      </c>
      <c r="Q4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15" t="str" cm="1">
        <f t="array" ref="R4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16" spans="1:18" hidden="1" x14ac:dyDescent="0.2">
      <c r="A416">
        <f>Table1[[#This Row],[Age]]</f>
        <v>24</v>
      </c>
      <c r="B416">
        <f>IF(Table3[[#This Row],[Attrition]] = "Yes", 1,0)</f>
        <v>1</v>
      </c>
      <c r="C416" t="str">
        <f>Table1[[#This Row],[Attrition]]</f>
        <v>Yes</v>
      </c>
      <c r="D416" t="str">
        <f>Table1[[#This Row],[Department]]</f>
        <v>Sales</v>
      </c>
      <c r="E416">
        <f>Table1[[#This Row],[EnvironmentSatisfaction]]</f>
        <v>1</v>
      </c>
      <c r="F416">
        <f>Table1[[#This Row],[HourlyRate]]</f>
        <v>62</v>
      </c>
      <c r="G416" t="str">
        <f>Table1[[#This Row],[JobRole]]</f>
        <v>Sales Representative</v>
      </c>
      <c r="H416">
        <f>Table1[[#This Row],[JobSatisfaction]]</f>
        <v>2</v>
      </c>
      <c r="I416">
        <f>Table1[[#This Row],[YearsAtCompany]]</f>
        <v>5</v>
      </c>
      <c r="J416">
        <f>Table1[[#This Row],[YearsSinceLastPromotion]]</f>
        <v>1</v>
      </c>
      <c r="K416">
        <f>Table1[[#This Row],[EmployeeNumber]]</f>
        <v>554</v>
      </c>
      <c r="L416">
        <f>Table1[[#This Row],[DistanceFromHome]]</f>
        <v>1</v>
      </c>
      <c r="M416" t="str">
        <f>Table1[[#This Row],[OverTime]]</f>
        <v>Yes</v>
      </c>
      <c r="N416">
        <f>Table1[[#This Row],[WorkLifeBalance]]</f>
        <v>3</v>
      </c>
      <c r="O416" t="str" cm="1">
        <f t="array" ref="O416">_xlfn.IFS(A416&lt;=30,"18-30",A416&lt;=40,"31-40",A416&lt;=50,"41-50",A416&gt;50,"51+")</f>
        <v>18-30</v>
      </c>
      <c r="P416" t="str" cm="1">
        <f t="array" ref="P416">_xlfn.IFS(F416&lt;=45,"45 or below",F416&lt;= 60,"46-60",F416&lt;=75,"61-75",F416&lt;=90,"76-90",F416&gt;90,"91 or above")</f>
        <v>61-75</v>
      </c>
      <c r="Q41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16" t="str" cm="1">
        <f t="array" ref="R416" xml:space="preserve"> _xlfn.IFS(Table3[[#This Row],[Flight Risk Score]] = "NA","NA",Table3[[#This Row],[Flight Risk Score]] &gt;= 70,"High Risk",Table3[[#This Row],[Flight Risk Score]] &gt;= 50, "Medium Risk", Table3[[#This Row],[Flight Risk Score]] &gt;= 30,"Low Risk",Table3[[#This Row],[Flight Risk Score]] &lt; 30,"Very Low Risk")</f>
        <v>NA</v>
      </c>
    </row>
    <row r="417" spans="1:18" hidden="1" x14ac:dyDescent="0.2">
      <c r="A417">
        <f>Table1[[#This Row],[Age]]</f>
        <v>34</v>
      </c>
      <c r="B417">
        <f>IF(Table3[[#This Row],[Attrition]] = "Yes", 1,0)</f>
        <v>1</v>
      </c>
      <c r="C417" t="str">
        <f>Table1[[#This Row],[Attrition]]</f>
        <v>Yes</v>
      </c>
      <c r="D417" t="str">
        <f>Table1[[#This Row],[Department]]</f>
        <v>Sales</v>
      </c>
      <c r="E417">
        <f>Table1[[#This Row],[EnvironmentSatisfaction]]</f>
        <v>4</v>
      </c>
      <c r="F417">
        <f>Table1[[#This Row],[HourlyRate]]</f>
        <v>33</v>
      </c>
      <c r="G417" t="str">
        <f>Table1[[#This Row],[JobRole]]</f>
        <v>Sales Representative</v>
      </c>
      <c r="H417">
        <f>Table1[[#This Row],[JobSatisfaction]]</f>
        <v>3</v>
      </c>
      <c r="I417">
        <f>Table1[[#This Row],[YearsAtCompany]]</f>
        <v>2</v>
      </c>
      <c r="J417">
        <f>Table1[[#This Row],[YearsSinceLastPromotion]]</f>
        <v>1</v>
      </c>
      <c r="K417">
        <f>Table1[[#This Row],[EmployeeNumber]]</f>
        <v>555</v>
      </c>
      <c r="L417">
        <f>Table1[[#This Row],[DistanceFromHome]]</f>
        <v>6</v>
      </c>
      <c r="M417" t="str">
        <f>Table1[[#This Row],[OverTime]]</f>
        <v>No</v>
      </c>
      <c r="N417">
        <f>Table1[[#This Row],[WorkLifeBalance]]</f>
        <v>2</v>
      </c>
      <c r="O417" t="str" cm="1">
        <f t="array" ref="O417">_xlfn.IFS(A417&lt;=30,"18-30",A417&lt;=40,"31-40",A417&lt;=50,"41-50",A417&gt;50,"51+")</f>
        <v>31-40</v>
      </c>
      <c r="P417" t="str" cm="1">
        <f t="array" ref="P417">_xlfn.IFS(F417&lt;=45,"45 or below",F417&lt;= 60,"46-60",F417&lt;=75,"61-75",F417&lt;=90,"76-90",F417&gt;90,"91 or above")</f>
        <v>45 or below</v>
      </c>
      <c r="Q41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17" t="str" cm="1">
        <f t="array" ref="R417" xml:space="preserve"> _xlfn.IFS(Table3[[#This Row],[Flight Risk Score]] = "NA","NA",Table3[[#This Row],[Flight Risk Score]] &gt;= 70,"High Risk",Table3[[#This Row],[Flight Risk Score]] &gt;= 50, "Medium Risk", Table3[[#This Row],[Flight Risk Score]] &gt;= 30,"Low Risk",Table3[[#This Row],[Flight Risk Score]] &lt; 30,"Very Low Risk")</f>
        <v>NA</v>
      </c>
    </row>
    <row r="418" spans="1:18" x14ac:dyDescent="0.2">
      <c r="A418">
        <f>Table1[[#This Row],[Age]]</f>
        <v>38</v>
      </c>
      <c r="B418">
        <f>IF(Table3[[#This Row],[Attrition]] = "Yes", 1,0)</f>
        <v>0</v>
      </c>
      <c r="C418" t="str">
        <f>Table1[[#This Row],[Attrition]]</f>
        <v>No</v>
      </c>
      <c r="D418" t="str">
        <f>Table1[[#This Row],[Department]]</f>
        <v>Research &amp; Development</v>
      </c>
      <c r="E418">
        <f>Table1[[#This Row],[EnvironmentSatisfaction]]</f>
        <v>4</v>
      </c>
      <c r="F418">
        <f>Table1[[#This Row],[HourlyRate]]</f>
        <v>42</v>
      </c>
      <c r="G418" t="str">
        <f>Table1[[#This Row],[JobRole]]</f>
        <v>Laboratory Technician</v>
      </c>
      <c r="H418">
        <f>Table1[[#This Row],[JobSatisfaction]]</f>
        <v>4</v>
      </c>
      <c r="I418">
        <f>Table1[[#This Row],[YearsAtCompany]]</f>
        <v>1</v>
      </c>
      <c r="J418">
        <f>Table1[[#This Row],[YearsSinceLastPromotion]]</f>
        <v>0</v>
      </c>
      <c r="K418">
        <f>Table1[[#This Row],[EmployeeNumber]]</f>
        <v>556</v>
      </c>
      <c r="L418">
        <f>Table1[[#This Row],[DistanceFromHome]]</f>
        <v>2</v>
      </c>
      <c r="M418" t="str">
        <f>Table1[[#This Row],[OverTime]]</f>
        <v>Yes</v>
      </c>
      <c r="N418">
        <f>Table1[[#This Row],[WorkLifeBalance]]</f>
        <v>3</v>
      </c>
      <c r="O418" t="str" cm="1">
        <f t="array" ref="O418">_xlfn.IFS(A418&lt;=30,"18-30",A418&lt;=40,"31-40",A418&lt;=50,"41-50",A418&gt;50,"51+")</f>
        <v>31-40</v>
      </c>
      <c r="P418" t="str" cm="1">
        <f t="array" ref="P418">_xlfn.IFS(F418&lt;=45,"45 or below",F418&lt;= 60,"46-60",F418&lt;=75,"61-75",F418&lt;=90,"76-90",F418&gt;90,"91 or above")</f>
        <v>45 or below</v>
      </c>
      <c r="Q4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18" t="str" cm="1">
        <f t="array" ref="R418" xml:space="preserve"> _xlfn.IFS(Table3[[#This Row],[Flight Risk Score]] = "NA","NA",Table3[[#This Row],[Flight Risk Score]] &gt;= 70,"High Risk",Table3[[#This Row],[Flight Risk Score]] &gt;= 50, "Medium Risk", Table3[[#This Row],[Flight Risk Score]] &gt;= 30,"Low Risk",Table3[[#This Row],[Flight Risk Score]] &lt; 30,"Very Low Risk")</f>
        <v>Low Risk</v>
      </c>
    </row>
    <row r="419" spans="1:18" x14ac:dyDescent="0.2">
      <c r="A419">
        <f>Table1[[#This Row],[Age]]</f>
        <v>40</v>
      </c>
      <c r="B419">
        <f>IF(Table3[[#This Row],[Attrition]] = "Yes", 1,0)</f>
        <v>0</v>
      </c>
      <c r="C419" t="str">
        <f>Table1[[#This Row],[Attrition]]</f>
        <v>No</v>
      </c>
      <c r="D419" t="str">
        <f>Table1[[#This Row],[Department]]</f>
        <v>Sales</v>
      </c>
      <c r="E419">
        <f>Table1[[#This Row],[EnvironmentSatisfaction]]</f>
        <v>3</v>
      </c>
      <c r="F419">
        <f>Table1[[#This Row],[HourlyRate]]</f>
        <v>79</v>
      </c>
      <c r="G419" t="str">
        <f>Table1[[#This Row],[JobRole]]</f>
        <v>Manager</v>
      </c>
      <c r="H419">
        <f>Table1[[#This Row],[JobSatisfaction]]</f>
        <v>3</v>
      </c>
      <c r="I419">
        <f>Table1[[#This Row],[YearsAtCompany]]</f>
        <v>20</v>
      </c>
      <c r="J419">
        <f>Table1[[#This Row],[YearsSinceLastPromotion]]</f>
        <v>1</v>
      </c>
      <c r="K419">
        <f>Table1[[#This Row],[EmployeeNumber]]</f>
        <v>558</v>
      </c>
      <c r="L419">
        <f>Table1[[#This Row],[DistanceFromHome]]</f>
        <v>2</v>
      </c>
      <c r="M419" t="str">
        <f>Table1[[#This Row],[OverTime]]</f>
        <v>No</v>
      </c>
      <c r="N419">
        <f>Table1[[#This Row],[WorkLifeBalance]]</f>
        <v>3</v>
      </c>
      <c r="O419" t="str" cm="1">
        <f t="array" ref="O419">_xlfn.IFS(A419&lt;=30,"18-30",A419&lt;=40,"31-40",A419&lt;=50,"41-50",A419&gt;50,"51+")</f>
        <v>31-40</v>
      </c>
      <c r="P419" t="str" cm="1">
        <f t="array" ref="P419">_xlfn.IFS(F419&lt;=45,"45 or below",F419&lt;= 60,"46-60",F419&lt;=75,"61-75",F419&lt;=90,"76-90",F419&gt;90,"91 or above")</f>
        <v>76-90</v>
      </c>
      <c r="Q4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19" t="str" cm="1">
        <f t="array" ref="R4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0" spans="1:18" x14ac:dyDescent="0.2">
      <c r="A420">
        <f>Table1[[#This Row],[Age]]</f>
        <v>26</v>
      </c>
      <c r="B420">
        <f>IF(Table3[[#This Row],[Attrition]] = "Yes", 1,0)</f>
        <v>0</v>
      </c>
      <c r="C420" t="str">
        <f>Table1[[#This Row],[Attrition]]</f>
        <v>No</v>
      </c>
      <c r="D420" t="str">
        <f>Table1[[#This Row],[Department]]</f>
        <v>Research &amp; Development</v>
      </c>
      <c r="E420">
        <f>Table1[[#This Row],[EnvironmentSatisfaction]]</f>
        <v>1</v>
      </c>
      <c r="F420">
        <f>Table1[[#This Row],[HourlyRate]]</f>
        <v>90</v>
      </c>
      <c r="G420" t="str">
        <f>Table1[[#This Row],[JobRole]]</f>
        <v>Research Scientist</v>
      </c>
      <c r="H420">
        <f>Table1[[#This Row],[JobSatisfaction]]</f>
        <v>4</v>
      </c>
      <c r="I420">
        <f>Table1[[#This Row],[YearsAtCompany]]</f>
        <v>3</v>
      </c>
      <c r="J420">
        <f>Table1[[#This Row],[YearsSinceLastPromotion]]</f>
        <v>0</v>
      </c>
      <c r="K420">
        <f>Table1[[#This Row],[EmployeeNumber]]</f>
        <v>560</v>
      </c>
      <c r="L420">
        <f>Table1[[#This Row],[DistanceFromHome]]</f>
        <v>23</v>
      </c>
      <c r="M420" t="str">
        <f>Table1[[#This Row],[OverTime]]</f>
        <v>No</v>
      </c>
      <c r="N420">
        <f>Table1[[#This Row],[WorkLifeBalance]]</f>
        <v>1</v>
      </c>
      <c r="O420" t="str" cm="1">
        <f t="array" ref="O420">_xlfn.IFS(A420&lt;=30,"18-30",A420&lt;=40,"31-40",A420&lt;=50,"41-50",A420&gt;50,"51+")</f>
        <v>18-30</v>
      </c>
      <c r="P420" t="str" cm="1">
        <f t="array" ref="P420">_xlfn.IFS(F420&lt;=45,"45 or below",F420&lt;= 60,"46-60",F420&lt;=75,"61-75",F420&lt;=90,"76-90",F420&gt;90,"91 or above")</f>
        <v>76-90</v>
      </c>
      <c r="Q4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20" t="str" cm="1">
        <f t="array" ref="R42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21" spans="1:18" x14ac:dyDescent="0.2">
      <c r="A421">
        <f>Table1[[#This Row],[Age]]</f>
        <v>30</v>
      </c>
      <c r="B421">
        <f>IF(Table3[[#This Row],[Attrition]] = "Yes", 1,0)</f>
        <v>0</v>
      </c>
      <c r="C421" t="str">
        <f>Table1[[#This Row],[Attrition]]</f>
        <v>No</v>
      </c>
      <c r="D421" t="str">
        <f>Table1[[#This Row],[Department]]</f>
        <v>Research &amp; Development</v>
      </c>
      <c r="E421">
        <f>Table1[[#This Row],[EnvironmentSatisfaction]]</f>
        <v>3</v>
      </c>
      <c r="F421">
        <f>Table1[[#This Row],[HourlyRate]]</f>
        <v>53</v>
      </c>
      <c r="G421" t="str">
        <f>Table1[[#This Row],[JobRole]]</f>
        <v>Laboratory Technician</v>
      </c>
      <c r="H421">
        <f>Table1[[#This Row],[JobSatisfaction]]</f>
        <v>4</v>
      </c>
      <c r="I421">
        <f>Table1[[#This Row],[YearsAtCompany]]</f>
        <v>5</v>
      </c>
      <c r="J421">
        <f>Table1[[#This Row],[YearsSinceLastPromotion]]</f>
        <v>1</v>
      </c>
      <c r="K421">
        <f>Table1[[#This Row],[EmployeeNumber]]</f>
        <v>562</v>
      </c>
      <c r="L421">
        <f>Table1[[#This Row],[DistanceFromHome]]</f>
        <v>3</v>
      </c>
      <c r="M421" t="str">
        <f>Table1[[#This Row],[OverTime]]</f>
        <v>No</v>
      </c>
      <c r="N421">
        <f>Table1[[#This Row],[WorkLifeBalance]]</f>
        <v>1</v>
      </c>
      <c r="O421" t="str" cm="1">
        <f t="array" ref="O421">_xlfn.IFS(A421&lt;=30,"18-30",A421&lt;=40,"31-40",A421&lt;=50,"41-50",A421&gt;50,"51+")</f>
        <v>18-30</v>
      </c>
      <c r="P421" t="str" cm="1">
        <f t="array" ref="P421">_xlfn.IFS(F421&lt;=45,"45 or below",F421&lt;= 60,"46-60",F421&lt;=75,"61-75",F421&lt;=90,"76-90",F421&gt;90,"91 or above")</f>
        <v>46-60</v>
      </c>
      <c r="Q4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21" t="str" cm="1">
        <f t="array" ref="R421" xml:space="preserve"> _xlfn.IFS(Table3[[#This Row],[Flight Risk Score]] = "NA","NA",Table3[[#This Row],[Flight Risk Score]] &gt;= 70,"High Risk",Table3[[#This Row],[Flight Risk Score]] &gt;= 50, "Medium Risk", Table3[[#This Row],[Flight Risk Score]] &gt;= 30,"Low Risk",Table3[[#This Row],[Flight Risk Score]] &lt; 30,"Very Low Risk")</f>
        <v>Low Risk</v>
      </c>
    </row>
    <row r="422" spans="1:18" x14ac:dyDescent="0.2">
      <c r="A422">
        <f>Table1[[#This Row],[Age]]</f>
        <v>29</v>
      </c>
      <c r="B422">
        <f>IF(Table3[[#This Row],[Attrition]] = "Yes", 1,0)</f>
        <v>0</v>
      </c>
      <c r="C422" t="str">
        <f>Table1[[#This Row],[Attrition]]</f>
        <v>No</v>
      </c>
      <c r="D422" t="str">
        <f>Table1[[#This Row],[Department]]</f>
        <v>Research &amp; Development</v>
      </c>
      <c r="E422">
        <f>Table1[[#This Row],[EnvironmentSatisfaction]]</f>
        <v>2</v>
      </c>
      <c r="F422">
        <f>Table1[[#This Row],[HourlyRate]]</f>
        <v>93</v>
      </c>
      <c r="G422" t="str">
        <f>Table1[[#This Row],[JobRole]]</f>
        <v>Research Director</v>
      </c>
      <c r="H422">
        <f>Table1[[#This Row],[JobSatisfaction]]</f>
        <v>3</v>
      </c>
      <c r="I422">
        <f>Table1[[#This Row],[YearsAtCompany]]</f>
        <v>10</v>
      </c>
      <c r="J422">
        <f>Table1[[#This Row],[YearsSinceLastPromotion]]</f>
        <v>0</v>
      </c>
      <c r="K422">
        <f>Table1[[#This Row],[EmployeeNumber]]</f>
        <v>564</v>
      </c>
      <c r="L422">
        <f>Table1[[#This Row],[DistanceFromHome]]</f>
        <v>3</v>
      </c>
      <c r="M422" t="str">
        <f>Table1[[#This Row],[OverTime]]</f>
        <v>No</v>
      </c>
      <c r="N422">
        <f>Table1[[#This Row],[WorkLifeBalance]]</f>
        <v>3</v>
      </c>
      <c r="O422" t="str" cm="1">
        <f t="array" ref="O422">_xlfn.IFS(A422&lt;=30,"18-30",A422&lt;=40,"31-40",A422&lt;=50,"41-50",A422&gt;50,"51+")</f>
        <v>18-30</v>
      </c>
      <c r="P422" t="str" cm="1">
        <f t="array" ref="P422">_xlfn.IFS(F422&lt;=45,"45 or below",F422&lt;= 60,"46-60",F422&lt;=75,"61-75",F422&lt;=90,"76-90",F422&gt;90,"91 or above")</f>
        <v>91 or above</v>
      </c>
      <c r="Q4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22" t="str" cm="1">
        <f t="array" ref="R4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3" spans="1:18" hidden="1" x14ac:dyDescent="0.2">
      <c r="A423">
        <f>Table1[[#This Row],[Age]]</f>
        <v>29</v>
      </c>
      <c r="B423">
        <f>IF(Table3[[#This Row],[Attrition]] = "Yes", 1,0)</f>
        <v>1</v>
      </c>
      <c r="C423" t="str">
        <f>Table1[[#This Row],[Attrition]]</f>
        <v>Yes</v>
      </c>
      <c r="D423" t="str">
        <f>Table1[[#This Row],[Department]]</f>
        <v>Research &amp; Development</v>
      </c>
      <c r="E423">
        <f>Table1[[#This Row],[EnvironmentSatisfaction]]</f>
        <v>3</v>
      </c>
      <c r="F423">
        <f>Table1[[#This Row],[HourlyRate]]</f>
        <v>71</v>
      </c>
      <c r="G423" t="str">
        <f>Table1[[#This Row],[JobRole]]</f>
        <v>Research Scientist</v>
      </c>
      <c r="H423">
        <f>Table1[[#This Row],[JobSatisfaction]]</f>
        <v>2</v>
      </c>
      <c r="I423">
        <f>Table1[[#This Row],[YearsAtCompany]]</f>
        <v>2</v>
      </c>
      <c r="J423">
        <f>Table1[[#This Row],[YearsSinceLastPromotion]]</f>
        <v>1</v>
      </c>
      <c r="K423">
        <f>Table1[[#This Row],[EmployeeNumber]]</f>
        <v>565</v>
      </c>
      <c r="L423">
        <f>Table1[[#This Row],[DistanceFromHome]]</f>
        <v>25</v>
      </c>
      <c r="M423" t="str">
        <f>Table1[[#This Row],[OverTime]]</f>
        <v>No</v>
      </c>
      <c r="N423">
        <f>Table1[[#This Row],[WorkLifeBalance]]</f>
        <v>4</v>
      </c>
      <c r="O423" t="str" cm="1">
        <f t="array" ref="O423">_xlfn.IFS(A423&lt;=30,"18-30",A423&lt;=40,"31-40",A423&lt;=50,"41-50",A423&gt;50,"51+")</f>
        <v>18-30</v>
      </c>
      <c r="P423" t="str" cm="1">
        <f t="array" ref="P423">_xlfn.IFS(F423&lt;=45,"45 or below",F423&lt;= 60,"46-60",F423&lt;=75,"61-75",F423&lt;=90,"76-90",F423&gt;90,"91 or above")</f>
        <v>61-75</v>
      </c>
      <c r="Q42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23" t="str" cm="1">
        <f t="array" ref="R423" xml:space="preserve"> _xlfn.IFS(Table3[[#This Row],[Flight Risk Score]] = "NA","NA",Table3[[#This Row],[Flight Risk Score]] &gt;= 70,"High Risk",Table3[[#This Row],[Flight Risk Score]] &gt;= 50, "Medium Risk", Table3[[#This Row],[Flight Risk Score]] &gt;= 30,"Low Risk",Table3[[#This Row],[Flight Risk Score]] &lt; 30,"Very Low Risk")</f>
        <v>NA</v>
      </c>
    </row>
    <row r="424" spans="1:18" hidden="1" x14ac:dyDescent="0.2">
      <c r="A424">
        <f>Table1[[#This Row],[Age]]</f>
        <v>19</v>
      </c>
      <c r="B424">
        <f>IF(Table3[[#This Row],[Attrition]] = "Yes", 1,0)</f>
        <v>1</v>
      </c>
      <c r="C424" t="str">
        <f>Table1[[#This Row],[Attrition]]</f>
        <v>Yes</v>
      </c>
      <c r="D424" t="str">
        <f>Table1[[#This Row],[Department]]</f>
        <v>Human Resources</v>
      </c>
      <c r="E424">
        <f>Table1[[#This Row],[EnvironmentSatisfaction]]</f>
        <v>1</v>
      </c>
      <c r="F424">
        <f>Table1[[#This Row],[HourlyRate]]</f>
        <v>52</v>
      </c>
      <c r="G424" t="str">
        <f>Table1[[#This Row],[JobRole]]</f>
        <v>Human Resources</v>
      </c>
      <c r="H424">
        <f>Table1[[#This Row],[JobSatisfaction]]</f>
        <v>4</v>
      </c>
      <c r="I424">
        <f>Table1[[#This Row],[YearsAtCompany]]</f>
        <v>1</v>
      </c>
      <c r="J424">
        <f>Table1[[#This Row],[YearsSinceLastPromotion]]</f>
        <v>0</v>
      </c>
      <c r="K424">
        <f>Table1[[#This Row],[EmployeeNumber]]</f>
        <v>566</v>
      </c>
      <c r="L424">
        <f>Table1[[#This Row],[DistanceFromHome]]</f>
        <v>2</v>
      </c>
      <c r="M424" t="str">
        <f>Table1[[#This Row],[OverTime]]</f>
        <v>No</v>
      </c>
      <c r="N424">
        <f>Table1[[#This Row],[WorkLifeBalance]]</f>
        <v>4</v>
      </c>
      <c r="O424" t="str" cm="1">
        <f t="array" ref="O424">_xlfn.IFS(A424&lt;=30,"18-30",A424&lt;=40,"31-40",A424&lt;=50,"41-50",A424&gt;50,"51+")</f>
        <v>18-30</v>
      </c>
      <c r="P424" t="str" cm="1">
        <f t="array" ref="P424">_xlfn.IFS(F424&lt;=45,"45 or below",F424&lt;= 60,"46-60",F424&lt;=75,"61-75",F424&lt;=90,"76-90",F424&gt;90,"91 or above")</f>
        <v>46-60</v>
      </c>
      <c r="Q42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24" t="str" cm="1">
        <f t="array" ref="R424" xml:space="preserve"> _xlfn.IFS(Table3[[#This Row],[Flight Risk Score]] = "NA","NA",Table3[[#This Row],[Flight Risk Score]] &gt;= 70,"High Risk",Table3[[#This Row],[Flight Risk Score]] &gt;= 50, "Medium Risk", Table3[[#This Row],[Flight Risk Score]] &gt;= 30,"Low Risk",Table3[[#This Row],[Flight Risk Score]] &lt; 30,"Very Low Risk")</f>
        <v>NA</v>
      </c>
    </row>
    <row r="425" spans="1:18" x14ac:dyDescent="0.2">
      <c r="A425">
        <f>Table1[[#This Row],[Age]]</f>
        <v>30</v>
      </c>
      <c r="B425">
        <f>IF(Table3[[#This Row],[Attrition]] = "Yes", 1,0)</f>
        <v>0</v>
      </c>
      <c r="C425" t="str">
        <f>Table1[[#This Row],[Attrition]]</f>
        <v>No</v>
      </c>
      <c r="D425" t="str">
        <f>Table1[[#This Row],[Department]]</f>
        <v>Sales</v>
      </c>
      <c r="E425">
        <f>Table1[[#This Row],[EnvironmentSatisfaction]]</f>
        <v>3</v>
      </c>
      <c r="F425">
        <f>Table1[[#This Row],[HourlyRate]]</f>
        <v>69</v>
      </c>
      <c r="G425" t="str">
        <f>Table1[[#This Row],[JobRole]]</f>
        <v>Sales Executive</v>
      </c>
      <c r="H425">
        <f>Table1[[#This Row],[JobSatisfaction]]</f>
        <v>1</v>
      </c>
      <c r="I425">
        <f>Table1[[#This Row],[YearsAtCompany]]</f>
        <v>9</v>
      </c>
      <c r="J425">
        <f>Table1[[#This Row],[YearsSinceLastPromotion]]</f>
        <v>7</v>
      </c>
      <c r="K425">
        <f>Table1[[#This Row],[EmployeeNumber]]</f>
        <v>567</v>
      </c>
      <c r="L425">
        <f>Table1[[#This Row],[DistanceFromHome]]</f>
        <v>22</v>
      </c>
      <c r="M425" t="str">
        <f>Table1[[#This Row],[OverTime]]</f>
        <v>No</v>
      </c>
      <c r="N425">
        <f>Table1[[#This Row],[WorkLifeBalance]]</f>
        <v>3</v>
      </c>
      <c r="O425" t="str" cm="1">
        <f t="array" ref="O425">_xlfn.IFS(A425&lt;=30,"18-30",A425&lt;=40,"31-40",A425&lt;=50,"41-50",A425&gt;50,"51+")</f>
        <v>18-30</v>
      </c>
      <c r="P425" t="str" cm="1">
        <f t="array" ref="P425">_xlfn.IFS(F425&lt;=45,"45 or below",F425&lt;= 60,"46-60",F425&lt;=75,"61-75",F425&lt;=90,"76-90",F425&gt;90,"91 or above")</f>
        <v>61-75</v>
      </c>
      <c r="Q4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25" t="str" cm="1">
        <f t="array" ref="R4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6" spans="1:18" x14ac:dyDescent="0.2">
      <c r="A426">
        <f>Table1[[#This Row],[Age]]</f>
        <v>57</v>
      </c>
      <c r="B426">
        <f>IF(Table3[[#This Row],[Attrition]] = "Yes", 1,0)</f>
        <v>0</v>
      </c>
      <c r="C426" t="str">
        <f>Table1[[#This Row],[Attrition]]</f>
        <v>No</v>
      </c>
      <c r="D426" t="str">
        <f>Table1[[#This Row],[Department]]</f>
        <v>Sales</v>
      </c>
      <c r="E426">
        <f>Table1[[#This Row],[EnvironmentSatisfaction]]</f>
        <v>1</v>
      </c>
      <c r="F426">
        <f>Table1[[#This Row],[HourlyRate]]</f>
        <v>56</v>
      </c>
      <c r="G426" t="str">
        <f>Table1[[#This Row],[JobRole]]</f>
        <v>Manager</v>
      </c>
      <c r="H426">
        <f>Table1[[#This Row],[JobSatisfaction]]</f>
        <v>4</v>
      </c>
      <c r="I426">
        <f>Table1[[#This Row],[YearsAtCompany]]</f>
        <v>1</v>
      </c>
      <c r="J426">
        <f>Table1[[#This Row],[YearsSinceLastPromotion]]</f>
        <v>0</v>
      </c>
      <c r="K426">
        <f>Table1[[#This Row],[EmployeeNumber]]</f>
        <v>568</v>
      </c>
      <c r="L426">
        <f>Table1[[#This Row],[DistanceFromHome]]</f>
        <v>29</v>
      </c>
      <c r="M426" t="str">
        <f>Table1[[#This Row],[OverTime]]</f>
        <v>No</v>
      </c>
      <c r="N426">
        <f>Table1[[#This Row],[WorkLifeBalance]]</f>
        <v>2</v>
      </c>
      <c r="O426" t="str" cm="1">
        <f t="array" ref="O426">_xlfn.IFS(A426&lt;=30,"18-30",A426&lt;=40,"31-40",A426&lt;=50,"41-50",A426&gt;50,"51+")</f>
        <v>51+</v>
      </c>
      <c r="P426" t="str" cm="1">
        <f t="array" ref="P426">_xlfn.IFS(F426&lt;=45,"45 or below",F426&lt;= 60,"46-60",F426&lt;=75,"61-75",F426&lt;=90,"76-90",F426&gt;90,"91 or above")</f>
        <v>46-60</v>
      </c>
      <c r="Q4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26" t="str" cm="1">
        <f t="array" ref="R4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7" spans="1:18" x14ac:dyDescent="0.2">
      <c r="A427">
        <f>Table1[[#This Row],[Age]]</f>
        <v>50</v>
      </c>
      <c r="B427">
        <f>IF(Table3[[#This Row],[Attrition]] = "Yes", 1,0)</f>
        <v>0</v>
      </c>
      <c r="C427" t="str">
        <f>Table1[[#This Row],[Attrition]]</f>
        <v>No</v>
      </c>
      <c r="D427" t="str">
        <f>Table1[[#This Row],[Department]]</f>
        <v>Research &amp; Development</v>
      </c>
      <c r="E427">
        <f>Table1[[#This Row],[EnvironmentSatisfaction]]</f>
        <v>2</v>
      </c>
      <c r="F427">
        <f>Table1[[#This Row],[HourlyRate]]</f>
        <v>88</v>
      </c>
      <c r="G427" t="str">
        <f>Table1[[#This Row],[JobRole]]</f>
        <v>Manager</v>
      </c>
      <c r="H427">
        <f>Table1[[#This Row],[JobSatisfaction]]</f>
        <v>3</v>
      </c>
      <c r="I427">
        <f>Table1[[#This Row],[YearsAtCompany]]</f>
        <v>27</v>
      </c>
      <c r="J427">
        <f>Table1[[#This Row],[YearsSinceLastPromotion]]</f>
        <v>15</v>
      </c>
      <c r="K427">
        <f>Table1[[#This Row],[EmployeeNumber]]</f>
        <v>569</v>
      </c>
      <c r="L427">
        <f>Table1[[#This Row],[DistanceFromHome]]</f>
        <v>29</v>
      </c>
      <c r="M427" t="str">
        <f>Table1[[#This Row],[OverTime]]</f>
        <v>No</v>
      </c>
      <c r="N427">
        <f>Table1[[#This Row],[WorkLifeBalance]]</f>
        <v>3</v>
      </c>
      <c r="O427" t="str" cm="1">
        <f t="array" ref="O427">_xlfn.IFS(A427&lt;=30,"18-30",A427&lt;=40,"31-40",A427&lt;=50,"41-50",A427&gt;50,"51+")</f>
        <v>41-50</v>
      </c>
      <c r="P427" t="str" cm="1">
        <f t="array" ref="P427">_xlfn.IFS(F427&lt;=45,"45 or below",F427&lt;= 60,"46-60",F427&lt;=75,"61-75",F427&lt;=90,"76-90",F427&gt;90,"91 or above")</f>
        <v>76-90</v>
      </c>
      <c r="Q4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27" t="str" cm="1">
        <f t="array" ref="R4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8" spans="1:18" x14ac:dyDescent="0.2">
      <c r="A428">
        <f>Table1[[#This Row],[Age]]</f>
        <v>30</v>
      </c>
      <c r="B428">
        <f>IF(Table3[[#This Row],[Attrition]] = "Yes", 1,0)</f>
        <v>0</v>
      </c>
      <c r="C428" t="str">
        <f>Table1[[#This Row],[Attrition]]</f>
        <v>No</v>
      </c>
      <c r="D428" t="str">
        <f>Table1[[#This Row],[Department]]</f>
        <v>Research &amp; Development</v>
      </c>
      <c r="E428">
        <f>Table1[[#This Row],[EnvironmentSatisfaction]]</f>
        <v>3</v>
      </c>
      <c r="F428">
        <f>Table1[[#This Row],[HourlyRate]]</f>
        <v>49</v>
      </c>
      <c r="G428" t="str">
        <f>Table1[[#This Row],[JobRole]]</f>
        <v>Laboratory Technician</v>
      </c>
      <c r="H428">
        <f>Table1[[#This Row],[JobSatisfaction]]</f>
        <v>4</v>
      </c>
      <c r="I428">
        <f>Table1[[#This Row],[YearsAtCompany]]</f>
        <v>11</v>
      </c>
      <c r="J428">
        <f>Table1[[#This Row],[YearsSinceLastPromotion]]</f>
        <v>6</v>
      </c>
      <c r="K428">
        <f>Table1[[#This Row],[EmployeeNumber]]</f>
        <v>571</v>
      </c>
      <c r="L428">
        <f>Table1[[#This Row],[DistanceFromHome]]</f>
        <v>2</v>
      </c>
      <c r="M428" t="str">
        <f>Table1[[#This Row],[OverTime]]</f>
        <v>No</v>
      </c>
      <c r="N428">
        <f>Table1[[#This Row],[WorkLifeBalance]]</f>
        <v>2</v>
      </c>
      <c r="O428" t="str" cm="1">
        <f t="array" ref="O428">_xlfn.IFS(A428&lt;=30,"18-30",A428&lt;=40,"31-40",A428&lt;=50,"41-50",A428&gt;50,"51+")</f>
        <v>18-30</v>
      </c>
      <c r="P428" t="str" cm="1">
        <f t="array" ref="P428">_xlfn.IFS(F428&lt;=45,"45 or below",F428&lt;= 60,"46-60",F428&lt;=75,"61-75",F428&lt;=90,"76-90",F428&gt;90,"91 or above")</f>
        <v>46-60</v>
      </c>
      <c r="Q4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28" t="str" cm="1">
        <f t="array" ref="R4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29" spans="1:18" x14ac:dyDescent="0.2">
      <c r="A429">
        <f>Table1[[#This Row],[Age]]</f>
        <v>60</v>
      </c>
      <c r="B429">
        <f>IF(Table3[[#This Row],[Attrition]] = "Yes", 1,0)</f>
        <v>0</v>
      </c>
      <c r="C429" t="str">
        <f>Table1[[#This Row],[Attrition]]</f>
        <v>No</v>
      </c>
      <c r="D429" t="str">
        <f>Table1[[#This Row],[Department]]</f>
        <v>Sales</v>
      </c>
      <c r="E429">
        <f>Table1[[#This Row],[EnvironmentSatisfaction]]</f>
        <v>3</v>
      </c>
      <c r="F429">
        <f>Table1[[#This Row],[HourlyRate]]</f>
        <v>80</v>
      </c>
      <c r="G429" t="str">
        <f>Table1[[#This Row],[JobRole]]</f>
        <v>Sales Executive</v>
      </c>
      <c r="H429">
        <f>Table1[[#This Row],[JobSatisfaction]]</f>
        <v>1</v>
      </c>
      <c r="I429">
        <f>Table1[[#This Row],[YearsAtCompany]]</f>
        <v>18</v>
      </c>
      <c r="J429">
        <f>Table1[[#This Row],[YearsSinceLastPromotion]]</f>
        <v>13</v>
      </c>
      <c r="K429">
        <f>Table1[[#This Row],[EmployeeNumber]]</f>
        <v>573</v>
      </c>
      <c r="L429">
        <f>Table1[[#This Row],[DistanceFromHome]]</f>
        <v>28</v>
      </c>
      <c r="M429" t="str">
        <f>Table1[[#This Row],[OverTime]]</f>
        <v>No</v>
      </c>
      <c r="N429">
        <f>Table1[[#This Row],[WorkLifeBalance]]</f>
        <v>4</v>
      </c>
      <c r="O429" t="str" cm="1">
        <f t="array" ref="O429">_xlfn.IFS(A429&lt;=30,"18-30",A429&lt;=40,"31-40",A429&lt;=50,"41-50",A429&gt;50,"51+")</f>
        <v>51+</v>
      </c>
      <c r="P429" t="str" cm="1">
        <f t="array" ref="P429">_xlfn.IFS(F429&lt;=45,"45 or below",F429&lt;= 60,"46-60",F429&lt;=75,"61-75",F429&lt;=90,"76-90",F429&gt;90,"91 or above")</f>
        <v>76-90</v>
      </c>
      <c r="Q4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29" t="str" cm="1">
        <f t="array" ref="R4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0" spans="1:18" x14ac:dyDescent="0.2">
      <c r="A430">
        <f>Table1[[#This Row],[Age]]</f>
        <v>47</v>
      </c>
      <c r="B430">
        <f>IF(Table3[[#This Row],[Attrition]] = "Yes", 1,0)</f>
        <v>0</v>
      </c>
      <c r="C430" t="str">
        <f>Table1[[#This Row],[Attrition]]</f>
        <v>No</v>
      </c>
      <c r="D430" t="str">
        <f>Table1[[#This Row],[Department]]</f>
        <v>Research &amp; Development</v>
      </c>
      <c r="E430">
        <f>Table1[[#This Row],[EnvironmentSatisfaction]]</f>
        <v>1</v>
      </c>
      <c r="F430">
        <f>Table1[[#This Row],[HourlyRate]]</f>
        <v>65</v>
      </c>
      <c r="G430" t="str">
        <f>Table1[[#This Row],[JobRole]]</f>
        <v>Manufacturing Director</v>
      </c>
      <c r="H430">
        <f>Table1[[#This Row],[JobSatisfaction]]</f>
        <v>4</v>
      </c>
      <c r="I430">
        <f>Table1[[#This Row],[YearsAtCompany]]</f>
        <v>5</v>
      </c>
      <c r="J430">
        <f>Table1[[#This Row],[YearsSinceLastPromotion]]</f>
        <v>0</v>
      </c>
      <c r="K430">
        <f>Table1[[#This Row],[EmployeeNumber]]</f>
        <v>574</v>
      </c>
      <c r="L430">
        <f>Table1[[#This Row],[DistanceFromHome]]</f>
        <v>2</v>
      </c>
      <c r="M430" t="str">
        <f>Table1[[#This Row],[OverTime]]</f>
        <v>No</v>
      </c>
      <c r="N430">
        <f>Table1[[#This Row],[WorkLifeBalance]]</f>
        <v>3</v>
      </c>
      <c r="O430" t="str" cm="1">
        <f t="array" ref="O430">_xlfn.IFS(A430&lt;=30,"18-30",A430&lt;=40,"31-40",A430&lt;=50,"41-50",A430&gt;50,"51+")</f>
        <v>41-50</v>
      </c>
      <c r="P430" t="str" cm="1">
        <f t="array" ref="P430">_xlfn.IFS(F430&lt;=45,"45 or below",F430&lt;= 60,"46-60",F430&lt;=75,"61-75",F430&lt;=90,"76-90",F430&gt;90,"91 or above")</f>
        <v>61-75</v>
      </c>
      <c r="Q4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30" t="str" cm="1">
        <f t="array" ref="R4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1" spans="1:18" x14ac:dyDescent="0.2">
      <c r="A431">
        <f>Table1[[#This Row],[Age]]</f>
        <v>46</v>
      </c>
      <c r="B431">
        <f>IF(Table3[[#This Row],[Attrition]] = "Yes", 1,0)</f>
        <v>0</v>
      </c>
      <c r="C431" t="str">
        <f>Table1[[#This Row],[Attrition]]</f>
        <v>No</v>
      </c>
      <c r="D431" t="str">
        <f>Table1[[#This Row],[Department]]</f>
        <v>Research &amp; Development</v>
      </c>
      <c r="E431">
        <f>Table1[[#This Row],[EnvironmentSatisfaction]]</f>
        <v>1</v>
      </c>
      <c r="F431">
        <f>Table1[[#This Row],[HourlyRate]]</f>
        <v>51</v>
      </c>
      <c r="G431" t="str">
        <f>Table1[[#This Row],[JobRole]]</f>
        <v>Research Director</v>
      </c>
      <c r="H431">
        <f>Table1[[#This Row],[JobSatisfaction]]</f>
        <v>3</v>
      </c>
      <c r="I431">
        <f>Table1[[#This Row],[YearsAtCompany]]</f>
        <v>3</v>
      </c>
      <c r="J431">
        <f>Table1[[#This Row],[YearsSinceLastPromotion]]</f>
        <v>0</v>
      </c>
      <c r="K431">
        <f>Table1[[#This Row],[EmployeeNumber]]</f>
        <v>575</v>
      </c>
      <c r="L431">
        <f>Table1[[#This Row],[DistanceFromHome]]</f>
        <v>2</v>
      </c>
      <c r="M431" t="str">
        <f>Table1[[#This Row],[OverTime]]</f>
        <v>No</v>
      </c>
      <c r="N431">
        <f>Table1[[#This Row],[WorkLifeBalance]]</f>
        <v>1</v>
      </c>
      <c r="O431" t="str" cm="1">
        <f t="array" ref="O431">_xlfn.IFS(A431&lt;=30,"18-30",A431&lt;=40,"31-40",A431&lt;=50,"41-50",A431&gt;50,"51+")</f>
        <v>41-50</v>
      </c>
      <c r="P431" t="str" cm="1">
        <f t="array" ref="P431">_xlfn.IFS(F431&lt;=45,"45 or below",F431&lt;= 60,"46-60",F431&lt;=75,"61-75",F431&lt;=90,"76-90",F431&gt;90,"91 or above")</f>
        <v>46-60</v>
      </c>
      <c r="Q4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31" t="str" cm="1">
        <f t="array" ref="R43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32" spans="1:18" x14ac:dyDescent="0.2">
      <c r="A432">
        <f>Table1[[#This Row],[Age]]</f>
        <v>35</v>
      </c>
      <c r="B432">
        <f>IF(Table3[[#This Row],[Attrition]] = "Yes", 1,0)</f>
        <v>0</v>
      </c>
      <c r="C432" t="str">
        <f>Table1[[#This Row],[Attrition]]</f>
        <v>No</v>
      </c>
      <c r="D432" t="str">
        <f>Table1[[#This Row],[Department]]</f>
        <v>Research &amp; Development</v>
      </c>
      <c r="E432">
        <f>Table1[[#This Row],[EnvironmentSatisfaction]]</f>
        <v>4</v>
      </c>
      <c r="F432">
        <f>Table1[[#This Row],[HourlyRate]]</f>
        <v>46</v>
      </c>
      <c r="G432" t="str">
        <f>Table1[[#This Row],[JobRole]]</f>
        <v>Laboratory Technician</v>
      </c>
      <c r="H432">
        <f>Table1[[#This Row],[JobSatisfaction]]</f>
        <v>3</v>
      </c>
      <c r="I432">
        <f>Table1[[#This Row],[YearsAtCompany]]</f>
        <v>5</v>
      </c>
      <c r="J432">
        <f>Table1[[#This Row],[YearsSinceLastPromotion]]</f>
        <v>4</v>
      </c>
      <c r="K432">
        <f>Table1[[#This Row],[EmployeeNumber]]</f>
        <v>577</v>
      </c>
      <c r="L432">
        <f>Table1[[#This Row],[DistanceFromHome]]</f>
        <v>22</v>
      </c>
      <c r="M432" t="str">
        <f>Table1[[#This Row],[OverTime]]</f>
        <v>No</v>
      </c>
      <c r="N432">
        <f>Table1[[#This Row],[WorkLifeBalance]]</f>
        <v>3</v>
      </c>
      <c r="O432" t="str" cm="1">
        <f t="array" ref="O432">_xlfn.IFS(A432&lt;=30,"18-30",A432&lt;=40,"31-40",A432&lt;=50,"41-50",A432&gt;50,"51+")</f>
        <v>31-40</v>
      </c>
      <c r="P432" t="str" cm="1">
        <f t="array" ref="P432">_xlfn.IFS(F432&lt;=45,"45 or below",F432&lt;= 60,"46-60",F432&lt;=75,"61-75",F432&lt;=90,"76-90",F432&gt;90,"91 or above")</f>
        <v>46-60</v>
      </c>
      <c r="Q4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32" t="str" cm="1">
        <f t="array" ref="R4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3" spans="1:18" x14ac:dyDescent="0.2">
      <c r="A433">
        <f>Table1[[#This Row],[Age]]</f>
        <v>54</v>
      </c>
      <c r="B433">
        <f>IF(Table3[[#This Row],[Attrition]] = "Yes", 1,0)</f>
        <v>0</v>
      </c>
      <c r="C433" t="str">
        <f>Table1[[#This Row],[Attrition]]</f>
        <v>No</v>
      </c>
      <c r="D433" t="str">
        <f>Table1[[#This Row],[Department]]</f>
        <v>Research &amp; Development</v>
      </c>
      <c r="E433">
        <f>Table1[[#This Row],[EnvironmentSatisfaction]]</f>
        <v>3</v>
      </c>
      <c r="F433">
        <f>Table1[[#This Row],[HourlyRate]]</f>
        <v>42</v>
      </c>
      <c r="G433" t="str">
        <f>Table1[[#This Row],[JobRole]]</f>
        <v>Laboratory Technician</v>
      </c>
      <c r="H433">
        <f>Table1[[#This Row],[JobSatisfaction]]</f>
        <v>3</v>
      </c>
      <c r="I433">
        <f>Table1[[#This Row],[YearsAtCompany]]</f>
        <v>1</v>
      </c>
      <c r="J433">
        <f>Table1[[#This Row],[YearsSinceLastPromotion]]</f>
        <v>0</v>
      </c>
      <c r="K433">
        <f>Table1[[#This Row],[EmployeeNumber]]</f>
        <v>578</v>
      </c>
      <c r="L433">
        <f>Table1[[#This Row],[DistanceFromHome]]</f>
        <v>8</v>
      </c>
      <c r="M433" t="str">
        <f>Table1[[#This Row],[OverTime]]</f>
        <v>No</v>
      </c>
      <c r="N433">
        <f>Table1[[#This Row],[WorkLifeBalance]]</f>
        <v>3</v>
      </c>
      <c r="O433" t="str" cm="1">
        <f t="array" ref="O433">_xlfn.IFS(A433&lt;=30,"18-30",A433&lt;=40,"31-40",A433&lt;=50,"41-50",A433&gt;50,"51+")</f>
        <v>51+</v>
      </c>
      <c r="P433" t="str" cm="1">
        <f t="array" ref="P433">_xlfn.IFS(F433&lt;=45,"45 or below",F433&lt;= 60,"46-60",F433&lt;=75,"61-75",F433&lt;=90,"76-90",F433&gt;90,"91 or above")</f>
        <v>45 or below</v>
      </c>
      <c r="Q4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33" t="str" cm="1">
        <f t="array" ref="R4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4" spans="1:18" x14ac:dyDescent="0.2">
      <c r="A434">
        <f>Table1[[#This Row],[Age]]</f>
        <v>34</v>
      </c>
      <c r="B434">
        <f>IF(Table3[[#This Row],[Attrition]] = "Yes", 1,0)</f>
        <v>0</v>
      </c>
      <c r="C434" t="str">
        <f>Table1[[#This Row],[Attrition]]</f>
        <v>No</v>
      </c>
      <c r="D434" t="str">
        <f>Table1[[#This Row],[Department]]</f>
        <v>Research &amp; Development</v>
      </c>
      <c r="E434">
        <f>Table1[[#This Row],[EnvironmentSatisfaction]]</f>
        <v>4</v>
      </c>
      <c r="F434">
        <f>Table1[[#This Row],[HourlyRate]]</f>
        <v>62</v>
      </c>
      <c r="G434" t="str">
        <f>Table1[[#This Row],[JobRole]]</f>
        <v>Research Scientist</v>
      </c>
      <c r="H434">
        <f>Table1[[#This Row],[JobSatisfaction]]</f>
        <v>3</v>
      </c>
      <c r="I434">
        <f>Table1[[#This Row],[YearsAtCompany]]</f>
        <v>7</v>
      </c>
      <c r="J434">
        <f>Table1[[#This Row],[YearsSinceLastPromotion]]</f>
        <v>5</v>
      </c>
      <c r="K434">
        <f>Table1[[#This Row],[EmployeeNumber]]</f>
        <v>579</v>
      </c>
      <c r="L434">
        <f>Table1[[#This Row],[DistanceFromHome]]</f>
        <v>2</v>
      </c>
      <c r="M434" t="str">
        <f>Table1[[#This Row],[OverTime]]</f>
        <v>No</v>
      </c>
      <c r="N434">
        <f>Table1[[#This Row],[WorkLifeBalance]]</f>
        <v>3</v>
      </c>
      <c r="O434" t="str" cm="1">
        <f t="array" ref="O434">_xlfn.IFS(A434&lt;=30,"18-30",A434&lt;=40,"31-40",A434&lt;=50,"41-50",A434&gt;50,"51+")</f>
        <v>31-40</v>
      </c>
      <c r="P434" t="str" cm="1">
        <f t="array" ref="P434">_xlfn.IFS(F434&lt;=45,"45 or below",F434&lt;= 60,"46-60",F434&lt;=75,"61-75",F434&lt;=90,"76-90",F434&gt;90,"91 or above")</f>
        <v>61-75</v>
      </c>
      <c r="Q4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34" t="str" cm="1">
        <f t="array" ref="R4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5" spans="1:18" x14ac:dyDescent="0.2">
      <c r="A435">
        <f>Table1[[#This Row],[Age]]</f>
        <v>46</v>
      </c>
      <c r="B435">
        <f>IF(Table3[[#This Row],[Attrition]] = "Yes", 1,0)</f>
        <v>0</v>
      </c>
      <c r="C435" t="str">
        <f>Table1[[#This Row],[Attrition]]</f>
        <v>No</v>
      </c>
      <c r="D435" t="str">
        <f>Table1[[#This Row],[Department]]</f>
        <v>Sales</v>
      </c>
      <c r="E435">
        <f>Table1[[#This Row],[EnvironmentSatisfaction]]</f>
        <v>3</v>
      </c>
      <c r="F435">
        <f>Table1[[#This Row],[HourlyRate]]</f>
        <v>94</v>
      </c>
      <c r="G435" t="str">
        <f>Table1[[#This Row],[JobRole]]</f>
        <v>Sales Executive</v>
      </c>
      <c r="H435">
        <f>Table1[[#This Row],[JobSatisfaction]]</f>
        <v>4</v>
      </c>
      <c r="I435">
        <f>Table1[[#This Row],[YearsAtCompany]]</f>
        <v>3</v>
      </c>
      <c r="J435">
        <f>Table1[[#This Row],[YearsSinceLastPromotion]]</f>
        <v>1</v>
      </c>
      <c r="K435">
        <f>Table1[[#This Row],[EmployeeNumber]]</f>
        <v>580</v>
      </c>
      <c r="L435">
        <f>Table1[[#This Row],[DistanceFromHome]]</f>
        <v>10</v>
      </c>
      <c r="M435" t="str">
        <f>Table1[[#This Row],[OverTime]]</f>
        <v>Yes</v>
      </c>
      <c r="N435">
        <f>Table1[[#This Row],[WorkLifeBalance]]</f>
        <v>3</v>
      </c>
      <c r="O435" t="str" cm="1">
        <f t="array" ref="O435">_xlfn.IFS(A435&lt;=30,"18-30",A435&lt;=40,"31-40",A435&lt;=50,"41-50",A435&gt;50,"51+")</f>
        <v>41-50</v>
      </c>
      <c r="P435" t="str" cm="1">
        <f t="array" ref="P435">_xlfn.IFS(F435&lt;=45,"45 or below",F435&lt;= 60,"46-60",F435&lt;=75,"61-75",F435&lt;=90,"76-90",F435&gt;90,"91 or above")</f>
        <v>91 or above</v>
      </c>
      <c r="Q4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35" t="str" cm="1">
        <f t="array" ref="R435" xml:space="preserve"> _xlfn.IFS(Table3[[#This Row],[Flight Risk Score]] = "NA","NA",Table3[[#This Row],[Flight Risk Score]] &gt;= 70,"High Risk",Table3[[#This Row],[Flight Risk Score]] &gt;= 50, "Medium Risk", Table3[[#This Row],[Flight Risk Score]] &gt;= 30,"Low Risk",Table3[[#This Row],[Flight Risk Score]] &lt; 30,"Very Low Risk")</f>
        <v>Low Risk</v>
      </c>
    </row>
    <row r="436" spans="1:18" x14ac:dyDescent="0.2">
      <c r="A436">
        <f>Table1[[#This Row],[Age]]</f>
        <v>31</v>
      </c>
      <c r="B436">
        <f>IF(Table3[[#This Row],[Attrition]] = "Yes", 1,0)</f>
        <v>0</v>
      </c>
      <c r="C436" t="str">
        <f>Table1[[#This Row],[Attrition]]</f>
        <v>No</v>
      </c>
      <c r="D436" t="str">
        <f>Table1[[#This Row],[Department]]</f>
        <v>Research &amp; Development</v>
      </c>
      <c r="E436">
        <f>Table1[[#This Row],[EnvironmentSatisfaction]]</f>
        <v>3</v>
      </c>
      <c r="F436">
        <f>Table1[[#This Row],[HourlyRate]]</f>
        <v>33</v>
      </c>
      <c r="G436" t="str">
        <f>Table1[[#This Row],[JobRole]]</f>
        <v>Manufacturing Director</v>
      </c>
      <c r="H436">
        <f>Table1[[#This Row],[JobSatisfaction]]</f>
        <v>2</v>
      </c>
      <c r="I436">
        <f>Table1[[#This Row],[YearsAtCompany]]</f>
        <v>13</v>
      </c>
      <c r="J436">
        <f>Table1[[#This Row],[YearsSinceLastPromotion]]</f>
        <v>0</v>
      </c>
      <c r="K436">
        <f>Table1[[#This Row],[EmployeeNumber]]</f>
        <v>581</v>
      </c>
      <c r="L436">
        <f>Table1[[#This Row],[DistanceFromHome]]</f>
        <v>9</v>
      </c>
      <c r="M436" t="str">
        <f>Table1[[#This Row],[OverTime]]</f>
        <v>No</v>
      </c>
      <c r="N436">
        <f>Table1[[#This Row],[WorkLifeBalance]]</f>
        <v>4</v>
      </c>
      <c r="O436" t="str" cm="1">
        <f t="array" ref="O436">_xlfn.IFS(A436&lt;=30,"18-30",A436&lt;=40,"31-40",A436&lt;=50,"41-50",A436&gt;50,"51+")</f>
        <v>31-40</v>
      </c>
      <c r="P436" t="str" cm="1">
        <f t="array" ref="P436">_xlfn.IFS(F436&lt;=45,"45 or below",F436&lt;= 60,"46-60",F436&lt;=75,"61-75",F436&lt;=90,"76-90",F436&gt;90,"91 or above")</f>
        <v>45 or below</v>
      </c>
      <c r="Q4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36" t="str" cm="1">
        <f t="array" ref="R4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37" spans="1:18" hidden="1" x14ac:dyDescent="0.2">
      <c r="A437">
        <f>Table1[[#This Row],[Age]]</f>
        <v>33</v>
      </c>
      <c r="B437">
        <f>IF(Table3[[#This Row],[Attrition]] = "Yes", 1,0)</f>
        <v>1</v>
      </c>
      <c r="C437" t="str">
        <f>Table1[[#This Row],[Attrition]]</f>
        <v>Yes</v>
      </c>
      <c r="D437" t="str">
        <f>Table1[[#This Row],[Department]]</f>
        <v>Research &amp; Development</v>
      </c>
      <c r="E437">
        <f>Table1[[#This Row],[EnvironmentSatisfaction]]</f>
        <v>2</v>
      </c>
      <c r="F437">
        <f>Table1[[#This Row],[HourlyRate]]</f>
        <v>56</v>
      </c>
      <c r="G437" t="str">
        <f>Table1[[#This Row],[JobRole]]</f>
        <v>Manager</v>
      </c>
      <c r="H437">
        <f>Table1[[#This Row],[JobSatisfaction]]</f>
        <v>3</v>
      </c>
      <c r="I437">
        <f>Table1[[#This Row],[YearsAtCompany]]</f>
        <v>7</v>
      </c>
      <c r="J437">
        <f>Table1[[#This Row],[YearsSinceLastPromotion]]</f>
        <v>7</v>
      </c>
      <c r="K437">
        <f>Table1[[#This Row],[EmployeeNumber]]</f>
        <v>582</v>
      </c>
      <c r="L437">
        <f>Table1[[#This Row],[DistanceFromHome]]</f>
        <v>15</v>
      </c>
      <c r="M437" t="str">
        <f>Table1[[#This Row],[OverTime]]</f>
        <v>Yes</v>
      </c>
      <c r="N437">
        <f>Table1[[#This Row],[WorkLifeBalance]]</f>
        <v>4</v>
      </c>
      <c r="O437" t="str" cm="1">
        <f t="array" ref="O437">_xlfn.IFS(A437&lt;=30,"18-30",A437&lt;=40,"31-40",A437&lt;=50,"41-50",A437&gt;50,"51+")</f>
        <v>31-40</v>
      </c>
      <c r="P437" t="str" cm="1">
        <f t="array" ref="P437">_xlfn.IFS(F437&lt;=45,"45 or below",F437&lt;= 60,"46-60",F437&lt;=75,"61-75",F437&lt;=90,"76-90",F437&gt;90,"91 or above")</f>
        <v>46-60</v>
      </c>
      <c r="Q43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37" t="str" cm="1">
        <f t="array" ref="R437" xml:space="preserve"> _xlfn.IFS(Table3[[#This Row],[Flight Risk Score]] = "NA","NA",Table3[[#This Row],[Flight Risk Score]] &gt;= 70,"High Risk",Table3[[#This Row],[Flight Risk Score]] &gt;= 50, "Medium Risk", Table3[[#This Row],[Flight Risk Score]] &gt;= 30,"Low Risk",Table3[[#This Row],[Flight Risk Score]] &lt; 30,"Very Low Risk")</f>
        <v>NA</v>
      </c>
    </row>
    <row r="438" spans="1:18" hidden="1" x14ac:dyDescent="0.2">
      <c r="A438">
        <f>Table1[[#This Row],[Age]]</f>
        <v>33</v>
      </c>
      <c r="B438">
        <f>IF(Table3[[#This Row],[Attrition]] = "Yes", 1,0)</f>
        <v>1</v>
      </c>
      <c r="C438" t="str">
        <f>Table1[[#This Row],[Attrition]]</f>
        <v>Yes</v>
      </c>
      <c r="D438" t="str">
        <f>Table1[[#This Row],[Department]]</f>
        <v>Research &amp; Development</v>
      </c>
      <c r="E438">
        <f>Table1[[#This Row],[EnvironmentSatisfaction]]</f>
        <v>1</v>
      </c>
      <c r="F438">
        <f>Table1[[#This Row],[HourlyRate]]</f>
        <v>38</v>
      </c>
      <c r="G438" t="str">
        <f>Table1[[#This Row],[JobRole]]</f>
        <v>Laboratory Technician</v>
      </c>
      <c r="H438">
        <f>Table1[[#This Row],[JobSatisfaction]]</f>
        <v>4</v>
      </c>
      <c r="I438">
        <f>Table1[[#This Row],[YearsAtCompany]]</f>
        <v>4</v>
      </c>
      <c r="J438">
        <f>Table1[[#This Row],[YearsSinceLastPromotion]]</f>
        <v>1</v>
      </c>
      <c r="K438">
        <f>Table1[[#This Row],[EmployeeNumber]]</f>
        <v>584</v>
      </c>
      <c r="L438">
        <f>Table1[[#This Row],[DistanceFromHome]]</f>
        <v>10</v>
      </c>
      <c r="M438" t="str">
        <f>Table1[[#This Row],[OverTime]]</f>
        <v>No</v>
      </c>
      <c r="N438">
        <f>Table1[[#This Row],[WorkLifeBalance]]</f>
        <v>3</v>
      </c>
      <c r="O438" t="str" cm="1">
        <f t="array" ref="O438">_xlfn.IFS(A438&lt;=30,"18-30",A438&lt;=40,"31-40",A438&lt;=50,"41-50",A438&gt;50,"51+")</f>
        <v>31-40</v>
      </c>
      <c r="P438" t="str" cm="1">
        <f t="array" ref="P438">_xlfn.IFS(F438&lt;=45,"45 or below",F438&lt;= 60,"46-60",F438&lt;=75,"61-75",F438&lt;=90,"76-90",F438&gt;90,"91 or above")</f>
        <v>45 or below</v>
      </c>
      <c r="Q4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38" t="str" cm="1">
        <f t="array" ref="R438" xml:space="preserve"> _xlfn.IFS(Table3[[#This Row],[Flight Risk Score]] = "NA","NA",Table3[[#This Row],[Flight Risk Score]] &gt;= 70,"High Risk",Table3[[#This Row],[Flight Risk Score]] &gt;= 50, "Medium Risk", Table3[[#This Row],[Flight Risk Score]] &gt;= 30,"Low Risk",Table3[[#This Row],[Flight Risk Score]] &lt; 30,"Very Low Risk")</f>
        <v>NA</v>
      </c>
    </row>
    <row r="439" spans="1:18" x14ac:dyDescent="0.2">
      <c r="A439">
        <f>Table1[[#This Row],[Age]]</f>
        <v>30</v>
      </c>
      <c r="B439">
        <f>IF(Table3[[#This Row],[Attrition]] = "Yes", 1,0)</f>
        <v>0</v>
      </c>
      <c r="C439" t="str">
        <f>Table1[[#This Row],[Attrition]]</f>
        <v>No</v>
      </c>
      <c r="D439" t="str">
        <f>Table1[[#This Row],[Department]]</f>
        <v>Sales</v>
      </c>
      <c r="E439">
        <f>Table1[[#This Row],[EnvironmentSatisfaction]]</f>
        <v>4</v>
      </c>
      <c r="F439">
        <f>Table1[[#This Row],[HourlyRate]]</f>
        <v>57</v>
      </c>
      <c r="G439" t="str">
        <f>Table1[[#This Row],[JobRole]]</f>
        <v>Sales Representative</v>
      </c>
      <c r="H439">
        <f>Table1[[#This Row],[JobSatisfaction]]</f>
        <v>2</v>
      </c>
      <c r="I439">
        <f>Table1[[#This Row],[YearsAtCompany]]</f>
        <v>3</v>
      </c>
      <c r="J439">
        <f>Table1[[#This Row],[YearsSinceLastPromotion]]</f>
        <v>1</v>
      </c>
      <c r="K439">
        <f>Table1[[#This Row],[EmployeeNumber]]</f>
        <v>585</v>
      </c>
      <c r="L439">
        <f>Table1[[#This Row],[DistanceFromHome]]</f>
        <v>7</v>
      </c>
      <c r="M439" t="str">
        <f>Table1[[#This Row],[OverTime]]</f>
        <v>No</v>
      </c>
      <c r="N439">
        <f>Table1[[#This Row],[WorkLifeBalance]]</f>
        <v>3</v>
      </c>
      <c r="O439" t="str" cm="1">
        <f t="array" ref="O439">_xlfn.IFS(A439&lt;=30,"18-30",A439&lt;=40,"31-40",A439&lt;=50,"41-50",A439&gt;50,"51+")</f>
        <v>18-30</v>
      </c>
      <c r="P439" t="str" cm="1">
        <f t="array" ref="P439">_xlfn.IFS(F439&lt;=45,"45 or below",F439&lt;= 60,"46-60",F439&lt;=75,"61-75",F439&lt;=90,"76-90",F439&gt;90,"91 or above")</f>
        <v>46-60</v>
      </c>
      <c r="Q4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39" t="str" cm="1">
        <f t="array" ref="R4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40" spans="1:18" x14ac:dyDescent="0.2">
      <c r="A440">
        <f>Table1[[#This Row],[Age]]</f>
        <v>35</v>
      </c>
      <c r="B440">
        <f>IF(Table3[[#This Row],[Attrition]] = "Yes", 1,0)</f>
        <v>0</v>
      </c>
      <c r="C440" t="str">
        <f>Table1[[#This Row],[Attrition]]</f>
        <v>No</v>
      </c>
      <c r="D440" t="str">
        <f>Table1[[#This Row],[Department]]</f>
        <v>Research &amp; Development</v>
      </c>
      <c r="E440">
        <f>Table1[[#This Row],[EnvironmentSatisfaction]]</f>
        <v>4</v>
      </c>
      <c r="F440">
        <f>Table1[[#This Row],[HourlyRate]]</f>
        <v>72</v>
      </c>
      <c r="G440" t="str">
        <f>Table1[[#This Row],[JobRole]]</f>
        <v>Healthcare Representative</v>
      </c>
      <c r="H440">
        <f>Table1[[#This Row],[JobSatisfaction]]</f>
        <v>3</v>
      </c>
      <c r="I440">
        <f>Table1[[#This Row],[YearsAtCompany]]</f>
        <v>8</v>
      </c>
      <c r="J440">
        <f>Table1[[#This Row],[YearsSinceLastPromotion]]</f>
        <v>0</v>
      </c>
      <c r="K440">
        <f>Table1[[#This Row],[EmployeeNumber]]</f>
        <v>586</v>
      </c>
      <c r="L440">
        <f>Table1[[#This Row],[DistanceFromHome]]</f>
        <v>16</v>
      </c>
      <c r="M440" t="str">
        <f>Table1[[#This Row],[OverTime]]</f>
        <v>Yes</v>
      </c>
      <c r="N440">
        <f>Table1[[#This Row],[WorkLifeBalance]]</f>
        <v>3</v>
      </c>
      <c r="O440" t="str" cm="1">
        <f t="array" ref="O440">_xlfn.IFS(A440&lt;=30,"18-30",A440&lt;=40,"31-40",A440&lt;=50,"41-50",A440&gt;50,"51+")</f>
        <v>31-40</v>
      </c>
      <c r="P440" t="str" cm="1">
        <f t="array" ref="P440">_xlfn.IFS(F440&lt;=45,"45 or below",F440&lt;= 60,"46-60",F440&lt;=75,"61-75",F440&lt;=90,"76-90",F440&gt;90,"91 or above")</f>
        <v>61-75</v>
      </c>
      <c r="Q4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40" t="str" cm="1">
        <f t="array" ref="R440" xml:space="preserve"> _xlfn.IFS(Table3[[#This Row],[Flight Risk Score]] = "NA","NA",Table3[[#This Row],[Flight Risk Score]] &gt;= 70,"High Risk",Table3[[#This Row],[Flight Risk Score]] &gt;= 50, "Medium Risk", Table3[[#This Row],[Flight Risk Score]] &gt;= 30,"Low Risk",Table3[[#This Row],[Flight Risk Score]] &lt; 30,"Very Low Risk")</f>
        <v>Low Risk</v>
      </c>
    </row>
    <row r="441" spans="1:18" hidden="1" x14ac:dyDescent="0.2">
      <c r="A441">
        <f>Table1[[#This Row],[Age]]</f>
        <v>31</v>
      </c>
      <c r="B441">
        <f>IF(Table3[[#This Row],[Attrition]] = "Yes", 1,0)</f>
        <v>1</v>
      </c>
      <c r="C441" t="str">
        <f>Table1[[#This Row],[Attrition]]</f>
        <v>Yes</v>
      </c>
      <c r="D441" t="str">
        <f>Table1[[#This Row],[Department]]</f>
        <v>Research &amp; Development</v>
      </c>
      <c r="E441">
        <f>Table1[[#This Row],[EnvironmentSatisfaction]]</f>
        <v>1</v>
      </c>
      <c r="F441">
        <f>Table1[[#This Row],[HourlyRate]]</f>
        <v>66</v>
      </c>
      <c r="G441" t="str">
        <f>Table1[[#This Row],[JobRole]]</f>
        <v>Healthcare Representative</v>
      </c>
      <c r="H441">
        <f>Table1[[#This Row],[JobSatisfaction]]</f>
        <v>3</v>
      </c>
      <c r="I441">
        <f>Table1[[#This Row],[YearsAtCompany]]</f>
        <v>1</v>
      </c>
      <c r="J441">
        <f>Table1[[#This Row],[YearsSinceLastPromotion]]</f>
        <v>0</v>
      </c>
      <c r="K441">
        <f>Table1[[#This Row],[EmployeeNumber]]</f>
        <v>587</v>
      </c>
      <c r="L441">
        <f>Table1[[#This Row],[DistanceFromHome]]</f>
        <v>20</v>
      </c>
      <c r="M441" t="str">
        <f>Table1[[#This Row],[OverTime]]</f>
        <v>No</v>
      </c>
      <c r="N441">
        <f>Table1[[#This Row],[WorkLifeBalance]]</f>
        <v>3</v>
      </c>
      <c r="O441" t="str" cm="1">
        <f t="array" ref="O441">_xlfn.IFS(A441&lt;=30,"18-30",A441&lt;=40,"31-40",A441&lt;=50,"41-50",A441&gt;50,"51+")</f>
        <v>31-40</v>
      </c>
      <c r="P441" t="str" cm="1">
        <f t="array" ref="P441">_xlfn.IFS(F441&lt;=45,"45 or below",F441&lt;= 60,"46-60",F441&lt;=75,"61-75",F441&lt;=90,"76-90",F441&gt;90,"91 or above")</f>
        <v>61-75</v>
      </c>
      <c r="Q44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41" t="str" cm="1">
        <f t="array" ref="R441" xml:space="preserve"> _xlfn.IFS(Table3[[#This Row],[Flight Risk Score]] = "NA","NA",Table3[[#This Row],[Flight Risk Score]] &gt;= 70,"High Risk",Table3[[#This Row],[Flight Risk Score]] &gt;= 50, "Medium Risk", Table3[[#This Row],[Flight Risk Score]] &gt;= 30,"Low Risk",Table3[[#This Row],[Flight Risk Score]] &lt; 30,"Very Low Risk")</f>
        <v>NA</v>
      </c>
    </row>
    <row r="442" spans="1:18" hidden="1" x14ac:dyDescent="0.2">
      <c r="A442">
        <f>Table1[[#This Row],[Age]]</f>
        <v>34</v>
      </c>
      <c r="B442">
        <f>IF(Table3[[#This Row],[Attrition]] = "Yes", 1,0)</f>
        <v>1</v>
      </c>
      <c r="C442" t="str">
        <f>Table1[[#This Row],[Attrition]]</f>
        <v>Yes</v>
      </c>
      <c r="D442" t="str">
        <f>Table1[[#This Row],[Department]]</f>
        <v>Human Resources</v>
      </c>
      <c r="E442">
        <f>Table1[[#This Row],[EnvironmentSatisfaction]]</f>
        <v>2</v>
      </c>
      <c r="F442">
        <f>Table1[[#This Row],[HourlyRate]]</f>
        <v>43</v>
      </c>
      <c r="G442" t="str">
        <f>Table1[[#This Row],[JobRole]]</f>
        <v>Human Resources</v>
      </c>
      <c r="H442">
        <f>Table1[[#This Row],[JobSatisfaction]]</f>
        <v>1</v>
      </c>
      <c r="I442">
        <f>Table1[[#This Row],[YearsAtCompany]]</f>
        <v>3</v>
      </c>
      <c r="J442">
        <f>Table1[[#This Row],[YearsSinceLastPromotion]]</f>
        <v>0</v>
      </c>
      <c r="K442">
        <f>Table1[[#This Row],[EmployeeNumber]]</f>
        <v>590</v>
      </c>
      <c r="L442">
        <f>Table1[[#This Row],[DistanceFromHome]]</f>
        <v>23</v>
      </c>
      <c r="M442" t="str">
        <f>Table1[[#This Row],[OverTime]]</f>
        <v>Yes</v>
      </c>
      <c r="N442">
        <f>Table1[[#This Row],[WorkLifeBalance]]</f>
        <v>3</v>
      </c>
      <c r="O442" t="str" cm="1">
        <f t="array" ref="O442">_xlfn.IFS(A442&lt;=30,"18-30",A442&lt;=40,"31-40",A442&lt;=50,"41-50",A442&gt;50,"51+")</f>
        <v>31-40</v>
      </c>
      <c r="P442" t="str" cm="1">
        <f t="array" ref="P442">_xlfn.IFS(F442&lt;=45,"45 or below",F442&lt;= 60,"46-60",F442&lt;=75,"61-75",F442&lt;=90,"76-90",F442&gt;90,"91 or above")</f>
        <v>45 or below</v>
      </c>
      <c r="Q44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42" t="str" cm="1">
        <f t="array" ref="R442" xml:space="preserve"> _xlfn.IFS(Table3[[#This Row],[Flight Risk Score]] = "NA","NA",Table3[[#This Row],[Flight Risk Score]] &gt;= 70,"High Risk",Table3[[#This Row],[Flight Risk Score]] &gt;= 50, "Medium Risk", Table3[[#This Row],[Flight Risk Score]] &gt;= 30,"Low Risk",Table3[[#This Row],[Flight Risk Score]] &lt; 30,"Very Low Risk")</f>
        <v>NA</v>
      </c>
    </row>
    <row r="443" spans="1:18" x14ac:dyDescent="0.2">
      <c r="A443">
        <f>Table1[[#This Row],[Age]]</f>
        <v>42</v>
      </c>
      <c r="B443">
        <f>IF(Table3[[#This Row],[Attrition]] = "Yes", 1,0)</f>
        <v>0</v>
      </c>
      <c r="C443" t="str">
        <f>Table1[[#This Row],[Attrition]]</f>
        <v>No</v>
      </c>
      <c r="D443" t="str">
        <f>Table1[[#This Row],[Department]]</f>
        <v>Research &amp; Development</v>
      </c>
      <c r="E443">
        <f>Table1[[#This Row],[EnvironmentSatisfaction]]</f>
        <v>2</v>
      </c>
      <c r="F443">
        <f>Table1[[#This Row],[HourlyRate]]</f>
        <v>97</v>
      </c>
      <c r="G443" t="str">
        <f>Table1[[#This Row],[JobRole]]</f>
        <v>Laboratory Technician</v>
      </c>
      <c r="H443">
        <f>Table1[[#This Row],[JobSatisfaction]]</f>
        <v>3</v>
      </c>
      <c r="I443">
        <f>Table1[[#This Row],[YearsAtCompany]]</f>
        <v>2</v>
      </c>
      <c r="J443">
        <f>Table1[[#This Row],[YearsSinceLastPromotion]]</f>
        <v>2</v>
      </c>
      <c r="K443">
        <f>Table1[[#This Row],[EmployeeNumber]]</f>
        <v>591</v>
      </c>
      <c r="L443">
        <f>Table1[[#This Row],[DistanceFromHome]]</f>
        <v>5</v>
      </c>
      <c r="M443" t="str">
        <f>Table1[[#This Row],[OverTime]]</f>
        <v>No</v>
      </c>
      <c r="N443">
        <f>Table1[[#This Row],[WorkLifeBalance]]</f>
        <v>3</v>
      </c>
      <c r="O443" t="str" cm="1">
        <f t="array" ref="O443">_xlfn.IFS(A443&lt;=30,"18-30",A443&lt;=40,"31-40",A443&lt;=50,"41-50",A443&gt;50,"51+")</f>
        <v>41-50</v>
      </c>
      <c r="P443" t="str" cm="1">
        <f t="array" ref="P443">_xlfn.IFS(F443&lt;=45,"45 or below",F443&lt;= 60,"46-60",F443&lt;=75,"61-75",F443&lt;=90,"76-90",F443&gt;90,"91 or above")</f>
        <v>91 or above</v>
      </c>
      <c r="Q4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43" t="str" cm="1">
        <f t="array" ref="R4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44" spans="1:18" x14ac:dyDescent="0.2">
      <c r="A444">
        <f>Table1[[#This Row],[Age]]</f>
        <v>36</v>
      </c>
      <c r="B444">
        <f>IF(Table3[[#This Row],[Attrition]] = "Yes", 1,0)</f>
        <v>0</v>
      </c>
      <c r="C444" t="str">
        <f>Table1[[#This Row],[Attrition]]</f>
        <v>No</v>
      </c>
      <c r="D444" t="str">
        <f>Table1[[#This Row],[Department]]</f>
        <v>Sales</v>
      </c>
      <c r="E444">
        <f>Table1[[#This Row],[EnvironmentSatisfaction]]</f>
        <v>2</v>
      </c>
      <c r="F444">
        <f>Table1[[#This Row],[HourlyRate]]</f>
        <v>32</v>
      </c>
      <c r="G444" t="str">
        <f>Table1[[#This Row],[JobRole]]</f>
        <v>Sales Executive</v>
      </c>
      <c r="H444">
        <f>Table1[[#This Row],[JobSatisfaction]]</f>
        <v>4</v>
      </c>
      <c r="I444">
        <f>Table1[[#This Row],[YearsAtCompany]]</f>
        <v>10</v>
      </c>
      <c r="J444">
        <f>Table1[[#This Row],[YearsSinceLastPromotion]]</f>
        <v>9</v>
      </c>
      <c r="K444">
        <f>Table1[[#This Row],[EmployeeNumber]]</f>
        <v>592</v>
      </c>
      <c r="L444">
        <f>Table1[[#This Row],[DistanceFromHome]]</f>
        <v>10</v>
      </c>
      <c r="M444" t="str">
        <f>Table1[[#This Row],[OverTime]]</f>
        <v>No</v>
      </c>
      <c r="N444">
        <f>Table1[[#This Row],[WorkLifeBalance]]</f>
        <v>2</v>
      </c>
      <c r="O444" t="str" cm="1">
        <f t="array" ref="O444">_xlfn.IFS(A444&lt;=30,"18-30",A444&lt;=40,"31-40",A444&lt;=50,"41-50",A444&gt;50,"51+")</f>
        <v>31-40</v>
      </c>
      <c r="P444" t="str" cm="1">
        <f t="array" ref="P444">_xlfn.IFS(F444&lt;=45,"45 or below",F444&lt;= 60,"46-60",F444&lt;=75,"61-75",F444&lt;=90,"76-90",F444&gt;90,"91 or above")</f>
        <v>45 or below</v>
      </c>
      <c r="Q4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44" t="str" cm="1">
        <f t="array" ref="R44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45" spans="1:18" hidden="1" x14ac:dyDescent="0.2">
      <c r="A445">
        <f>Table1[[#This Row],[Age]]</f>
        <v>22</v>
      </c>
      <c r="B445">
        <f>IF(Table3[[#This Row],[Attrition]] = "Yes", 1,0)</f>
        <v>1</v>
      </c>
      <c r="C445" t="str">
        <f>Table1[[#This Row],[Attrition]]</f>
        <v>Yes</v>
      </c>
      <c r="D445" t="str">
        <f>Table1[[#This Row],[Department]]</f>
        <v>Research &amp; Development</v>
      </c>
      <c r="E445">
        <f>Table1[[#This Row],[EnvironmentSatisfaction]]</f>
        <v>3</v>
      </c>
      <c r="F445">
        <f>Table1[[#This Row],[HourlyRate]]</f>
        <v>99</v>
      </c>
      <c r="G445" t="str">
        <f>Table1[[#This Row],[JobRole]]</f>
        <v>Laboratory Technician</v>
      </c>
      <c r="H445">
        <f>Table1[[#This Row],[JobSatisfaction]]</f>
        <v>3</v>
      </c>
      <c r="I445">
        <f>Table1[[#This Row],[YearsAtCompany]]</f>
        <v>2</v>
      </c>
      <c r="J445">
        <f>Table1[[#This Row],[YearsSinceLastPromotion]]</f>
        <v>1</v>
      </c>
      <c r="K445">
        <f>Table1[[#This Row],[EmployeeNumber]]</f>
        <v>593</v>
      </c>
      <c r="L445">
        <f>Table1[[#This Row],[DistanceFromHome]]</f>
        <v>4</v>
      </c>
      <c r="M445" t="str">
        <f>Table1[[#This Row],[OverTime]]</f>
        <v>No</v>
      </c>
      <c r="N445">
        <f>Table1[[#This Row],[WorkLifeBalance]]</f>
        <v>3</v>
      </c>
      <c r="O445" t="str" cm="1">
        <f t="array" ref="O445">_xlfn.IFS(A445&lt;=30,"18-30",A445&lt;=40,"31-40",A445&lt;=50,"41-50",A445&gt;50,"51+")</f>
        <v>18-30</v>
      </c>
      <c r="P445" t="str" cm="1">
        <f t="array" ref="P445">_xlfn.IFS(F445&lt;=45,"45 or below",F445&lt;= 60,"46-60",F445&lt;=75,"61-75",F445&lt;=90,"76-90",F445&gt;90,"91 or above")</f>
        <v>91 or above</v>
      </c>
      <c r="Q44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45" t="str" cm="1">
        <f t="array" ref="R445" xml:space="preserve"> _xlfn.IFS(Table3[[#This Row],[Flight Risk Score]] = "NA","NA",Table3[[#This Row],[Flight Risk Score]] &gt;= 70,"High Risk",Table3[[#This Row],[Flight Risk Score]] &gt;= 50, "Medium Risk", Table3[[#This Row],[Flight Risk Score]] &gt;= 30,"Low Risk",Table3[[#This Row],[Flight Risk Score]] &lt; 30,"Very Low Risk")</f>
        <v>NA</v>
      </c>
    </row>
    <row r="446" spans="1:18" x14ac:dyDescent="0.2">
      <c r="A446">
        <f>Table1[[#This Row],[Age]]</f>
        <v>48</v>
      </c>
      <c r="B446">
        <f>IF(Table3[[#This Row],[Attrition]] = "Yes", 1,0)</f>
        <v>0</v>
      </c>
      <c r="C446" t="str">
        <f>Table1[[#This Row],[Attrition]]</f>
        <v>No</v>
      </c>
      <c r="D446" t="str">
        <f>Table1[[#This Row],[Department]]</f>
        <v>Sales</v>
      </c>
      <c r="E446">
        <f>Table1[[#This Row],[EnvironmentSatisfaction]]</f>
        <v>2</v>
      </c>
      <c r="F446">
        <f>Table1[[#This Row],[HourlyRate]]</f>
        <v>37</v>
      </c>
      <c r="G446" t="str">
        <f>Table1[[#This Row],[JobRole]]</f>
        <v>Sales Executive</v>
      </c>
      <c r="H446">
        <f>Table1[[#This Row],[JobSatisfaction]]</f>
        <v>4</v>
      </c>
      <c r="I446">
        <f>Table1[[#This Row],[YearsAtCompany]]</f>
        <v>9</v>
      </c>
      <c r="J446">
        <f>Table1[[#This Row],[YearsSinceLastPromotion]]</f>
        <v>6</v>
      </c>
      <c r="K446">
        <f>Table1[[#This Row],[EmployeeNumber]]</f>
        <v>595</v>
      </c>
      <c r="L446">
        <f>Table1[[#This Row],[DistanceFromHome]]</f>
        <v>2</v>
      </c>
      <c r="M446" t="str">
        <f>Table1[[#This Row],[OverTime]]</f>
        <v>No</v>
      </c>
      <c r="N446">
        <f>Table1[[#This Row],[WorkLifeBalance]]</f>
        <v>3</v>
      </c>
      <c r="O446" t="str" cm="1">
        <f t="array" ref="O446">_xlfn.IFS(A446&lt;=30,"18-30",A446&lt;=40,"31-40",A446&lt;=50,"41-50",A446&gt;50,"51+")</f>
        <v>41-50</v>
      </c>
      <c r="P446" t="str" cm="1">
        <f t="array" ref="P446">_xlfn.IFS(F446&lt;=45,"45 or below",F446&lt;= 60,"46-60",F446&lt;=75,"61-75",F446&lt;=90,"76-90",F446&gt;90,"91 or above")</f>
        <v>45 or below</v>
      </c>
      <c r="Q4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46" t="str" cm="1">
        <f t="array" ref="R4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47" spans="1:18" x14ac:dyDescent="0.2">
      <c r="A447">
        <f>Table1[[#This Row],[Age]]</f>
        <v>55</v>
      </c>
      <c r="B447">
        <f>IF(Table3[[#This Row],[Attrition]] = "Yes", 1,0)</f>
        <v>0</v>
      </c>
      <c r="C447" t="str">
        <f>Table1[[#This Row],[Attrition]]</f>
        <v>No</v>
      </c>
      <c r="D447" t="str">
        <f>Table1[[#This Row],[Department]]</f>
        <v>Sales</v>
      </c>
      <c r="E447">
        <f>Table1[[#This Row],[EnvironmentSatisfaction]]</f>
        <v>1</v>
      </c>
      <c r="F447">
        <f>Table1[[#This Row],[HourlyRate]]</f>
        <v>83</v>
      </c>
      <c r="G447" t="str">
        <f>Table1[[#This Row],[JobRole]]</f>
        <v>Manager</v>
      </c>
      <c r="H447">
        <f>Table1[[#This Row],[JobSatisfaction]]</f>
        <v>2</v>
      </c>
      <c r="I447">
        <f>Table1[[#This Row],[YearsAtCompany]]</f>
        <v>10</v>
      </c>
      <c r="J447">
        <f>Table1[[#This Row],[YearsSinceLastPromotion]]</f>
        <v>7</v>
      </c>
      <c r="K447">
        <f>Table1[[#This Row],[EmployeeNumber]]</f>
        <v>597</v>
      </c>
      <c r="L447">
        <f>Table1[[#This Row],[DistanceFromHome]]</f>
        <v>18</v>
      </c>
      <c r="M447" t="str">
        <f>Table1[[#This Row],[OverTime]]</f>
        <v>No</v>
      </c>
      <c r="N447">
        <f>Table1[[#This Row],[WorkLifeBalance]]</f>
        <v>3</v>
      </c>
      <c r="O447" t="str" cm="1">
        <f t="array" ref="O447">_xlfn.IFS(A447&lt;=30,"18-30",A447&lt;=40,"31-40",A447&lt;=50,"41-50",A447&gt;50,"51+")</f>
        <v>51+</v>
      </c>
      <c r="P447" t="str" cm="1">
        <f t="array" ref="P447">_xlfn.IFS(F447&lt;=45,"45 or below",F447&lt;= 60,"46-60",F447&lt;=75,"61-75",F447&lt;=90,"76-90",F447&gt;90,"91 or above")</f>
        <v>76-90</v>
      </c>
      <c r="Q4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47" t="str" cm="1">
        <f t="array" ref="R447" xml:space="preserve"> _xlfn.IFS(Table3[[#This Row],[Flight Risk Score]] = "NA","NA",Table3[[#This Row],[Flight Risk Score]] &gt;= 70,"High Risk",Table3[[#This Row],[Flight Risk Score]] &gt;= 50, "Medium Risk", Table3[[#This Row],[Flight Risk Score]] &gt;= 30,"Low Risk",Table3[[#This Row],[Flight Risk Score]] &lt; 30,"Very Low Risk")</f>
        <v>Low Risk</v>
      </c>
    </row>
    <row r="448" spans="1:18" x14ac:dyDescent="0.2">
      <c r="A448">
        <f>Table1[[#This Row],[Age]]</f>
        <v>41</v>
      </c>
      <c r="B448">
        <f>IF(Table3[[#This Row],[Attrition]] = "Yes", 1,0)</f>
        <v>0</v>
      </c>
      <c r="C448" t="str">
        <f>Table1[[#This Row],[Attrition]]</f>
        <v>No</v>
      </c>
      <c r="D448" t="str">
        <f>Table1[[#This Row],[Department]]</f>
        <v>Sales</v>
      </c>
      <c r="E448">
        <f>Table1[[#This Row],[EnvironmentSatisfaction]]</f>
        <v>4</v>
      </c>
      <c r="F448">
        <f>Table1[[#This Row],[HourlyRate]]</f>
        <v>56</v>
      </c>
      <c r="G448" t="str">
        <f>Table1[[#This Row],[JobRole]]</f>
        <v>Sales Executive</v>
      </c>
      <c r="H448">
        <f>Table1[[#This Row],[JobSatisfaction]]</f>
        <v>4</v>
      </c>
      <c r="I448">
        <f>Table1[[#This Row],[YearsAtCompany]]</f>
        <v>14</v>
      </c>
      <c r="J448">
        <f>Table1[[#This Row],[YearsSinceLastPromotion]]</f>
        <v>1</v>
      </c>
      <c r="K448">
        <f>Table1[[#This Row],[EmployeeNumber]]</f>
        <v>599</v>
      </c>
      <c r="L448">
        <f>Table1[[#This Row],[DistanceFromHome]]</f>
        <v>10</v>
      </c>
      <c r="M448" t="str">
        <f>Table1[[#This Row],[OverTime]]</f>
        <v>No</v>
      </c>
      <c r="N448">
        <f>Table1[[#This Row],[WorkLifeBalance]]</f>
        <v>3</v>
      </c>
      <c r="O448" t="str" cm="1">
        <f t="array" ref="O448">_xlfn.IFS(A448&lt;=30,"18-30",A448&lt;=40,"31-40",A448&lt;=50,"41-50",A448&gt;50,"51+")</f>
        <v>41-50</v>
      </c>
      <c r="P448" t="str" cm="1">
        <f t="array" ref="P448">_xlfn.IFS(F448&lt;=45,"45 or below",F448&lt;= 60,"46-60",F448&lt;=75,"61-75",F448&lt;=90,"76-90",F448&gt;90,"91 or above")</f>
        <v>46-60</v>
      </c>
      <c r="Q4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48" t="str" cm="1">
        <f t="array" ref="R4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49" spans="1:18" x14ac:dyDescent="0.2">
      <c r="A449">
        <f>Table1[[#This Row],[Age]]</f>
        <v>35</v>
      </c>
      <c r="B449">
        <f>IF(Table3[[#This Row],[Attrition]] = "Yes", 1,0)</f>
        <v>0</v>
      </c>
      <c r="C449" t="str">
        <f>Table1[[#This Row],[Attrition]]</f>
        <v>No</v>
      </c>
      <c r="D449" t="str">
        <f>Table1[[#This Row],[Department]]</f>
        <v>Sales</v>
      </c>
      <c r="E449">
        <f>Table1[[#This Row],[EnvironmentSatisfaction]]</f>
        <v>2</v>
      </c>
      <c r="F449">
        <f>Table1[[#This Row],[HourlyRate]]</f>
        <v>85</v>
      </c>
      <c r="G449" t="str">
        <f>Table1[[#This Row],[JobRole]]</f>
        <v>Sales Executive</v>
      </c>
      <c r="H449">
        <f>Table1[[#This Row],[JobSatisfaction]]</f>
        <v>3</v>
      </c>
      <c r="I449">
        <f>Table1[[#This Row],[YearsAtCompany]]</f>
        <v>11</v>
      </c>
      <c r="J449">
        <f>Table1[[#This Row],[YearsSinceLastPromotion]]</f>
        <v>6</v>
      </c>
      <c r="K449">
        <f>Table1[[#This Row],[EmployeeNumber]]</f>
        <v>600</v>
      </c>
      <c r="L449">
        <f>Table1[[#This Row],[DistanceFromHome]]</f>
        <v>1</v>
      </c>
      <c r="M449" t="str">
        <f>Table1[[#This Row],[OverTime]]</f>
        <v>No</v>
      </c>
      <c r="N449">
        <f>Table1[[#This Row],[WorkLifeBalance]]</f>
        <v>3</v>
      </c>
      <c r="O449" t="str" cm="1">
        <f t="array" ref="O449">_xlfn.IFS(A449&lt;=30,"18-30",A449&lt;=40,"31-40",A449&lt;=50,"41-50",A449&gt;50,"51+")</f>
        <v>31-40</v>
      </c>
      <c r="P449" t="str" cm="1">
        <f t="array" ref="P449">_xlfn.IFS(F449&lt;=45,"45 or below",F449&lt;= 60,"46-60",F449&lt;=75,"61-75",F449&lt;=90,"76-90",F449&gt;90,"91 or above")</f>
        <v>76-90</v>
      </c>
      <c r="Q4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49" t="str" cm="1">
        <f t="array" ref="R4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0" spans="1:18" x14ac:dyDescent="0.2">
      <c r="A450">
        <f>Table1[[#This Row],[Age]]</f>
        <v>40</v>
      </c>
      <c r="B450">
        <f>IF(Table3[[#This Row],[Attrition]] = "Yes", 1,0)</f>
        <v>0</v>
      </c>
      <c r="C450" t="str">
        <f>Table1[[#This Row],[Attrition]]</f>
        <v>No</v>
      </c>
      <c r="D450" t="str">
        <f>Table1[[#This Row],[Department]]</f>
        <v>Research &amp; Development</v>
      </c>
      <c r="E450">
        <f>Table1[[#This Row],[EnvironmentSatisfaction]]</f>
        <v>2</v>
      </c>
      <c r="F450">
        <f>Table1[[#This Row],[HourlyRate]]</f>
        <v>75</v>
      </c>
      <c r="G450" t="str">
        <f>Table1[[#This Row],[JobRole]]</f>
        <v>Manufacturing Director</v>
      </c>
      <c r="H450">
        <f>Table1[[#This Row],[JobSatisfaction]]</f>
        <v>3</v>
      </c>
      <c r="I450">
        <f>Table1[[#This Row],[YearsAtCompany]]</f>
        <v>20</v>
      </c>
      <c r="J450">
        <f>Table1[[#This Row],[YearsSinceLastPromotion]]</f>
        <v>5</v>
      </c>
      <c r="K450">
        <f>Table1[[#This Row],[EmployeeNumber]]</f>
        <v>601</v>
      </c>
      <c r="L450">
        <f>Table1[[#This Row],[DistanceFromHome]]</f>
        <v>6</v>
      </c>
      <c r="M450" t="str">
        <f>Table1[[#This Row],[OverTime]]</f>
        <v>No</v>
      </c>
      <c r="N450">
        <f>Table1[[#This Row],[WorkLifeBalance]]</f>
        <v>3</v>
      </c>
      <c r="O450" t="str" cm="1">
        <f t="array" ref="O450">_xlfn.IFS(A450&lt;=30,"18-30",A450&lt;=40,"31-40",A450&lt;=50,"41-50",A450&gt;50,"51+")</f>
        <v>31-40</v>
      </c>
      <c r="P450" t="str" cm="1">
        <f t="array" ref="P450">_xlfn.IFS(F450&lt;=45,"45 or below",F450&lt;= 60,"46-60",F450&lt;=75,"61-75",F450&lt;=90,"76-90",F450&gt;90,"91 or above")</f>
        <v>61-75</v>
      </c>
      <c r="Q4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50" t="str" cm="1">
        <f t="array" ref="R4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1" spans="1:18" x14ac:dyDescent="0.2">
      <c r="A451">
        <f>Table1[[#This Row],[Age]]</f>
        <v>39</v>
      </c>
      <c r="B451">
        <f>IF(Table3[[#This Row],[Attrition]] = "Yes", 1,0)</f>
        <v>0</v>
      </c>
      <c r="C451" t="str">
        <f>Table1[[#This Row],[Attrition]]</f>
        <v>No</v>
      </c>
      <c r="D451" t="str">
        <f>Table1[[#This Row],[Department]]</f>
        <v>Research &amp; Development</v>
      </c>
      <c r="E451">
        <f>Table1[[#This Row],[EnvironmentSatisfaction]]</f>
        <v>3</v>
      </c>
      <c r="F451">
        <f>Table1[[#This Row],[HourlyRate]]</f>
        <v>48</v>
      </c>
      <c r="G451" t="str">
        <f>Table1[[#This Row],[JobRole]]</f>
        <v>Laboratory Technician</v>
      </c>
      <c r="H451">
        <f>Table1[[#This Row],[JobSatisfaction]]</f>
        <v>3</v>
      </c>
      <c r="I451">
        <f>Table1[[#This Row],[YearsAtCompany]]</f>
        <v>8</v>
      </c>
      <c r="J451">
        <f>Table1[[#This Row],[YearsSinceLastPromotion]]</f>
        <v>0</v>
      </c>
      <c r="K451">
        <f>Table1[[#This Row],[EmployeeNumber]]</f>
        <v>602</v>
      </c>
      <c r="L451">
        <f>Table1[[#This Row],[DistanceFromHome]]</f>
        <v>8</v>
      </c>
      <c r="M451" t="str">
        <f>Table1[[#This Row],[OverTime]]</f>
        <v>No</v>
      </c>
      <c r="N451">
        <f>Table1[[#This Row],[WorkLifeBalance]]</f>
        <v>3</v>
      </c>
      <c r="O451" t="str" cm="1">
        <f t="array" ref="O451">_xlfn.IFS(A451&lt;=30,"18-30",A451&lt;=40,"31-40",A451&lt;=50,"41-50",A451&gt;50,"51+")</f>
        <v>31-40</v>
      </c>
      <c r="P451" t="str" cm="1">
        <f t="array" ref="P451">_xlfn.IFS(F451&lt;=45,"45 or below",F451&lt;= 60,"46-60",F451&lt;=75,"61-75",F451&lt;=90,"76-90",F451&gt;90,"91 or above")</f>
        <v>46-60</v>
      </c>
      <c r="Q4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51" t="str" cm="1">
        <f t="array" ref="R4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2" spans="1:18" x14ac:dyDescent="0.2">
      <c r="A452">
        <f>Table1[[#This Row],[Age]]</f>
        <v>31</v>
      </c>
      <c r="B452">
        <f>IF(Table3[[#This Row],[Attrition]] = "Yes", 1,0)</f>
        <v>0</v>
      </c>
      <c r="C452" t="str">
        <f>Table1[[#This Row],[Attrition]]</f>
        <v>No</v>
      </c>
      <c r="D452" t="str">
        <f>Table1[[#This Row],[Department]]</f>
        <v>Sales</v>
      </c>
      <c r="E452">
        <f>Table1[[#This Row],[EnvironmentSatisfaction]]</f>
        <v>2</v>
      </c>
      <c r="F452">
        <f>Table1[[#This Row],[HourlyRate]]</f>
        <v>77</v>
      </c>
      <c r="G452" t="str">
        <f>Table1[[#This Row],[JobRole]]</f>
        <v>Sales Executive</v>
      </c>
      <c r="H452">
        <f>Table1[[#This Row],[JobSatisfaction]]</f>
        <v>4</v>
      </c>
      <c r="I452">
        <f>Table1[[#This Row],[YearsAtCompany]]</f>
        <v>6</v>
      </c>
      <c r="J452">
        <f>Table1[[#This Row],[YearsSinceLastPromotion]]</f>
        <v>0</v>
      </c>
      <c r="K452">
        <f>Table1[[#This Row],[EmployeeNumber]]</f>
        <v>604</v>
      </c>
      <c r="L452">
        <f>Table1[[#This Row],[DistanceFromHome]]</f>
        <v>2</v>
      </c>
      <c r="M452" t="str">
        <f>Table1[[#This Row],[OverTime]]</f>
        <v>Yes</v>
      </c>
      <c r="N452">
        <f>Table1[[#This Row],[WorkLifeBalance]]</f>
        <v>4</v>
      </c>
      <c r="O452" t="str" cm="1">
        <f t="array" ref="O452">_xlfn.IFS(A452&lt;=30,"18-30",A452&lt;=40,"31-40",A452&lt;=50,"41-50",A452&gt;50,"51+")</f>
        <v>31-40</v>
      </c>
      <c r="P452" t="str" cm="1">
        <f t="array" ref="P452">_xlfn.IFS(F452&lt;=45,"45 or below",F452&lt;= 60,"46-60",F452&lt;=75,"61-75",F452&lt;=90,"76-90",F452&gt;90,"91 or above")</f>
        <v>76-90</v>
      </c>
      <c r="Q4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52" t="str" cm="1">
        <f t="array" ref="R45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53" spans="1:18" x14ac:dyDescent="0.2">
      <c r="A453">
        <f>Table1[[#This Row],[Age]]</f>
        <v>42</v>
      </c>
      <c r="B453">
        <f>IF(Table3[[#This Row],[Attrition]] = "Yes", 1,0)</f>
        <v>0</v>
      </c>
      <c r="C453" t="str">
        <f>Table1[[#This Row],[Attrition]]</f>
        <v>No</v>
      </c>
      <c r="D453" t="str">
        <f>Table1[[#This Row],[Department]]</f>
        <v>Research &amp; Development</v>
      </c>
      <c r="E453">
        <f>Table1[[#This Row],[EnvironmentSatisfaction]]</f>
        <v>4</v>
      </c>
      <c r="F453">
        <f>Table1[[#This Row],[HourlyRate]]</f>
        <v>56</v>
      </c>
      <c r="G453" t="str">
        <f>Table1[[#This Row],[JobRole]]</f>
        <v>Manufacturing Director</v>
      </c>
      <c r="H453">
        <f>Table1[[#This Row],[JobSatisfaction]]</f>
        <v>1</v>
      </c>
      <c r="I453">
        <f>Table1[[#This Row],[YearsAtCompany]]</f>
        <v>10</v>
      </c>
      <c r="J453">
        <f>Table1[[#This Row],[YearsSinceLastPromotion]]</f>
        <v>5</v>
      </c>
      <c r="K453">
        <f>Table1[[#This Row],[EmployeeNumber]]</f>
        <v>605</v>
      </c>
      <c r="L453">
        <f>Table1[[#This Row],[DistanceFromHome]]</f>
        <v>24</v>
      </c>
      <c r="M453" t="str">
        <f>Table1[[#This Row],[OverTime]]</f>
        <v>Yes</v>
      </c>
      <c r="N453">
        <f>Table1[[#This Row],[WorkLifeBalance]]</f>
        <v>2</v>
      </c>
      <c r="O453" t="str" cm="1">
        <f t="array" ref="O453">_xlfn.IFS(A453&lt;=30,"18-30",A453&lt;=40,"31-40",A453&lt;=50,"41-50",A453&gt;50,"51+")</f>
        <v>41-50</v>
      </c>
      <c r="P453" t="str" cm="1">
        <f t="array" ref="P453">_xlfn.IFS(F453&lt;=45,"45 or below",F453&lt;= 60,"46-60",F453&lt;=75,"61-75",F453&lt;=90,"76-90",F453&gt;90,"91 or above")</f>
        <v>46-60</v>
      </c>
      <c r="Q4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53" t="str" cm="1">
        <f t="array" ref="R45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54" spans="1:18" x14ac:dyDescent="0.2">
      <c r="A454">
        <f>Table1[[#This Row],[Age]]</f>
        <v>45</v>
      </c>
      <c r="B454">
        <f>IF(Table3[[#This Row],[Attrition]] = "Yes", 1,0)</f>
        <v>0</v>
      </c>
      <c r="C454" t="str">
        <f>Table1[[#This Row],[Attrition]]</f>
        <v>No</v>
      </c>
      <c r="D454" t="str">
        <f>Table1[[#This Row],[Department]]</f>
        <v>Sales</v>
      </c>
      <c r="E454">
        <f>Table1[[#This Row],[EnvironmentSatisfaction]]</f>
        <v>4</v>
      </c>
      <c r="F454">
        <f>Table1[[#This Row],[HourlyRate]]</f>
        <v>61</v>
      </c>
      <c r="G454" t="str">
        <f>Table1[[#This Row],[JobRole]]</f>
        <v>Sales Executive</v>
      </c>
      <c r="H454">
        <f>Table1[[#This Row],[JobSatisfaction]]</f>
        <v>2</v>
      </c>
      <c r="I454">
        <f>Table1[[#This Row],[YearsAtCompany]]</f>
        <v>8</v>
      </c>
      <c r="J454">
        <f>Table1[[#This Row],[YearsSinceLastPromotion]]</f>
        <v>3</v>
      </c>
      <c r="K454">
        <f>Table1[[#This Row],[EmployeeNumber]]</f>
        <v>606</v>
      </c>
      <c r="L454">
        <f>Table1[[#This Row],[DistanceFromHome]]</f>
        <v>2</v>
      </c>
      <c r="M454" t="str">
        <f>Table1[[#This Row],[OverTime]]</f>
        <v>No</v>
      </c>
      <c r="N454">
        <f>Table1[[#This Row],[WorkLifeBalance]]</f>
        <v>4</v>
      </c>
      <c r="O454" t="str" cm="1">
        <f t="array" ref="O454">_xlfn.IFS(A454&lt;=30,"18-30",A454&lt;=40,"31-40",A454&lt;=50,"41-50",A454&gt;50,"51+")</f>
        <v>41-50</v>
      </c>
      <c r="P454" t="str" cm="1">
        <f t="array" ref="P454">_xlfn.IFS(F454&lt;=45,"45 or below",F454&lt;= 60,"46-60",F454&lt;=75,"61-75",F454&lt;=90,"76-90",F454&gt;90,"91 or above")</f>
        <v>61-75</v>
      </c>
      <c r="Q4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54" t="str" cm="1">
        <f t="array" ref="R45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5" spans="1:18" hidden="1" x14ac:dyDescent="0.2">
      <c r="A455">
        <f>Table1[[#This Row],[Age]]</f>
        <v>26</v>
      </c>
      <c r="B455">
        <f>IF(Table3[[#This Row],[Attrition]] = "Yes", 1,0)</f>
        <v>1</v>
      </c>
      <c r="C455" t="str">
        <f>Table1[[#This Row],[Attrition]]</f>
        <v>Yes</v>
      </c>
      <c r="D455" t="str">
        <f>Table1[[#This Row],[Department]]</f>
        <v>Human Resources</v>
      </c>
      <c r="E455">
        <f>Table1[[#This Row],[EnvironmentSatisfaction]]</f>
        <v>2</v>
      </c>
      <c r="F455">
        <f>Table1[[#This Row],[HourlyRate]]</f>
        <v>58</v>
      </c>
      <c r="G455" t="str">
        <f>Table1[[#This Row],[JobRole]]</f>
        <v>Human Resources</v>
      </c>
      <c r="H455">
        <f>Table1[[#This Row],[JobSatisfaction]]</f>
        <v>3</v>
      </c>
      <c r="I455">
        <f>Table1[[#This Row],[YearsAtCompany]]</f>
        <v>7</v>
      </c>
      <c r="J455">
        <f>Table1[[#This Row],[YearsSinceLastPromotion]]</f>
        <v>1</v>
      </c>
      <c r="K455">
        <f>Table1[[#This Row],[EmployeeNumber]]</f>
        <v>608</v>
      </c>
      <c r="L455">
        <f>Table1[[#This Row],[DistanceFromHome]]</f>
        <v>17</v>
      </c>
      <c r="M455" t="str">
        <f>Table1[[#This Row],[OverTime]]</f>
        <v>Yes</v>
      </c>
      <c r="N455">
        <f>Table1[[#This Row],[WorkLifeBalance]]</f>
        <v>2</v>
      </c>
      <c r="O455" t="str" cm="1">
        <f t="array" ref="O455">_xlfn.IFS(A455&lt;=30,"18-30",A455&lt;=40,"31-40",A455&lt;=50,"41-50",A455&gt;50,"51+")</f>
        <v>18-30</v>
      </c>
      <c r="P455" t="str" cm="1">
        <f t="array" ref="P455">_xlfn.IFS(F455&lt;=45,"45 or below",F455&lt;= 60,"46-60",F455&lt;=75,"61-75",F455&lt;=90,"76-90",F455&gt;90,"91 or above")</f>
        <v>46-60</v>
      </c>
      <c r="Q45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55" t="str" cm="1">
        <f t="array" ref="R455" xml:space="preserve"> _xlfn.IFS(Table3[[#This Row],[Flight Risk Score]] = "NA","NA",Table3[[#This Row],[Flight Risk Score]] &gt;= 70,"High Risk",Table3[[#This Row],[Flight Risk Score]] &gt;= 50, "Medium Risk", Table3[[#This Row],[Flight Risk Score]] &gt;= 30,"Low Risk",Table3[[#This Row],[Flight Risk Score]] &lt; 30,"Very Low Risk")</f>
        <v>NA</v>
      </c>
    </row>
    <row r="456" spans="1:18" x14ac:dyDescent="0.2">
      <c r="A456">
        <f>Table1[[#This Row],[Age]]</f>
        <v>29</v>
      </c>
      <c r="B456">
        <f>IF(Table3[[#This Row],[Attrition]] = "Yes", 1,0)</f>
        <v>0</v>
      </c>
      <c r="C456" t="str">
        <f>Table1[[#This Row],[Attrition]]</f>
        <v>No</v>
      </c>
      <c r="D456" t="str">
        <f>Table1[[#This Row],[Department]]</f>
        <v>Research &amp; Development</v>
      </c>
      <c r="E456">
        <f>Table1[[#This Row],[EnvironmentSatisfaction]]</f>
        <v>4</v>
      </c>
      <c r="F456">
        <f>Table1[[#This Row],[HourlyRate]]</f>
        <v>34</v>
      </c>
      <c r="G456" t="str">
        <f>Table1[[#This Row],[JobRole]]</f>
        <v>Manufacturing Director</v>
      </c>
      <c r="H456">
        <f>Table1[[#This Row],[JobSatisfaction]]</f>
        <v>4</v>
      </c>
      <c r="I456">
        <f>Table1[[#This Row],[YearsAtCompany]]</f>
        <v>3</v>
      </c>
      <c r="J456">
        <f>Table1[[#This Row],[YearsSinceLastPromotion]]</f>
        <v>1</v>
      </c>
      <c r="K456">
        <f>Table1[[#This Row],[EmployeeNumber]]</f>
        <v>611</v>
      </c>
      <c r="L456">
        <f>Table1[[#This Row],[DistanceFromHome]]</f>
        <v>19</v>
      </c>
      <c r="M456" t="str">
        <f>Table1[[#This Row],[OverTime]]</f>
        <v>No</v>
      </c>
      <c r="N456">
        <f>Table1[[#This Row],[WorkLifeBalance]]</f>
        <v>4</v>
      </c>
      <c r="O456" t="str" cm="1">
        <f t="array" ref="O456">_xlfn.IFS(A456&lt;=30,"18-30",A456&lt;=40,"31-40",A456&lt;=50,"41-50",A456&gt;50,"51+")</f>
        <v>18-30</v>
      </c>
      <c r="P456" t="str" cm="1">
        <f t="array" ref="P456">_xlfn.IFS(F456&lt;=45,"45 or below",F456&lt;= 60,"46-60",F456&lt;=75,"61-75",F456&lt;=90,"76-90",F456&gt;90,"91 or above")</f>
        <v>45 or below</v>
      </c>
      <c r="Q4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56" t="str" cm="1">
        <f t="array" ref="R4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7" spans="1:18" x14ac:dyDescent="0.2">
      <c r="A457">
        <f>Table1[[#This Row],[Age]]</f>
        <v>33</v>
      </c>
      <c r="B457">
        <f>IF(Table3[[#This Row],[Attrition]] = "Yes", 1,0)</f>
        <v>0</v>
      </c>
      <c r="C457" t="str">
        <f>Table1[[#This Row],[Attrition]]</f>
        <v>No</v>
      </c>
      <c r="D457" t="str">
        <f>Table1[[#This Row],[Department]]</f>
        <v>Research &amp; Development</v>
      </c>
      <c r="E457">
        <f>Table1[[#This Row],[EnvironmentSatisfaction]]</f>
        <v>1</v>
      </c>
      <c r="F457">
        <f>Table1[[#This Row],[HourlyRate]]</f>
        <v>95</v>
      </c>
      <c r="G457" t="str">
        <f>Table1[[#This Row],[JobRole]]</f>
        <v>Research Director</v>
      </c>
      <c r="H457">
        <f>Table1[[#This Row],[JobSatisfaction]]</f>
        <v>3</v>
      </c>
      <c r="I457">
        <f>Table1[[#This Row],[YearsAtCompany]]</f>
        <v>6</v>
      </c>
      <c r="J457">
        <f>Table1[[#This Row],[YearsSinceLastPromotion]]</f>
        <v>0</v>
      </c>
      <c r="K457">
        <f>Table1[[#This Row],[EmployeeNumber]]</f>
        <v>612</v>
      </c>
      <c r="L457">
        <f>Table1[[#This Row],[DistanceFromHome]]</f>
        <v>1</v>
      </c>
      <c r="M457" t="str">
        <f>Table1[[#This Row],[OverTime]]</f>
        <v>No</v>
      </c>
      <c r="N457">
        <f>Table1[[#This Row],[WorkLifeBalance]]</f>
        <v>3</v>
      </c>
      <c r="O457" t="str" cm="1">
        <f t="array" ref="O457">_xlfn.IFS(A457&lt;=30,"18-30",A457&lt;=40,"31-40",A457&lt;=50,"41-50",A457&gt;50,"51+")</f>
        <v>31-40</v>
      </c>
      <c r="P457" t="str" cm="1">
        <f t="array" ref="P457">_xlfn.IFS(F457&lt;=45,"45 or below",F457&lt;= 60,"46-60",F457&lt;=75,"61-75",F457&lt;=90,"76-90",F457&gt;90,"91 or above")</f>
        <v>91 or above</v>
      </c>
      <c r="Q4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57" t="str" cm="1">
        <f t="array" ref="R4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8" spans="1:18" x14ac:dyDescent="0.2">
      <c r="A458">
        <f>Table1[[#This Row],[Age]]</f>
        <v>31</v>
      </c>
      <c r="B458">
        <f>IF(Table3[[#This Row],[Attrition]] = "Yes", 1,0)</f>
        <v>0</v>
      </c>
      <c r="C458" t="str">
        <f>Table1[[#This Row],[Attrition]]</f>
        <v>No</v>
      </c>
      <c r="D458" t="str">
        <f>Table1[[#This Row],[Department]]</f>
        <v>Sales</v>
      </c>
      <c r="E458">
        <f>Table1[[#This Row],[EnvironmentSatisfaction]]</f>
        <v>3</v>
      </c>
      <c r="F458">
        <f>Table1[[#This Row],[HourlyRate]]</f>
        <v>44</v>
      </c>
      <c r="G458" t="str">
        <f>Table1[[#This Row],[JobRole]]</f>
        <v>Manager</v>
      </c>
      <c r="H458">
        <f>Table1[[#This Row],[JobSatisfaction]]</f>
        <v>4</v>
      </c>
      <c r="I458">
        <f>Table1[[#This Row],[YearsAtCompany]]</f>
        <v>5</v>
      </c>
      <c r="J458">
        <f>Table1[[#This Row],[YearsSinceLastPromotion]]</f>
        <v>0</v>
      </c>
      <c r="K458">
        <f>Table1[[#This Row],[EmployeeNumber]]</f>
        <v>613</v>
      </c>
      <c r="L458">
        <f>Table1[[#This Row],[DistanceFromHome]]</f>
        <v>7</v>
      </c>
      <c r="M458" t="str">
        <f>Table1[[#This Row],[OverTime]]</f>
        <v>No</v>
      </c>
      <c r="N458">
        <f>Table1[[#This Row],[WorkLifeBalance]]</f>
        <v>2</v>
      </c>
      <c r="O458" t="str" cm="1">
        <f t="array" ref="O458">_xlfn.IFS(A458&lt;=30,"18-30",A458&lt;=40,"31-40",A458&lt;=50,"41-50",A458&gt;50,"51+")</f>
        <v>31-40</v>
      </c>
      <c r="P458" t="str" cm="1">
        <f t="array" ref="P458">_xlfn.IFS(F458&lt;=45,"45 or below",F458&lt;= 60,"46-60",F458&lt;=75,"61-75",F458&lt;=90,"76-90",F458&gt;90,"91 or above")</f>
        <v>45 or below</v>
      </c>
      <c r="Q4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58" t="str" cm="1">
        <f t="array" ref="R4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59" spans="1:18" hidden="1" x14ac:dyDescent="0.2">
      <c r="A459">
        <f>Table1[[#This Row],[Age]]</f>
        <v>18</v>
      </c>
      <c r="B459">
        <f>IF(Table3[[#This Row],[Attrition]] = "Yes", 1,0)</f>
        <v>1</v>
      </c>
      <c r="C459" t="str">
        <f>Table1[[#This Row],[Attrition]]</f>
        <v>Yes</v>
      </c>
      <c r="D459" t="str">
        <f>Table1[[#This Row],[Department]]</f>
        <v>Sales</v>
      </c>
      <c r="E459">
        <f>Table1[[#This Row],[EnvironmentSatisfaction]]</f>
        <v>2</v>
      </c>
      <c r="F459">
        <f>Table1[[#This Row],[HourlyRate]]</f>
        <v>69</v>
      </c>
      <c r="G459" t="str">
        <f>Table1[[#This Row],[JobRole]]</f>
        <v>Sales Representative</v>
      </c>
      <c r="H459">
        <f>Table1[[#This Row],[JobSatisfaction]]</f>
        <v>2</v>
      </c>
      <c r="I459">
        <f>Table1[[#This Row],[YearsAtCompany]]</f>
        <v>0</v>
      </c>
      <c r="J459">
        <f>Table1[[#This Row],[YearsSinceLastPromotion]]</f>
        <v>0</v>
      </c>
      <c r="K459">
        <f>Table1[[#This Row],[EmployeeNumber]]</f>
        <v>614</v>
      </c>
      <c r="L459">
        <f>Table1[[#This Row],[DistanceFromHome]]</f>
        <v>5</v>
      </c>
      <c r="M459" t="str">
        <f>Table1[[#This Row],[OverTime]]</f>
        <v>Yes</v>
      </c>
      <c r="N459">
        <f>Table1[[#This Row],[WorkLifeBalance]]</f>
        <v>3</v>
      </c>
      <c r="O459" t="str" cm="1">
        <f t="array" ref="O459">_xlfn.IFS(A459&lt;=30,"18-30",A459&lt;=40,"31-40",A459&lt;=50,"41-50",A459&gt;50,"51+")</f>
        <v>18-30</v>
      </c>
      <c r="P459" t="str" cm="1">
        <f t="array" ref="P459">_xlfn.IFS(F459&lt;=45,"45 or below",F459&lt;= 60,"46-60",F459&lt;=75,"61-75",F459&lt;=90,"76-90",F459&gt;90,"91 or above")</f>
        <v>61-75</v>
      </c>
      <c r="Q45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59" t="str" cm="1">
        <f t="array" ref="R459" xml:space="preserve"> _xlfn.IFS(Table3[[#This Row],[Flight Risk Score]] = "NA","NA",Table3[[#This Row],[Flight Risk Score]] &gt;= 70,"High Risk",Table3[[#This Row],[Flight Risk Score]] &gt;= 50, "Medium Risk", Table3[[#This Row],[Flight Risk Score]] &gt;= 30,"Low Risk",Table3[[#This Row],[Flight Risk Score]] &lt; 30,"Very Low Risk")</f>
        <v>NA</v>
      </c>
    </row>
    <row r="460" spans="1:18" x14ac:dyDescent="0.2">
      <c r="A460">
        <f>Table1[[#This Row],[Age]]</f>
        <v>40</v>
      </c>
      <c r="B460">
        <f>IF(Table3[[#This Row],[Attrition]] = "Yes", 1,0)</f>
        <v>0</v>
      </c>
      <c r="C460" t="str">
        <f>Table1[[#This Row],[Attrition]]</f>
        <v>No</v>
      </c>
      <c r="D460" t="str">
        <f>Table1[[#This Row],[Department]]</f>
        <v>Sales</v>
      </c>
      <c r="E460">
        <f>Table1[[#This Row],[EnvironmentSatisfaction]]</f>
        <v>3</v>
      </c>
      <c r="F460">
        <f>Table1[[#This Row],[HourlyRate]]</f>
        <v>58</v>
      </c>
      <c r="G460" t="str">
        <f>Table1[[#This Row],[JobRole]]</f>
        <v>Sales Executive</v>
      </c>
      <c r="H460">
        <f>Table1[[#This Row],[JobSatisfaction]]</f>
        <v>1</v>
      </c>
      <c r="I460">
        <f>Table1[[#This Row],[YearsAtCompany]]</f>
        <v>1</v>
      </c>
      <c r="J460">
        <f>Table1[[#This Row],[YearsSinceLastPromotion]]</f>
        <v>0</v>
      </c>
      <c r="K460">
        <f>Table1[[#This Row],[EmployeeNumber]]</f>
        <v>615</v>
      </c>
      <c r="L460">
        <f>Table1[[#This Row],[DistanceFromHome]]</f>
        <v>28</v>
      </c>
      <c r="M460" t="str">
        <f>Table1[[#This Row],[OverTime]]</f>
        <v>No</v>
      </c>
      <c r="N460">
        <f>Table1[[#This Row],[WorkLifeBalance]]</f>
        <v>3</v>
      </c>
      <c r="O460" t="str" cm="1">
        <f t="array" ref="O460">_xlfn.IFS(A460&lt;=30,"18-30",A460&lt;=40,"31-40",A460&lt;=50,"41-50",A460&gt;50,"51+")</f>
        <v>31-40</v>
      </c>
      <c r="P460" t="str" cm="1">
        <f t="array" ref="P460">_xlfn.IFS(F460&lt;=45,"45 or below",F460&lt;= 60,"46-60",F460&lt;=75,"61-75",F460&lt;=90,"76-90",F460&gt;90,"91 or above")</f>
        <v>46-60</v>
      </c>
      <c r="Q4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60" t="str" cm="1">
        <f t="array" ref="R4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1" spans="1:18" x14ac:dyDescent="0.2">
      <c r="A461">
        <f>Table1[[#This Row],[Age]]</f>
        <v>41</v>
      </c>
      <c r="B461">
        <f>IF(Table3[[#This Row],[Attrition]] = "Yes", 1,0)</f>
        <v>0</v>
      </c>
      <c r="C461" t="str">
        <f>Table1[[#This Row],[Attrition]]</f>
        <v>No</v>
      </c>
      <c r="D461" t="str">
        <f>Table1[[#This Row],[Department]]</f>
        <v>Research &amp; Development</v>
      </c>
      <c r="E461">
        <f>Table1[[#This Row],[EnvironmentSatisfaction]]</f>
        <v>1</v>
      </c>
      <c r="F461">
        <f>Table1[[#This Row],[HourlyRate]]</f>
        <v>62</v>
      </c>
      <c r="G461" t="str">
        <f>Table1[[#This Row],[JobRole]]</f>
        <v>Healthcare Representative</v>
      </c>
      <c r="H461">
        <f>Table1[[#This Row],[JobSatisfaction]]</f>
        <v>3</v>
      </c>
      <c r="I461">
        <f>Table1[[#This Row],[YearsAtCompany]]</f>
        <v>8</v>
      </c>
      <c r="J461">
        <f>Table1[[#This Row],[YearsSinceLastPromotion]]</f>
        <v>0</v>
      </c>
      <c r="K461">
        <f>Table1[[#This Row],[EmployeeNumber]]</f>
        <v>616</v>
      </c>
      <c r="L461">
        <f>Table1[[#This Row],[DistanceFromHome]]</f>
        <v>2</v>
      </c>
      <c r="M461" t="str">
        <f>Table1[[#This Row],[OverTime]]</f>
        <v>Yes</v>
      </c>
      <c r="N461">
        <f>Table1[[#This Row],[WorkLifeBalance]]</f>
        <v>3</v>
      </c>
      <c r="O461" t="str" cm="1">
        <f t="array" ref="O461">_xlfn.IFS(A461&lt;=30,"18-30",A461&lt;=40,"31-40",A461&lt;=50,"41-50",A461&gt;50,"51+")</f>
        <v>41-50</v>
      </c>
      <c r="P461" t="str" cm="1">
        <f t="array" ref="P461">_xlfn.IFS(F461&lt;=45,"45 or below",F461&lt;= 60,"46-60",F461&lt;=75,"61-75",F461&lt;=90,"76-90",F461&gt;90,"91 or above")</f>
        <v>61-75</v>
      </c>
      <c r="Q4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61" t="str" cm="1">
        <f t="array" ref="R46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62" spans="1:18" x14ac:dyDescent="0.2">
      <c r="A462">
        <f>Table1[[#This Row],[Age]]</f>
        <v>26</v>
      </c>
      <c r="B462">
        <f>IF(Table3[[#This Row],[Attrition]] = "Yes", 1,0)</f>
        <v>0</v>
      </c>
      <c r="C462" t="str">
        <f>Table1[[#This Row],[Attrition]]</f>
        <v>No</v>
      </c>
      <c r="D462" t="str">
        <f>Table1[[#This Row],[Department]]</f>
        <v>Sales</v>
      </c>
      <c r="E462">
        <f>Table1[[#This Row],[EnvironmentSatisfaction]]</f>
        <v>1</v>
      </c>
      <c r="F462">
        <f>Table1[[#This Row],[HourlyRate]]</f>
        <v>45</v>
      </c>
      <c r="G462" t="str">
        <f>Table1[[#This Row],[JobRole]]</f>
        <v>Sales Executive</v>
      </c>
      <c r="H462">
        <f>Table1[[#This Row],[JobSatisfaction]]</f>
        <v>3</v>
      </c>
      <c r="I462">
        <f>Table1[[#This Row],[YearsAtCompany]]</f>
        <v>0</v>
      </c>
      <c r="J462">
        <f>Table1[[#This Row],[YearsSinceLastPromotion]]</f>
        <v>0</v>
      </c>
      <c r="K462">
        <f>Table1[[#This Row],[EmployeeNumber]]</f>
        <v>618</v>
      </c>
      <c r="L462">
        <f>Table1[[#This Row],[DistanceFromHome]]</f>
        <v>29</v>
      </c>
      <c r="M462" t="str">
        <f>Table1[[#This Row],[OverTime]]</f>
        <v>No</v>
      </c>
      <c r="N462">
        <f>Table1[[#This Row],[WorkLifeBalance]]</f>
        <v>3</v>
      </c>
      <c r="O462" t="str" cm="1">
        <f t="array" ref="O462">_xlfn.IFS(A462&lt;=30,"18-30",A462&lt;=40,"31-40",A462&lt;=50,"41-50",A462&gt;50,"51+")</f>
        <v>18-30</v>
      </c>
      <c r="P462" t="str" cm="1">
        <f t="array" ref="P462">_xlfn.IFS(F462&lt;=45,"45 or below",F462&lt;= 60,"46-60",F462&lt;=75,"61-75",F462&lt;=90,"76-90",F462&gt;90,"91 or above")</f>
        <v>45 or below</v>
      </c>
      <c r="Q4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62" t="str" cm="1">
        <f t="array" ref="R4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3" spans="1:18" x14ac:dyDescent="0.2">
      <c r="A463">
        <f>Table1[[#This Row],[Age]]</f>
        <v>35</v>
      </c>
      <c r="B463">
        <f>IF(Table3[[#This Row],[Attrition]] = "Yes", 1,0)</f>
        <v>0</v>
      </c>
      <c r="C463" t="str">
        <f>Table1[[#This Row],[Attrition]]</f>
        <v>No</v>
      </c>
      <c r="D463" t="str">
        <f>Table1[[#This Row],[Department]]</f>
        <v>Sales</v>
      </c>
      <c r="E463">
        <f>Table1[[#This Row],[EnvironmentSatisfaction]]</f>
        <v>1</v>
      </c>
      <c r="F463">
        <f>Table1[[#This Row],[HourlyRate]]</f>
        <v>80</v>
      </c>
      <c r="G463" t="str">
        <f>Table1[[#This Row],[JobRole]]</f>
        <v>Sales Executive</v>
      </c>
      <c r="H463">
        <f>Table1[[#This Row],[JobSatisfaction]]</f>
        <v>3</v>
      </c>
      <c r="I463">
        <f>Table1[[#This Row],[YearsAtCompany]]</f>
        <v>5</v>
      </c>
      <c r="J463">
        <f>Table1[[#This Row],[YearsSinceLastPromotion]]</f>
        <v>0</v>
      </c>
      <c r="K463">
        <f>Table1[[#This Row],[EmployeeNumber]]</f>
        <v>620</v>
      </c>
      <c r="L463">
        <f>Table1[[#This Row],[DistanceFromHome]]</f>
        <v>1</v>
      </c>
      <c r="M463" t="str">
        <f>Table1[[#This Row],[OverTime]]</f>
        <v>No</v>
      </c>
      <c r="N463">
        <f>Table1[[#This Row],[WorkLifeBalance]]</f>
        <v>3</v>
      </c>
      <c r="O463" t="str" cm="1">
        <f t="array" ref="O463">_xlfn.IFS(A463&lt;=30,"18-30",A463&lt;=40,"31-40",A463&lt;=50,"41-50",A463&gt;50,"51+")</f>
        <v>31-40</v>
      </c>
      <c r="P463" t="str" cm="1">
        <f t="array" ref="P463">_xlfn.IFS(F463&lt;=45,"45 or below",F463&lt;= 60,"46-60",F463&lt;=75,"61-75",F463&lt;=90,"76-90",F463&gt;90,"91 or above")</f>
        <v>76-90</v>
      </c>
      <c r="Q4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63" t="str" cm="1">
        <f t="array" ref="R4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4" spans="1:18" x14ac:dyDescent="0.2">
      <c r="A464">
        <f>Table1[[#This Row],[Age]]</f>
        <v>34</v>
      </c>
      <c r="B464">
        <f>IF(Table3[[#This Row],[Attrition]] = "Yes", 1,0)</f>
        <v>0</v>
      </c>
      <c r="C464" t="str">
        <f>Table1[[#This Row],[Attrition]]</f>
        <v>No</v>
      </c>
      <c r="D464" t="str">
        <f>Table1[[#This Row],[Department]]</f>
        <v>Sales</v>
      </c>
      <c r="E464">
        <f>Table1[[#This Row],[EnvironmentSatisfaction]]</f>
        <v>4</v>
      </c>
      <c r="F464">
        <f>Table1[[#This Row],[HourlyRate]]</f>
        <v>74</v>
      </c>
      <c r="G464" t="str">
        <f>Table1[[#This Row],[JobRole]]</f>
        <v>Sales Executive</v>
      </c>
      <c r="H464">
        <f>Table1[[#This Row],[JobSatisfaction]]</f>
        <v>4</v>
      </c>
      <c r="I464">
        <f>Table1[[#This Row],[YearsAtCompany]]</f>
        <v>10</v>
      </c>
      <c r="J464">
        <f>Table1[[#This Row],[YearsSinceLastPromotion]]</f>
        <v>5</v>
      </c>
      <c r="K464">
        <f>Table1[[#This Row],[EmployeeNumber]]</f>
        <v>621</v>
      </c>
      <c r="L464">
        <f>Table1[[#This Row],[DistanceFromHome]]</f>
        <v>21</v>
      </c>
      <c r="M464" t="str">
        <f>Table1[[#This Row],[OverTime]]</f>
        <v>No</v>
      </c>
      <c r="N464">
        <f>Table1[[#This Row],[WorkLifeBalance]]</f>
        <v>3</v>
      </c>
      <c r="O464" t="str" cm="1">
        <f t="array" ref="O464">_xlfn.IFS(A464&lt;=30,"18-30",A464&lt;=40,"31-40",A464&lt;=50,"41-50",A464&gt;50,"51+")</f>
        <v>31-40</v>
      </c>
      <c r="P464" t="str" cm="1">
        <f t="array" ref="P464">_xlfn.IFS(F464&lt;=45,"45 or below",F464&lt;= 60,"46-60",F464&lt;=75,"61-75",F464&lt;=90,"76-90",F464&gt;90,"91 or above")</f>
        <v>61-75</v>
      </c>
      <c r="Q4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64" t="str" cm="1">
        <f t="array" ref="R46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5" spans="1:18" hidden="1" x14ac:dyDescent="0.2">
      <c r="A465">
        <f>Table1[[#This Row],[Age]]</f>
        <v>26</v>
      </c>
      <c r="B465">
        <f>IF(Table3[[#This Row],[Attrition]] = "Yes", 1,0)</f>
        <v>1</v>
      </c>
      <c r="C465" t="str">
        <f>Table1[[#This Row],[Attrition]]</f>
        <v>Yes</v>
      </c>
      <c r="D465" t="str">
        <f>Table1[[#This Row],[Department]]</f>
        <v>Research &amp; Development</v>
      </c>
      <c r="E465">
        <f>Table1[[#This Row],[EnvironmentSatisfaction]]</f>
        <v>3</v>
      </c>
      <c r="F465">
        <f>Table1[[#This Row],[HourlyRate]]</f>
        <v>66</v>
      </c>
      <c r="G465" t="str">
        <f>Table1[[#This Row],[JobRole]]</f>
        <v>Laboratory Technician</v>
      </c>
      <c r="H465">
        <f>Table1[[#This Row],[JobSatisfaction]]</f>
        <v>4</v>
      </c>
      <c r="I465">
        <f>Table1[[#This Row],[YearsAtCompany]]</f>
        <v>1</v>
      </c>
      <c r="J465">
        <f>Table1[[#This Row],[YearsSinceLastPromotion]]</f>
        <v>0</v>
      </c>
      <c r="K465">
        <f>Table1[[#This Row],[EmployeeNumber]]</f>
        <v>622</v>
      </c>
      <c r="L465">
        <f>Table1[[#This Row],[DistanceFromHome]]</f>
        <v>24</v>
      </c>
      <c r="M465" t="str">
        <f>Table1[[#This Row],[OverTime]]</f>
        <v>Yes</v>
      </c>
      <c r="N465">
        <f>Table1[[#This Row],[WorkLifeBalance]]</f>
        <v>1</v>
      </c>
      <c r="O465" t="str" cm="1">
        <f t="array" ref="O465">_xlfn.IFS(A465&lt;=30,"18-30",A465&lt;=40,"31-40",A465&lt;=50,"41-50",A465&gt;50,"51+")</f>
        <v>18-30</v>
      </c>
      <c r="P465" t="str" cm="1">
        <f t="array" ref="P465">_xlfn.IFS(F465&lt;=45,"45 or below",F465&lt;= 60,"46-60",F465&lt;=75,"61-75",F465&lt;=90,"76-90",F465&gt;90,"91 or above")</f>
        <v>61-75</v>
      </c>
      <c r="Q46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65" t="str" cm="1">
        <f t="array" ref="R465" xml:space="preserve"> _xlfn.IFS(Table3[[#This Row],[Flight Risk Score]] = "NA","NA",Table3[[#This Row],[Flight Risk Score]] &gt;= 70,"High Risk",Table3[[#This Row],[Flight Risk Score]] &gt;= 50, "Medium Risk", Table3[[#This Row],[Flight Risk Score]] &gt;= 30,"Low Risk",Table3[[#This Row],[Flight Risk Score]] &lt; 30,"Very Low Risk")</f>
        <v>NA</v>
      </c>
    </row>
    <row r="466" spans="1:18" x14ac:dyDescent="0.2">
      <c r="A466">
        <f>Table1[[#This Row],[Age]]</f>
        <v>37</v>
      </c>
      <c r="B466">
        <f>IF(Table3[[#This Row],[Attrition]] = "Yes", 1,0)</f>
        <v>0</v>
      </c>
      <c r="C466" t="str">
        <f>Table1[[#This Row],[Attrition]]</f>
        <v>No</v>
      </c>
      <c r="D466" t="str">
        <f>Table1[[#This Row],[Department]]</f>
        <v>Research &amp; Development</v>
      </c>
      <c r="E466">
        <f>Table1[[#This Row],[EnvironmentSatisfaction]]</f>
        <v>2</v>
      </c>
      <c r="F466">
        <f>Table1[[#This Row],[HourlyRate]]</f>
        <v>59</v>
      </c>
      <c r="G466" t="str">
        <f>Table1[[#This Row],[JobRole]]</f>
        <v>Manufacturing Director</v>
      </c>
      <c r="H466">
        <f>Table1[[#This Row],[JobSatisfaction]]</f>
        <v>4</v>
      </c>
      <c r="I466">
        <f>Table1[[#This Row],[YearsAtCompany]]</f>
        <v>6</v>
      </c>
      <c r="J466">
        <f>Table1[[#This Row],[YearsSinceLastPromotion]]</f>
        <v>1</v>
      </c>
      <c r="K466">
        <f>Table1[[#This Row],[EmployeeNumber]]</f>
        <v>623</v>
      </c>
      <c r="L466">
        <f>Table1[[#This Row],[DistanceFromHome]]</f>
        <v>1</v>
      </c>
      <c r="M466" t="str">
        <f>Table1[[#This Row],[OverTime]]</f>
        <v>No</v>
      </c>
      <c r="N466">
        <f>Table1[[#This Row],[WorkLifeBalance]]</f>
        <v>4</v>
      </c>
      <c r="O466" t="str" cm="1">
        <f t="array" ref="O466">_xlfn.IFS(A466&lt;=30,"18-30",A466&lt;=40,"31-40",A466&lt;=50,"41-50",A466&gt;50,"51+")</f>
        <v>31-40</v>
      </c>
      <c r="P466" t="str" cm="1">
        <f t="array" ref="P466">_xlfn.IFS(F466&lt;=45,"45 or below",F466&lt;= 60,"46-60",F466&lt;=75,"61-75",F466&lt;=90,"76-90",F466&gt;90,"91 or above")</f>
        <v>46-60</v>
      </c>
      <c r="Q4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66" t="str" cm="1">
        <f t="array" ref="R4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7" spans="1:18" x14ac:dyDescent="0.2">
      <c r="A467">
        <f>Table1[[#This Row],[Age]]</f>
        <v>46</v>
      </c>
      <c r="B467">
        <f>IF(Table3[[#This Row],[Attrition]] = "Yes", 1,0)</f>
        <v>0</v>
      </c>
      <c r="C467" t="str">
        <f>Table1[[#This Row],[Attrition]]</f>
        <v>No</v>
      </c>
      <c r="D467" t="str">
        <f>Table1[[#This Row],[Department]]</f>
        <v>Research &amp; Development</v>
      </c>
      <c r="E467">
        <f>Table1[[#This Row],[EnvironmentSatisfaction]]</f>
        <v>1</v>
      </c>
      <c r="F467">
        <f>Table1[[#This Row],[HourlyRate]]</f>
        <v>86</v>
      </c>
      <c r="G467" t="str">
        <f>Table1[[#This Row],[JobRole]]</f>
        <v>Healthcare Representative</v>
      </c>
      <c r="H467">
        <f>Table1[[#This Row],[JobSatisfaction]]</f>
        <v>3</v>
      </c>
      <c r="I467">
        <f>Table1[[#This Row],[YearsAtCompany]]</f>
        <v>2</v>
      </c>
      <c r="J467">
        <f>Table1[[#This Row],[YearsSinceLastPromotion]]</f>
        <v>1</v>
      </c>
      <c r="K467">
        <f>Table1[[#This Row],[EmployeeNumber]]</f>
        <v>624</v>
      </c>
      <c r="L467">
        <f>Table1[[#This Row],[DistanceFromHome]]</f>
        <v>18</v>
      </c>
      <c r="M467" t="str">
        <f>Table1[[#This Row],[OverTime]]</f>
        <v>No</v>
      </c>
      <c r="N467">
        <f>Table1[[#This Row],[WorkLifeBalance]]</f>
        <v>2</v>
      </c>
      <c r="O467" t="str" cm="1">
        <f t="array" ref="O467">_xlfn.IFS(A467&lt;=30,"18-30",A467&lt;=40,"31-40",A467&lt;=50,"41-50",A467&gt;50,"51+")</f>
        <v>41-50</v>
      </c>
      <c r="P467" t="str" cm="1">
        <f t="array" ref="P467">_xlfn.IFS(F467&lt;=45,"45 or below",F467&lt;= 60,"46-60",F467&lt;=75,"61-75",F467&lt;=90,"76-90",F467&gt;90,"91 or above")</f>
        <v>76-90</v>
      </c>
      <c r="Q4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67" t="str" cm="1">
        <f t="array" ref="R4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68" spans="1:18" x14ac:dyDescent="0.2">
      <c r="A468">
        <f>Table1[[#This Row],[Age]]</f>
        <v>41</v>
      </c>
      <c r="B468">
        <f>IF(Table3[[#This Row],[Attrition]] = "Yes", 1,0)</f>
        <v>0</v>
      </c>
      <c r="C468" t="str">
        <f>Table1[[#This Row],[Attrition]]</f>
        <v>No</v>
      </c>
      <c r="D468" t="str">
        <f>Table1[[#This Row],[Department]]</f>
        <v>Sales</v>
      </c>
      <c r="E468">
        <f>Table1[[#This Row],[EnvironmentSatisfaction]]</f>
        <v>2</v>
      </c>
      <c r="F468">
        <f>Table1[[#This Row],[HourlyRate]]</f>
        <v>91</v>
      </c>
      <c r="G468" t="str">
        <f>Table1[[#This Row],[JobRole]]</f>
        <v>Manager</v>
      </c>
      <c r="H468">
        <f>Table1[[#This Row],[JobSatisfaction]]</f>
        <v>1</v>
      </c>
      <c r="I468">
        <f>Table1[[#This Row],[YearsAtCompany]]</f>
        <v>18</v>
      </c>
      <c r="J468">
        <f>Table1[[#This Row],[YearsSinceLastPromotion]]</f>
        <v>11</v>
      </c>
      <c r="K468">
        <f>Table1[[#This Row],[EmployeeNumber]]</f>
        <v>625</v>
      </c>
      <c r="L468">
        <f>Table1[[#This Row],[DistanceFromHome]]</f>
        <v>2</v>
      </c>
      <c r="M468" t="str">
        <f>Table1[[#This Row],[OverTime]]</f>
        <v>No</v>
      </c>
      <c r="N468">
        <f>Table1[[#This Row],[WorkLifeBalance]]</f>
        <v>3</v>
      </c>
      <c r="O468" t="str" cm="1">
        <f t="array" ref="O468">_xlfn.IFS(A468&lt;=30,"18-30",A468&lt;=40,"31-40",A468&lt;=50,"41-50",A468&gt;50,"51+")</f>
        <v>41-50</v>
      </c>
      <c r="P468" t="str" cm="1">
        <f t="array" ref="P468">_xlfn.IFS(F468&lt;=45,"45 or below",F468&lt;= 60,"46-60",F468&lt;=75,"61-75",F468&lt;=90,"76-90",F468&gt;90,"91 or above")</f>
        <v>91 or above</v>
      </c>
      <c r="Q4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68" t="str" cm="1">
        <f t="array" ref="R468" xml:space="preserve"> _xlfn.IFS(Table3[[#This Row],[Flight Risk Score]] = "NA","NA",Table3[[#This Row],[Flight Risk Score]] &gt;= 70,"High Risk",Table3[[#This Row],[Flight Risk Score]] &gt;= 50, "Medium Risk", Table3[[#This Row],[Flight Risk Score]] &gt;= 30,"Low Risk",Table3[[#This Row],[Flight Risk Score]] &lt; 30,"Very Low Risk")</f>
        <v>Low Risk</v>
      </c>
    </row>
    <row r="469" spans="1:18" x14ac:dyDescent="0.2">
      <c r="A469">
        <f>Table1[[#This Row],[Age]]</f>
        <v>37</v>
      </c>
      <c r="B469">
        <f>IF(Table3[[#This Row],[Attrition]] = "Yes", 1,0)</f>
        <v>0</v>
      </c>
      <c r="C469" t="str">
        <f>Table1[[#This Row],[Attrition]]</f>
        <v>No</v>
      </c>
      <c r="D469" t="str">
        <f>Table1[[#This Row],[Department]]</f>
        <v>Sales</v>
      </c>
      <c r="E469">
        <f>Table1[[#This Row],[EnvironmentSatisfaction]]</f>
        <v>1</v>
      </c>
      <c r="F469">
        <f>Table1[[#This Row],[HourlyRate]]</f>
        <v>69</v>
      </c>
      <c r="G469" t="str">
        <f>Table1[[#This Row],[JobRole]]</f>
        <v>Sales Executive</v>
      </c>
      <c r="H469">
        <f>Table1[[#This Row],[JobSatisfaction]]</f>
        <v>2</v>
      </c>
      <c r="I469">
        <f>Table1[[#This Row],[YearsAtCompany]]</f>
        <v>9</v>
      </c>
      <c r="J469">
        <f>Table1[[#This Row],[YearsSinceLastPromotion]]</f>
        <v>7</v>
      </c>
      <c r="K469">
        <f>Table1[[#This Row],[EmployeeNumber]]</f>
        <v>626</v>
      </c>
      <c r="L469">
        <f>Table1[[#This Row],[DistanceFromHome]]</f>
        <v>9</v>
      </c>
      <c r="M469" t="str">
        <f>Table1[[#This Row],[OverTime]]</f>
        <v>No</v>
      </c>
      <c r="N469">
        <f>Table1[[#This Row],[WorkLifeBalance]]</f>
        <v>3</v>
      </c>
      <c r="O469" t="str" cm="1">
        <f t="array" ref="O469">_xlfn.IFS(A469&lt;=30,"18-30",A469&lt;=40,"31-40",A469&lt;=50,"41-50",A469&gt;50,"51+")</f>
        <v>31-40</v>
      </c>
      <c r="P469" t="str" cm="1">
        <f t="array" ref="P469">_xlfn.IFS(F469&lt;=45,"45 or below",F469&lt;= 60,"46-60",F469&lt;=75,"61-75",F469&lt;=90,"76-90",F469&gt;90,"91 or above")</f>
        <v>61-75</v>
      </c>
      <c r="Q4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69" t="str" cm="1">
        <f t="array" ref="R4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470" spans="1:18" x14ac:dyDescent="0.2">
      <c r="A470">
        <f>Table1[[#This Row],[Age]]</f>
        <v>52</v>
      </c>
      <c r="B470">
        <f>IF(Table3[[#This Row],[Attrition]] = "Yes", 1,0)</f>
        <v>0</v>
      </c>
      <c r="C470" t="str">
        <f>Table1[[#This Row],[Attrition]]</f>
        <v>No</v>
      </c>
      <c r="D470" t="str">
        <f>Table1[[#This Row],[Department]]</f>
        <v>Research &amp; Development</v>
      </c>
      <c r="E470">
        <f>Table1[[#This Row],[EnvironmentSatisfaction]]</f>
        <v>4</v>
      </c>
      <c r="F470">
        <f>Table1[[#This Row],[HourlyRate]]</f>
        <v>78</v>
      </c>
      <c r="G470" t="str">
        <f>Table1[[#This Row],[JobRole]]</f>
        <v>Research Scientist</v>
      </c>
      <c r="H470">
        <f>Table1[[#This Row],[JobSatisfaction]]</f>
        <v>1</v>
      </c>
      <c r="I470">
        <f>Table1[[#This Row],[YearsAtCompany]]</f>
        <v>10</v>
      </c>
      <c r="J470">
        <f>Table1[[#This Row],[YearsSinceLastPromotion]]</f>
        <v>6</v>
      </c>
      <c r="K470">
        <f>Table1[[#This Row],[EmployeeNumber]]</f>
        <v>630</v>
      </c>
      <c r="L470">
        <f>Table1[[#This Row],[DistanceFromHome]]</f>
        <v>6</v>
      </c>
      <c r="M470" t="str">
        <f>Table1[[#This Row],[OverTime]]</f>
        <v>Yes</v>
      </c>
      <c r="N470">
        <f>Table1[[#This Row],[WorkLifeBalance]]</f>
        <v>3</v>
      </c>
      <c r="O470" t="str" cm="1">
        <f t="array" ref="O470">_xlfn.IFS(A470&lt;=30,"18-30",A470&lt;=40,"31-40",A470&lt;=50,"41-50",A470&gt;50,"51+")</f>
        <v>51+</v>
      </c>
      <c r="P470" t="str" cm="1">
        <f t="array" ref="P470">_xlfn.IFS(F470&lt;=45,"45 or below",F470&lt;= 60,"46-60",F470&lt;=75,"61-75",F470&lt;=90,"76-90",F470&gt;90,"91 or above")</f>
        <v>76-90</v>
      </c>
      <c r="Q4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70" t="str" cm="1">
        <f t="array" ref="R47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71" spans="1:18" hidden="1" x14ac:dyDescent="0.2">
      <c r="A471">
        <f>Table1[[#This Row],[Age]]</f>
        <v>32</v>
      </c>
      <c r="B471">
        <f>IF(Table3[[#This Row],[Attrition]] = "Yes", 1,0)</f>
        <v>1</v>
      </c>
      <c r="C471" t="str">
        <f>Table1[[#This Row],[Attrition]]</f>
        <v>Yes</v>
      </c>
      <c r="D471" t="str">
        <f>Table1[[#This Row],[Department]]</f>
        <v>Sales</v>
      </c>
      <c r="E471">
        <f>Table1[[#This Row],[EnvironmentSatisfaction]]</f>
        <v>4</v>
      </c>
      <c r="F471">
        <f>Table1[[#This Row],[HourlyRate]]</f>
        <v>60</v>
      </c>
      <c r="G471" t="str">
        <f>Table1[[#This Row],[JobRole]]</f>
        <v>Sales Executive</v>
      </c>
      <c r="H471">
        <f>Table1[[#This Row],[JobSatisfaction]]</f>
        <v>3</v>
      </c>
      <c r="I471">
        <f>Table1[[#This Row],[YearsAtCompany]]</f>
        <v>4</v>
      </c>
      <c r="J471">
        <f>Table1[[#This Row],[YearsSinceLastPromotion]]</f>
        <v>1</v>
      </c>
      <c r="K471">
        <f>Table1[[#This Row],[EmployeeNumber]]</f>
        <v>631</v>
      </c>
      <c r="L471">
        <f>Table1[[#This Row],[DistanceFromHome]]</f>
        <v>11</v>
      </c>
      <c r="M471" t="str">
        <f>Table1[[#This Row],[OverTime]]</f>
        <v>No</v>
      </c>
      <c r="N471">
        <f>Table1[[#This Row],[WorkLifeBalance]]</f>
        <v>3</v>
      </c>
      <c r="O471" t="str" cm="1">
        <f t="array" ref="O471">_xlfn.IFS(A471&lt;=30,"18-30",A471&lt;=40,"31-40",A471&lt;=50,"41-50",A471&gt;50,"51+")</f>
        <v>31-40</v>
      </c>
      <c r="P471" t="str" cm="1">
        <f t="array" ref="P471">_xlfn.IFS(F471&lt;=45,"45 or below",F471&lt;= 60,"46-60",F471&lt;=75,"61-75",F471&lt;=90,"76-90",F471&gt;90,"91 or above")</f>
        <v>46-60</v>
      </c>
      <c r="Q47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71" t="str" cm="1">
        <f t="array" ref="R471" xml:space="preserve"> _xlfn.IFS(Table3[[#This Row],[Flight Risk Score]] = "NA","NA",Table3[[#This Row],[Flight Risk Score]] &gt;= 70,"High Risk",Table3[[#This Row],[Flight Risk Score]] &gt;= 50, "Medium Risk", Table3[[#This Row],[Flight Risk Score]] &gt;= 30,"Low Risk",Table3[[#This Row],[Flight Risk Score]] &lt; 30,"Very Low Risk")</f>
        <v>NA</v>
      </c>
    </row>
    <row r="472" spans="1:18" x14ac:dyDescent="0.2">
      <c r="A472">
        <f>Table1[[#This Row],[Age]]</f>
        <v>24</v>
      </c>
      <c r="B472">
        <f>IF(Table3[[#This Row],[Attrition]] = "Yes", 1,0)</f>
        <v>0</v>
      </c>
      <c r="C472" t="str">
        <f>Table1[[#This Row],[Attrition]]</f>
        <v>No</v>
      </c>
      <c r="D472" t="str">
        <f>Table1[[#This Row],[Department]]</f>
        <v>Sales</v>
      </c>
      <c r="E472">
        <f>Table1[[#This Row],[EnvironmentSatisfaction]]</f>
        <v>4</v>
      </c>
      <c r="F472">
        <f>Table1[[#This Row],[HourlyRate]]</f>
        <v>38</v>
      </c>
      <c r="G472" t="str">
        <f>Table1[[#This Row],[JobRole]]</f>
        <v>Sales Representative</v>
      </c>
      <c r="H472">
        <f>Table1[[#This Row],[JobSatisfaction]]</f>
        <v>4</v>
      </c>
      <c r="I472">
        <f>Table1[[#This Row],[YearsAtCompany]]</f>
        <v>2</v>
      </c>
      <c r="J472">
        <f>Table1[[#This Row],[YearsSinceLastPromotion]]</f>
        <v>2</v>
      </c>
      <c r="K472">
        <f>Table1[[#This Row],[EmployeeNumber]]</f>
        <v>632</v>
      </c>
      <c r="L472">
        <f>Table1[[#This Row],[DistanceFromHome]]</f>
        <v>24</v>
      </c>
      <c r="M472" t="str">
        <f>Table1[[#This Row],[OverTime]]</f>
        <v>No</v>
      </c>
      <c r="N472">
        <f>Table1[[#This Row],[WorkLifeBalance]]</f>
        <v>3</v>
      </c>
      <c r="O472" t="str" cm="1">
        <f t="array" ref="O472">_xlfn.IFS(A472&lt;=30,"18-30",A472&lt;=40,"31-40",A472&lt;=50,"41-50",A472&gt;50,"51+")</f>
        <v>18-30</v>
      </c>
      <c r="P472" t="str" cm="1">
        <f t="array" ref="P472">_xlfn.IFS(F472&lt;=45,"45 or below",F472&lt;= 60,"46-60",F472&lt;=75,"61-75",F472&lt;=90,"76-90",F472&gt;90,"91 or above")</f>
        <v>45 or below</v>
      </c>
      <c r="Q4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72" t="str" cm="1">
        <f t="array" ref="R4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73" spans="1:18" x14ac:dyDescent="0.2">
      <c r="A473">
        <f>Table1[[#This Row],[Age]]</f>
        <v>38</v>
      </c>
      <c r="B473">
        <f>IF(Table3[[#This Row],[Attrition]] = "Yes", 1,0)</f>
        <v>0</v>
      </c>
      <c r="C473" t="str">
        <f>Table1[[#This Row],[Attrition]]</f>
        <v>No</v>
      </c>
      <c r="D473" t="str">
        <f>Table1[[#This Row],[Department]]</f>
        <v>Research &amp; Development</v>
      </c>
      <c r="E473">
        <f>Table1[[#This Row],[EnvironmentSatisfaction]]</f>
        <v>3</v>
      </c>
      <c r="F473">
        <f>Table1[[#This Row],[HourlyRate]]</f>
        <v>76</v>
      </c>
      <c r="G473" t="str">
        <f>Table1[[#This Row],[JobRole]]</f>
        <v>Healthcare Representative</v>
      </c>
      <c r="H473">
        <f>Table1[[#This Row],[JobSatisfaction]]</f>
        <v>3</v>
      </c>
      <c r="I473">
        <f>Table1[[#This Row],[YearsAtCompany]]</f>
        <v>1</v>
      </c>
      <c r="J473">
        <f>Table1[[#This Row],[YearsSinceLastPromotion]]</f>
        <v>0</v>
      </c>
      <c r="K473">
        <f>Table1[[#This Row],[EmployeeNumber]]</f>
        <v>634</v>
      </c>
      <c r="L473">
        <f>Table1[[#This Row],[DistanceFromHome]]</f>
        <v>10</v>
      </c>
      <c r="M473" t="str">
        <f>Table1[[#This Row],[OverTime]]</f>
        <v>No</v>
      </c>
      <c r="N473">
        <f>Table1[[#This Row],[WorkLifeBalance]]</f>
        <v>3</v>
      </c>
      <c r="O473" t="str" cm="1">
        <f t="array" ref="O473">_xlfn.IFS(A473&lt;=30,"18-30",A473&lt;=40,"31-40",A473&lt;=50,"41-50",A473&gt;50,"51+")</f>
        <v>31-40</v>
      </c>
      <c r="P473" t="str" cm="1">
        <f t="array" ref="P473">_xlfn.IFS(F473&lt;=45,"45 or below",F473&lt;= 60,"46-60",F473&lt;=75,"61-75",F473&lt;=90,"76-90",F473&gt;90,"91 or above")</f>
        <v>76-90</v>
      </c>
      <c r="Q4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73" t="str" cm="1">
        <f t="array" ref="R4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74" spans="1:18" x14ac:dyDescent="0.2">
      <c r="A474">
        <f>Table1[[#This Row],[Age]]</f>
        <v>37</v>
      </c>
      <c r="B474">
        <f>IF(Table3[[#This Row],[Attrition]] = "Yes", 1,0)</f>
        <v>0</v>
      </c>
      <c r="C474" t="str">
        <f>Table1[[#This Row],[Attrition]]</f>
        <v>No</v>
      </c>
      <c r="D474" t="str">
        <f>Table1[[#This Row],[Department]]</f>
        <v>Research &amp; Development</v>
      </c>
      <c r="E474">
        <f>Table1[[#This Row],[EnvironmentSatisfaction]]</f>
        <v>2</v>
      </c>
      <c r="F474">
        <f>Table1[[#This Row],[HourlyRate]]</f>
        <v>65</v>
      </c>
      <c r="G474" t="str">
        <f>Table1[[#This Row],[JobRole]]</f>
        <v>Manufacturing Director</v>
      </c>
      <c r="H474">
        <f>Table1[[#This Row],[JobSatisfaction]]</f>
        <v>2</v>
      </c>
      <c r="I474">
        <f>Table1[[#This Row],[YearsAtCompany]]</f>
        <v>6</v>
      </c>
      <c r="J474">
        <f>Table1[[#This Row],[YearsSinceLastPromotion]]</f>
        <v>4</v>
      </c>
      <c r="K474">
        <f>Table1[[#This Row],[EmployeeNumber]]</f>
        <v>635</v>
      </c>
      <c r="L474">
        <f>Table1[[#This Row],[DistanceFromHome]]</f>
        <v>1</v>
      </c>
      <c r="M474" t="str">
        <f>Table1[[#This Row],[OverTime]]</f>
        <v>No</v>
      </c>
      <c r="N474">
        <f>Table1[[#This Row],[WorkLifeBalance]]</f>
        <v>2</v>
      </c>
      <c r="O474" t="str" cm="1">
        <f t="array" ref="O474">_xlfn.IFS(A474&lt;=30,"18-30",A474&lt;=40,"31-40",A474&lt;=50,"41-50",A474&gt;50,"51+")</f>
        <v>31-40</v>
      </c>
      <c r="P474" t="str" cm="1">
        <f t="array" ref="P474">_xlfn.IFS(F474&lt;=45,"45 or below",F474&lt;= 60,"46-60",F474&lt;=75,"61-75",F474&lt;=90,"76-90",F474&gt;90,"91 or above")</f>
        <v>61-75</v>
      </c>
      <c r="Q4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74" t="str" cm="1">
        <f t="array" ref="R474" xml:space="preserve"> _xlfn.IFS(Table3[[#This Row],[Flight Risk Score]] = "NA","NA",Table3[[#This Row],[Flight Risk Score]] &gt;= 70,"High Risk",Table3[[#This Row],[Flight Risk Score]] &gt;= 50, "Medium Risk", Table3[[#This Row],[Flight Risk Score]] &gt;= 30,"Low Risk",Table3[[#This Row],[Flight Risk Score]] &lt; 30,"Very Low Risk")</f>
        <v>Low Risk</v>
      </c>
    </row>
    <row r="475" spans="1:18" x14ac:dyDescent="0.2">
      <c r="A475">
        <f>Table1[[#This Row],[Age]]</f>
        <v>49</v>
      </c>
      <c r="B475">
        <f>IF(Table3[[#This Row],[Attrition]] = "Yes", 1,0)</f>
        <v>0</v>
      </c>
      <c r="C475" t="str">
        <f>Table1[[#This Row],[Attrition]]</f>
        <v>No</v>
      </c>
      <c r="D475" t="str">
        <f>Table1[[#This Row],[Department]]</f>
        <v>Research &amp; Development</v>
      </c>
      <c r="E475">
        <f>Table1[[#This Row],[EnvironmentSatisfaction]]</f>
        <v>4</v>
      </c>
      <c r="F475">
        <f>Table1[[#This Row],[HourlyRate]]</f>
        <v>58</v>
      </c>
      <c r="G475" t="str">
        <f>Table1[[#This Row],[JobRole]]</f>
        <v>Research Director</v>
      </c>
      <c r="H475">
        <f>Table1[[#This Row],[JobSatisfaction]]</f>
        <v>3</v>
      </c>
      <c r="I475">
        <f>Table1[[#This Row],[YearsAtCompany]]</f>
        <v>31</v>
      </c>
      <c r="J475">
        <f>Table1[[#This Row],[YearsSinceLastPromotion]]</f>
        <v>0</v>
      </c>
      <c r="K475">
        <f>Table1[[#This Row],[EmployeeNumber]]</f>
        <v>638</v>
      </c>
      <c r="L475">
        <f>Table1[[#This Row],[DistanceFromHome]]</f>
        <v>18</v>
      </c>
      <c r="M475" t="str">
        <f>Table1[[#This Row],[OverTime]]</f>
        <v>Yes</v>
      </c>
      <c r="N475">
        <f>Table1[[#This Row],[WorkLifeBalance]]</f>
        <v>3</v>
      </c>
      <c r="O475" t="str" cm="1">
        <f t="array" ref="O475">_xlfn.IFS(A475&lt;=30,"18-30",A475&lt;=40,"31-40",A475&lt;=50,"41-50",A475&gt;50,"51+")</f>
        <v>41-50</v>
      </c>
      <c r="P475" t="str" cm="1">
        <f t="array" ref="P475">_xlfn.IFS(F475&lt;=45,"45 or below",F475&lt;= 60,"46-60",F475&lt;=75,"61-75",F475&lt;=90,"76-90",F475&gt;90,"91 or above")</f>
        <v>46-60</v>
      </c>
      <c r="Q4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75" t="str" cm="1">
        <f t="array" ref="R475" xml:space="preserve"> _xlfn.IFS(Table3[[#This Row],[Flight Risk Score]] = "NA","NA",Table3[[#This Row],[Flight Risk Score]] &gt;= 70,"High Risk",Table3[[#This Row],[Flight Risk Score]] &gt;= 50, "Medium Risk", Table3[[#This Row],[Flight Risk Score]] &gt;= 30,"Low Risk",Table3[[#This Row],[Flight Risk Score]] &lt; 30,"Very Low Risk")</f>
        <v>Low Risk</v>
      </c>
    </row>
    <row r="476" spans="1:18" x14ac:dyDescent="0.2">
      <c r="A476">
        <f>Table1[[#This Row],[Age]]</f>
        <v>24</v>
      </c>
      <c r="B476">
        <f>IF(Table3[[#This Row],[Attrition]] = "Yes", 1,0)</f>
        <v>0</v>
      </c>
      <c r="C476" t="str">
        <f>Table1[[#This Row],[Attrition]]</f>
        <v>No</v>
      </c>
      <c r="D476" t="str">
        <f>Table1[[#This Row],[Department]]</f>
        <v>Research &amp; Development</v>
      </c>
      <c r="E476">
        <f>Table1[[#This Row],[EnvironmentSatisfaction]]</f>
        <v>2</v>
      </c>
      <c r="F476">
        <f>Table1[[#This Row],[HourlyRate]]</f>
        <v>89</v>
      </c>
      <c r="G476" t="str">
        <f>Table1[[#This Row],[JobRole]]</f>
        <v>Research Scientist</v>
      </c>
      <c r="H476">
        <f>Table1[[#This Row],[JobSatisfaction]]</f>
        <v>4</v>
      </c>
      <c r="I476">
        <f>Table1[[#This Row],[YearsAtCompany]]</f>
        <v>6</v>
      </c>
      <c r="J476">
        <f>Table1[[#This Row],[YearsSinceLastPromotion]]</f>
        <v>1</v>
      </c>
      <c r="K476">
        <f>Table1[[#This Row],[EmployeeNumber]]</f>
        <v>639</v>
      </c>
      <c r="L476">
        <f>Table1[[#This Row],[DistanceFromHome]]</f>
        <v>23</v>
      </c>
      <c r="M476" t="str">
        <f>Table1[[#This Row],[OverTime]]</f>
        <v>Yes</v>
      </c>
      <c r="N476">
        <f>Table1[[#This Row],[WorkLifeBalance]]</f>
        <v>3</v>
      </c>
      <c r="O476" t="str" cm="1">
        <f t="array" ref="O476">_xlfn.IFS(A476&lt;=30,"18-30",A476&lt;=40,"31-40",A476&lt;=50,"41-50",A476&gt;50,"51+")</f>
        <v>18-30</v>
      </c>
      <c r="P476" t="str" cm="1">
        <f t="array" ref="P476">_xlfn.IFS(F476&lt;=45,"45 or below",F476&lt;= 60,"46-60",F476&lt;=75,"61-75",F476&lt;=90,"76-90",F476&gt;90,"91 or above")</f>
        <v>76-90</v>
      </c>
      <c r="Q4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76" t="str" cm="1">
        <f t="array" ref="R47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77" spans="1:18" x14ac:dyDescent="0.2">
      <c r="A477">
        <f>Table1[[#This Row],[Age]]</f>
        <v>26</v>
      </c>
      <c r="B477">
        <f>IF(Table3[[#This Row],[Attrition]] = "Yes", 1,0)</f>
        <v>0</v>
      </c>
      <c r="C477" t="str">
        <f>Table1[[#This Row],[Attrition]]</f>
        <v>No</v>
      </c>
      <c r="D477" t="str">
        <f>Table1[[#This Row],[Department]]</f>
        <v>Sales</v>
      </c>
      <c r="E477">
        <f>Table1[[#This Row],[EnvironmentSatisfaction]]</f>
        <v>1</v>
      </c>
      <c r="F477">
        <f>Table1[[#This Row],[HourlyRate]]</f>
        <v>66</v>
      </c>
      <c r="G477" t="str">
        <f>Table1[[#This Row],[JobRole]]</f>
        <v>Sales Executive</v>
      </c>
      <c r="H477">
        <f>Table1[[#This Row],[JobSatisfaction]]</f>
        <v>2</v>
      </c>
      <c r="I477">
        <f>Table1[[#This Row],[YearsAtCompany]]</f>
        <v>5</v>
      </c>
      <c r="J477">
        <f>Table1[[#This Row],[YearsSinceLastPromotion]]</f>
        <v>1</v>
      </c>
      <c r="K477">
        <f>Table1[[#This Row],[EmployeeNumber]]</f>
        <v>641</v>
      </c>
      <c r="L477">
        <f>Table1[[#This Row],[DistanceFromHome]]</f>
        <v>28</v>
      </c>
      <c r="M477" t="str">
        <f>Table1[[#This Row],[OverTime]]</f>
        <v>No</v>
      </c>
      <c r="N477">
        <f>Table1[[#This Row],[WorkLifeBalance]]</f>
        <v>4</v>
      </c>
      <c r="O477" t="str" cm="1">
        <f t="array" ref="O477">_xlfn.IFS(A477&lt;=30,"18-30",A477&lt;=40,"31-40",A477&lt;=50,"41-50",A477&gt;50,"51+")</f>
        <v>18-30</v>
      </c>
      <c r="P477" t="str" cm="1">
        <f t="array" ref="P477">_xlfn.IFS(F477&lt;=45,"45 or below",F477&lt;= 60,"46-60",F477&lt;=75,"61-75",F477&lt;=90,"76-90",F477&gt;90,"91 or above")</f>
        <v>61-75</v>
      </c>
      <c r="Q4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77" t="str" cm="1">
        <f t="array" ref="R477" xml:space="preserve"> _xlfn.IFS(Table3[[#This Row],[Flight Risk Score]] = "NA","NA",Table3[[#This Row],[Flight Risk Score]] &gt;= 70,"High Risk",Table3[[#This Row],[Flight Risk Score]] &gt;= 50, "Medium Risk", Table3[[#This Row],[Flight Risk Score]] &gt;= 30,"Low Risk",Table3[[#This Row],[Flight Risk Score]] &lt; 30,"Very Low Risk")</f>
        <v>Low Risk</v>
      </c>
    </row>
    <row r="478" spans="1:18" x14ac:dyDescent="0.2">
      <c r="A478">
        <f>Table1[[#This Row],[Age]]</f>
        <v>24</v>
      </c>
      <c r="B478">
        <f>IF(Table3[[#This Row],[Attrition]] = "Yes", 1,0)</f>
        <v>0</v>
      </c>
      <c r="C478" t="str">
        <f>Table1[[#This Row],[Attrition]]</f>
        <v>No</v>
      </c>
      <c r="D478" t="str">
        <f>Table1[[#This Row],[Department]]</f>
        <v>Research &amp; Development</v>
      </c>
      <c r="E478">
        <f>Table1[[#This Row],[EnvironmentSatisfaction]]</f>
        <v>4</v>
      </c>
      <c r="F478">
        <f>Table1[[#This Row],[HourlyRate]]</f>
        <v>94</v>
      </c>
      <c r="G478" t="str">
        <f>Table1[[#This Row],[JobRole]]</f>
        <v>Laboratory Technician</v>
      </c>
      <c r="H478">
        <f>Table1[[#This Row],[JobSatisfaction]]</f>
        <v>2</v>
      </c>
      <c r="I478">
        <f>Table1[[#This Row],[YearsAtCompany]]</f>
        <v>1</v>
      </c>
      <c r="J478">
        <f>Table1[[#This Row],[YearsSinceLastPromotion]]</f>
        <v>0</v>
      </c>
      <c r="K478">
        <f>Table1[[#This Row],[EmployeeNumber]]</f>
        <v>643</v>
      </c>
      <c r="L478">
        <f>Table1[[#This Row],[DistanceFromHome]]</f>
        <v>17</v>
      </c>
      <c r="M478" t="str">
        <f>Table1[[#This Row],[OverTime]]</f>
        <v>No</v>
      </c>
      <c r="N478">
        <f>Table1[[#This Row],[WorkLifeBalance]]</f>
        <v>3</v>
      </c>
      <c r="O478" t="str" cm="1">
        <f t="array" ref="O478">_xlfn.IFS(A478&lt;=30,"18-30",A478&lt;=40,"31-40",A478&lt;=50,"41-50",A478&gt;50,"51+")</f>
        <v>18-30</v>
      </c>
      <c r="P478" t="str" cm="1">
        <f t="array" ref="P478">_xlfn.IFS(F478&lt;=45,"45 or below",F478&lt;= 60,"46-60",F478&lt;=75,"61-75",F478&lt;=90,"76-90",F478&gt;90,"91 or above")</f>
        <v>91 or above</v>
      </c>
      <c r="Q4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78" t="str" cm="1">
        <f t="array" ref="R4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79" spans="1:18" x14ac:dyDescent="0.2">
      <c r="A479">
        <f>Table1[[#This Row],[Age]]</f>
        <v>50</v>
      </c>
      <c r="B479">
        <f>IF(Table3[[#This Row],[Attrition]] = "Yes", 1,0)</f>
        <v>0</v>
      </c>
      <c r="C479" t="str">
        <f>Table1[[#This Row],[Attrition]]</f>
        <v>No</v>
      </c>
      <c r="D479" t="str">
        <f>Table1[[#This Row],[Department]]</f>
        <v>Human Resources</v>
      </c>
      <c r="E479">
        <f>Table1[[#This Row],[EnvironmentSatisfaction]]</f>
        <v>1</v>
      </c>
      <c r="F479">
        <f>Table1[[#This Row],[HourlyRate]]</f>
        <v>99</v>
      </c>
      <c r="G479" t="str">
        <f>Table1[[#This Row],[JobRole]]</f>
        <v>Manager</v>
      </c>
      <c r="H479">
        <f>Table1[[#This Row],[JobSatisfaction]]</f>
        <v>2</v>
      </c>
      <c r="I479">
        <f>Table1[[#This Row],[YearsAtCompany]]</f>
        <v>32</v>
      </c>
      <c r="J479">
        <f>Table1[[#This Row],[YearsSinceLastPromotion]]</f>
        <v>10</v>
      </c>
      <c r="K479">
        <f>Table1[[#This Row],[EmployeeNumber]]</f>
        <v>644</v>
      </c>
      <c r="L479">
        <f>Table1[[#This Row],[DistanceFromHome]]</f>
        <v>3</v>
      </c>
      <c r="M479" t="str">
        <f>Table1[[#This Row],[OverTime]]</f>
        <v>No</v>
      </c>
      <c r="N479">
        <f>Table1[[#This Row],[WorkLifeBalance]]</f>
        <v>3</v>
      </c>
      <c r="O479" t="str" cm="1">
        <f t="array" ref="O479">_xlfn.IFS(A479&lt;=30,"18-30",A479&lt;=40,"31-40",A479&lt;=50,"41-50",A479&gt;50,"51+")</f>
        <v>41-50</v>
      </c>
      <c r="P479" t="str" cm="1">
        <f t="array" ref="P479">_xlfn.IFS(F479&lt;=45,"45 or below",F479&lt;= 60,"46-60",F479&lt;=75,"61-75",F479&lt;=90,"76-90",F479&gt;90,"91 or above")</f>
        <v>91 or above</v>
      </c>
      <c r="Q4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479" t="str" cm="1">
        <f t="array" ref="R479" xml:space="preserve"> _xlfn.IFS(Table3[[#This Row],[Flight Risk Score]] = "NA","NA",Table3[[#This Row],[Flight Risk Score]] &gt;= 70,"High Risk",Table3[[#This Row],[Flight Risk Score]] &gt;= 50, "Medium Risk", Table3[[#This Row],[Flight Risk Score]] &gt;= 30,"Low Risk",Table3[[#This Row],[Flight Risk Score]] &lt; 30,"Very Low Risk")</f>
        <v>Low Risk</v>
      </c>
    </row>
    <row r="480" spans="1:18" x14ac:dyDescent="0.2">
      <c r="A480">
        <f>Table1[[#This Row],[Age]]</f>
        <v>25</v>
      </c>
      <c r="B480">
        <f>IF(Table3[[#This Row],[Attrition]] = "Yes", 1,0)</f>
        <v>0</v>
      </c>
      <c r="C480" t="str">
        <f>Table1[[#This Row],[Attrition]]</f>
        <v>No</v>
      </c>
      <c r="D480" t="str">
        <f>Table1[[#This Row],[Department]]</f>
        <v>Sales</v>
      </c>
      <c r="E480">
        <f>Table1[[#This Row],[EnvironmentSatisfaction]]</f>
        <v>2</v>
      </c>
      <c r="F480">
        <f>Table1[[#This Row],[HourlyRate]]</f>
        <v>40</v>
      </c>
      <c r="G480" t="str">
        <f>Table1[[#This Row],[JobRole]]</f>
        <v>Sales Representative</v>
      </c>
      <c r="H480">
        <f>Table1[[#This Row],[JobSatisfaction]]</f>
        <v>3</v>
      </c>
      <c r="I480">
        <f>Table1[[#This Row],[YearsAtCompany]]</f>
        <v>7</v>
      </c>
      <c r="J480">
        <f>Table1[[#This Row],[YearsSinceLastPromotion]]</f>
        <v>0</v>
      </c>
      <c r="K480">
        <f>Table1[[#This Row],[EmployeeNumber]]</f>
        <v>645</v>
      </c>
      <c r="L480">
        <f>Table1[[#This Row],[DistanceFromHome]]</f>
        <v>13</v>
      </c>
      <c r="M480" t="str">
        <f>Table1[[#This Row],[OverTime]]</f>
        <v>No</v>
      </c>
      <c r="N480">
        <f>Table1[[#This Row],[WorkLifeBalance]]</f>
        <v>3</v>
      </c>
      <c r="O480" t="str" cm="1">
        <f t="array" ref="O480">_xlfn.IFS(A480&lt;=30,"18-30",A480&lt;=40,"31-40",A480&lt;=50,"41-50",A480&gt;50,"51+")</f>
        <v>18-30</v>
      </c>
      <c r="P480" t="str" cm="1">
        <f t="array" ref="P480">_xlfn.IFS(F480&lt;=45,"45 or below",F480&lt;= 60,"46-60",F480&lt;=75,"61-75",F480&lt;=90,"76-90",F480&gt;90,"91 or above")</f>
        <v>45 or below</v>
      </c>
      <c r="Q4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80" t="str" cm="1">
        <f t="array" ref="R4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81" spans="1:18" hidden="1" x14ac:dyDescent="0.2">
      <c r="A481">
        <f>Table1[[#This Row],[Age]]</f>
        <v>24</v>
      </c>
      <c r="B481">
        <f>IF(Table3[[#This Row],[Attrition]] = "Yes", 1,0)</f>
        <v>1</v>
      </c>
      <c r="C481" t="str">
        <f>Table1[[#This Row],[Attrition]]</f>
        <v>Yes</v>
      </c>
      <c r="D481" t="str">
        <f>Table1[[#This Row],[Department]]</f>
        <v>Research &amp; Development</v>
      </c>
      <c r="E481">
        <f>Table1[[#This Row],[EnvironmentSatisfaction]]</f>
        <v>1</v>
      </c>
      <c r="F481">
        <f>Table1[[#This Row],[HourlyRate]]</f>
        <v>55</v>
      </c>
      <c r="G481" t="str">
        <f>Table1[[#This Row],[JobRole]]</f>
        <v>Laboratory Technician</v>
      </c>
      <c r="H481">
        <f>Table1[[#This Row],[JobSatisfaction]]</f>
        <v>3</v>
      </c>
      <c r="I481">
        <f>Table1[[#This Row],[YearsAtCompany]]</f>
        <v>6</v>
      </c>
      <c r="J481">
        <f>Table1[[#This Row],[YearsSinceLastPromotion]]</f>
        <v>1</v>
      </c>
      <c r="K481">
        <f>Table1[[#This Row],[EmployeeNumber]]</f>
        <v>647</v>
      </c>
      <c r="L481">
        <f>Table1[[#This Row],[DistanceFromHome]]</f>
        <v>7</v>
      </c>
      <c r="M481" t="str">
        <f>Table1[[#This Row],[OverTime]]</f>
        <v>Yes</v>
      </c>
      <c r="N481">
        <f>Table1[[#This Row],[WorkLifeBalance]]</f>
        <v>3</v>
      </c>
      <c r="O481" t="str" cm="1">
        <f t="array" ref="O481">_xlfn.IFS(A481&lt;=30,"18-30",A481&lt;=40,"31-40",A481&lt;=50,"41-50",A481&gt;50,"51+")</f>
        <v>18-30</v>
      </c>
      <c r="P481" t="str" cm="1">
        <f t="array" ref="P481">_xlfn.IFS(F481&lt;=45,"45 or below",F481&lt;= 60,"46-60",F481&lt;=75,"61-75",F481&lt;=90,"76-90",F481&gt;90,"91 or above")</f>
        <v>46-60</v>
      </c>
      <c r="Q48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81" t="str" cm="1">
        <f t="array" ref="R481" xml:space="preserve"> _xlfn.IFS(Table3[[#This Row],[Flight Risk Score]] = "NA","NA",Table3[[#This Row],[Flight Risk Score]] &gt;= 70,"High Risk",Table3[[#This Row],[Flight Risk Score]] &gt;= 50, "Medium Risk", Table3[[#This Row],[Flight Risk Score]] &gt;= 30,"Low Risk",Table3[[#This Row],[Flight Risk Score]] &lt; 30,"Very Low Risk")</f>
        <v>NA</v>
      </c>
    </row>
    <row r="482" spans="1:18" hidden="1" x14ac:dyDescent="0.2">
      <c r="A482">
        <f>Table1[[#This Row],[Age]]</f>
        <v>30</v>
      </c>
      <c r="B482">
        <f>IF(Table3[[#This Row],[Attrition]] = "Yes", 1,0)</f>
        <v>1</v>
      </c>
      <c r="C482" t="str">
        <f>Table1[[#This Row],[Attrition]]</f>
        <v>Yes</v>
      </c>
      <c r="D482" t="str">
        <f>Table1[[#This Row],[Department]]</f>
        <v>Sales</v>
      </c>
      <c r="E482">
        <f>Table1[[#This Row],[EnvironmentSatisfaction]]</f>
        <v>2</v>
      </c>
      <c r="F482">
        <f>Table1[[#This Row],[HourlyRate]]</f>
        <v>74</v>
      </c>
      <c r="G482" t="str">
        <f>Table1[[#This Row],[JobRole]]</f>
        <v>Sales Representative</v>
      </c>
      <c r="H482">
        <f>Table1[[#This Row],[JobSatisfaction]]</f>
        <v>1</v>
      </c>
      <c r="I482">
        <f>Table1[[#This Row],[YearsAtCompany]]</f>
        <v>1</v>
      </c>
      <c r="J482">
        <f>Table1[[#This Row],[YearsSinceLastPromotion]]</f>
        <v>0</v>
      </c>
      <c r="K482">
        <f>Table1[[#This Row],[EmployeeNumber]]</f>
        <v>648</v>
      </c>
      <c r="L482">
        <f>Table1[[#This Row],[DistanceFromHome]]</f>
        <v>12</v>
      </c>
      <c r="M482" t="str">
        <f>Table1[[#This Row],[OverTime]]</f>
        <v>No</v>
      </c>
      <c r="N482">
        <f>Table1[[#This Row],[WorkLifeBalance]]</f>
        <v>4</v>
      </c>
      <c r="O482" t="str" cm="1">
        <f t="array" ref="O482">_xlfn.IFS(A482&lt;=30,"18-30",A482&lt;=40,"31-40",A482&lt;=50,"41-50",A482&gt;50,"51+")</f>
        <v>18-30</v>
      </c>
      <c r="P482" t="str" cm="1">
        <f t="array" ref="P482">_xlfn.IFS(F482&lt;=45,"45 or below",F482&lt;= 60,"46-60",F482&lt;=75,"61-75",F482&lt;=90,"76-90",F482&gt;90,"91 or above")</f>
        <v>61-75</v>
      </c>
      <c r="Q48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82" t="str" cm="1">
        <f t="array" ref="R482" xml:space="preserve"> _xlfn.IFS(Table3[[#This Row],[Flight Risk Score]] = "NA","NA",Table3[[#This Row],[Flight Risk Score]] &gt;= 70,"High Risk",Table3[[#This Row],[Flight Risk Score]] &gt;= 50, "Medium Risk", Table3[[#This Row],[Flight Risk Score]] &gt;= 30,"Low Risk",Table3[[#This Row],[Flight Risk Score]] &lt; 30,"Very Low Risk")</f>
        <v>NA</v>
      </c>
    </row>
    <row r="483" spans="1:18" x14ac:dyDescent="0.2">
      <c r="A483">
        <f>Table1[[#This Row],[Age]]</f>
        <v>34</v>
      </c>
      <c r="B483">
        <f>IF(Table3[[#This Row],[Attrition]] = "Yes", 1,0)</f>
        <v>0</v>
      </c>
      <c r="C483" t="str">
        <f>Table1[[#This Row],[Attrition]]</f>
        <v>No</v>
      </c>
      <c r="D483" t="str">
        <f>Table1[[#This Row],[Department]]</f>
        <v>Research &amp; Development</v>
      </c>
      <c r="E483">
        <f>Table1[[#This Row],[EnvironmentSatisfaction]]</f>
        <v>2</v>
      </c>
      <c r="F483">
        <f>Table1[[#This Row],[HourlyRate]]</f>
        <v>83</v>
      </c>
      <c r="G483" t="str">
        <f>Table1[[#This Row],[JobRole]]</f>
        <v>Research Scientist</v>
      </c>
      <c r="H483">
        <f>Table1[[#This Row],[JobSatisfaction]]</f>
        <v>4</v>
      </c>
      <c r="I483">
        <f>Table1[[#This Row],[YearsAtCompany]]</f>
        <v>6</v>
      </c>
      <c r="J483">
        <f>Table1[[#This Row],[YearsSinceLastPromotion]]</f>
        <v>1</v>
      </c>
      <c r="K483">
        <f>Table1[[#This Row],[EmployeeNumber]]</f>
        <v>649</v>
      </c>
      <c r="L483">
        <f>Table1[[#This Row],[DistanceFromHome]]</f>
        <v>1</v>
      </c>
      <c r="M483" t="str">
        <f>Table1[[#This Row],[OverTime]]</f>
        <v>Yes</v>
      </c>
      <c r="N483">
        <f>Table1[[#This Row],[WorkLifeBalance]]</f>
        <v>3</v>
      </c>
      <c r="O483" t="str" cm="1">
        <f t="array" ref="O483">_xlfn.IFS(A483&lt;=30,"18-30",A483&lt;=40,"31-40",A483&lt;=50,"41-50",A483&gt;50,"51+")</f>
        <v>31-40</v>
      </c>
      <c r="P483" t="str" cm="1">
        <f t="array" ref="P483">_xlfn.IFS(F483&lt;=45,"45 or below",F483&lt;= 60,"46-60",F483&lt;=75,"61-75",F483&lt;=90,"76-90",F483&gt;90,"91 or above")</f>
        <v>76-90</v>
      </c>
      <c r="Q4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83" t="str" cm="1">
        <f t="array" ref="R48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84" spans="1:18" hidden="1" x14ac:dyDescent="0.2">
      <c r="A484">
        <f>Table1[[#This Row],[Age]]</f>
        <v>31</v>
      </c>
      <c r="B484">
        <f>IF(Table3[[#This Row],[Attrition]] = "Yes", 1,0)</f>
        <v>1</v>
      </c>
      <c r="C484" t="str">
        <f>Table1[[#This Row],[Attrition]]</f>
        <v>Yes</v>
      </c>
      <c r="D484" t="str">
        <f>Table1[[#This Row],[Department]]</f>
        <v>Sales</v>
      </c>
      <c r="E484">
        <f>Table1[[#This Row],[EnvironmentSatisfaction]]</f>
        <v>2</v>
      </c>
      <c r="F484">
        <f>Table1[[#This Row],[HourlyRate]]</f>
        <v>46</v>
      </c>
      <c r="G484" t="str">
        <f>Table1[[#This Row],[JobRole]]</f>
        <v>Sales Executive</v>
      </c>
      <c r="H484">
        <f>Table1[[#This Row],[JobSatisfaction]]</f>
        <v>1</v>
      </c>
      <c r="I484">
        <f>Table1[[#This Row],[YearsAtCompany]]</f>
        <v>3</v>
      </c>
      <c r="J484">
        <f>Table1[[#This Row],[YearsSinceLastPromotion]]</f>
        <v>1</v>
      </c>
      <c r="K484">
        <f>Table1[[#This Row],[EmployeeNumber]]</f>
        <v>650</v>
      </c>
      <c r="L484">
        <f>Table1[[#This Row],[DistanceFromHome]]</f>
        <v>13</v>
      </c>
      <c r="M484" t="str">
        <f>Table1[[#This Row],[OverTime]]</f>
        <v>No</v>
      </c>
      <c r="N484">
        <f>Table1[[#This Row],[WorkLifeBalance]]</f>
        <v>1</v>
      </c>
      <c r="O484" t="str" cm="1">
        <f t="array" ref="O484">_xlfn.IFS(A484&lt;=30,"18-30",A484&lt;=40,"31-40",A484&lt;=50,"41-50",A484&gt;50,"51+")</f>
        <v>31-40</v>
      </c>
      <c r="P484" t="str" cm="1">
        <f t="array" ref="P484">_xlfn.IFS(F484&lt;=45,"45 or below",F484&lt;= 60,"46-60",F484&lt;=75,"61-75",F484&lt;=90,"76-90",F484&gt;90,"91 or above")</f>
        <v>46-60</v>
      </c>
      <c r="Q48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84" t="str" cm="1">
        <f t="array" ref="R484" xml:space="preserve"> _xlfn.IFS(Table3[[#This Row],[Flight Risk Score]] = "NA","NA",Table3[[#This Row],[Flight Risk Score]] &gt;= 70,"High Risk",Table3[[#This Row],[Flight Risk Score]] &gt;= 50, "Medium Risk", Table3[[#This Row],[Flight Risk Score]] &gt;= 30,"Low Risk",Table3[[#This Row],[Flight Risk Score]] &lt; 30,"Very Low Risk")</f>
        <v>NA</v>
      </c>
    </row>
    <row r="485" spans="1:18" x14ac:dyDescent="0.2">
      <c r="A485">
        <f>Table1[[#This Row],[Age]]</f>
        <v>35</v>
      </c>
      <c r="B485">
        <f>IF(Table3[[#This Row],[Attrition]] = "Yes", 1,0)</f>
        <v>0</v>
      </c>
      <c r="C485" t="str">
        <f>Table1[[#This Row],[Attrition]]</f>
        <v>No</v>
      </c>
      <c r="D485" t="str">
        <f>Table1[[#This Row],[Department]]</f>
        <v>Research &amp; Development</v>
      </c>
      <c r="E485">
        <f>Table1[[#This Row],[EnvironmentSatisfaction]]</f>
        <v>1</v>
      </c>
      <c r="F485">
        <f>Table1[[#This Row],[HourlyRate]]</f>
        <v>54</v>
      </c>
      <c r="G485" t="str">
        <f>Table1[[#This Row],[JobRole]]</f>
        <v>Laboratory Technician</v>
      </c>
      <c r="H485">
        <f>Table1[[#This Row],[JobSatisfaction]]</f>
        <v>4</v>
      </c>
      <c r="I485">
        <f>Table1[[#This Row],[YearsAtCompany]]</f>
        <v>3</v>
      </c>
      <c r="J485">
        <f>Table1[[#This Row],[YearsSinceLastPromotion]]</f>
        <v>0</v>
      </c>
      <c r="K485">
        <f>Table1[[#This Row],[EmployeeNumber]]</f>
        <v>652</v>
      </c>
      <c r="L485">
        <f>Table1[[#This Row],[DistanceFromHome]]</f>
        <v>25</v>
      </c>
      <c r="M485" t="str">
        <f>Table1[[#This Row],[OverTime]]</f>
        <v>No</v>
      </c>
      <c r="N485">
        <f>Table1[[#This Row],[WorkLifeBalance]]</f>
        <v>3</v>
      </c>
      <c r="O485" t="str" cm="1">
        <f t="array" ref="O485">_xlfn.IFS(A485&lt;=30,"18-30",A485&lt;=40,"31-40",A485&lt;=50,"41-50",A485&gt;50,"51+")</f>
        <v>31-40</v>
      </c>
      <c r="P485" t="str" cm="1">
        <f t="array" ref="P485">_xlfn.IFS(F485&lt;=45,"45 or below",F485&lt;= 60,"46-60",F485&lt;=75,"61-75",F485&lt;=90,"76-90",F485&gt;90,"91 or above")</f>
        <v>46-60</v>
      </c>
      <c r="Q4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85" t="str" cm="1">
        <f t="array" ref="R4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86" spans="1:18" x14ac:dyDescent="0.2">
      <c r="A486">
        <f>Table1[[#This Row],[Age]]</f>
        <v>31</v>
      </c>
      <c r="B486">
        <f>IF(Table3[[#This Row],[Attrition]] = "Yes", 1,0)</f>
        <v>0</v>
      </c>
      <c r="C486" t="str">
        <f>Table1[[#This Row],[Attrition]]</f>
        <v>No</v>
      </c>
      <c r="D486" t="str">
        <f>Table1[[#This Row],[Department]]</f>
        <v>Sales</v>
      </c>
      <c r="E486">
        <f>Table1[[#This Row],[EnvironmentSatisfaction]]</f>
        <v>1</v>
      </c>
      <c r="F486">
        <f>Table1[[#This Row],[HourlyRate]]</f>
        <v>66</v>
      </c>
      <c r="G486" t="str">
        <f>Table1[[#This Row],[JobRole]]</f>
        <v>Sales Executive</v>
      </c>
      <c r="H486">
        <f>Table1[[#This Row],[JobSatisfaction]]</f>
        <v>4</v>
      </c>
      <c r="I486">
        <f>Table1[[#This Row],[YearsAtCompany]]</f>
        <v>7</v>
      </c>
      <c r="J486">
        <f>Table1[[#This Row],[YearsSinceLastPromotion]]</f>
        <v>5</v>
      </c>
      <c r="K486">
        <f>Table1[[#This Row],[EmployeeNumber]]</f>
        <v>653</v>
      </c>
      <c r="L486">
        <f>Table1[[#This Row],[DistanceFromHome]]</f>
        <v>6</v>
      </c>
      <c r="M486" t="str">
        <f>Table1[[#This Row],[OverTime]]</f>
        <v>No</v>
      </c>
      <c r="N486">
        <f>Table1[[#This Row],[WorkLifeBalance]]</f>
        <v>4</v>
      </c>
      <c r="O486" t="str" cm="1">
        <f t="array" ref="O486">_xlfn.IFS(A486&lt;=30,"18-30",A486&lt;=40,"31-40",A486&lt;=50,"41-50",A486&gt;50,"51+")</f>
        <v>31-40</v>
      </c>
      <c r="P486" t="str" cm="1">
        <f t="array" ref="P486">_xlfn.IFS(F486&lt;=45,"45 or below",F486&lt;= 60,"46-60",F486&lt;=75,"61-75",F486&lt;=90,"76-90",F486&gt;90,"91 or above")</f>
        <v>61-75</v>
      </c>
      <c r="Q4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86" t="str" cm="1">
        <f t="array" ref="R4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87" spans="1:18" x14ac:dyDescent="0.2">
      <c r="A487">
        <f>Table1[[#This Row],[Age]]</f>
        <v>27</v>
      </c>
      <c r="B487">
        <f>IF(Table3[[#This Row],[Attrition]] = "Yes", 1,0)</f>
        <v>0</v>
      </c>
      <c r="C487" t="str">
        <f>Table1[[#This Row],[Attrition]]</f>
        <v>No</v>
      </c>
      <c r="D487" t="str">
        <f>Table1[[#This Row],[Department]]</f>
        <v>Research &amp; Development</v>
      </c>
      <c r="E487">
        <f>Table1[[#This Row],[EnvironmentSatisfaction]]</f>
        <v>1</v>
      </c>
      <c r="F487">
        <f>Table1[[#This Row],[HourlyRate]]</f>
        <v>66</v>
      </c>
      <c r="G487" t="str">
        <f>Table1[[#This Row],[JobRole]]</f>
        <v>Research Scientist</v>
      </c>
      <c r="H487">
        <f>Table1[[#This Row],[JobSatisfaction]]</f>
        <v>3</v>
      </c>
      <c r="I487">
        <f>Table1[[#This Row],[YearsAtCompany]]</f>
        <v>5</v>
      </c>
      <c r="J487">
        <f>Table1[[#This Row],[YearsSinceLastPromotion]]</f>
        <v>0</v>
      </c>
      <c r="K487">
        <f>Table1[[#This Row],[EmployeeNumber]]</f>
        <v>655</v>
      </c>
      <c r="L487">
        <f>Table1[[#This Row],[DistanceFromHome]]</f>
        <v>6</v>
      </c>
      <c r="M487" t="str">
        <f>Table1[[#This Row],[OverTime]]</f>
        <v>No</v>
      </c>
      <c r="N487">
        <f>Table1[[#This Row],[WorkLifeBalance]]</f>
        <v>2</v>
      </c>
      <c r="O487" t="str" cm="1">
        <f t="array" ref="O487">_xlfn.IFS(A487&lt;=30,"18-30",A487&lt;=40,"31-40",A487&lt;=50,"41-50",A487&gt;50,"51+")</f>
        <v>18-30</v>
      </c>
      <c r="P487" t="str" cm="1">
        <f t="array" ref="P487">_xlfn.IFS(F487&lt;=45,"45 or below",F487&lt;= 60,"46-60",F487&lt;=75,"61-75",F487&lt;=90,"76-90",F487&gt;90,"91 or above")</f>
        <v>61-75</v>
      </c>
      <c r="Q4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87" t="str" cm="1">
        <f t="array" ref="R4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88" spans="1:18" x14ac:dyDescent="0.2">
      <c r="A488">
        <f>Table1[[#This Row],[Age]]</f>
        <v>37</v>
      </c>
      <c r="B488">
        <f>IF(Table3[[#This Row],[Attrition]] = "Yes", 1,0)</f>
        <v>0</v>
      </c>
      <c r="C488" t="str">
        <f>Table1[[#This Row],[Attrition]]</f>
        <v>No</v>
      </c>
      <c r="D488" t="str">
        <f>Table1[[#This Row],[Department]]</f>
        <v>Sales</v>
      </c>
      <c r="E488">
        <f>Table1[[#This Row],[EnvironmentSatisfaction]]</f>
        <v>4</v>
      </c>
      <c r="F488">
        <f>Table1[[#This Row],[HourlyRate]]</f>
        <v>75</v>
      </c>
      <c r="G488" t="str">
        <f>Table1[[#This Row],[JobRole]]</f>
        <v>Sales Executive</v>
      </c>
      <c r="H488">
        <f>Table1[[#This Row],[JobSatisfaction]]</f>
        <v>3</v>
      </c>
      <c r="I488">
        <f>Table1[[#This Row],[YearsAtCompany]]</f>
        <v>3</v>
      </c>
      <c r="J488">
        <f>Table1[[#This Row],[YearsSinceLastPromotion]]</f>
        <v>1</v>
      </c>
      <c r="K488">
        <f>Table1[[#This Row],[EmployeeNumber]]</f>
        <v>656</v>
      </c>
      <c r="L488">
        <f>Table1[[#This Row],[DistanceFromHome]]</f>
        <v>2</v>
      </c>
      <c r="M488" t="str">
        <f>Table1[[#This Row],[OverTime]]</f>
        <v>Yes</v>
      </c>
      <c r="N488">
        <f>Table1[[#This Row],[WorkLifeBalance]]</f>
        <v>2</v>
      </c>
      <c r="O488" t="str" cm="1">
        <f t="array" ref="O488">_xlfn.IFS(A488&lt;=30,"18-30",A488&lt;=40,"31-40",A488&lt;=50,"41-50",A488&gt;50,"51+")</f>
        <v>31-40</v>
      </c>
      <c r="P488" t="str" cm="1">
        <f t="array" ref="P488">_xlfn.IFS(F488&lt;=45,"45 or below",F488&lt;= 60,"46-60",F488&lt;=75,"61-75",F488&lt;=90,"76-90",F488&gt;90,"91 or above")</f>
        <v>61-75</v>
      </c>
      <c r="Q4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88" t="str" cm="1">
        <f t="array" ref="R488" xml:space="preserve"> _xlfn.IFS(Table3[[#This Row],[Flight Risk Score]] = "NA","NA",Table3[[#This Row],[Flight Risk Score]] &gt;= 70,"High Risk",Table3[[#This Row],[Flight Risk Score]] &gt;= 50, "Medium Risk", Table3[[#This Row],[Flight Risk Score]] &gt;= 30,"Low Risk",Table3[[#This Row],[Flight Risk Score]] &lt; 30,"Very Low Risk")</f>
        <v>Low Risk</v>
      </c>
    </row>
    <row r="489" spans="1:18" x14ac:dyDescent="0.2">
      <c r="A489">
        <f>Table1[[#This Row],[Age]]</f>
        <v>20</v>
      </c>
      <c r="B489">
        <f>IF(Table3[[#This Row],[Attrition]] = "Yes", 1,0)</f>
        <v>0</v>
      </c>
      <c r="C489" t="str">
        <f>Table1[[#This Row],[Attrition]]</f>
        <v>No</v>
      </c>
      <c r="D489" t="str">
        <f>Table1[[#This Row],[Department]]</f>
        <v>Research &amp; Development</v>
      </c>
      <c r="E489">
        <f>Table1[[#This Row],[EnvironmentSatisfaction]]</f>
        <v>4</v>
      </c>
      <c r="F489">
        <f>Table1[[#This Row],[HourlyRate]]</f>
        <v>83</v>
      </c>
      <c r="G489" t="str">
        <f>Table1[[#This Row],[JobRole]]</f>
        <v>Research Scientist</v>
      </c>
      <c r="H489">
        <f>Table1[[#This Row],[JobSatisfaction]]</f>
        <v>2</v>
      </c>
      <c r="I489">
        <f>Table1[[#This Row],[YearsAtCompany]]</f>
        <v>1</v>
      </c>
      <c r="J489">
        <f>Table1[[#This Row],[YearsSinceLastPromotion]]</f>
        <v>0</v>
      </c>
      <c r="K489">
        <f>Table1[[#This Row],[EmployeeNumber]]</f>
        <v>657</v>
      </c>
      <c r="L489">
        <f>Table1[[#This Row],[DistanceFromHome]]</f>
        <v>1</v>
      </c>
      <c r="M489" t="str">
        <f>Table1[[#This Row],[OverTime]]</f>
        <v>No</v>
      </c>
      <c r="N489">
        <f>Table1[[#This Row],[WorkLifeBalance]]</f>
        <v>4</v>
      </c>
      <c r="O489" t="str" cm="1">
        <f t="array" ref="O489">_xlfn.IFS(A489&lt;=30,"18-30",A489&lt;=40,"31-40",A489&lt;=50,"41-50",A489&gt;50,"51+")</f>
        <v>18-30</v>
      </c>
      <c r="P489" t="str" cm="1">
        <f t="array" ref="P489">_xlfn.IFS(F489&lt;=45,"45 or below",F489&lt;= 60,"46-60",F489&lt;=75,"61-75",F489&lt;=90,"76-90",F489&gt;90,"91 or above")</f>
        <v>76-90</v>
      </c>
      <c r="Q4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89" t="str" cm="1">
        <f t="array" ref="R4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90" spans="1:18" x14ac:dyDescent="0.2">
      <c r="A490">
        <f>Table1[[#This Row],[Age]]</f>
        <v>42</v>
      </c>
      <c r="B490">
        <f>IF(Table3[[#This Row],[Attrition]] = "Yes", 1,0)</f>
        <v>0</v>
      </c>
      <c r="C490" t="str">
        <f>Table1[[#This Row],[Attrition]]</f>
        <v>No</v>
      </c>
      <c r="D490" t="str">
        <f>Table1[[#This Row],[Department]]</f>
        <v>Research &amp; Development</v>
      </c>
      <c r="E490">
        <f>Table1[[#This Row],[EnvironmentSatisfaction]]</f>
        <v>3</v>
      </c>
      <c r="F490">
        <f>Table1[[#This Row],[HourlyRate]]</f>
        <v>81</v>
      </c>
      <c r="G490" t="str">
        <f>Table1[[#This Row],[JobRole]]</f>
        <v>Healthcare Representative</v>
      </c>
      <c r="H490">
        <f>Table1[[#This Row],[JobSatisfaction]]</f>
        <v>4</v>
      </c>
      <c r="I490">
        <f>Table1[[#This Row],[YearsAtCompany]]</f>
        <v>10</v>
      </c>
      <c r="J490">
        <f>Table1[[#This Row],[YearsSinceLastPromotion]]</f>
        <v>2</v>
      </c>
      <c r="K490">
        <f>Table1[[#This Row],[EmployeeNumber]]</f>
        <v>659</v>
      </c>
      <c r="L490">
        <f>Table1[[#This Row],[DistanceFromHome]]</f>
        <v>2</v>
      </c>
      <c r="M490" t="str">
        <f>Table1[[#This Row],[OverTime]]</f>
        <v>No</v>
      </c>
      <c r="N490">
        <f>Table1[[#This Row],[WorkLifeBalance]]</f>
        <v>3</v>
      </c>
      <c r="O490" t="str" cm="1">
        <f t="array" ref="O490">_xlfn.IFS(A490&lt;=30,"18-30",A490&lt;=40,"31-40",A490&lt;=50,"41-50",A490&gt;50,"51+")</f>
        <v>41-50</v>
      </c>
      <c r="P490" t="str" cm="1">
        <f t="array" ref="P490">_xlfn.IFS(F490&lt;=45,"45 or below",F490&lt;= 60,"46-60",F490&lt;=75,"61-75",F490&lt;=90,"76-90",F490&gt;90,"91 or above")</f>
        <v>76-90</v>
      </c>
      <c r="Q4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90" t="str" cm="1">
        <f t="array" ref="R4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91" spans="1:18" x14ac:dyDescent="0.2">
      <c r="A491">
        <f>Table1[[#This Row],[Age]]</f>
        <v>43</v>
      </c>
      <c r="B491">
        <f>IF(Table3[[#This Row],[Attrition]] = "Yes", 1,0)</f>
        <v>0</v>
      </c>
      <c r="C491" t="str">
        <f>Table1[[#This Row],[Attrition]]</f>
        <v>No</v>
      </c>
      <c r="D491" t="str">
        <f>Table1[[#This Row],[Department]]</f>
        <v>Research &amp; Development</v>
      </c>
      <c r="E491">
        <f>Table1[[#This Row],[EnvironmentSatisfaction]]</f>
        <v>2</v>
      </c>
      <c r="F491">
        <f>Table1[[#This Row],[HourlyRate]]</f>
        <v>50</v>
      </c>
      <c r="G491" t="str">
        <f>Table1[[#This Row],[JobRole]]</f>
        <v>Research Director</v>
      </c>
      <c r="H491">
        <f>Table1[[#This Row],[JobSatisfaction]]</f>
        <v>4</v>
      </c>
      <c r="I491">
        <f>Table1[[#This Row],[YearsAtCompany]]</f>
        <v>1</v>
      </c>
      <c r="J491">
        <f>Table1[[#This Row],[YearsSinceLastPromotion]]</f>
        <v>0</v>
      </c>
      <c r="K491">
        <f>Table1[[#This Row],[EmployeeNumber]]</f>
        <v>661</v>
      </c>
      <c r="L491">
        <f>Table1[[#This Row],[DistanceFromHome]]</f>
        <v>6</v>
      </c>
      <c r="M491" t="str">
        <f>Table1[[#This Row],[OverTime]]</f>
        <v>Yes</v>
      </c>
      <c r="N491">
        <f>Table1[[#This Row],[WorkLifeBalance]]</f>
        <v>2</v>
      </c>
      <c r="O491" t="str" cm="1">
        <f t="array" ref="O491">_xlfn.IFS(A491&lt;=30,"18-30",A491&lt;=40,"31-40",A491&lt;=50,"41-50",A491&gt;50,"51+")</f>
        <v>41-50</v>
      </c>
      <c r="P491" t="str" cm="1">
        <f t="array" ref="P491">_xlfn.IFS(F491&lt;=45,"45 or below",F491&lt;= 60,"46-60",F491&lt;=75,"61-75",F491&lt;=90,"76-90",F491&gt;90,"91 or above")</f>
        <v>46-60</v>
      </c>
      <c r="Q4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91" t="str" cm="1">
        <f t="array" ref="R49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92" spans="1:18" x14ac:dyDescent="0.2">
      <c r="A492">
        <f>Table1[[#This Row],[Age]]</f>
        <v>38</v>
      </c>
      <c r="B492">
        <f>IF(Table3[[#This Row],[Attrition]] = "Yes", 1,0)</f>
        <v>0</v>
      </c>
      <c r="C492" t="str">
        <f>Table1[[#This Row],[Attrition]]</f>
        <v>No</v>
      </c>
      <c r="D492" t="str">
        <f>Table1[[#This Row],[Department]]</f>
        <v>Research &amp; Development</v>
      </c>
      <c r="E492">
        <f>Table1[[#This Row],[EnvironmentSatisfaction]]</f>
        <v>3</v>
      </c>
      <c r="F492">
        <f>Table1[[#This Row],[HourlyRate]]</f>
        <v>43</v>
      </c>
      <c r="G492" t="str">
        <f>Table1[[#This Row],[JobRole]]</f>
        <v>Research Scientist</v>
      </c>
      <c r="H492">
        <f>Table1[[#This Row],[JobSatisfaction]]</f>
        <v>1</v>
      </c>
      <c r="I492">
        <f>Table1[[#This Row],[YearsAtCompany]]</f>
        <v>0</v>
      </c>
      <c r="J492">
        <f>Table1[[#This Row],[YearsSinceLastPromotion]]</f>
        <v>0</v>
      </c>
      <c r="K492">
        <f>Table1[[#This Row],[EmployeeNumber]]</f>
        <v>662</v>
      </c>
      <c r="L492">
        <f>Table1[[#This Row],[DistanceFromHome]]</f>
        <v>1</v>
      </c>
      <c r="M492" t="str">
        <f>Table1[[#This Row],[OverTime]]</f>
        <v>No</v>
      </c>
      <c r="N492">
        <f>Table1[[#This Row],[WorkLifeBalance]]</f>
        <v>2</v>
      </c>
      <c r="O492" t="str" cm="1">
        <f t="array" ref="O492">_xlfn.IFS(A492&lt;=30,"18-30",A492&lt;=40,"31-40",A492&lt;=50,"41-50",A492&gt;50,"51+")</f>
        <v>31-40</v>
      </c>
      <c r="P492" t="str" cm="1">
        <f t="array" ref="P492">_xlfn.IFS(F492&lt;=45,"45 or below",F492&lt;= 60,"46-60",F492&lt;=75,"61-75",F492&lt;=90,"76-90",F492&gt;90,"91 or above")</f>
        <v>45 or below</v>
      </c>
      <c r="Q4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92" t="str" cm="1">
        <f t="array" ref="R4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93" spans="1:18" x14ac:dyDescent="0.2">
      <c r="A493">
        <f>Table1[[#This Row],[Age]]</f>
        <v>43</v>
      </c>
      <c r="B493">
        <f>IF(Table3[[#This Row],[Attrition]] = "Yes", 1,0)</f>
        <v>0</v>
      </c>
      <c r="C493" t="str">
        <f>Table1[[#This Row],[Attrition]]</f>
        <v>No</v>
      </c>
      <c r="D493" t="str">
        <f>Table1[[#This Row],[Department]]</f>
        <v>Research &amp; Development</v>
      </c>
      <c r="E493">
        <f>Table1[[#This Row],[EnvironmentSatisfaction]]</f>
        <v>4</v>
      </c>
      <c r="F493">
        <f>Table1[[#This Row],[HourlyRate]]</f>
        <v>72</v>
      </c>
      <c r="G493" t="str">
        <f>Table1[[#This Row],[JobRole]]</f>
        <v>Laboratory Technician</v>
      </c>
      <c r="H493">
        <f>Table1[[#This Row],[JobSatisfaction]]</f>
        <v>3</v>
      </c>
      <c r="I493">
        <f>Table1[[#This Row],[YearsAtCompany]]</f>
        <v>8</v>
      </c>
      <c r="J493">
        <f>Table1[[#This Row],[YearsSinceLastPromotion]]</f>
        <v>4</v>
      </c>
      <c r="K493">
        <f>Table1[[#This Row],[EmployeeNumber]]</f>
        <v>663</v>
      </c>
      <c r="L493">
        <f>Table1[[#This Row],[DistanceFromHome]]</f>
        <v>9</v>
      </c>
      <c r="M493" t="str">
        <f>Table1[[#This Row],[OverTime]]</f>
        <v>Yes</v>
      </c>
      <c r="N493">
        <f>Table1[[#This Row],[WorkLifeBalance]]</f>
        <v>3</v>
      </c>
      <c r="O493" t="str" cm="1">
        <f t="array" ref="O493">_xlfn.IFS(A493&lt;=30,"18-30",A493&lt;=40,"31-40",A493&lt;=50,"41-50",A493&gt;50,"51+")</f>
        <v>41-50</v>
      </c>
      <c r="P493" t="str" cm="1">
        <f t="array" ref="P493">_xlfn.IFS(F493&lt;=45,"45 or below",F493&lt;= 60,"46-60",F493&lt;=75,"61-75",F493&lt;=90,"76-90",F493&gt;90,"91 or above")</f>
        <v>61-75</v>
      </c>
      <c r="Q4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93" t="str" cm="1">
        <f t="array" ref="R493" xml:space="preserve"> _xlfn.IFS(Table3[[#This Row],[Flight Risk Score]] = "NA","NA",Table3[[#This Row],[Flight Risk Score]] &gt;= 70,"High Risk",Table3[[#This Row],[Flight Risk Score]] &gt;= 50, "Medium Risk", Table3[[#This Row],[Flight Risk Score]] &gt;= 30,"Low Risk",Table3[[#This Row],[Flight Risk Score]] &lt; 30,"Very Low Risk")</f>
        <v>Low Risk</v>
      </c>
    </row>
    <row r="494" spans="1:18" x14ac:dyDescent="0.2">
      <c r="A494">
        <f>Table1[[#This Row],[Age]]</f>
        <v>48</v>
      </c>
      <c r="B494">
        <f>IF(Table3[[#This Row],[Attrition]] = "Yes", 1,0)</f>
        <v>0</v>
      </c>
      <c r="C494" t="str">
        <f>Table1[[#This Row],[Attrition]]</f>
        <v>No</v>
      </c>
      <c r="D494" t="str">
        <f>Table1[[#This Row],[Department]]</f>
        <v>Research &amp; Development</v>
      </c>
      <c r="E494">
        <f>Table1[[#This Row],[EnvironmentSatisfaction]]</f>
        <v>4</v>
      </c>
      <c r="F494">
        <f>Table1[[#This Row],[HourlyRate]]</f>
        <v>40</v>
      </c>
      <c r="G494" t="str">
        <f>Table1[[#This Row],[JobRole]]</f>
        <v>Manager</v>
      </c>
      <c r="H494">
        <f>Table1[[#This Row],[JobSatisfaction]]</f>
        <v>1</v>
      </c>
      <c r="I494">
        <f>Table1[[#This Row],[YearsAtCompany]]</f>
        <v>3</v>
      </c>
      <c r="J494">
        <f>Table1[[#This Row],[YearsSinceLastPromotion]]</f>
        <v>0</v>
      </c>
      <c r="K494">
        <f>Table1[[#This Row],[EmployeeNumber]]</f>
        <v>664</v>
      </c>
      <c r="L494">
        <f>Table1[[#This Row],[DistanceFromHome]]</f>
        <v>1</v>
      </c>
      <c r="M494" t="str">
        <f>Table1[[#This Row],[OverTime]]</f>
        <v>No</v>
      </c>
      <c r="N494">
        <f>Table1[[#This Row],[WorkLifeBalance]]</f>
        <v>1</v>
      </c>
      <c r="O494" t="str" cm="1">
        <f t="array" ref="O494">_xlfn.IFS(A494&lt;=30,"18-30",A494&lt;=40,"31-40",A494&lt;=50,"41-50",A494&gt;50,"51+")</f>
        <v>41-50</v>
      </c>
      <c r="P494" t="str" cm="1">
        <f t="array" ref="P494">_xlfn.IFS(F494&lt;=45,"45 or below",F494&lt;= 60,"46-60",F494&lt;=75,"61-75",F494&lt;=90,"76-90",F494&gt;90,"91 or above")</f>
        <v>45 or below</v>
      </c>
      <c r="Q4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494" t="str" cm="1">
        <f t="array" ref="R49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495" spans="1:18" x14ac:dyDescent="0.2">
      <c r="A495">
        <f>Table1[[#This Row],[Age]]</f>
        <v>44</v>
      </c>
      <c r="B495">
        <f>IF(Table3[[#This Row],[Attrition]] = "Yes", 1,0)</f>
        <v>0</v>
      </c>
      <c r="C495" t="str">
        <f>Table1[[#This Row],[Attrition]]</f>
        <v>No</v>
      </c>
      <c r="D495" t="str">
        <f>Table1[[#This Row],[Department]]</f>
        <v>Human Resources</v>
      </c>
      <c r="E495">
        <f>Table1[[#This Row],[EnvironmentSatisfaction]]</f>
        <v>1</v>
      </c>
      <c r="F495">
        <f>Table1[[#This Row],[HourlyRate]]</f>
        <v>50</v>
      </c>
      <c r="G495" t="str">
        <f>Table1[[#This Row],[JobRole]]</f>
        <v>Human Resources</v>
      </c>
      <c r="H495">
        <f>Table1[[#This Row],[JobSatisfaction]]</f>
        <v>3</v>
      </c>
      <c r="I495">
        <f>Table1[[#This Row],[YearsAtCompany]]</f>
        <v>2</v>
      </c>
      <c r="J495">
        <f>Table1[[#This Row],[YearsSinceLastPromotion]]</f>
        <v>0</v>
      </c>
      <c r="K495">
        <f>Table1[[#This Row],[EmployeeNumber]]</f>
        <v>665</v>
      </c>
      <c r="L495">
        <f>Table1[[#This Row],[DistanceFromHome]]</f>
        <v>1</v>
      </c>
      <c r="M495" t="str">
        <f>Table1[[#This Row],[OverTime]]</f>
        <v>No</v>
      </c>
      <c r="N495">
        <f>Table1[[#This Row],[WorkLifeBalance]]</f>
        <v>4</v>
      </c>
      <c r="O495" t="str" cm="1">
        <f t="array" ref="O495">_xlfn.IFS(A495&lt;=30,"18-30",A495&lt;=40,"31-40",A495&lt;=50,"41-50",A495&gt;50,"51+")</f>
        <v>41-50</v>
      </c>
      <c r="P495" t="str" cm="1">
        <f t="array" ref="P495">_xlfn.IFS(F495&lt;=45,"45 or below",F495&lt;= 60,"46-60",F495&lt;=75,"61-75",F495&lt;=90,"76-90",F495&gt;90,"91 or above")</f>
        <v>46-60</v>
      </c>
      <c r="Q4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495" t="str" cm="1">
        <f t="array" ref="R4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96" spans="1:18" x14ac:dyDescent="0.2">
      <c r="A496">
        <f>Table1[[#This Row],[Age]]</f>
        <v>34</v>
      </c>
      <c r="B496">
        <f>IF(Table3[[#This Row],[Attrition]] = "Yes", 1,0)</f>
        <v>0</v>
      </c>
      <c r="C496" t="str">
        <f>Table1[[#This Row],[Attrition]]</f>
        <v>No</v>
      </c>
      <c r="D496" t="str">
        <f>Table1[[#This Row],[Department]]</f>
        <v>Sales</v>
      </c>
      <c r="E496">
        <f>Table1[[#This Row],[EnvironmentSatisfaction]]</f>
        <v>3</v>
      </c>
      <c r="F496">
        <f>Table1[[#This Row],[HourlyRate]]</f>
        <v>31</v>
      </c>
      <c r="G496" t="str">
        <f>Table1[[#This Row],[JobRole]]</f>
        <v>Sales Representative</v>
      </c>
      <c r="H496">
        <f>Table1[[#This Row],[JobSatisfaction]]</f>
        <v>3</v>
      </c>
      <c r="I496">
        <f>Table1[[#This Row],[YearsAtCompany]]</f>
        <v>8</v>
      </c>
      <c r="J496">
        <f>Table1[[#This Row],[YearsSinceLastPromotion]]</f>
        <v>0</v>
      </c>
      <c r="K496">
        <f>Table1[[#This Row],[EmployeeNumber]]</f>
        <v>666</v>
      </c>
      <c r="L496">
        <f>Table1[[#This Row],[DistanceFromHome]]</f>
        <v>14</v>
      </c>
      <c r="M496" t="str">
        <f>Table1[[#This Row],[OverTime]]</f>
        <v>Yes</v>
      </c>
      <c r="N496">
        <f>Table1[[#This Row],[WorkLifeBalance]]</f>
        <v>3</v>
      </c>
      <c r="O496" t="str" cm="1">
        <f t="array" ref="O496">_xlfn.IFS(A496&lt;=30,"18-30",A496&lt;=40,"31-40",A496&lt;=50,"41-50",A496&gt;50,"51+")</f>
        <v>31-40</v>
      </c>
      <c r="P496" t="str" cm="1">
        <f t="array" ref="P496">_xlfn.IFS(F496&lt;=45,"45 or below",F496&lt;= 60,"46-60",F496&lt;=75,"61-75",F496&lt;=90,"76-90",F496&gt;90,"91 or above")</f>
        <v>45 or below</v>
      </c>
      <c r="Q4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96" t="str" cm="1">
        <f t="array" ref="R496" xml:space="preserve"> _xlfn.IFS(Table3[[#This Row],[Flight Risk Score]] = "NA","NA",Table3[[#This Row],[Flight Risk Score]] &gt;= 70,"High Risk",Table3[[#This Row],[Flight Risk Score]] &gt;= 50, "Medium Risk", Table3[[#This Row],[Flight Risk Score]] &gt;= 30,"Low Risk",Table3[[#This Row],[Flight Risk Score]] &lt; 30,"Very Low Risk")</f>
        <v>Low Risk</v>
      </c>
    </row>
    <row r="497" spans="1:18" hidden="1" x14ac:dyDescent="0.2">
      <c r="A497">
        <f>Table1[[#This Row],[Age]]</f>
        <v>27</v>
      </c>
      <c r="B497">
        <f>IF(Table3[[#This Row],[Attrition]] = "Yes", 1,0)</f>
        <v>1</v>
      </c>
      <c r="C497" t="str">
        <f>Table1[[#This Row],[Attrition]]</f>
        <v>Yes</v>
      </c>
      <c r="D497" t="str">
        <f>Table1[[#This Row],[Department]]</f>
        <v>Sales</v>
      </c>
      <c r="E497">
        <f>Table1[[#This Row],[EnvironmentSatisfaction]]</f>
        <v>3</v>
      </c>
      <c r="F497">
        <f>Table1[[#This Row],[HourlyRate]]</f>
        <v>85</v>
      </c>
      <c r="G497" t="str">
        <f>Table1[[#This Row],[JobRole]]</f>
        <v>Sales Representative</v>
      </c>
      <c r="H497">
        <f>Table1[[#This Row],[JobSatisfaction]]</f>
        <v>1</v>
      </c>
      <c r="I497">
        <f>Table1[[#This Row],[YearsAtCompany]]</f>
        <v>4</v>
      </c>
      <c r="J497">
        <f>Table1[[#This Row],[YearsSinceLastPromotion]]</f>
        <v>0</v>
      </c>
      <c r="K497">
        <f>Table1[[#This Row],[EmployeeNumber]]</f>
        <v>667</v>
      </c>
      <c r="L497">
        <f>Table1[[#This Row],[DistanceFromHome]]</f>
        <v>2</v>
      </c>
      <c r="M497" t="str">
        <f>Table1[[#This Row],[OverTime]]</f>
        <v>No</v>
      </c>
      <c r="N497">
        <f>Table1[[#This Row],[WorkLifeBalance]]</f>
        <v>3</v>
      </c>
      <c r="O497" t="str" cm="1">
        <f t="array" ref="O497">_xlfn.IFS(A497&lt;=30,"18-30",A497&lt;=40,"31-40",A497&lt;=50,"41-50",A497&gt;50,"51+")</f>
        <v>18-30</v>
      </c>
      <c r="P497" t="str" cm="1">
        <f t="array" ref="P497">_xlfn.IFS(F497&lt;=45,"45 or below",F497&lt;= 60,"46-60",F497&lt;=75,"61-75",F497&lt;=90,"76-90",F497&gt;90,"91 or above")</f>
        <v>76-90</v>
      </c>
      <c r="Q49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497" t="str" cm="1">
        <f t="array" ref="R497" xml:space="preserve"> _xlfn.IFS(Table3[[#This Row],[Flight Risk Score]] = "NA","NA",Table3[[#This Row],[Flight Risk Score]] &gt;= 70,"High Risk",Table3[[#This Row],[Flight Risk Score]] &gt;= 50, "Medium Risk", Table3[[#This Row],[Flight Risk Score]] &gt;= 30,"Low Risk",Table3[[#This Row],[Flight Risk Score]] &lt; 30,"Very Low Risk")</f>
        <v>NA</v>
      </c>
    </row>
    <row r="498" spans="1:18" x14ac:dyDescent="0.2">
      <c r="A498">
        <f>Table1[[#This Row],[Age]]</f>
        <v>21</v>
      </c>
      <c r="B498">
        <f>IF(Table3[[#This Row],[Attrition]] = "Yes", 1,0)</f>
        <v>0</v>
      </c>
      <c r="C498" t="str">
        <f>Table1[[#This Row],[Attrition]]</f>
        <v>No</v>
      </c>
      <c r="D498" t="str">
        <f>Table1[[#This Row],[Department]]</f>
        <v>Sales</v>
      </c>
      <c r="E498">
        <f>Table1[[#This Row],[EnvironmentSatisfaction]]</f>
        <v>3</v>
      </c>
      <c r="F498">
        <f>Table1[[#This Row],[HourlyRate]]</f>
        <v>49</v>
      </c>
      <c r="G498" t="str">
        <f>Table1[[#This Row],[JobRole]]</f>
        <v>Sales Representative</v>
      </c>
      <c r="H498">
        <f>Table1[[#This Row],[JobSatisfaction]]</f>
        <v>3</v>
      </c>
      <c r="I498">
        <f>Table1[[#This Row],[YearsAtCompany]]</f>
        <v>3</v>
      </c>
      <c r="J498">
        <f>Table1[[#This Row],[YearsSinceLastPromotion]]</f>
        <v>1</v>
      </c>
      <c r="K498">
        <f>Table1[[#This Row],[EmployeeNumber]]</f>
        <v>669</v>
      </c>
      <c r="L498">
        <f>Table1[[#This Row],[DistanceFromHome]]</f>
        <v>22</v>
      </c>
      <c r="M498" t="str">
        <f>Table1[[#This Row],[OverTime]]</f>
        <v>No</v>
      </c>
      <c r="N498">
        <f>Table1[[#This Row],[WorkLifeBalance]]</f>
        <v>3</v>
      </c>
      <c r="O498" t="str" cm="1">
        <f t="array" ref="O498">_xlfn.IFS(A498&lt;=30,"18-30",A498&lt;=40,"31-40",A498&lt;=50,"41-50",A498&gt;50,"51+")</f>
        <v>18-30</v>
      </c>
      <c r="P498" t="str" cm="1">
        <f t="array" ref="P498">_xlfn.IFS(F498&lt;=45,"45 or below",F498&lt;= 60,"46-60",F498&lt;=75,"61-75",F498&lt;=90,"76-90",F498&gt;90,"91 or above")</f>
        <v>46-60</v>
      </c>
      <c r="Q4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498" t="str" cm="1">
        <f t="array" ref="R49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499" spans="1:18" x14ac:dyDescent="0.2">
      <c r="A499">
        <f>Table1[[#This Row],[Age]]</f>
        <v>44</v>
      </c>
      <c r="B499">
        <f>IF(Table3[[#This Row],[Attrition]] = "Yes", 1,0)</f>
        <v>0</v>
      </c>
      <c r="C499" t="str">
        <f>Table1[[#This Row],[Attrition]]</f>
        <v>No</v>
      </c>
      <c r="D499" t="str">
        <f>Table1[[#This Row],[Department]]</f>
        <v>Research &amp; Development</v>
      </c>
      <c r="E499">
        <f>Table1[[#This Row],[EnvironmentSatisfaction]]</f>
        <v>4</v>
      </c>
      <c r="F499">
        <f>Table1[[#This Row],[HourlyRate]]</f>
        <v>35</v>
      </c>
      <c r="G499" t="str">
        <f>Table1[[#This Row],[JobRole]]</f>
        <v>Manager</v>
      </c>
      <c r="H499">
        <f>Table1[[#This Row],[JobSatisfaction]]</f>
        <v>4</v>
      </c>
      <c r="I499">
        <f>Table1[[#This Row],[YearsAtCompany]]</f>
        <v>2</v>
      </c>
      <c r="J499">
        <f>Table1[[#This Row],[YearsSinceLastPromotion]]</f>
        <v>0</v>
      </c>
      <c r="K499">
        <f>Table1[[#This Row],[EmployeeNumber]]</f>
        <v>671</v>
      </c>
      <c r="L499">
        <f>Table1[[#This Row],[DistanceFromHome]]</f>
        <v>3</v>
      </c>
      <c r="M499" t="str">
        <f>Table1[[#This Row],[OverTime]]</f>
        <v>Yes</v>
      </c>
      <c r="N499">
        <f>Table1[[#This Row],[WorkLifeBalance]]</f>
        <v>4</v>
      </c>
      <c r="O499" t="str" cm="1">
        <f t="array" ref="O499">_xlfn.IFS(A499&lt;=30,"18-30",A499&lt;=40,"31-40",A499&lt;=50,"41-50",A499&gt;50,"51+")</f>
        <v>41-50</v>
      </c>
      <c r="P499" t="str" cm="1">
        <f t="array" ref="P499">_xlfn.IFS(F499&lt;=45,"45 or below",F499&lt;= 60,"46-60",F499&lt;=75,"61-75",F499&lt;=90,"76-90",F499&gt;90,"91 or above")</f>
        <v>45 or below</v>
      </c>
      <c r="Q4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499" t="str" cm="1">
        <f t="array" ref="R499" xml:space="preserve"> _xlfn.IFS(Table3[[#This Row],[Flight Risk Score]] = "NA","NA",Table3[[#This Row],[Flight Risk Score]] &gt;= 70,"High Risk",Table3[[#This Row],[Flight Risk Score]] &gt;= 50, "Medium Risk", Table3[[#This Row],[Flight Risk Score]] &gt;= 30,"Low Risk",Table3[[#This Row],[Flight Risk Score]] &lt; 30,"Very Low Risk")</f>
        <v>Low Risk</v>
      </c>
    </row>
    <row r="500" spans="1:18" x14ac:dyDescent="0.2">
      <c r="A500">
        <f>Table1[[#This Row],[Age]]</f>
        <v>22</v>
      </c>
      <c r="B500">
        <f>IF(Table3[[#This Row],[Attrition]] = "Yes", 1,0)</f>
        <v>0</v>
      </c>
      <c r="C500" t="str">
        <f>Table1[[#This Row],[Attrition]]</f>
        <v>No</v>
      </c>
      <c r="D500" t="str">
        <f>Table1[[#This Row],[Department]]</f>
        <v>Research &amp; Development</v>
      </c>
      <c r="E500">
        <f>Table1[[#This Row],[EnvironmentSatisfaction]]</f>
        <v>1</v>
      </c>
      <c r="F500">
        <f>Table1[[#This Row],[HourlyRate]]</f>
        <v>69</v>
      </c>
      <c r="G500" t="str">
        <f>Table1[[#This Row],[JobRole]]</f>
        <v>Research Scientist</v>
      </c>
      <c r="H500">
        <f>Table1[[#This Row],[JobSatisfaction]]</f>
        <v>3</v>
      </c>
      <c r="I500">
        <f>Table1[[#This Row],[YearsAtCompany]]</f>
        <v>2</v>
      </c>
      <c r="J500">
        <f>Table1[[#This Row],[YearsSinceLastPromotion]]</f>
        <v>2</v>
      </c>
      <c r="K500">
        <f>Table1[[#This Row],[EmployeeNumber]]</f>
        <v>675</v>
      </c>
      <c r="L500">
        <f>Table1[[#This Row],[DistanceFromHome]]</f>
        <v>6</v>
      </c>
      <c r="M500" t="str">
        <f>Table1[[#This Row],[OverTime]]</f>
        <v>No</v>
      </c>
      <c r="N500">
        <f>Table1[[#This Row],[WorkLifeBalance]]</f>
        <v>3</v>
      </c>
      <c r="O500" t="str" cm="1">
        <f t="array" ref="O500">_xlfn.IFS(A500&lt;=30,"18-30",A500&lt;=40,"31-40",A500&lt;=50,"41-50",A500&gt;50,"51+")</f>
        <v>18-30</v>
      </c>
      <c r="P500" t="str" cm="1">
        <f t="array" ref="P500">_xlfn.IFS(F500&lt;=45,"45 or below",F500&lt;= 60,"46-60",F500&lt;=75,"61-75",F500&lt;=90,"76-90",F500&gt;90,"91 or above")</f>
        <v>61-75</v>
      </c>
      <c r="Q5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00" t="str" cm="1">
        <f t="array" ref="R5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01" spans="1:18" x14ac:dyDescent="0.2">
      <c r="A501">
        <f>Table1[[#This Row],[Age]]</f>
        <v>33</v>
      </c>
      <c r="B501">
        <f>IF(Table3[[#This Row],[Attrition]] = "Yes", 1,0)</f>
        <v>0</v>
      </c>
      <c r="C501" t="str">
        <f>Table1[[#This Row],[Attrition]]</f>
        <v>No</v>
      </c>
      <c r="D501" t="str">
        <f>Table1[[#This Row],[Department]]</f>
        <v>Sales</v>
      </c>
      <c r="E501">
        <f>Table1[[#This Row],[EnvironmentSatisfaction]]</f>
        <v>3</v>
      </c>
      <c r="F501">
        <f>Table1[[#This Row],[HourlyRate]]</f>
        <v>39</v>
      </c>
      <c r="G501" t="str">
        <f>Table1[[#This Row],[JobRole]]</f>
        <v>Sales Executive</v>
      </c>
      <c r="H501">
        <f>Table1[[#This Row],[JobSatisfaction]]</f>
        <v>3</v>
      </c>
      <c r="I501">
        <f>Table1[[#This Row],[YearsAtCompany]]</f>
        <v>5</v>
      </c>
      <c r="J501">
        <f>Table1[[#This Row],[YearsSinceLastPromotion]]</f>
        <v>1</v>
      </c>
      <c r="K501">
        <f>Table1[[#This Row],[EmployeeNumber]]</f>
        <v>677</v>
      </c>
      <c r="L501">
        <f>Table1[[#This Row],[DistanceFromHome]]</f>
        <v>8</v>
      </c>
      <c r="M501" t="str">
        <f>Table1[[#This Row],[OverTime]]</f>
        <v>No</v>
      </c>
      <c r="N501">
        <f>Table1[[#This Row],[WorkLifeBalance]]</f>
        <v>3</v>
      </c>
      <c r="O501" t="str" cm="1">
        <f t="array" ref="O501">_xlfn.IFS(A501&lt;=30,"18-30",A501&lt;=40,"31-40",A501&lt;=50,"41-50",A501&gt;50,"51+")</f>
        <v>31-40</v>
      </c>
      <c r="P501" t="str" cm="1">
        <f t="array" ref="P501">_xlfn.IFS(F501&lt;=45,"45 or below",F501&lt;= 60,"46-60",F501&lt;=75,"61-75",F501&lt;=90,"76-90",F501&gt;90,"91 or above")</f>
        <v>45 or below</v>
      </c>
      <c r="Q5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01" t="str" cm="1">
        <f t="array" ref="R5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02" spans="1:18" x14ac:dyDescent="0.2">
      <c r="A502">
        <f>Table1[[#This Row],[Age]]</f>
        <v>32</v>
      </c>
      <c r="B502">
        <f>IF(Table3[[#This Row],[Attrition]] = "Yes", 1,0)</f>
        <v>0</v>
      </c>
      <c r="C502" t="str">
        <f>Table1[[#This Row],[Attrition]]</f>
        <v>No</v>
      </c>
      <c r="D502" t="str">
        <f>Table1[[#This Row],[Department]]</f>
        <v>Research &amp; Development</v>
      </c>
      <c r="E502">
        <f>Table1[[#This Row],[EnvironmentSatisfaction]]</f>
        <v>1</v>
      </c>
      <c r="F502">
        <f>Table1[[#This Row],[HourlyRate]]</f>
        <v>92</v>
      </c>
      <c r="G502" t="str">
        <f>Table1[[#This Row],[JobRole]]</f>
        <v>Research Scientist</v>
      </c>
      <c r="H502">
        <f>Table1[[#This Row],[JobSatisfaction]]</f>
        <v>4</v>
      </c>
      <c r="I502">
        <f>Table1[[#This Row],[YearsAtCompany]]</f>
        <v>6</v>
      </c>
      <c r="J502">
        <f>Table1[[#This Row],[YearsSinceLastPromotion]]</f>
        <v>0</v>
      </c>
      <c r="K502">
        <f>Table1[[#This Row],[EmployeeNumber]]</f>
        <v>679</v>
      </c>
      <c r="L502">
        <f>Table1[[#This Row],[DistanceFromHome]]</f>
        <v>9</v>
      </c>
      <c r="M502" t="str">
        <f>Table1[[#This Row],[OverTime]]</f>
        <v>Yes</v>
      </c>
      <c r="N502">
        <f>Table1[[#This Row],[WorkLifeBalance]]</f>
        <v>2</v>
      </c>
      <c r="O502" t="str" cm="1">
        <f t="array" ref="O502">_xlfn.IFS(A502&lt;=30,"18-30",A502&lt;=40,"31-40",A502&lt;=50,"41-50",A502&gt;50,"51+")</f>
        <v>31-40</v>
      </c>
      <c r="P502" t="str" cm="1">
        <f t="array" ref="P502">_xlfn.IFS(F502&lt;=45,"45 or below",F502&lt;= 60,"46-60",F502&lt;=75,"61-75",F502&lt;=90,"76-90",F502&gt;90,"91 or above")</f>
        <v>91 or above</v>
      </c>
      <c r="Q5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02" t="str" cm="1">
        <f t="array" ref="R50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03" spans="1:18" x14ac:dyDescent="0.2">
      <c r="A503">
        <f>Table1[[#This Row],[Age]]</f>
        <v>30</v>
      </c>
      <c r="B503">
        <f>IF(Table3[[#This Row],[Attrition]] = "Yes", 1,0)</f>
        <v>0</v>
      </c>
      <c r="C503" t="str">
        <f>Table1[[#This Row],[Attrition]]</f>
        <v>No</v>
      </c>
      <c r="D503" t="str">
        <f>Table1[[#This Row],[Department]]</f>
        <v>Research &amp; Development</v>
      </c>
      <c r="E503">
        <f>Table1[[#This Row],[EnvironmentSatisfaction]]</f>
        <v>3</v>
      </c>
      <c r="F503">
        <f>Table1[[#This Row],[HourlyRate]]</f>
        <v>71</v>
      </c>
      <c r="G503" t="str">
        <f>Table1[[#This Row],[JobRole]]</f>
        <v>Research Scientist</v>
      </c>
      <c r="H503">
        <f>Table1[[#This Row],[JobSatisfaction]]</f>
        <v>3</v>
      </c>
      <c r="I503">
        <f>Table1[[#This Row],[YearsAtCompany]]</f>
        <v>1</v>
      </c>
      <c r="J503">
        <f>Table1[[#This Row],[YearsSinceLastPromotion]]</f>
        <v>0</v>
      </c>
      <c r="K503">
        <f>Table1[[#This Row],[EmployeeNumber]]</f>
        <v>680</v>
      </c>
      <c r="L503">
        <f>Table1[[#This Row],[DistanceFromHome]]</f>
        <v>3</v>
      </c>
      <c r="M503" t="str">
        <f>Table1[[#This Row],[OverTime]]</f>
        <v>No</v>
      </c>
      <c r="N503">
        <f>Table1[[#This Row],[WorkLifeBalance]]</f>
        <v>3</v>
      </c>
      <c r="O503" t="str" cm="1">
        <f t="array" ref="O503">_xlfn.IFS(A503&lt;=30,"18-30",A503&lt;=40,"31-40",A503&lt;=50,"41-50",A503&gt;50,"51+")</f>
        <v>18-30</v>
      </c>
      <c r="P503" t="str" cm="1">
        <f t="array" ref="P503">_xlfn.IFS(F503&lt;=45,"45 or below",F503&lt;= 60,"46-60",F503&lt;=75,"61-75",F503&lt;=90,"76-90",F503&gt;90,"91 or above")</f>
        <v>61-75</v>
      </c>
      <c r="Q5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03" t="str" cm="1">
        <f t="array" ref="R5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04" spans="1:18" x14ac:dyDescent="0.2">
      <c r="A504">
        <f>Table1[[#This Row],[Age]]</f>
        <v>53</v>
      </c>
      <c r="B504">
        <f>IF(Table3[[#This Row],[Attrition]] = "Yes", 1,0)</f>
        <v>0</v>
      </c>
      <c r="C504" t="str">
        <f>Table1[[#This Row],[Attrition]]</f>
        <v>No</v>
      </c>
      <c r="D504" t="str">
        <f>Table1[[#This Row],[Department]]</f>
        <v>Sales</v>
      </c>
      <c r="E504">
        <f>Table1[[#This Row],[EnvironmentSatisfaction]]</f>
        <v>4</v>
      </c>
      <c r="F504">
        <f>Table1[[#This Row],[HourlyRate]]</f>
        <v>34</v>
      </c>
      <c r="G504" t="str">
        <f>Table1[[#This Row],[JobRole]]</f>
        <v>Sales Executive</v>
      </c>
      <c r="H504">
        <f>Table1[[#This Row],[JobSatisfaction]]</f>
        <v>1</v>
      </c>
      <c r="I504">
        <f>Table1[[#This Row],[YearsAtCompany]]</f>
        <v>14</v>
      </c>
      <c r="J504">
        <f>Table1[[#This Row],[YearsSinceLastPromotion]]</f>
        <v>8</v>
      </c>
      <c r="K504">
        <f>Table1[[#This Row],[EmployeeNumber]]</f>
        <v>682</v>
      </c>
      <c r="L504">
        <f>Table1[[#This Row],[DistanceFromHome]]</f>
        <v>1</v>
      </c>
      <c r="M504" t="str">
        <f>Table1[[#This Row],[OverTime]]</f>
        <v>No</v>
      </c>
      <c r="N504">
        <f>Table1[[#This Row],[WorkLifeBalance]]</f>
        <v>4</v>
      </c>
      <c r="O504" t="str" cm="1">
        <f t="array" ref="O504">_xlfn.IFS(A504&lt;=30,"18-30",A504&lt;=40,"31-40",A504&lt;=50,"41-50",A504&gt;50,"51+")</f>
        <v>51+</v>
      </c>
      <c r="P504" t="str" cm="1">
        <f t="array" ref="P504">_xlfn.IFS(F504&lt;=45,"45 or below",F504&lt;= 60,"46-60",F504&lt;=75,"61-75",F504&lt;=90,"76-90",F504&gt;90,"91 or above")</f>
        <v>45 or below</v>
      </c>
      <c r="Q5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04" t="str" cm="1">
        <f t="array" ref="R5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05" spans="1:18" x14ac:dyDescent="0.2">
      <c r="A505">
        <f>Table1[[#This Row],[Age]]</f>
        <v>34</v>
      </c>
      <c r="B505">
        <f>IF(Table3[[#This Row],[Attrition]] = "Yes", 1,0)</f>
        <v>0</v>
      </c>
      <c r="C505" t="str">
        <f>Table1[[#This Row],[Attrition]]</f>
        <v>No</v>
      </c>
      <c r="D505" t="str">
        <f>Table1[[#This Row],[Department]]</f>
        <v>Research &amp; Development</v>
      </c>
      <c r="E505">
        <f>Table1[[#This Row],[EnvironmentSatisfaction]]</f>
        <v>2</v>
      </c>
      <c r="F505">
        <f>Table1[[#This Row],[HourlyRate]]</f>
        <v>42</v>
      </c>
      <c r="G505" t="str">
        <f>Table1[[#This Row],[JobRole]]</f>
        <v>Research Scientist</v>
      </c>
      <c r="H505">
        <f>Table1[[#This Row],[JobSatisfaction]]</f>
        <v>4</v>
      </c>
      <c r="I505">
        <f>Table1[[#This Row],[YearsAtCompany]]</f>
        <v>10</v>
      </c>
      <c r="J505">
        <f>Table1[[#This Row],[YearsSinceLastPromotion]]</f>
        <v>8</v>
      </c>
      <c r="K505">
        <f>Table1[[#This Row],[EmployeeNumber]]</f>
        <v>683</v>
      </c>
      <c r="L505">
        <f>Table1[[#This Row],[DistanceFromHome]]</f>
        <v>1</v>
      </c>
      <c r="M505" t="str">
        <f>Table1[[#This Row],[OverTime]]</f>
        <v>No</v>
      </c>
      <c r="N505">
        <f>Table1[[#This Row],[WorkLifeBalance]]</f>
        <v>2</v>
      </c>
      <c r="O505" t="str" cm="1">
        <f t="array" ref="O505">_xlfn.IFS(A505&lt;=30,"18-30",A505&lt;=40,"31-40",A505&lt;=50,"41-50",A505&gt;50,"51+")</f>
        <v>31-40</v>
      </c>
      <c r="P505" t="str" cm="1">
        <f t="array" ref="P505">_xlfn.IFS(F505&lt;=45,"45 or below",F505&lt;= 60,"46-60",F505&lt;=75,"61-75",F505&lt;=90,"76-90",F505&gt;90,"91 or above")</f>
        <v>45 or below</v>
      </c>
      <c r="Q5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05" t="str" cm="1">
        <f t="array" ref="R5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06" spans="1:18" hidden="1" x14ac:dyDescent="0.2">
      <c r="A506">
        <f>Table1[[#This Row],[Age]]</f>
        <v>45</v>
      </c>
      <c r="B506">
        <f>IF(Table3[[#This Row],[Attrition]] = "Yes", 1,0)</f>
        <v>1</v>
      </c>
      <c r="C506" t="str">
        <f>Table1[[#This Row],[Attrition]]</f>
        <v>Yes</v>
      </c>
      <c r="D506" t="str">
        <f>Table1[[#This Row],[Department]]</f>
        <v>Sales</v>
      </c>
      <c r="E506">
        <f>Table1[[#This Row],[EnvironmentSatisfaction]]</f>
        <v>1</v>
      </c>
      <c r="F506">
        <f>Table1[[#This Row],[HourlyRate]]</f>
        <v>100</v>
      </c>
      <c r="G506" t="str">
        <f>Table1[[#This Row],[JobRole]]</f>
        <v>Sales Executive</v>
      </c>
      <c r="H506">
        <f>Table1[[#This Row],[JobSatisfaction]]</f>
        <v>1</v>
      </c>
      <c r="I506">
        <f>Table1[[#This Row],[YearsAtCompany]]</f>
        <v>1</v>
      </c>
      <c r="J506">
        <f>Table1[[#This Row],[YearsSinceLastPromotion]]</f>
        <v>0</v>
      </c>
      <c r="K506">
        <f>Table1[[#This Row],[EmployeeNumber]]</f>
        <v>684</v>
      </c>
      <c r="L506">
        <f>Table1[[#This Row],[DistanceFromHome]]</f>
        <v>26</v>
      </c>
      <c r="M506" t="str">
        <f>Table1[[#This Row],[OverTime]]</f>
        <v>No</v>
      </c>
      <c r="N506">
        <f>Table1[[#This Row],[WorkLifeBalance]]</f>
        <v>3</v>
      </c>
      <c r="O506" t="str" cm="1">
        <f t="array" ref="O506">_xlfn.IFS(A506&lt;=30,"18-30",A506&lt;=40,"31-40",A506&lt;=50,"41-50",A506&gt;50,"51+")</f>
        <v>41-50</v>
      </c>
      <c r="P506" t="str" cm="1">
        <f t="array" ref="P506">_xlfn.IFS(F506&lt;=45,"45 or below",F506&lt;= 60,"46-60",F506&lt;=75,"61-75",F506&lt;=90,"76-90",F506&gt;90,"91 or above")</f>
        <v>91 or above</v>
      </c>
      <c r="Q50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06" t="str" cm="1">
        <f t="array" ref="R506" xml:space="preserve"> _xlfn.IFS(Table3[[#This Row],[Flight Risk Score]] = "NA","NA",Table3[[#This Row],[Flight Risk Score]] &gt;= 70,"High Risk",Table3[[#This Row],[Flight Risk Score]] &gt;= 50, "Medium Risk", Table3[[#This Row],[Flight Risk Score]] &gt;= 30,"Low Risk",Table3[[#This Row],[Flight Risk Score]] &lt; 30,"Very Low Risk")</f>
        <v>NA</v>
      </c>
    </row>
    <row r="507" spans="1:18" x14ac:dyDescent="0.2">
      <c r="A507">
        <f>Table1[[#This Row],[Age]]</f>
        <v>26</v>
      </c>
      <c r="B507">
        <f>IF(Table3[[#This Row],[Attrition]] = "Yes", 1,0)</f>
        <v>0</v>
      </c>
      <c r="C507" t="str">
        <f>Table1[[#This Row],[Attrition]]</f>
        <v>No</v>
      </c>
      <c r="D507" t="str">
        <f>Table1[[#This Row],[Department]]</f>
        <v>Research &amp; Development</v>
      </c>
      <c r="E507">
        <f>Table1[[#This Row],[EnvironmentSatisfaction]]</f>
        <v>3</v>
      </c>
      <c r="F507">
        <f>Table1[[#This Row],[HourlyRate]]</f>
        <v>71</v>
      </c>
      <c r="G507" t="str">
        <f>Table1[[#This Row],[JobRole]]</f>
        <v>Laboratory Technician</v>
      </c>
      <c r="H507">
        <f>Table1[[#This Row],[JobSatisfaction]]</f>
        <v>4</v>
      </c>
      <c r="I507">
        <f>Table1[[#This Row],[YearsAtCompany]]</f>
        <v>3</v>
      </c>
      <c r="J507">
        <f>Table1[[#This Row],[YearsSinceLastPromotion]]</f>
        <v>0</v>
      </c>
      <c r="K507">
        <f>Table1[[#This Row],[EmployeeNumber]]</f>
        <v>686</v>
      </c>
      <c r="L507">
        <f>Table1[[#This Row],[DistanceFromHome]]</f>
        <v>6</v>
      </c>
      <c r="M507" t="str">
        <f>Table1[[#This Row],[OverTime]]</f>
        <v>Yes</v>
      </c>
      <c r="N507">
        <f>Table1[[#This Row],[WorkLifeBalance]]</f>
        <v>3</v>
      </c>
      <c r="O507" t="str" cm="1">
        <f t="array" ref="O507">_xlfn.IFS(A507&lt;=30,"18-30",A507&lt;=40,"31-40",A507&lt;=50,"41-50",A507&gt;50,"51+")</f>
        <v>18-30</v>
      </c>
      <c r="P507" t="str" cm="1">
        <f t="array" ref="P507">_xlfn.IFS(F507&lt;=45,"45 or below",F507&lt;= 60,"46-60",F507&lt;=75,"61-75",F507&lt;=90,"76-90",F507&gt;90,"91 or above")</f>
        <v>61-75</v>
      </c>
      <c r="Q5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07" t="str" cm="1">
        <f t="array" ref="R507" xml:space="preserve"> _xlfn.IFS(Table3[[#This Row],[Flight Risk Score]] = "NA","NA",Table3[[#This Row],[Flight Risk Score]] &gt;= 70,"High Risk",Table3[[#This Row],[Flight Risk Score]] &gt;= 50, "Medium Risk", Table3[[#This Row],[Flight Risk Score]] &gt;= 30,"Low Risk",Table3[[#This Row],[Flight Risk Score]] &lt; 30,"Very Low Risk")</f>
        <v>Low Risk</v>
      </c>
    </row>
    <row r="508" spans="1:18" x14ac:dyDescent="0.2">
      <c r="A508">
        <f>Table1[[#This Row],[Age]]</f>
        <v>37</v>
      </c>
      <c r="B508">
        <f>IF(Table3[[#This Row],[Attrition]] = "Yes", 1,0)</f>
        <v>0</v>
      </c>
      <c r="C508" t="str">
        <f>Table1[[#This Row],[Attrition]]</f>
        <v>No</v>
      </c>
      <c r="D508" t="str">
        <f>Table1[[#This Row],[Department]]</f>
        <v>Research &amp; Development</v>
      </c>
      <c r="E508">
        <f>Table1[[#This Row],[EnvironmentSatisfaction]]</f>
        <v>3</v>
      </c>
      <c r="F508">
        <f>Table1[[#This Row],[HourlyRate]]</f>
        <v>36</v>
      </c>
      <c r="G508" t="str">
        <f>Table1[[#This Row],[JobRole]]</f>
        <v>Manufacturing Director</v>
      </c>
      <c r="H508">
        <f>Table1[[#This Row],[JobSatisfaction]]</f>
        <v>3</v>
      </c>
      <c r="I508">
        <f>Table1[[#This Row],[YearsAtCompany]]</f>
        <v>10</v>
      </c>
      <c r="J508">
        <f>Table1[[#This Row],[YearsSinceLastPromotion]]</f>
        <v>7</v>
      </c>
      <c r="K508">
        <f>Table1[[#This Row],[EmployeeNumber]]</f>
        <v>689</v>
      </c>
      <c r="L508">
        <f>Table1[[#This Row],[DistanceFromHome]]</f>
        <v>3</v>
      </c>
      <c r="M508" t="str">
        <f>Table1[[#This Row],[OverTime]]</f>
        <v>No</v>
      </c>
      <c r="N508">
        <f>Table1[[#This Row],[WorkLifeBalance]]</f>
        <v>3</v>
      </c>
      <c r="O508" t="str" cm="1">
        <f t="array" ref="O508">_xlfn.IFS(A508&lt;=30,"18-30",A508&lt;=40,"31-40",A508&lt;=50,"41-50",A508&gt;50,"51+")</f>
        <v>31-40</v>
      </c>
      <c r="P508" t="str" cm="1">
        <f t="array" ref="P508">_xlfn.IFS(F508&lt;=45,"45 or below",F508&lt;= 60,"46-60",F508&lt;=75,"61-75",F508&lt;=90,"76-90",F508&gt;90,"91 or above")</f>
        <v>45 or below</v>
      </c>
      <c r="Q5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08" t="str" cm="1">
        <f t="array" ref="R50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09" spans="1:18" x14ac:dyDescent="0.2">
      <c r="A509">
        <f>Table1[[#This Row],[Age]]</f>
        <v>29</v>
      </c>
      <c r="B509">
        <f>IF(Table3[[#This Row],[Attrition]] = "Yes", 1,0)</f>
        <v>0</v>
      </c>
      <c r="C509" t="str">
        <f>Table1[[#This Row],[Attrition]]</f>
        <v>No</v>
      </c>
      <c r="D509" t="str">
        <f>Table1[[#This Row],[Department]]</f>
        <v>Sales</v>
      </c>
      <c r="E509">
        <f>Table1[[#This Row],[EnvironmentSatisfaction]]</f>
        <v>2</v>
      </c>
      <c r="F509">
        <f>Table1[[#This Row],[HourlyRate]]</f>
        <v>62</v>
      </c>
      <c r="G509" t="str">
        <f>Table1[[#This Row],[JobRole]]</f>
        <v>Sales Executive</v>
      </c>
      <c r="H509">
        <f>Table1[[#This Row],[JobSatisfaction]]</f>
        <v>3</v>
      </c>
      <c r="I509">
        <f>Table1[[#This Row],[YearsAtCompany]]</f>
        <v>6</v>
      </c>
      <c r="J509">
        <f>Table1[[#This Row],[YearsSinceLastPromotion]]</f>
        <v>1</v>
      </c>
      <c r="K509">
        <f>Table1[[#This Row],[EmployeeNumber]]</f>
        <v>690</v>
      </c>
      <c r="L509">
        <f>Table1[[#This Row],[DistanceFromHome]]</f>
        <v>3</v>
      </c>
      <c r="M509" t="str">
        <f>Table1[[#This Row],[OverTime]]</f>
        <v>No</v>
      </c>
      <c r="N509">
        <f>Table1[[#This Row],[WorkLifeBalance]]</f>
        <v>2</v>
      </c>
      <c r="O509" t="str" cm="1">
        <f t="array" ref="O509">_xlfn.IFS(A509&lt;=30,"18-30",A509&lt;=40,"31-40",A509&lt;=50,"41-50",A509&gt;50,"51+")</f>
        <v>18-30</v>
      </c>
      <c r="P509" t="str" cm="1">
        <f t="array" ref="P509">_xlfn.IFS(F509&lt;=45,"45 or below",F509&lt;= 60,"46-60",F509&lt;=75,"61-75",F509&lt;=90,"76-90",F509&gt;90,"91 or above")</f>
        <v>61-75</v>
      </c>
      <c r="Q5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09" t="str" cm="1">
        <f t="array" ref="R50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10" spans="1:18" x14ac:dyDescent="0.2">
      <c r="A510">
        <f>Table1[[#This Row],[Age]]</f>
        <v>35</v>
      </c>
      <c r="B510">
        <f>IF(Table3[[#This Row],[Attrition]] = "Yes", 1,0)</f>
        <v>0</v>
      </c>
      <c r="C510" t="str">
        <f>Table1[[#This Row],[Attrition]]</f>
        <v>No</v>
      </c>
      <c r="D510" t="str">
        <f>Table1[[#This Row],[Department]]</f>
        <v>Research &amp; Development</v>
      </c>
      <c r="E510">
        <f>Table1[[#This Row],[EnvironmentSatisfaction]]</f>
        <v>2</v>
      </c>
      <c r="F510">
        <f>Table1[[#This Row],[HourlyRate]]</f>
        <v>82</v>
      </c>
      <c r="G510" t="str">
        <f>Table1[[#This Row],[JobRole]]</f>
        <v>Research Scientist</v>
      </c>
      <c r="H510">
        <f>Table1[[#This Row],[JobSatisfaction]]</f>
        <v>4</v>
      </c>
      <c r="I510">
        <f>Table1[[#This Row],[YearsAtCompany]]</f>
        <v>17</v>
      </c>
      <c r="J510">
        <f>Table1[[#This Row],[YearsSinceLastPromotion]]</f>
        <v>11</v>
      </c>
      <c r="K510">
        <f>Table1[[#This Row],[EmployeeNumber]]</f>
        <v>691</v>
      </c>
      <c r="L510">
        <f>Table1[[#This Row],[DistanceFromHome]]</f>
        <v>6</v>
      </c>
      <c r="M510" t="str">
        <f>Table1[[#This Row],[OverTime]]</f>
        <v>No</v>
      </c>
      <c r="N510">
        <f>Table1[[#This Row],[WorkLifeBalance]]</f>
        <v>3</v>
      </c>
      <c r="O510" t="str" cm="1">
        <f t="array" ref="O510">_xlfn.IFS(A510&lt;=30,"18-30",A510&lt;=40,"31-40",A510&lt;=50,"41-50",A510&gt;50,"51+")</f>
        <v>31-40</v>
      </c>
      <c r="P510" t="str" cm="1">
        <f t="array" ref="P510">_xlfn.IFS(F510&lt;=45,"45 or below",F510&lt;= 60,"46-60",F510&lt;=75,"61-75",F510&lt;=90,"76-90",F510&gt;90,"91 or above")</f>
        <v>76-90</v>
      </c>
      <c r="Q5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10" t="str" cm="1">
        <f t="array" ref="R5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11" spans="1:18" x14ac:dyDescent="0.2">
      <c r="A511">
        <f>Table1[[#This Row],[Age]]</f>
        <v>33</v>
      </c>
      <c r="B511">
        <f>IF(Table3[[#This Row],[Attrition]] = "Yes", 1,0)</f>
        <v>0</v>
      </c>
      <c r="C511" t="str">
        <f>Table1[[#This Row],[Attrition]]</f>
        <v>No</v>
      </c>
      <c r="D511" t="str">
        <f>Table1[[#This Row],[Department]]</f>
        <v>Research &amp; Development</v>
      </c>
      <c r="E511">
        <f>Table1[[#This Row],[EnvironmentSatisfaction]]</f>
        <v>3</v>
      </c>
      <c r="F511">
        <f>Table1[[#This Row],[HourlyRate]]</f>
        <v>30</v>
      </c>
      <c r="G511" t="str">
        <f>Table1[[#This Row],[JobRole]]</f>
        <v>Healthcare Representative</v>
      </c>
      <c r="H511">
        <f>Table1[[#This Row],[JobSatisfaction]]</f>
        <v>4</v>
      </c>
      <c r="I511">
        <f>Table1[[#This Row],[YearsAtCompany]]</f>
        <v>13</v>
      </c>
      <c r="J511">
        <f>Table1[[#This Row],[YearsSinceLastPromotion]]</f>
        <v>4</v>
      </c>
      <c r="K511">
        <f>Table1[[#This Row],[EmployeeNumber]]</f>
        <v>692</v>
      </c>
      <c r="L511">
        <f>Table1[[#This Row],[DistanceFromHome]]</f>
        <v>6</v>
      </c>
      <c r="M511" t="str">
        <f>Table1[[#This Row],[OverTime]]</f>
        <v>No</v>
      </c>
      <c r="N511">
        <f>Table1[[#This Row],[WorkLifeBalance]]</f>
        <v>1</v>
      </c>
      <c r="O511" t="str" cm="1">
        <f t="array" ref="O511">_xlfn.IFS(A511&lt;=30,"18-30",A511&lt;=40,"31-40",A511&lt;=50,"41-50",A511&gt;50,"51+")</f>
        <v>31-40</v>
      </c>
      <c r="P511" t="str" cm="1">
        <f t="array" ref="P511">_xlfn.IFS(F511&lt;=45,"45 or below",F511&lt;= 60,"46-60",F511&lt;=75,"61-75",F511&lt;=90,"76-90",F511&gt;90,"91 or above")</f>
        <v>45 or below</v>
      </c>
      <c r="Q5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11" t="str" cm="1">
        <f t="array" ref="R511" xml:space="preserve"> _xlfn.IFS(Table3[[#This Row],[Flight Risk Score]] = "NA","NA",Table3[[#This Row],[Flight Risk Score]] &gt;= 70,"High Risk",Table3[[#This Row],[Flight Risk Score]] &gt;= 50, "Medium Risk", Table3[[#This Row],[Flight Risk Score]] &gt;= 30,"Low Risk",Table3[[#This Row],[Flight Risk Score]] &lt; 30,"Very Low Risk")</f>
        <v>Low Risk</v>
      </c>
    </row>
    <row r="512" spans="1:18" x14ac:dyDescent="0.2">
      <c r="A512">
        <f>Table1[[#This Row],[Age]]</f>
        <v>54</v>
      </c>
      <c r="B512">
        <f>IF(Table3[[#This Row],[Attrition]] = "Yes", 1,0)</f>
        <v>0</v>
      </c>
      <c r="C512" t="str">
        <f>Table1[[#This Row],[Attrition]]</f>
        <v>No</v>
      </c>
      <c r="D512" t="str">
        <f>Table1[[#This Row],[Department]]</f>
        <v>Human Resources</v>
      </c>
      <c r="E512">
        <f>Table1[[#This Row],[EnvironmentSatisfaction]]</f>
        <v>3</v>
      </c>
      <c r="F512">
        <f>Table1[[#This Row],[HourlyRate]]</f>
        <v>88</v>
      </c>
      <c r="G512" t="str">
        <f>Table1[[#This Row],[JobRole]]</f>
        <v>Human Resources</v>
      </c>
      <c r="H512">
        <f>Table1[[#This Row],[JobSatisfaction]]</f>
        <v>2</v>
      </c>
      <c r="I512">
        <f>Table1[[#This Row],[YearsAtCompany]]</f>
        <v>9</v>
      </c>
      <c r="J512">
        <f>Table1[[#This Row],[YearsSinceLastPromotion]]</f>
        <v>7</v>
      </c>
      <c r="K512">
        <f>Table1[[#This Row],[EmployeeNumber]]</f>
        <v>698</v>
      </c>
      <c r="L512">
        <f>Table1[[#This Row],[DistanceFromHome]]</f>
        <v>19</v>
      </c>
      <c r="M512" t="str">
        <f>Table1[[#This Row],[OverTime]]</f>
        <v>No</v>
      </c>
      <c r="N512">
        <f>Table1[[#This Row],[WorkLifeBalance]]</f>
        <v>4</v>
      </c>
      <c r="O512" t="str" cm="1">
        <f t="array" ref="O512">_xlfn.IFS(A512&lt;=30,"18-30",A512&lt;=40,"31-40",A512&lt;=50,"41-50",A512&gt;50,"51+")</f>
        <v>51+</v>
      </c>
      <c r="P512" t="str" cm="1">
        <f t="array" ref="P512">_xlfn.IFS(F512&lt;=45,"45 or below",F512&lt;= 60,"46-60",F512&lt;=75,"61-75",F512&lt;=90,"76-90",F512&gt;90,"91 or above")</f>
        <v>76-90</v>
      </c>
      <c r="Q5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12" t="str" cm="1">
        <f t="array" ref="R51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13" spans="1:18" x14ac:dyDescent="0.2">
      <c r="A513">
        <f>Table1[[#This Row],[Age]]</f>
        <v>36</v>
      </c>
      <c r="B513">
        <f>IF(Table3[[#This Row],[Attrition]] = "Yes", 1,0)</f>
        <v>0</v>
      </c>
      <c r="C513" t="str">
        <f>Table1[[#This Row],[Attrition]]</f>
        <v>No</v>
      </c>
      <c r="D513" t="str">
        <f>Table1[[#This Row],[Department]]</f>
        <v>Research &amp; Development</v>
      </c>
      <c r="E513">
        <f>Table1[[#This Row],[EnvironmentSatisfaction]]</f>
        <v>2</v>
      </c>
      <c r="F513">
        <f>Table1[[#This Row],[HourlyRate]]</f>
        <v>48</v>
      </c>
      <c r="G513" t="str">
        <f>Table1[[#This Row],[JobRole]]</f>
        <v>Manufacturing Director</v>
      </c>
      <c r="H513">
        <f>Table1[[#This Row],[JobSatisfaction]]</f>
        <v>2</v>
      </c>
      <c r="I513">
        <f>Table1[[#This Row],[YearsAtCompany]]</f>
        <v>3</v>
      </c>
      <c r="J513">
        <f>Table1[[#This Row],[YearsSinceLastPromotion]]</f>
        <v>0</v>
      </c>
      <c r="K513">
        <f>Table1[[#This Row],[EmployeeNumber]]</f>
        <v>699</v>
      </c>
      <c r="L513">
        <f>Table1[[#This Row],[DistanceFromHome]]</f>
        <v>9</v>
      </c>
      <c r="M513" t="str">
        <f>Table1[[#This Row],[OverTime]]</f>
        <v>Yes</v>
      </c>
      <c r="N513">
        <f>Table1[[#This Row],[WorkLifeBalance]]</f>
        <v>3</v>
      </c>
      <c r="O513" t="str" cm="1">
        <f t="array" ref="O513">_xlfn.IFS(A513&lt;=30,"18-30",A513&lt;=40,"31-40",A513&lt;=50,"41-50",A513&gt;50,"51+")</f>
        <v>31-40</v>
      </c>
      <c r="P513" t="str" cm="1">
        <f t="array" ref="P513">_xlfn.IFS(F513&lt;=45,"45 or below",F513&lt;= 60,"46-60",F513&lt;=75,"61-75",F513&lt;=90,"76-90",F513&gt;90,"91 or above")</f>
        <v>46-60</v>
      </c>
      <c r="Q5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513" t="str" cm="1">
        <f t="array" ref="R51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14" spans="1:18" x14ac:dyDescent="0.2">
      <c r="A514">
        <f>Table1[[#This Row],[Age]]</f>
        <v>27</v>
      </c>
      <c r="B514">
        <f>IF(Table3[[#This Row],[Attrition]] = "Yes", 1,0)</f>
        <v>0</v>
      </c>
      <c r="C514" t="str">
        <f>Table1[[#This Row],[Attrition]]</f>
        <v>No</v>
      </c>
      <c r="D514" t="str">
        <f>Table1[[#This Row],[Department]]</f>
        <v>Research &amp; Development</v>
      </c>
      <c r="E514">
        <f>Table1[[#This Row],[EnvironmentSatisfaction]]</f>
        <v>1</v>
      </c>
      <c r="F514">
        <f>Table1[[#This Row],[HourlyRate]]</f>
        <v>54</v>
      </c>
      <c r="G514" t="str">
        <f>Table1[[#This Row],[JobRole]]</f>
        <v>Research Scientist</v>
      </c>
      <c r="H514">
        <f>Table1[[#This Row],[JobSatisfaction]]</f>
        <v>4</v>
      </c>
      <c r="I514">
        <f>Table1[[#This Row],[YearsAtCompany]]</f>
        <v>4</v>
      </c>
      <c r="J514">
        <f>Table1[[#This Row],[YearsSinceLastPromotion]]</f>
        <v>1</v>
      </c>
      <c r="K514">
        <f>Table1[[#This Row],[EmployeeNumber]]</f>
        <v>700</v>
      </c>
      <c r="L514">
        <f>Table1[[#This Row],[DistanceFromHome]]</f>
        <v>3</v>
      </c>
      <c r="M514" t="str">
        <f>Table1[[#This Row],[OverTime]]</f>
        <v>No</v>
      </c>
      <c r="N514">
        <f>Table1[[#This Row],[WorkLifeBalance]]</f>
        <v>3</v>
      </c>
      <c r="O514" t="str" cm="1">
        <f t="array" ref="O514">_xlfn.IFS(A514&lt;=30,"18-30",A514&lt;=40,"31-40",A514&lt;=50,"41-50",A514&gt;50,"51+")</f>
        <v>18-30</v>
      </c>
      <c r="P514" t="str" cm="1">
        <f t="array" ref="P514">_xlfn.IFS(F514&lt;=45,"45 or below",F514&lt;= 60,"46-60",F514&lt;=75,"61-75",F514&lt;=90,"76-90",F514&gt;90,"91 or above")</f>
        <v>46-60</v>
      </c>
      <c r="Q5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14" t="str" cm="1">
        <f t="array" ref="R5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15" spans="1:18" hidden="1" x14ac:dyDescent="0.2">
      <c r="A515">
        <f>Table1[[#This Row],[Age]]</f>
        <v>20</v>
      </c>
      <c r="B515">
        <f>IF(Table3[[#This Row],[Attrition]] = "Yes", 1,0)</f>
        <v>1</v>
      </c>
      <c r="C515" t="str">
        <f>Table1[[#This Row],[Attrition]]</f>
        <v>Yes</v>
      </c>
      <c r="D515" t="str">
        <f>Table1[[#This Row],[Department]]</f>
        <v>Research &amp; Development</v>
      </c>
      <c r="E515">
        <f>Table1[[#This Row],[EnvironmentSatisfaction]]</f>
        <v>4</v>
      </c>
      <c r="F515">
        <f>Table1[[#This Row],[HourlyRate]]</f>
        <v>32</v>
      </c>
      <c r="G515" t="str">
        <f>Table1[[#This Row],[JobRole]]</f>
        <v>Research Scientist</v>
      </c>
      <c r="H515">
        <f>Table1[[#This Row],[JobSatisfaction]]</f>
        <v>3</v>
      </c>
      <c r="I515">
        <f>Table1[[#This Row],[YearsAtCompany]]</f>
        <v>1</v>
      </c>
      <c r="J515">
        <f>Table1[[#This Row],[YearsSinceLastPromotion]]</f>
        <v>1</v>
      </c>
      <c r="K515">
        <f>Table1[[#This Row],[EmployeeNumber]]</f>
        <v>701</v>
      </c>
      <c r="L515">
        <f>Table1[[#This Row],[DistanceFromHome]]</f>
        <v>10</v>
      </c>
      <c r="M515" t="str">
        <f>Table1[[#This Row],[OverTime]]</f>
        <v>Yes</v>
      </c>
      <c r="N515">
        <f>Table1[[#This Row],[WorkLifeBalance]]</f>
        <v>3</v>
      </c>
      <c r="O515" t="str" cm="1">
        <f t="array" ref="O515">_xlfn.IFS(A515&lt;=30,"18-30",A515&lt;=40,"31-40",A515&lt;=50,"41-50",A515&gt;50,"51+")</f>
        <v>18-30</v>
      </c>
      <c r="P515" t="str" cm="1">
        <f t="array" ref="P515">_xlfn.IFS(F515&lt;=45,"45 or below",F515&lt;= 60,"46-60",F515&lt;=75,"61-75",F515&lt;=90,"76-90",F515&gt;90,"91 or above")</f>
        <v>45 or below</v>
      </c>
      <c r="Q51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15" t="str" cm="1">
        <f t="array" ref="R515" xml:space="preserve"> _xlfn.IFS(Table3[[#This Row],[Flight Risk Score]] = "NA","NA",Table3[[#This Row],[Flight Risk Score]] &gt;= 70,"High Risk",Table3[[#This Row],[Flight Risk Score]] &gt;= 50, "Medium Risk", Table3[[#This Row],[Flight Risk Score]] &gt;= 30,"Low Risk",Table3[[#This Row],[Flight Risk Score]] &lt; 30,"Very Low Risk")</f>
        <v>NA</v>
      </c>
    </row>
    <row r="516" spans="1:18" hidden="1" x14ac:dyDescent="0.2">
      <c r="A516">
        <f>Table1[[#This Row],[Age]]</f>
        <v>33</v>
      </c>
      <c r="B516">
        <f>IF(Table3[[#This Row],[Attrition]] = "Yes", 1,0)</f>
        <v>1</v>
      </c>
      <c r="C516" t="str">
        <f>Table1[[#This Row],[Attrition]]</f>
        <v>Yes</v>
      </c>
      <c r="D516" t="str">
        <f>Table1[[#This Row],[Department]]</f>
        <v>Research &amp; Development</v>
      </c>
      <c r="E516">
        <f>Table1[[#This Row],[EnvironmentSatisfaction]]</f>
        <v>1</v>
      </c>
      <c r="F516">
        <f>Table1[[#This Row],[HourlyRate]]</f>
        <v>70</v>
      </c>
      <c r="G516" t="str">
        <f>Table1[[#This Row],[JobRole]]</f>
        <v>Research Scientist</v>
      </c>
      <c r="H516">
        <f>Table1[[#This Row],[JobSatisfaction]]</f>
        <v>1</v>
      </c>
      <c r="I516">
        <f>Table1[[#This Row],[YearsAtCompany]]</f>
        <v>10</v>
      </c>
      <c r="J516">
        <f>Table1[[#This Row],[YearsSinceLastPromotion]]</f>
        <v>9</v>
      </c>
      <c r="K516">
        <f>Table1[[#This Row],[EmployeeNumber]]</f>
        <v>702</v>
      </c>
      <c r="L516">
        <f>Table1[[#This Row],[DistanceFromHome]]</f>
        <v>3</v>
      </c>
      <c r="M516" t="str">
        <f>Table1[[#This Row],[OverTime]]</f>
        <v>Yes</v>
      </c>
      <c r="N516">
        <f>Table1[[#This Row],[WorkLifeBalance]]</f>
        <v>3</v>
      </c>
      <c r="O516" t="str" cm="1">
        <f t="array" ref="O516">_xlfn.IFS(A516&lt;=30,"18-30",A516&lt;=40,"31-40",A516&lt;=50,"41-50",A516&gt;50,"51+")</f>
        <v>31-40</v>
      </c>
      <c r="P516" t="str" cm="1">
        <f t="array" ref="P516">_xlfn.IFS(F516&lt;=45,"45 or below",F516&lt;= 60,"46-60",F516&lt;=75,"61-75",F516&lt;=90,"76-90",F516&gt;90,"91 or above")</f>
        <v>61-75</v>
      </c>
      <c r="Q51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16" t="str" cm="1">
        <f t="array" ref="R516" xml:space="preserve"> _xlfn.IFS(Table3[[#This Row],[Flight Risk Score]] = "NA","NA",Table3[[#This Row],[Flight Risk Score]] &gt;= 70,"High Risk",Table3[[#This Row],[Flight Risk Score]] &gt;= 50, "Medium Risk", Table3[[#This Row],[Flight Risk Score]] &gt;= 30,"Low Risk",Table3[[#This Row],[Flight Risk Score]] &lt; 30,"Very Low Risk")</f>
        <v>NA</v>
      </c>
    </row>
    <row r="517" spans="1:18" x14ac:dyDescent="0.2">
      <c r="A517">
        <f>Table1[[#This Row],[Age]]</f>
        <v>35</v>
      </c>
      <c r="B517">
        <f>IF(Table3[[#This Row],[Attrition]] = "Yes", 1,0)</f>
        <v>0</v>
      </c>
      <c r="C517" t="str">
        <f>Table1[[#This Row],[Attrition]]</f>
        <v>No</v>
      </c>
      <c r="D517" t="str">
        <f>Table1[[#This Row],[Department]]</f>
        <v>Research &amp; Development</v>
      </c>
      <c r="E517">
        <f>Table1[[#This Row],[EnvironmentSatisfaction]]</f>
        <v>3</v>
      </c>
      <c r="F517">
        <f>Table1[[#This Row],[HourlyRate]]</f>
        <v>41</v>
      </c>
      <c r="G517" t="str">
        <f>Table1[[#This Row],[JobRole]]</f>
        <v>Laboratory Technician</v>
      </c>
      <c r="H517">
        <f>Table1[[#This Row],[JobSatisfaction]]</f>
        <v>3</v>
      </c>
      <c r="I517">
        <f>Table1[[#This Row],[YearsAtCompany]]</f>
        <v>1</v>
      </c>
      <c r="J517">
        <f>Table1[[#This Row],[YearsSinceLastPromotion]]</f>
        <v>0</v>
      </c>
      <c r="K517">
        <f>Table1[[#This Row],[EmployeeNumber]]</f>
        <v>704</v>
      </c>
      <c r="L517">
        <f>Table1[[#This Row],[DistanceFromHome]]</f>
        <v>3</v>
      </c>
      <c r="M517" t="str">
        <f>Table1[[#This Row],[OverTime]]</f>
        <v>No</v>
      </c>
      <c r="N517">
        <f>Table1[[#This Row],[WorkLifeBalance]]</f>
        <v>3</v>
      </c>
      <c r="O517" t="str" cm="1">
        <f t="array" ref="O517">_xlfn.IFS(A517&lt;=30,"18-30",A517&lt;=40,"31-40",A517&lt;=50,"41-50",A517&gt;50,"51+")</f>
        <v>31-40</v>
      </c>
      <c r="P517" t="str" cm="1">
        <f t="array" ref="P517">_xlfn.IFS(F517&lt;=45,"45 or below",F517&lt;= 60,"46-60",F517&lt;=75,"61-75",F517&lt;=90,"76-90",F517&gt;90,"91 or above")</f>
        <v>45 or below</v>
      </c>
      <c r="Q5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17" t="str" cm="1">
        <f t="array" ref="R51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18" spans="1:18" x14ac:dyDescent="0.2">
      <c r="A518">
        <f>Table1[[#This Row],[Age]]</f>
        <v>23</v>
      </c>
      <c r="B518">
        <f>IF(Table3[[#This Row],[Attrition]] = "Yes", 1,0)</f>
        <v>0</v>
      </c>
      <c r="C518" t="str">
        <f>Table1[[#This Row],[Attrition]]</f>
        <v>No</v>
      </c>
      <c r="D518" t="str">
        <f>Table1[[#This Row],[Department]]</f>
        <v>Research &amp; Development</v>
      </c>
      <c r="E518">
        <f>Table1[[#This Row],[EnvironmentSatisfaction]]</f>
        <v>1</v>
      </c>
      <c r="F518">
        <f>Table1[[#This Row],[HourlyRate]]</f>
        <v>58</v>
      </c>
      <c r="G518" t="str">
        <f>Table1[[#This Row],[JobRole]]</f>
        <v>Research Scientist</v>
      </c>
      <c r="H518">
        <f>Table1[[#This Row],[JobSatisfaction]]</f>
        <v>1</v>
      </c>
      <c r="I518">
        <f>Table1[[#This Row],[YearsAtCompany]]</f>
        <v>3</v>
      </c>
      <c r="J518">
        <f>Table1[[#This Row],[YearsSinceLastPromotion]]</f>
        <v>0</v>
      </c>
      <c r="K518">
        <f>Table1[[#This Row],[EmployeeNumber]]</f>
        <v>705</v>
      </c>
      <c r="L518">
        <f>Table1[[#This Row],[DistanceFromHome]]</f>
        <v>4</v>
      </c>
      <c r="M518" t="str">
        <f>Table1[[#This Row],[OverTime]]</f>
        <v>No</v>
      </c>
      <c r="N518">
        <f>Table1[[#This Row],[WorkLifeBalance]]</f>
        <v>4</v>
      </c>
      <c r="O518" t="str" cm="1">
        <f t="array" ref="O518">_xlfn.IFS(A518&lt;=30,"18-30",A518&lt;=40,"31-40",A518&lt;=50,"41-50",A518&gt;50,"51+")</f>
        <v>18-30</v>
      </c>
      <c r="P518" t="str" cm="1">
        <f t="array" ref="P518">_xlfn.IFS(F518&lt;=45,"45 or below",F518&lt;= 60,"46-60",F518&lt;=75,"61-75",F518&lt;=90,"76-90",F518&gt;90,"91 or above")</f>
        <v>46-60</v>
      </c>
      <c r="Q5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18" t="str" cm="1">
        <f t="array" ref="R518" xml:space="preserve"> _xlfn.IFS(Table3[[#This Row],[Flight Risk Score]] = "NA","NA",Table3[[#This Row],[Flight Risk Score]] &gt;= 70,"High Risk",Table3[[#This Row],[Flight Risk Score]] &gt;= 50, "Medium Risk", Table3[[#This Row],[Flight Risk Score]] &gt;= 30,"Low Risk",Table3[[#This Row],[Flight Risk Score]] &lt; 30,"Very Low Risk")</f>
        <v>Low Risk</v>
      </c>
    </row>
    <row r="519" spans="1:18" x14ac:dyDescent="0.2">
      <c r="A519">
        <f>Table1[[#This Row],[Age]]</f>
        <v>25</v>
      </c>
      <c r="B519">
        <f>IF(Table3[[#This Row],[Attrition]] = "Yes", 1,0)</f>
        <v>0</v>
      </c>
      <c r="C519" t="str">
        <f>Table1[[#This Row],[Attrition]]</f>
        <v>No</v>
      </c>
      <c r="D519" t="str">
        <f>Table1[[#This Row],[Department]]</f>
        <v>Sales</v>
      </c>
      <c r="E519">
        <f>Table1[[#This Row],[EnvironmentSatisfaction]]</f>
        <v>4</v>
      </c>
      <c r="F519">
        <f>Table1[[#This Row],[HourlyRate]]</f>
        <v>57</v>
      </c>
      <c r="G519" t="str">
        <f>Table1[[#This Row],[JobRole]]</f>
        <v>Sales Executive</v>
      </c>
      <c r="H519">
        <f>Table1[[#This Row],[JobSatisfaction]]</f>
        <v>2</v>
      </c>
      <c r="I519">
        <f>Table1[[#This Row],[YearsAtCompany]]</f>
        <v>3</v>
      </c>
      <c r="J519">
        <f>Table1[[#This Row],[YearsSinceLastPromotion]]</f>
        <v>1</v>
      </c>
      <c r="K519">
        <f>Table1[[#This Row],[EmployeeNumber]]</f>
        <v>707</v>
      </c>
      <c r="L519">
        <f>Table1[[#This Row],[DistanceFromHome]]</f>
        <v>8</v>
      </c>
      <c r="M519" t="str">
        <f>Table1[[#This Row],[OverTime]]</f>
        <v>No</v>
      </c>
      <c r="N519">
        <f>Table1[[#This Row],[WorkLifeBalance]]</f>
        <v>3</v>
      </c>
      <c r="O519" t="str" cm="1">
        <f t="array" ref="O519">_xlfn.IFS(A519&lt;=30,"18-30",A519&lt;=40,"31-40",A519&lt;=50,"41-50",A519&gt;50,"51+")</f>
        <v>18-30</v>
      </c>
      <c r="P519" t="str" cm="1">
        <f t="array" ref="P519">_xlfn.IFS(F519&lt;=45,"45 or below",F519&lt;= 60,"46-60",F519&lt;=75,"61-75",F519&lt;=90,"76-90",F519&gt;90,"91 or above")</f>
        <v>46-60</v>
      </c>
      <c r="Q5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19" t="str" cm="1">
        <f t="array" ref="R5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0" spans="1:18" x14ac:dyDescent="0.2">
      <c r="A520">
        <f>Table1[[#This Row],[Age]]</f>
        <v>38</v>
      </c>
      <c r="B520">
        <f>IF(Table3[[#This Row],[Attrition]] = "Yes", 1,0)</f>
        <v>0</v>
      </c>
      <c r="C520" t="str">
        <f>Table1[[#This Row],[Attrition]]</f>
        <v>No</v>
      </c>
      <c r="D520" t="str">
        <f>Table1[[#This Row],[Department]]</f>
        <v>Sales</v>
      </c>
      <c r="E520">
        <f>Table1[[#This Row],[EnvironmentSatisfaction]]</f>
        <v>4</v>
      </c>
      <c r="F520">
        <f>Table1[[#This Row],[HourlyRate]]</f>
        <v>46</v>
      </c>
      <c r="G520" t="str">
        <f>Table1[[#This Row],[JobRole]]</f>
        <v>Sales Executive</v>
      </c>
      <c r="H520">
        <f>Table1[[#This Row],[JobSatisfaction]]</f>
        <v>4</v>
      </c>
      <c r="I520">
        <f>Table1[[#This Row],[YearsAtCompany]]</f>
        <v>7</v>
      </c>
      <c r="J520">
        <f>Table1[[#This Row],[YearsSinceLastPromotion]]</f>
        <v>0</v>
      </c>
      <c r="K520">
        <f>Table1[[#This Row],[EmployeeNumber]]</f>
        <v>709</v>
      </c>
      <c r="L520">
        <f>Table1[[#This Row],[DistanceFromHome]]</f>
        <v>7</v>
      </c>
      <c r="M520" t="str">
        <f>Table1[[#This Row],[OverTime]]</f>
        <v>No</v>
      </c>
      <c r="N520">
        <f>Table1[[#This Row],[WorkLifeBalance]]</f>
        <v>3</v>
      </c>
      <c r="O520" t="str" cm="1">
        <f t="array" ref="O520">_xlfn.IFS(A520&lt;=30,"18-30",A520&lt;=40,"31-40",A520&lt;=50,"41-50",A520&gt;50,"51+")</f>
        <v>31-40</v>
      </c>
      <c r="P520" t="str" cm="1">
        <f t="array" ref="P520">_xlfn.IFS(F520&lt;=45,"45 or below",F520&lt;= 60,"46-60",F520&lt;=75,"61-75",F520&lt;=90,"76-90",F520&gt;90,"91 or above")</f>
        <v>46-60</v>
      </c>
      <c r="Q5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20" t="str" cm="1">
        <f t="array" ref="R5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1" spans="1:18" x14ac:dyDescent="0.2">
      <c r="A521">
        <f>Table1[[#This Row],[Age]]</f>
        <v>29</v>
      </c>
      <c r="B521">
        <f>IF(Table3[[#This Row],[Attrition]] = "Yes", 1,0)</f>
        <v>0</v>
      </c>
      <c r="C521" t="str">
        <f>Table1[[#This Row],[Attrition]]</f>
        <v>No</v>
      </c>
      <c r="D521" t="str">
        <f>Table1[[#This Row],[Department]]</f>
        <v>Research &amp; Development</v>
      </c>
      <c r="E521">
        <f>Table1[[#This Row],[EnvironmentSatisfaction]]</f>
        <v>2</v>
      </c>
      <c r="F521">
        <f>Table1[[#This Row],[HourlyRate]]</f>
        <v>76</v>
      </c>
      <c r="G521" t="str">
        <f>Table1[[#This Row],[JobRole]]</f>
        <v>Research Scientist</v>
      </c>
      <c r="H521">
        <f>Table1[[#This Row],[JobSatisfaction]]</f>
        <v>4</v>
      </c>
      <c r="I521">
        <f>Table1[[#This Row],[YearsAtCompany]]</f>
        <v>10</v>
      </c>
      <c r="J521">
        <f>Table1[[#This Row],[YearsSinceLastPromotion]]</f>
        <v>2</v>
      </c>
      <c r="K521">
        <f>Table1[[#This Row],[EmployeeNumber]]</f>
        <v>710</v>
      </c>
      <c r="L521">
        <f>Table1[[#This Row],[DistanceFromHome]]</f>
        <v>1</v>
      </c>
      <c r="M521" t="str">
        <f>Table1[[#This Row],[OverTime]]</f>
        <v>No</v>
      </c>
      <c r="N521">
        <f>Table1[[#This Row],[WorkLifeBalance]]</f>
        <v>3</v>
      </c>
      <c r="O521" t="str" cm="1">
        <f t="array" ref="O521">_xlfn.IFS(A521&lt;=30,"18-30",A521&lt;=40,"31-40",A521&lt;=50,"41-50",A521&gt;50,"51+")</f>
        <v>18-30</v>
      </c>
      <c r="P521" t="str" cm="1">
        <f t="array" ref="P521">_xlfn.IFS(F521&lt;=45,"45 or below",F521&lt;= 60,"46-60",F521&lt;=75,"61-75",F521&lt;=90,"76-90",F521&gt;90,"91 or above")</f>
        <v>76-90</v>
      </c>
      <c r="Q5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21" t="str" cm="1">
        <f t="array" ref="R5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2" spans="1:18" x14ac:dyDescent="0.2">
      <c r="A522">
        <f>Table1[[#This Row],[Age]]</f>
        <v>48</v>
      </c>
      <c r="B522">
        <f>IF(Table3[[#This Row],[Attrition]] = "Yes", 1,0)</f>
        <v>0</v>
      </c>
      <c r="C522" t="str">
        <f>Table1[[#This Row],[Attrition]]</f>
        <v>No</v>
      </c>
      <c r="D522" t="str">
        <f>Table1[[#This Row],[Department]]</f>
        <v>Sales</v>
      </c>
      <c r="E522">
        <f>Table1[[#This Row],[EnvironmentSatisfaction]]</f>
        <v>2</v>
      </c>
      <c r="F522">
        <f>Table1[[#This Row],[HourlyRate]]</f>
        <v>56</v>
      </c>
      <c r="G522" t="str">
        <f>Table1[[#This Row],[JobRole]]</f>
        <v>Sales Executive</v>
      </c>
      <c r="H522">
        <f>Table1[[#This Row],[JobSatisfaction]]</f>
        <v>2</v>
      </c>
      <c r="I522">
        <f>Table1[[#This Row],[YearsAtCompany]]</f>
        <v>2</v>
      </c>
      <c r="J522">
        <f>Table1[[#This Row],[YearsSinceLastPromotion]]</f>
        <v>2</v>
      </c>
      <c r="K522">
        <f>Table1[[#This Row],[EmployeeNumber]]</f>
        <v>712</v>
      </c>
      <c r="L522">
        <f>Table1[[#This Row],[DistanceFromHome]]</f>
        <v>2</v>
      </c>
      <c r="M522" t="str">
        <f>Table1[[#This Row],[OverTime]]</f>
        <v>No</v>
      </c>
      <c r="N522">
        <f>Table1[[#This Row],[WorkLifeBalance]]</f>
        <v>3</v>
      </c>
      <c r="O522" t="str" cm="1">
        <f t="array" ref="O522">_xlfn.IFS(A522&lt;=30,"18-30",A522&lt;=40,"31-40",A522&lt;=50,"41-50",A522&gt;50,"51+")</f>
        <v>41-50</v>
      </c>
      <c r="P522" t="str" cm="1">
        <f t="array" ref="P522">_xlfn.IFS(F522&lt;=45,"45 or below",F522&lt;= 60,"46-60",F522&lt;=75,"61-75",F522&lt;=90,"76-90",F522&gt;90,"91 or above")</f>
        <v>46-60</v>
      </c>
      <c r="Q5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22" t="str" cm="1">
        <f t="array" ref="R522" xml:space="preserve"> _xlfn.IFS(Table3[[#This Row],[Flight Risk Score]] = "NA","NA",Table3[[#This Row],[Flight Risk Score]] &gt;= 70,"High Risk",Table3[[#This Row],[Flight Risk Score]] &gt;= 50, "Medium Risk", Table3[[#This Row],[Flight Risk Score]] &gt;= 30,"Low Risk",Table3[[#This Row],[Flight Risk Score]] &lt; 30,"Very Low Risk")</f>
        <v>Low Risk</v>
      </c>
    </row>
    <row r="523" spans="1:18" x14ac:dyDescent="0.2">
      <c r="A523">
        <f>Table1[[#This Row],[Age]]</f>
        <v>27</v>
      </c>
      <c r="B523">
        <f>IF(Table3[[#This Row],[Attrition]] = "Yes", 1,0)</f>
        <v>0</v>
      </c>
      <c r="C523" t="str">
        <f>Table1[[#This Row],[Attrition]]</f>
        <v>No</v>
      </c>
      <c r="D523" t="str">
        <f>Table1[[#This Row],[Department]]</f>
        <v>Sales</v>
      </c>
      <c r="E523">
        <f>Table1[[#This Row],[EnvironmentSatisfaction]]</f>
        <v>4</v>
      </c>
      <c r="F523">
        <f>Table1[[#This Row],[HourlyRate]]</f>
        <v>71</v>
      </c>
      <c r="G523" t="str">
        <f>Table1[[#This Row],[JobRole]]</f>
        <v>Sales Executive</v>
      </c>
      <c r="H523">
        <f>Table1[[#This Row],[JobSatisfaction]]</f>
        <v>4</v>
      </c>
      <c r="I523">
        <f>Table1[[#This Row],[YearsAtCompany]]</f>
        <v>6</v>
      </c>
      <c r="J523">
        <f>Table1[[#This Row],[YearsSinceLastPromotion]]</f>
        <v>0</v>
      </c>
      <c r="K523">
        <f>Table1[[#This Row],[EmployeeNumber]]</f>
        <v>714</v>
      </c>
      <c r="L523">
        <f>Table1[[#This Row],[DistanceFromHome]]</f>
        <v>3</v>
      </c>
      <c r="M523" t="str">
        <f>Table1[[#This Row],[OverTime]]</f>
        <v>Yes</v>
      </c>
      <c r="N523">
        <f>Table1[[#This Row],[WorkLifeBalance]]</f>
        <v>3</v>
      </c>
      <c r="O523" t="str" cm="1">
        <f t="array" ref="O523">_xlfn.IFS(A523&lt;=30,"18-30",A523&lt;=40,"31-40",A523&lt;=50,"41-50",A523&gt;50,"51+")</f>
        <v>18-30</v>
      </c>
      <c r="P523" t="str" cm="1">
        <f t="array" ref="P523">_xlfn.IFS(F523&lt;=45,"45 or below",F523&lt;= 60,"46-60",F523&lt;=75,"61-75",F523&lt;=90,"76-90",F523&gt;90,"91 or above")</f>
        <v>61-75</v>
      </c>
      <c r="Q5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23" t="str" cm="1">
        <f t="array" ref="R523" xml:space="preserve"> _xlfn.IFS(Table3[[#This Row],[Flight Risk Score]] = "NA","NA",Table3[[#This Row],[Flight Risk Score]] &gt;= 70,"High Risk",Table3[[#This Row],[Flight Risk Score]] &gt;= 50, "Medium Risk", Table3[[#This Row],[Flight Risk Score]] &gt;= 30,"Low Risk",Table3[[#This Row],[Flight Risk Score]] &lt; 30,"Very Low Risk")</f>
        <v>Low Risk</v>
      </c>
    </row>
    <row r="524" spans="1:18" x14ac:dyDescent="0.2">
      <c r="A524">
        <f>Table1[[#This Row],[Age]]</f>
        <v>37</v>
      </c>
      <c r="B524">
        <f>IF(Table3[[#This Row],[Attrition]] = "Yes", 1,0)</f>
        <v>0</v>
      </c>
      <c r="C524" t="str">
        <f>Table1[[#This Row],[Attrition]]</f>
        <v>No</v>
      </c>
      <c r="D524" t="str">
        <f>Table1[[#This Row],[Department]]</f>
        <v>Research &amp; Development</v>
      </c>
      <c r="E524">
        <f>Table1[[#This Row],[EnvironmentSatisfaction]]</f>
        <v>4</v>
      </c>
      <c r="F524">
        <f>Table1[[#This Row],[HourlyRate]]</f>
        <v>80</v>
      </c>
      <c r="G524" t="str">
        <f>Table1[[#This Row],[JobRole]]</f>
        <v>Research Scientist</v>
      </c>
      <c r="H524">
        <f>Table1[[#This Row],[JobSatisfaction]]</f>
        <v>4</v>
      </c>
      <c r="I524">
        <f>Table1[[#This Row],[YearsAtCompany]]</f>
        <v>1</v>
      </c>
      <c r="J524">
        <f>Table1[[#This Row],[YearsSinceLastPromotion]]</f>
        <v>0</v>
      </c>
      <c r="K524">
        <f>Table1[[#This Row],[EmployeeNumber]]</f>
        <v>715</v>
      </c>
      <c r="L524">
        <f>Table1[[#This Row],[DistanceFromHome]]</f>
        <v>10</v>
      </c>
      <c r="M524" t="str">
        <f>Table1[[#This Row],[OverTime]]</f>
        <v>No</v>
      </c>
      <c r="N524">
        <f>Table1[[#This Row],[WorkLifeBalance]]</f>
        <v>3</v>
      </c>
      <c r="O524" t="str" cm="1">
        <f t="array" ref="O524">_xlfn.IFS(A524&lt;=30,"18-30",A524&lt;=40,"31-40",A524&lt;=50,"41-50",A524&gt;50,"51+")</f>
        <v>31-40</v>
      </c>
      <c r="P524" t="str" cm="1">
        <f t="array" ref="P524">_xlfn.IFS(F524&lt;=45,"45 or below",F524&lt;= 60,"46-60",F524&lt;=75,"61-75",F524&lt;=90,"76-90",F524&gt;90,"91 or above")</f>
        <v>76-90</v>
      </c>
      <c r="Q5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24" t="str" cm="1">
        <f t="array" ref="R5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5" spans="1:18" x14ac:dyDescent="0.2">
      <c r="A525">
        <f>Table1[[#This Row],[Age]]</f>
        <v>50</v>
      </c>
      <c r="B525">
        <f>IF(Table3[[#This Row],[Attrition]] = "Yes", 1,0)</f>
        <v>0</v>
      </c>
      <c r="C525" t="str">
        <f>Table1[[#This Row],[Attrition]]</f>
        <v>No</v>
      </c>
      <c r="D525" t="str">
        <f>Table1[[#This Row],[Department]]</f>
        <v>Research &amp; Development</v>
      </c>
      <c r="E525">
        <f>Table1[[#This Row],[EnvironmentSatisfaction]]</f>
        <v>4</v>
      </c>
      <c r="F525">
        <f>Table1[[#This Row],[HourlyRate]]</f>
        <v>74</v>
      </c>
      <c r="G525" t="str">
        <f>Table1[[#This Row],[JobRole]]</f>
        <v>Laboratory Technician</v>
      </c>
      <c r="H525">
        <f>Table1[[#This Row],[JobSatisfaction]]</f>
        <v>3</v>
      </c>
      <c r="I525">
        <f>Table1[[#This Row],[YearsAtCompany]]</f>
        <v>20</v>
      </c>
      <c r="J525">
        <f>Table1[[#This Row],[YearsSinceLastPromotion]]</f>
        <v>3</v>
      </c>
      <c r="K525">
        <f>Table1[[#This Row],[EmployeeNumber]]</f>
        <v>716</v>
      </c>
      <c r="L525">
        <f>Table1[[#This Row],[DistanceFromHome]]</f>
        <v>28</v>
      </c>
      <c r="M525" t="str">
        <f>Table1[[#This Row],[OverTime]]</f>
        <v>Yes</v>
      </c>
      <c r="N525">
        <f>Table1[[#This Row],[WorkLifeBalance]]</f>
        <v>3</v>
      </c>
      <c r="O525" t="str" cm="1">
        <f t="array" ref="O525">_xlfn.IFS(A525&lt;=30,"18-30",A525&lt;=40,"31-40",A525&lt;=50,"41-50",A525&gt;50,"51+")</f>
        <v>41-50</v>
      </c>
      <c r="P525" t="str" cm="1">
        <f t="array" ref="P525">_xlfn.IFS(F525&lt;=45,"45 or below",F525&lt;= 60,"46-60",F525&lt;=75,"61-75",F525&lt;=90,"76-90",F525&gt;90,"91 or above")</f>
        <v>61-75</v>
      </c>
      <c r="Q5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25" t="str" cm="1">
        <f t="array" ref="R525" xml:space="preserve"> _xlfn.IFS(Table3[[#This Row],[Flight Risk Score]] = "NA","NA",Table3[[#This Row],[Flight Risk Score]] &gt;= 70,"High Risk",Table3[[#This Row],[Flight Risk Score]] &gt;= 50, "Medium Risk", Table3[[#This Row],[Flight Risk Score]] &gt;= 30,"Low Risk",Table3[[#This Row],[Flight Risk Score]] &lt; 30,"Very Low Risk")</f>
        <v>Low Risk</v>
      </c>
    </row>
    <row r="526" spans="1:18" x14ac:dyDescent="0.2">
      <c r="A526">
        <f>Table1[[#This Row],[Age]]</f>
        <v>34</v>
      </c>
      <c r="B526">
        <f>IF(Table3[[#This Row],[Attrition]] = "Yes", 1,0)</f>
        <v>0</v>
      </c>
      <c r="C526" t="str">
        <f>Table1[[#This Row],[Attrition]]</f>
        <v>No</v>
      </c>
      <c r="D526" t="str">
        <f>Table1[[#This Row],[Department]]</f>
        <v>Research &amp; Development</v>
      </c>
      <c r="E526">
        <f>Table1[[#This Row],[EnvironmentSatisfaction]]</f>
        <v>4</v>
      </c>
      <c r="F526">
        <f>Table1[[#This Row],[HourlyRate]]</f>
        <v>46</v>
      </c>
      <c r="G526" t="str">
        <f>Table1[[#This Row],[JobRole]]</f>
        <v>Healthcare Representative</v>
      </c>
      <c r="H526">
        <f>Table1[[#This Row],[JobSatisfaction]]</f>
        <v>2</v>
      </c>
      <c r="I526">
        <f>Table1[[#This Row],[YearsAtCompany]]</f>
        <v>8</v>
      </c>
      <c r="J526">
        <f>Table1[[#This Row],[YearsSinceLastPromotion]]</f>
        <v>7</v>
      </c>
      <c r="K526">
        <f>Table1[[#This Row],[EmployeeNumber]]</f>
        <v>717</v>
      </c>
      <c r="L526">
        <f>Table1[[#This Row],[DistanceFromHome]]</f>
        <v>9</v>
      </c>
      <c r="M526" t="str">
        <f>Table1[[#This Row],[OverTime]]</f>
        <v>No</v>
      </c>
      <c r="N526">
        <f>Table1[[#This Row],[WorkLifeBalance]]</f>
        <v>4</v>
      </c>
      <c r="O526" t="str" cm="1">
        <f t="array" ref="O526">_xlfn.IFS(A526&lt;=30,"18-30",A526&lt;=40,"31-40",A526&lt;=50,"41-50",A526&gt;50,"51+")</f>
        <v>31-40</v>
      </c>
      <c r="P526" t="str" cm="1">
        <f t="array" ref="P526">_xlfn.IFS(F526&lt;=45,"45 or below",F526&lt;= 60,"46-60",F526&lt;=75,"61-75",F526&lt;=90,"76-90",F526&gt;90,"91 or above")</f>
        <v>46-60</v>
      </c>
      <c r="Q5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26" t="str" cm="1">
        <f t="array" ref="R5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7" spans="1:18" hidden="1" x14ac:dyDescent="0.2">
      <c r="A527">
        <f>Table1[[#This Row],[Age]]</f>
        <v>24</v>
      </c>
      <c r="B527">
        <f>IF(Table3[[#This Row],[Attrition]] = "Yes", 1,0)</f>
        <v>1</v>
      </c>
      <c r="C527" t="str">
        <f>Table1[[#This Row],[Attrition]]</f>
        <v>Yes</v>
      </c>
      <c r="D527" t="str">
        <f>Table1[[#This Row],[Department]]</f>
        <v>Sales</v>
      </c>
      <c r="E527">
        <f>Table1[[#This Row],[EnvironmentSatisfaction]]</f>
        <v>1</v>
      </c>
      <c r="F527">
        <f>Table1[[#This Row],[HourlyRate]]</f>
        <v>65</v>
      </c>
      <c r="G527" t="str">
        <f>Table1[[#This Row],[JobRole]]</f>
        <v>Sales Executive</v>
      </c>
      <c r="H527">
        <f>Table1[[#This Row],[JobSatisfaction]]</f>
        <v>3</v>
      </c>
      <c r="I527">
        <f>Table1[[#This Row],[YearsAtCompany]]</f>
        <v>2</v>
      </c>
      <c r="J527">
        <f>Table1[[#This Row],[YearsSinceLastPromotion]]</f>
        <v>2</v>
      </c>
      <c r="K527">
        <f>Table1[[#This Row],[EmployeeNumber]]</f>
        <v>720</v>
      </c>
      <c r="L527">
        <f>Table1[[#This Row],[DistanceFromHome]]</f>
        <v>3</v>
      </c>
      <c r="M527" t="str">
        <f>Table1[[#This Row],[OverTime]]</f>
        <v>No</v>
      </c>
      <c r="N527">
        <f>Table1[[#This Row],[WorkLifeBalance]]</f>
        <v>3</v>
      </c>
      <c r="O527" t="str" cm="1">
        <f t="array" ref="O527">_xlfn.IFS(A527&lt;=30,"18-30",A527&lt;=40,"31-40",A527&lt;=50,"41-50",A527&gt;50,"51+")</f>
        <v>18-30</v>
      </c>
      <c r="P527" t="str" cm="1">
        <f t="array" ref="P527">_xlfn.IFS(F527&lt;=45,"45 or below",F527&lt;= 60,"46-60",F527&lt;=75,"61-75",F527&lt;=90,"76-90",F527&gt;90,"91 or above")</f>
        <v>61-75</v>
      </c>
      <c r="Q52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27" t="str" cm="1">
        <f t="array" ref="R527" xml:space="preserve"> _xlfn.IFS(Table3[[#This Row],[Flight Risk Score]] = "NA","NA",Table3[[#This Row],[Flight Risk Score]] &gt;= 70,"High Risk",Table3[[#This Row],[Flight Risk Score]] &gt;= 50, "Medium Risk", Table3[[#This Row],[Flight Risk Score]] &gt;= 30,"Low Risk",Table3[[#This Row],[Flight Risk Score]] &lt; 30,"Very Low Risk")</f>
        <v>NA</v>
      </c>
    </row>
    <row r="528" spans="1:18" x14ac:dyDescent="0.2">
      <c r="A528">
        <f>Table1[[#This Row],[Age]]</f>
        <v>39</v>
      </c>
      <c r="B528">
        <f>IF(Table3[[#This Row],[Attrition]] = "Yes", 1,0)</f>
        <v>0</v>
      </c>
      <c r="C528" t="str">
        <f>Table1[[#This Row],[Attrition]]</f>
        <v>No</v>
      </c>
      <c r="D528" t="str">
        <f>Table1[[#This Row],[Department]]</f>
        <v>Research &amp; Development</v>
      </c>
      <c r="E528">
        <f>Table1[[#This Row],[EnvironmentSatisfaction]]</f>
        <v>4</v>
      </c>
      <c r="F528">
        <f>Table1[[#This Row],[HourlyRate]]</f>
        <v>80</v>
      </c>
      <c r="G528" t="str">
        <f>Table1[[#This Row],[JobRole]]</f>
        <v>Healthcare Representative</v>
      </c>
      <c r="H528">
        <f>Table1[[#This Row],[JobSatisfaction]]</f>
        <v>3</v>
      </c>
      <c r="I528">
        <f>Table1[[#This Row],[YearsAtCompany]]</f>
        <v>20</v>
      </c>
      <c r="J528">
        <f>Table1[[#This Row],[YearsSinceLastPromotion]]</f>
        <v>11</v>
      </c>
      <c r="K528">
        <f>Table1[[#This Row],[EmployeeNumber]]</f>
        <v>721</v>
      </c>
      <c r="L528">
        <f>Table1[[#This Row],[DistanceFromHome]]</f>
        <v>2</v>
      </c>
      <c r="M528" t="str">
        <f>Table1[[#This Row],[OverTime]]</f>
        <v>No</v>
      </c>
      <c r="N528">
        <f>Table1[[#This Row],[WorkLifeBalance]]</f>
        <v>3</v>
      </c>
      <c r="O528" t="str" cm="1">
        <f t="array" ref="O528">_xlfn.IFS(A528&lt;=30,"18-30",A528&lt;=40,"31-40",A528&lt;=50,"41-50",A528&gt;50,"51+")</f>
        <v>31-40</v>
      </c>
      <c r="P528" t="str" cm="1">
        <f t="array" ref="P528">_xlfn.IFS(F528&lt;=45,"45 or below",F528&lt;= 60,"46-60",F528&lt;=75,"61-75",F528&lt;=90,"76-90",F528&gt;90,"91 or above")</f>
        <v>76-90</v>
      </c>
      <c r="Q5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28" t="str" cm="1">
        <f t="array" ref="R5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29" spans="1:18" x14ac:dyDescent="0.2">
      <c r="A529">
        <f>Table1[[#This Row],[Age]]</f>
        <v>32</v>
      </c>
      <c r="B529">
        <f>IF(Table3[[#This Row],[Attrition]] = "Yes", 1,0)</f>
        <v>0</v>
      </c>
      <c r="C529" t="str">
        <f>Table1[[#This Row],[Attrition]]</f>
        <v>No</v>
      </c>
      <c r="D529" t="str">
        <f>Table1[[#This Row],[Department]]</f>
        <v>Sales</v>
      </c>
      <c r="E529">
        <f>Table1[[#This Row],[EnvironmentSatisfaction]]</f>
        <v>4</v>
      </c>
      <c r="F529">
        <f>Table1[[#This Row],[HourlyRate]]</f>
        <v>55</v>
      </c>
      <c r="G529" t="str">
        <f>Table1[[#This Row],[JobRole]]</f>
        <v>Sales Executive</v>
      </c>
      <c r="H529">
        <f>Table1[[#This Row],[JobSatisfaction]]</f>
        <v>4</v>
      </c>
      <c r="I529">
        <f>Table1[[#This Row],[YearsAtCompany]]</f>
        <v>10</v>
      </c>
      <c r="J529">
        <f>Table1[[#This Row],[YearsSinceLastPromotion]]</f>
        <v>0</v>
      </c>
      <c r="K529">
        <f>Table1[[#This Row],[EmployeeNumber]]</f>
        <v>722</v>
      </c>
      <c r="L529">
        <f>Table1[[#This Row],[DistanceFromHome]]</f>
        <v>10</v>
      </c>
      <c r="M529" t="str">
        <f>Table1[[#This Row],[OverTime]]</f>
        <v>No</v>
      </c>
      <c r="N529">
        <f>Table1[[#This Row],[WorkLifeBalance]]</f>
        <v>2</v>
      </c>
      <c r="O529" t="str" cm="1">
        <f t="array" ref="O529">_xlfn.IFS(A529&lt;=30,"18-30",A529&lt;=40,"31-40",A529&lt;=50,"41-50",A529&gt;50,"51+")</f>
        <v>31-40</v>
      </c>
      <c r="P529" t="str" cm="1">
        <f t="array" ref="P529">_xlfn.IFS(F529&lt;=45,"45 or below",F529&lt;= 60,"46-60",F529&lt;=75,"61-75",F529&lt;=90,"76-90",F529&gt;90,"91 or above")</f>
        <v>46-60</v>
      </c>
      <c r="Q5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29" t="str" cm="1">
        <f t="array" ref="R5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0" spans="1:18" hidden="1" x14ac:dyDescent="0.2">
      <c r="A530">
        <f>Table1[[#This Row],[Age]]</f>
        <v>50</v>
      </c>
      <c r="B530">
        <f>IF(Table3[[#This Row],[Attrition]] = "Yes", 1,0)</f>
        <v>1</v>
      </c>
      <c r="C530" t="str">
        <f>Table1[[#This Row],[Attrition]]</f>
        <v>Yes</v>
      </c>
      <c r="D530" t="str">
        <f>Table1[[#This Row],[Department]]</f>
        <v>Sales</v>
      </c>
      <c r="E530">
        <f>Table1[[#This Row],[EnvironmentSatisfaction]]</f>
        <v>2</v>
      </c>
      <c r="F530">
        <f>Table1[[#This Row],[HourlyRate]]</f>
        <v>50</v>
      </c>
      <c r="G530" t="str">
        <f>Table1[[#This Row],[JobRole]]</f>
        <v>Sales Executive</v>
      </c>
      <c r="H530">
        <f>Table1[[#This Row],[JobSatisfaction]]</f>
        <v>3</v>
      </c>
      <c r="I530">
        <f>Table1[[#This Row],[YearsAtCompany]]</f>
        <v>4</v>
      </c>
      <c r="J530">
        <f>Table1[[#This Row],[YearsSinceLastPromotion]]</f>
        <v>1</v>
      </c>
      <c r="K530">
        <f>Table1[[#This Row],[EmployeeNumber]]</f>
        <v>723</v>
      </c>
      <c r="L530">
        <f>Table1[[#This Row],[DistanceFromHome]]</f>
        <v>8</v>
      </c>
      <c r="M530" t="str">
        <f>Table1[[#This Row],[OverTime]]</f>
        <v>Yes</v>
      </c>
      <c r="N530">
        <f>Table1[[#This Row],[WorkLifeBalance]]</f>
        <v>3</v>
      </c>
      <c r="O530" t="str" cm="1">
        <f t="array" ref="O530">_xlfn.IFS(A530&lt;=30,"18-30",A530&lt;=40,"31-40",A530&lt;=50,"41-50",A530&gt;50,"51+")</f>
        <v>41-50</v>
      </c>
      <c r="P530" t="str" cm="1">
        <f t="array" ref="P530">_xlfn.IFS(F530&lt;=45,"45 or below",F530&lt;= 60,"46-60",F530&lt;=75,"61-75",F530&lt;=90,"76-90",F530&gt;90,"91 or above")</f>
        <v>46-60</v>
      </c>
      <c r="Q53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30" t="str" cm="1">
        <f t="array" ref="R530" xml:space="preserve"> _xlfn.IFS(Table3[[#This Row],[Flight Risk Score]] = "NA","NA",Table3[[#This Row],[Flight Risk Score]] &gt;= 70,"High Risk",Table3[[#This Row],[Flight Risk Score]] &gt;= 50, "Medium Risk", Table3[[#This Row],[Flight Risk Score]] &gt;= 30,"Low Risk",Table3[[#This Row],[Flight Risk Score]] &lt; 30,"Very Low Risk")</f>
        <v>NA</v>
      </c>
    </row>
    <row r="531" spans="1:18" x14ac:dyDescent="0.2">
      <c r="A531">
        <f>Table1[[#This Row],[Age]]</f>
        <v>38</v>
      </c>
      <c r="B531">
        <f>IF(Table3[[#This Row],[Attrition]] = "Yes", 1,0)</f>
        <v>0</v>
      </c>
      <c r="C531" t="str">
        <f>Table1[[#This Row],[Attrition]]</f>
        <v>No</v>
      </c>
      <c r="D531" t="str">
        <f>Table1[[#This Row],[Department]]</f>
        <v>Research &amp; Development</v>
      </c>
      <c r="E531">
        <f>Table1[[#This Row],[EnvironmentSatisfaction]]</f>
        <v>2</v>
      </c>
      <c r="F531">
        <f>Table1[[#This Row],[HourlyRate]]</f>
        <v>33</v>
      </c>
      <c r="G531" t="str">
        <f>Table1[[#This Row],[JobRole]]</f>
        <v>Healthcare Representative</v>
      </c>
      <c r="H531">
        <f>Table1[[#This Row],[JobSatisfaction]]</f>
        <v>4</v>
      </c>
      <c r="I531">
        <f>Table1[[#This Row],[YearsAtCompany]]</f>
        <v>9</v>
      </c>
      <c r="J531">
        <f>Table1[[#This Row],[YearsSinceLastPromotion]]</f>
        <v>1</v>
      </c>
      <c r="K531">
        <f>Table1[[#This Row],[EmployeeNumber]]</f>
        <v>724</v>
      </c>
      <c r="L531">
        <f>Table1[[#This Row],[DistanceFromHome]]</f>
        <v>1</v>
      </c>
      <c r="M531" t="str">
        <f>Table1[[#This Row],[OverTime]]</f>
        <v>No</v>
      </c>
      <c r="N531">
        <f>Table1[[#This Row],[WorkLifeBalance]]</f>
        <v>2</v>
      </c>
      <c r="O531" t="str" cm="1">
        <f t="array" ref="O531">_xlfn.IFS(A531&lt;=30,"18-30",A531&lt;=40,"31-40",A531&lt;=50,"41-50",A531&gt;50,"51+")</f>
        <v>31-40</v>
      </c>
      <c r="P531" t="str" cm="1">
        <f t="array" ref="P531">_xlfn.IFS(F531&lt;=45,"45 or below",F531&lt;= 60,"46-60",F531&lt;=75,"61-75",F531&lt;=90,"76-90",F531&gt;90,"91 or above")</f>
        <v>45 or below</v>
      </c>
      <c r="Q5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31" t="str" cm="1">
        <f t="array" ref="R5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2" spans="1:18" x14ac:dyDescent="0.2">
      <c r="A532">
        <f>Table1[[#This Row],[Age]]</f>
        <v>27</v>
      </c>
      <c r="B532">
        <f>IF(Table3[[#This Row],[Attrition]] = "Yes", 1,0)</f>
        <v>0</v>
      </c>
      <c r="C532" t="str">
        <f>Table1[[#This Row],[Attrition]]</f>
        <v>No</v>
      </c>
      <c r="D532" t="str">
        <f>Table1[[#This Row],[Department]]</f>
        <v>Research &amp; Development</v>
      </c>
      <c r="E532">
        <f>Table1[[#This Row],[EnvironmentSatisfaction]]</f>
        <v>3</v>
      </c>
      <c r="F532">
        <f>Table1[[#This Row],[HourlyRate]]</f>
        <v>68</v>
      </c>
      <c r="G532" t="str">
        <f>Table1[[#This Row],[JobRole]]</f>
        <v>Manufacturing Director</v>
      </c>
      <c r="H532">
        <f>Table1[[#This Row],[JobSatisfaction]]</f>
        <v>1</v>
      </c>
      <c r="I532">
        <f>Table1[[#This Row],[YearsAtCompany]]</f>
        <v>9</v>
      </c>
      <c r="J532">
        <f>Table1[[#This Row],[YearsSinceLastPromotion]]</f>
        <v>0</v>
      </c>
      <c r="K532">
        <f>Table1[[#This Row],[EmployeeNumber]]</f>
        <v>725</v>
      </c>
      <c r="L532">
        <f>Table1[[#This Row],[DistanceFromHome]]</f>
        <v>1</v>
      </c>
      <c r="M532" t="str">
        <f>Table1[[#This Row],[OverTime]]</f>
        <v>No</v>
      </c>
      <c r="N532">
        <f>Table1[[#This Row],[WorkLifeBalance]]</f>
        <v>3</v>
      </c>
      <c r="O532" t="str" cm="1">
        <f t="array" ref="O532">_xlfn.IFS(A532&lt;=30,"18-30",A532&lt;=40,"31-40",A532&lt;=50,"41-50",A532&gt;50,"51+")</f>
        <v>18-30</v>
      </c>
      <c r="P532" t="str" cm="1">
        <f t="array" ref="P532">_xlfn.IFS(F532&lt;=45,"45 or below",F532&lt;= 60,"46-60",F532&lt;=75,"61-75",F532&lt;=90,"76-90",F532&gt;90,"91 or above")</f>
        <v>61-75</v>
      </c>
      <c r="Q5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32" t="str" cm="1">
        <f t="array" ref="R5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3" spans="1:18" x14ac:dyDescent="0.2">
      <c r="A533">
        <f>Table1[[#This Row],[Age]]</f>
        <v>32</v>
      </c>
      <c r="B533">
        <f>IF(Table3[[#This Row],[Attrition]] = "Yes", 1,0)</f>
        <v>0</v>
      </c>
      <c r="C533" t="str">
        <f>Table1[[#This Row],[Attrition]]</f>
        <v>No</v>
      </c>
      <c r="D533" t="str">
        <f>Table1[[#This Row],[Department]]</f>
        <v>Research &amp; Development</v>
      </c>
      <c r="E533">
        <f>Table1[[#This Row],[EnvironmentSatisfaction]]</f>
        <v>3</v>
      </c>
      <c r="F533">
        <f>Table1[[#This Row],[HourlyRate]]</f>
        <v>39</v>
      </c>
      <c r="G533" t="str">
        <f>Table1[[#This Row],[JobRole]]</f>
        <v>Research Director</v>
      </c>
      <c r="H533">
        <f>Table1[[#This Row],[JobSatisfaction]]</f>
        <v>4</v>
      </c>
      <c r="I533">
        <f>Table1[[#This Row],[YearsAtCompany]]</f>
        <v>7</v>
      </c>
      <c r="J533">
        <f>Table1[[#This Row],[YearsSinceLastPromotion]]</f>
        <v>7</v>
      </c>
      <c r="K533">
        <f>Table1[[#This Row],[EmployeeNumber]]</f>
        <v>727</v>
      </c>
      <c r="L533">
        <f>Table1[[#This Row],[DistanceFromHome]]</f>
        <v>3</v>
      </c>
      <c r="M533" t="str">
        <f>Table1[[#This Row],[OverTime]]</f>
        <v>No</v>
      </c>
      <c r="N533">
        <f>Table1[[#This Row],[WorkLifeBalance]]</f>
        <v>3</v>
      </c>
      <c r="O533" t="str" cm="1">
        <f t="array" ref="O533">_xlfn.IFS(A533&lt;=30,"18-30",A533&lt;=40,"31-40",A533&lt;=50,"41-50",A533&gt;50,"51+")</f>
        <v>31-40</v>
      </c>
      <c r="P533" t="str" cm="1">
        <f t="array" ref="P533">_xlfn.IFS(F533&lt;=45,"45 or below",F533&lt;= 60,"46-60",F533&lt;=75,"61-75",F533&lt;=90,"76-90",F533&gt;90,"91 or above")</f>
        <v>45 or below</v>
      </c>
      <c r="Q5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33" t="str" cm="1">
        <f t="array" ref="R5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4" spans="1:18" x14ac:dyDescent="0.2">
      <c r="A534">
        <f>Table1[[#This Row],[Age]]</f>
        <v>47</v>
      </c>
      <c r="B534">
        <f>IF(Table3[[#This Row],[Attrition]] = "Yes", 1,0)</f>
        <v>0</v>
      </c>
      <c r="C534" t="str">
        <f>Table1[[#This Row],[Attrition]]</f>
        <v>No</v>
      </c>
      <c r="D534" t="str">
        <f>Table1[[#This Row],[Department]]</f>
        <v>Sales</v>
      </c>
      <c r="E534">
        <f>Table1[[#This Row],[EnvironmentSatisfaction]]</f>
        <v>4</v>
      </c>
      <c r="F534">
        <f>Table1[[#This Row],[HourlyRate]]</f>
        <v>42</v>
      </c>
      <c r="G534" t="str">
        <f>Table1[[#This Row],[JobRole]]</f>
        <v>Sales Executive</v>
      </c>
      <c r="H534">
        <f>Table1[[#This Row],[JobSatisfaction]]</f>
        <v>1</v>
      </c>
      <c r="I534">
        <f>Table1[[#This Row],[YearsAtCompany]]</f>
        <v>7</v>
      </c>
      <c r="J534">
        <f>Table1[[#This Row],[YearsSinceLastPromotion]]</f>
        <v>1</v>
      </c>
      <c r="K534">
        <f>Table1[[#This Row],[EmployeeNumber]]</f>
        <v>728</v>
      </c>
      <c r="L534">
        <f>Table1[[#This Row],[DistanceFromHome]]</f>
        <v>14</v>
      </c>
      <c r="M534" t="str">
        <f>Table1[[#This Row],[OverTime]]</f>
        <v>No</v>
      </c>
      <c r="N534">
        <f>Table1[[#This Row],[WorkLifeBalance]]</f>
        <v>3</v>
      </c>
      <c r="O534" t="str" cm="1">
        <f t="array" ref="O534">_xlfn.IFS(A534&lt;=30,"18-30",A534&lt;=40,"31-40",A534&lt;=50,"41-50",A534&gt;50,"51+")</f>
        <v>41-50</v>
      </c>
      <c r="P534" t="str" cm="1">
        <f t="array" ref="P534">_xlfn.IFS(F534&lt;=45,"45 or below",F534&lt;= 60,"46-60",F534&lt;=75,"61-75",F534&lt;=90,"76-90",F534&gt;90,"91 or above")</f>
        <v>45 or below</v>
      </c>
      <c r="Q5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34" t="str" cm="1">
        <f t="array" ref="R5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5" spans="1:18" x14ac:dyDescent="0.2">
      <c r="A535">
        <f>Table1[[#This Row],[Age]]</f>
        <v>40</v>
      </c>
      <c r="B535">
        <f>IF(Table3[[#This Row],[Attrition]] = "Yes", 1,0)</f>
        <v>0</v>
      </c>
      <c r="C535" t="str">
        <f>Table1[[#This Row],[Attrition]]</f>
        <v>No</v>
      </c>
      <c r="D535" t="str">
        <f>Table1[[#This Row],[Department]]</f>
        <v>Sales</v>
      </c>
      <c r="E535">
        <f>Table1[[#This Row],[EnvironmentSatisfaction]]</f>
        <v>4</v>
      </c>
      <c r="F535">
        <f>Table1[[#This Row],[HourlyRate]]</f>
        <v>48</v>
      </c>
      <c r="G535" t="str">
        <f>Table1[[#This Row],[JobRole]]</f>
        <v>Sales Executive</v>
      </c>
      <c r="H535">
        <f>Table1[[#This Row],[JobSatisfaction]]</f>
        <v>1</v>
      </c>
      <c r="I535">
        <f>Table1[[#This Row],[YearsAtCompany]]</f>
        <v>18</v>
      </c>
      <c r="J535">
        <f>Table1[[#This Row],[YearsSinceLastPromotion]]</f>
        <v>1</v>
      </c>
      <c r="K535">
        <f>Table1[[#This Row],[EmployeeNumber]]</f>
        <v>729</v>
      </c>
      <c r="L535">
        <f>Table1[[#This Row],[DistanceFromHome]]</f>
        <v>5</v>
      </c>
      <c r="M535" t="str">
        <f>Table1[[#This Row],[OverTime]]</f>
        <v>Yes</v>
      </c>
      <c r="N535">
        <f>Table1[[#This Row],[WorkLifeBalance]]</f>
        <v>3</v>
      </c>
      <c r="O535" t="str" cm="1">
        <f t="array" ref="O535">_xlfn.IFS(A535&lt;=30,"18-30",A535&lt;=40,"31-40",A535&lt;=50,"41-50",A535&gt;50,"51+")</f>
        <v>31-40</v>
      </c>
      <c r="P535" t="str" cm="1">
        <f t="array" ref="P535">_xlfn.IFS(F535&lt;=45,"45 or below",F535&lt;= 60,"46-60",F535&lt;=75,"61-75",F535&lt;=90,"76-90",F535&gt;90,"91 or above")</f>
        <v>46-60</v>
      </c>
      <c r="Q5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35" t="str" cm="1">
        <f t="array" ref="R53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36" spans="1:18" x14ac:dyDescent="0.2">
      <c r="A536">
        <f>Table1[[#This Row],[Age]]</f>
        <v>53</v>
      </c>
      <c r="B536">
        <f>IF(Table3[[#This Row],[Attrition]] = "Yes", 1,0)</f>
        <v>0</v>
      </c>
      <c r="C536" t="str">
        <f>Table1[[#This Row],[Attrition]]</f>
        <v>No</v>
      </c>
      <c r="D536" t="str">
        <f>Table1[[#This Row],[Department]]</f>
        <v>Research &amp; Development</v>
      </c>
      <c r="E536">
        <f>Table1[[#This Row],[EnvironmentSatisfaction]]</f>
        <v>3</v>
      </c>
      <c r="F536">
        <f>Table1[[#This Row],[HourlyRate]]</f>
        <v>59</v>
      </c>
      <c r="G536" t="str">
        <f>Table1[[#This Row],[JobRole]]</f>
        <v>Research Director</v>
      </c>
      <c r="H536">
        <f>Table1[[#This Row],[JobSatisfaction]]</f>
        <v>3</v>
      </c>
      <c r="I536">
        <f>Table1[[#This Row],[YearsAtCompany]]</f>
        <v>5</v>
      </c>
      <c r="J536">
        <f>Table1[[#This Row],[YearsSinceLastPromotion]]</f>
        <v>1</v>
      </c>
      <c r="K536">
        <f>Table1[[#This Row],[EmployeeNumber]]</f>
        <v>730</v>
      </c>
      <c r="L536">
        <f>Table1[[#This Row],[DistanceFromHome]]</f>
        <v>7</v>
      </c>
      <c r="M536" t="str">
        <f>Table1[[#This Row],[OverTime]]</f>
        <v>No</v>
      </c>
      <c r="N536">
        <f>Table1[[#This Row],[WorkLifeBalance]]</f>
        <v>3</v>
      </c>
      <c r="O536" t="str" cm="1">
        <f t="array" ref="O536">_xlfn.IFS(A536&lt;=30,"18-30",A536&lt;=40,"31-40",A536&lt;=50,"41-50",A536&gt;50,"51+")</f>
        <v>51+</v>
      </c>
      <c r="P536" t="str" cm="1">
        <f t="array" ref="P536">_xlfn.IFS(F536&lt;=45,"45 or below",F536&lt;= 60,"46-60",F536&lt;=75,"61-75",F536&lt;=90,"76-90",F536&gt;90,"91 or above")</f>
        <v>46-60</v>
      </c>
      <c r="Q5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36" t="str" cm="1">
        <f t="array" ref="R5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7" spans="1:18" x14ac:dyDescent="0.2">
      <c r="A537">
        <f>Table1[[#This Row],[Age]]</f>
        <v>41</v>
      </c>
      <c r="B537">
        <f>IF(Table3[[#This Row],[Attrition]] = "Yes", 1,0)</f>
        <v>0</v>
      </c>
      <c r="C537" t="str">
        <f>Table1[[#This Row],[Attrition]]</f>
        <v>No</v>
      </c>
      <c r="D537" t="str">
        <f>Table1[[#This Row],[Department]]</f>
        <v>Human Resources</v>
      </c>
      <c r="E537">
        <f>Table1[[#This Row],[EnvironmentSatisfaction]]</f>
        <v>2</v>
      </c>
      <c r="F537">
        <f>Table1[[#This Row],[HourlyRate]]</f>
        <v>73</v>
      </c>
      <c r="G537" t="str">
        <f>Table1[[#This Row],[JobRole]]</f>
        <v>Manager</v>
      </c>
      <c r="H537">
        <f>Table1[[#This Row],[JobSatisfaction]]</f>
        <v>4</v>
      </c>
      <c r="I537">
        <f>Table1[[#This Row],[YearsAtCompany]]</f>
        <v>21</v>
      </c>
      <c r="J537">
        <f>Table1[[#This Row],[YearsSinceLastPromotion]]</f>
        <v>12</v>
      </c>
      <c r="K537">
        <f>Table1[[#This Row],[EmployeeNumber]]</f>
        <v>731</v>
      </c>
      <c r="L537">
        <f>Table1[[#This Row],[DistanceFromHome]]</f>
        <v>10</v>
      </c>
      <c r="M537" t="str">
        <f>Table1[[#This Row],[OverTime]]</f>
        <v>No</v>
      </c>
      <c r="N537">
        <f>Table1[[#This Row],[WorkLifeBalance]]</f>
        <v>2</v>
      </c>
      <c r="O537" t="str" cm="1">
        <f t="array" ref="O537">_xlfn.IFS(A537&lt;=30,"18-30",A537&lt;=40,"31-40",A537&lt;=50,"41-50",A537&gt;50,"51+")</f>
        <v>41-50</v>
      </c>
      <c r="P537" t="str" cm="1">
        <f t="array" ref="P537">_xlfn.IFS(F537&lt;=45,"45 or below",F537&lt;= 60,"46-60",F537&lt;=75,"61-75",F537&lt;=90,"76-90",F537&gt;90,"91 or above")</f>
        <v>61-75</v>
      </c>
      <c r="Q5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37" t="str" cm="1">
        <f t="array" ref="R53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38" spans="1:18" x14ac:dyDescent="0.2">
      <c r="A538">
        <f>Table1[[#This Row],[Age]]</f>
        <v>60</v>
      </c>
      <c r="B538">
        <f>IF(Table3[[#This Row],[Attrition]] = "Yes", 1,0)</f>
        <v>0</v>
      </c>
      <c r="C538" t="str">
        <f>Table1[[#This Row],[Attrition]]</f>
        <v>No</v>
      </c>
      <c r="D538" t="str">
        <f>Table1[[#This Row],[Department]]</f>
        <v>Sales</v>
      </c>
      <c r="E538">
        <f>Table1[[#This Row],[EnvironmentSatisfaction]]</f>
        <v>1</v>
      </c>
      <c r="F538">
        <f>Table1[[#This Row],[HourlyRate]]</f>
        <v>84</v>
      </c>
      <c r="G538" t="str">
        <f>Table1[[#This Row],[JobRole]]</f>
        <v>Sales Executive</v>
      </c>
      <c r="H538">
        <f>Table1[[#This Row],[JobSatisfaction]]</f>
        <v>1</v>
      </c>
      <c r="I538">
        <f>Table1[[#This Row],[YearsAtCompany]]</f>
        <v>2</v>
      </c>
      <c r="J538">
        <f>Table1[[#This Row],[YearsSinceLastPromotion]]</f>
        <v>2</v>
      </c>
      <c r="K538">
        <f>Table1[[#This Row],[EmployeeNumber]]</f>
        <v>732</v>
      </c>
      <c r="L538">
        <f>Table1[[#This Row],[DistanceFromHome]]</f>
        <v>16</v>
      </c>
      <c r="M538" t="str">
        <f>Table1[[#This Row],[OverTime]]</f>
        <v>No</v>
      </c>
      <c r="N538">
        <f>Table1[[#This Row],[WorkLifeBalance]]</f>
        <v>3</v>
      </c>
      <c r="O538" t="str" cm="1">
        <f t="array" ref="O538">_xlfn.IFS(A538&lt;=30,"18-30",A538&lt;=40,"31-40",A538&lt;=50,"41-50",A538&gt;50,"51+")</f>
        <v>51+</v>
      </c>
      <c r="P538" t="str" cm="1">
        <f t="array" ref="P538">_xlfn.IFS(F538&lt;=45,"45 or below",F538&lt;= 60,"46-60",F538&lt;=75,"61-75",F538&lt;=90,"76-90",F538&gt;90,"91 or above")</f>
        <v>76-90</v>
      </c>
      <c r="Q53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38" t="str" cm="1">
        <f t="array" ref="R538" xml:space="preserve"> _xlfn.IFS(Table3[[#This Row],[Flight Risk Score]] = "NA","NA",Table3[[#This Row],[Flight Risk Score]] &gt;= 70,"High Risk",Table3[[#This Row],[Flight Risk Score]] &gt;= 50, "Medium Risk", Table3[[#This Row],[Flight Risk Score]] &gt;= 30,"Low Risk",Table3[[#This Row],[Flight Risk Score]] &lt; 30,"Very Low Risk")</f>
        <v>Low Risk</v>
      </c>
    </row>
    <row r="539" spans="1:18" x14ac:dyDescent="0.2">
      <c r="A539">
        <f>Table1[[#This Row],[Age]]</f>
        <v>27</v>
      </c>
      <c r="B539">
        <f>IF(Table3[[#This Row],[Attrition]] = "Yes", 1,0)</f>
        <v>0</v>
      </c>
      <c r="C539" t="str">
        <f>Table1[[#This Row],[Attrition]]</f>
        <v>No</v>
      </c>
      <c r="D539" t="str">
        <f>Table1[[#This Row],[Department]]</f>
        <v>Research &amp; Development</v>
      </c>
      <c r="E539">
        <f>Table1[[#This Row],[EnvironmentSatisfaction]]</f>
        <v>4</v>
      </c>
      <c r="F539">
        <f>Table1[[#This Row],[HourlyRate]]</f>
        <v>32</v>
      </c>
      <c r="G539" t="str">
        <f>Table1[[#This Row],[JobRole]]</f>
        <v>Manufacturing Director</v>
      </c>
      <c r="H539">
        <f>Table1[[#This Row],[JobSatisfaction]]</f>
        <v>1</v>
      </c>
      <c r="I539">
        <f>Table1[[#This Row],[YearsAtCompany]]</f>
        <v>9</v>
      </c>
      <c r="J539">
        <f>Table1[[#This Row],[YearsSinceLastPromotion]]</f>
        <v>1</v>
      </c>
      <c r="K539">
        <f>Table1[[#This Row],[EmployeeNumber]]</f>
        <v>733</v>
      </c>
      <c r="L539">
        <f>Table1[[#This Row],[DistanceFromHome]]</f>
        <v>10</v>
      </c>
      <c r="M539" t="str">
        <f>Table1[[#This Row],[OverTime]]</f>
        <v>No</v>
      </c>
      <c r="N539">
        <f>Table1[[#This Row],[WorkLifeBalance]]</f>
        <v>2</v>
      </c>
      <c r="O539" t="str" cm="1">
        <f t="array" ref="O539">_xlfn.IFS(A539&lt;=30,"18-30",A539&lt;=40,"31-40",A539&lt;=50,"41-50",A539&gt;50,"51+")</f>
        <v>18-30</v>
      </c>
      <c r="P539" t="str" cm="1">
        <f t="array" ref="P539">_xlfn.IFS(F539&lt;=45,"45 or below",F539&lt;= 60,"46-60",F539&lt;=75,"61-75",F539&lt;=90,"76-90",F539&gt;90,"91 or above")</f>
        <v>45 or below</v>
      </c>
      <c r="Q5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39" t="str" cm="1">
        <f t="array" ref="R5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40" spans="1:18" x14ac:dyDescent="0.2">
      <c r="A540">
        <f>Table1[[#This Row],[Age]]</f>
        <v>41</v>
      </c>
      <c r="B540">
        <f>IF(Table3[[#This Row],[Attrition]] = "Yes", 1,0)</f>
        <v>0</v>
      </c>
      <c r="C540" t="str">
        <f>Table1[[#This Row],[Attrition]]</f>
        <v>No</v>
      </c>
      <c r="D540" t="str">
        <f>Table1[[#This Row],[Department]]</f>
        <v>Human Resources</v>
      </c>
      <c r="E540">
        <f>Table1[[#This Row],[EnvironmentSatisfaction]]</f>
        <v>4</v>
      </c>
      <c r="F540">
        <f>Table1[[#This Row],[HourlyRate]]</f>
        <v>59</v>
      </c>
      <c r="G540" t="str">
        <f>Table1[[#This Row],[JobRole]]</f>
        <v>Manager</v>
      </c>
      <c r="H540">
        <f>Table1[[#This Row],[JobSatisfaction]]</f>
        <v>3</v>
      </c>
      <c r="I540">
        <f>Table1[[#This Row],[YearsAtCompany]]</f>
        <v>22</v>
      </c>
      <c r="J540">
        <f>Table1[[#This Row],[YearsSinceLastPromotion]]</f>
        <v>2</v>
      </c>
      <c r="K540">
        <f>Table1[[#This Row],[EmployeeNumber]]</f>
        <v>734</v>
      </c>
      <c r="L540">
        <f>Table1[[#This Row],[DistanceFromHome]]</f>
        <v>1</v>
      </c>
      <c r="M540" t="str">
        <f>Table1[[#This Row],[OverTime]]</f>
        <v>No</v>
      </c>
      <c r="N540">
        <f>Table1[[#This Row],[WorkLifeBalance]]</f>
        <v>3</v>
      </c>
      <c r="O540" t="str" cm="1">
        <f t="array" ref="O540">_xlfn.IFS(A540&lt;=30,"18-30",A540&lt;=40,"31-40",A540&lt;=50,"41-50",A540&gt;50,"51+")</f>
        <v>41-50</v>
      </c>
      <c r="P540" t="str" cm="1">
        <f t="array" ref="P540">_xlfn.IFS(F540&lt;=45,"45 or below",F540&lt;= 60,"46-60",F540&lt;=75,"61-75",F540&lt;=90,"76-90",F540&gt;90,"91 or above")</f>
        <v>46-60</v>
      </c>
      <c r="Q5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40" t="str" cm="1">
        <f t="array" ref="R5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41" spans="1:18" x14ac:dyDescent="0.2">
      <c r="A541">
        <f>Table1[[#This Row],[Age]]</f>
        <v>50</v>
      </c>
      <c r="B541">
        <f>IF(Table3[[#This Row],[Attrition]] = "Yes", 1,0)</f>
        <v>0</v>
      </c>
      <c r="C541" t="str">
        <f>Table1[[#This Row],[Attrition]]</f>
        <v>No</v>
      </c>
      <c r="D541" t="str">
        <f>Table1[[#This Row],[Department]]</f>
        <v>Sales</v>
      </c>
      <c r="E541">
        <f>Table1[[#This Row],[EnvironmentSatisfaction]]</f>
        <v>4</v>
      </c>
      <c r="F541">
        <f>Table1[[#This Row],[HourlyRate]]</f>
        <v>54</v>
      </c>
      <c r="G541" t="str">
        <f>Table1[[#This Row],[JobRole]]</f>
        <v>Sales Representative</v>
      </c>
      <c r="H541">
        <f>Table1[[#This Row],[JobSatisfaction]]</f>
        <v>2</v>
      </c>
      <c r="I541">
        <f>Table1[[#This Row],[YearsAtCompany]]</f>
        <v>2</v>
      </c>
      <c r="J541">
        <f>Table1[[#This Row],[YearsSinceLastPromotion]]</f>
        <v>2</v>
      </c>
      <c r="K541">
        <f>Table1[[#This Row],[EmployeeNumber]]</f>
        <v>738</v>
      </c>
      <c r="L541">
        <f>Table1[[#This Row],[DistanceFromHome]]</f>
        <v>8</v>
      </c>
      <c r="M541" t="str">
        <f>Table1[[#This Row],[OverTime]]</f>
        <v>No</v>
      </c>
      <c r="N541">
        <f>Table1[[#This Row],[WorkLifeBalance]]</f>
        <v>3</v>
      </c>
      <c r="O541" t="str" cm="1">
        <f t="array" ref="O541">_xlfn.IFS(A541&lt;=30,"18-30",A541&lt;=40,"31-40",A541&lt;=50,"41-50",A541&gt;50,"51+")</f>
        <v>41-50</v>
      </c>
      <c r="P541" t="str" cm="1">
        <f t="array" ref="P541">_xlfn.IFS(F541&lt;=45,"45 or below",F541&lt;= 60,"46-60",F541&lt;=75,"61-75",F541&lt;=90,"76-90",F541&gt;90,"91 or above")</f>
        <v>46-60</v>
      </c>
      <c r="Q5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41" t="str" cm="1">
        <f t="array" ref="R5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42" spans="1:18" hidden="1" x14ac:dyDescent="0.2">
      <c r="A542">
        <f>Table1[[#This Row],[Age]]</f>
        <v>28</v>
      </c>
      <c r="B542">
        <f>IF(Table3[[#This Row],[Attrition]] = "Yes", 1,0)</f>
        <v>1</v>
      </c>
      <c r="C542" t="str">
        <f>Table1[[#This Row],[Attrition]]</f>
        <v>Yes</v>
      </c>
      <c r="D542" t="str">
        <f>Table1[[#This Row],[Department]]</f>
        <v>Research &amp; Development</v>
      </c>
      <c r="E542">
        <f>Table1[[#This Row],[EnvironmentSatisfaction]]</f>
        <v>1</v>
      </c>
      <c r="F542">
        <f>Table1[[#This Row],[HourlyRate]]</f>
        <v>67</v>
      </c>
      <c r="G542" t="str">
        <f>Table1[[#This Row],[JobRole]]</f>
        <v>Research Scientist</v>
      </c>
      <c r="H542">
        <f>Table1[[#This Row],[JobSatisfaction]]</f>
        <v>2</v>
      </c>
      <c r="I542">
        <f>Table1[[#This Row],[YearsAtCompany]]</f>
        <v>7</v>
      </c>
      <c r="J542">
        <f>Table1[[#This Row],[YearsSinceLastPromotion]]</f>
        <v>3</v>
      </c>
      <c r="K542">
        <f>Table1[[#This Row],[EmployeeNumber]]</f>
        <v>741</v>
      </c>
      <c r="L542">
        <f>Table1[[#This Row],[DistanceFromHome]]</f>
        <v>1</v>
      </c>
      <c r="M542" t="str">
        <f>Table1[[#This Row],[OverTime]]</f>
        <v>Yes</v>
      </c>
      <c r="N542">
        <f>Table1[[#This Row],[WorkLifeBalance]]</f>
        <v>3</v>
      </c>
      <c r="O542" t="str" cm="1">
        <f t="array" ref="O542">_xlfn.IFS(A542&lt;=30,"18-30",A542&lt;=40,"31-40",A542&lt;=50,"41-50",A542&gt;50,"51+")</f>
        <v>18-30</v>
      </c>
      <c r="P542" t="str" cm="1">
        <f t="array" ref="P542">_xlfn.IFS(F542&lt;=45,"45 or below",F542&lt;= 60,"46-60",F542&lt;=75,"61-75",F542&lt;=90,"76-90",F542&gt;90,"91 or above")</f>
        <v>61-75</v>
      </c>
      <c r="Q54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42" t="str" cm="1">
        <f t="array" ref="R542" xml:space="preserve"> _xlfn.IFS(Table3[[#This Row],[Flight Risk Score]] = "NA","NA",Table3[[#This Row],[Flight Risk Score]] &gt;= 70,"High Risk",Table3[[#This Row],[Flight Risk Score]] &gt;= 50, "Medium Risk", Table3[[#This Row],[Flight Risk Score]] &gt;= 30,"Low Risk",Table3[[#This Row],[Flight Risk Score]] &lt; 30,"Very Low Risk")</f>
        <v>NA</v>
      </c>
    </row>
    <row r="543" spans="1:18" x14ac:dyDescent="0.2">
      <c r="A543">
        <f>Table1[[#This Row],[Age]]</f>
        <v>36</v>
      </c>
      <c r="B543">
        <f>IF(Table3[[#This Row],[Attrition]] = "Yes", 1,0)</f>
        <v>0</v>
      </c>
      <c r="C543" t="str">
        <f>Table1[[#This Row],[Attrition]]</f>
        <v>No</v>
      </c>
      <c r="D543" t="str">
        <f>Table1[[#This Row],[Department]]</f>
        <v>Research &amp; Development</v>
      </c>
      <c r="E543">
        <f>Table1[[#This Row],[EnvironmentSatisfaction]]</f>
        <v>1</v>
      </c>
      <c r="F543">
        <f>Table1[[#This Row],[HourlyRate]]</f>
        <v>63</v>
      </c>
      <c r="G543" t="str">
        <f>Table1[[#This Row],[JobRole]]</f>
        <v>Research Director</v>
      </c>
      <c r="H543">
        <f>Table1[[#This Row],[JobSatisfaction]]</f>
        <v>1</v>
      </c>
      <c r="I543">
        <f>Table1[[#This Row],[YearsAtCompany]]</f>
        <v>8</v>
      </c>
      <c r="J543">
        <f>Table1[[#This Row],[YearsSinceLastPromotion]]</f>
        <v>0</v>
      </c>
      <c r="K543">
        <f>Table1[[#This Row],[EmployeeNumber]]</f>
        <v>742</v>
      </c>
      <c r="L543">
        <f>Table1[[#This Row],[DistanceFromHome]]</f>
        <v>8</v>
      </c>
      <c r="M543" t="str">
        <f>Table1[[#This Row],[OverTime]]</f>
        <v>No</v>
      </c>
      <c r="N543">
        <f>Table1[[#This Row],[WorkLifeBalance]]</f>
        <v>3</v>
      </c>
      <c r="O543" t="str" cm="1">
        <f t="array" ref="O543">_xlfn.IFS(A543&lt;=30,"18-30",A543&lt;=40,"31-40",A543&lt;=50,"41-50",A543&gt;50,"51+")</f>
        <v>31-40</v>
      </c>
      <c r="P543" t="str" cm="1">
        <f t="array" ref="P543">_xlfn.IFS(F543&lt;=45,"45 or below",F543&lt;= 60,"46-60",F543&lt;=75,"61-75",F543&lt;=90,"76-90",F543&gt;90,"91 or above")</f>
        <v>61-75</v>
      </c>
      <c r="Q5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43" t="str" cm="1">
        <f t="array" ref="R543" xml:space="preserve"> _xlfn.IFS(Table3[[#This Row],[Flight Risk Score]] = "NA","NA",Table3[[#This Row],[Flight Risk Score]] &gt;= 70,"High Risk",Table3[[#This Row],[Flight Risk Score]] &gt;= 50, "Medium Risk", Table3[[#This Row],[Flight Risk Score]] &gt;= 30,"Low Risk",Table3[[#This Row],[Flight Risk Score]] &lt; 30,"Very Low Risk")</f>
        <v>Low Risk</v>
      </c>
    </row>
    <row r="544" spans="1:18" x14ac:dyDescent="0.2">
      <c r="A544">
        <f>Table1[[#This Row],[Age]]</f>
        <v>38</v>
      </c>
      <c r="B544">
        <f>IF(Table3[[#This Row],[Attrition]] = "Yes", 1,0)</f>
        <v>0</v>
      </c>
      <c r="C544" t="str">
        <f>Table1[[#This Row],[Attrition]]</f>
        <v>No</v>
      </c>
      <c r="D544" t="str">
        <f>Table1[[#This Row],[Department]]</f>
        <v>Research &amp; Development</v>
      </c>
      <c r="E544">
        <f>Table1[[#This Row],[EnvironmentSatisfaction]]</f>
        <v>3</v>
      </c>
      <c r="F544">
        <f>Table1[[#This Row],[HourlyRate]]</f>
        <v>81</v>
      </c>
      <c r="G544" t="str">
        <f>Table1[[#This Row],[JobRole]]</f>
        <v>Manufacturing Director</v>
      </c>
      <c r="H544">
        <f>Table1[[#This Row],[JobSatisfaction]]</f>
        <v>3</v>
      </c>
      <c r="I544">
        <f>Table1[[#This Row],[YearsAtCompany]]</f>
        <v>1</v>
      </c>
      <c r="J544">
        <f>Table1[[#This Row],[YearsSinceLastPromotion]]</f>
        <v>0</v>
      </c>
      <c r="K544">
        <f>Table1[[#This Row],[EmployeeNumber]]</f>
        <v>743</v>
      </c>
      <c r="L544">
        <f>Table1[[#This Row],[DistanceFromHome]]</f>
        <v>1</v>
      </c>
      <c r="M544" t="str">
        <f>Table1[[#This Row],[OverTime]]</f>
        <v>Yes</v>
      </c>
      <c r="N544">
        <f>Table1[[#This Row],[WorkLifeBalance]]</f>
        <v>4</v>
      </c>
      <c r="O544" t="str" cm="1">
        <f t="array" ref="O544">_xlfn.IFS(A544&lt;=30,"18-30",A544&lt;=40,"31-40",A544&lt;=50,"41-50",A544&gt;50,"51+")</f>
        <v>31-40</v>
      </c>
      <c r="P544" t="str" cm="1">
        <f t="array" ref="P544">_xlfn.IFS(F544&lt;=45,"45 or below",F544&lt;= 60,"46-60",F544&lt;=75,"61-75",F544&lt;=90,"76-90",F544&gt;90,"91 or above")</f>
        <v>76-90</v>
      </c>
      <c r="Q5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44" t="str" cm="1">
        <f t="array" ref="R544" xml:space="preserve"> _xlfn.IFS(Table3[[#This Row],[Flight Risk Score]] = "NA","NA",Table3[[#This Row],[Flight Risk Score]] &gt;= 70,"High Risk",Table3[[#This Row],[Flight Risk Score]] &gt;= 50, "Medium Risk", Table3[[#This Row],[Flight Risk Score]] &gt;= 30,"Low Risk",Table3[[#This Row],[Flight Risk Score]] &lt; 30,"Very Low Risk")</f>
        <v>Low Risk</v>
      </c>
    </row>
    <row r="545" spans="1:18" x14ac:dyDescent="0.2">
      <c r="A545">
        <f>Table1[[#This Row],[Age]]</f>
        <v>44</v>
      </c>
      <c r="B545">
        <f>IF(Table3[[#This Row],[Attrition]] = "Yes", 1,0)</f>
        <v>0</v>
      </c>
      <c r="C545" t="str">
        <f>Table1[[#This Row],[Attrition]]</f>
        <v>No</v>
      </c>
      <c r="D545" t="str">
        <f>Table1[[#This Row],[Department]]</f>
        <v>Research &amp; Development</v>
      </c>
      <c r="E545">
        <f>Table1[[#This Row],[EnvironmentSatisfaction]]</f>
        <v>1</v>
      </c>
      <c r="F545">
        <f>Table1[[#This Row],[HourlyRate]]</f>
        <v>49</v>
      </c>
      <c r="G545" t="str">
        <f>Table1[[#This Row],[JobRole]]</f>
        <v>Laboratory Technician</v>
      </c>
      <c r="H545">
        <f>Table1[[#This Row],[JobSatisfaction]]</f>
        <v>3</v>
      </c>
      <c r="I545">
        <f>Table1[[#This Row],[YearsAtCompany]]</f>
        <v>5</v>
      </c>
      <c r="J545">
        <f>Table1[[#This Row],[YearsSinceLastPromotion]]</f>
        <v>1</v>
      </c>
      <c r="K545">
        <f>Table1[[#This Row],[EmployeeNumber]]</f>
        <v>744</v>
      </c>
      <c r="L545">
        <f>Table1[[#This Row],[DistanceFromHome]]</f>
        <v>24</v>
      </c>
      <c r="M545" t="str">
        <f>Table1[[#This Row],[OverTime]]</f>
        <v>No</v>
      </c>
      <c r="N545">
        <f>Table1[[#This Row],[WorkLifeBalance]]</f>
        <v>3</v>
      </c>
      <c r="O545" t="str" cm="1">
        <f t="array" ref="O545">_xlfn.IFS(A545&lt;=30,"18-30",A545&lt;=40,"31-40",A545&lt;=50,"41-50",A545&gt;50,"51+")</f>
        <v>41-50</v>
      </c>
      <c r="P545" t="str" cm="1">
        <f t="array" ref="P545">_xlfn.IFS(F545&lt;=45,"45 or below",F545&lt;= 60,"46-60",F545&lt;=75,"61-75",F545&lt;=90,"76-90",F545&gt;90,"91 or above")</f>
        <v>46-60</v>
      </c>
      <c r="Q5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45" t="str" cm="1">
        <f t="array" ref="R5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46" spans="1:18" x14ac:dyDescent="0.2">
      <c r="A546">
        <f>Table1[[#This Row],[Age]]</f>
        <v>47</v>
      </c>
      <c r="B546">
        <f>IF(Table3[[#This Row],[Attrition]] = "Yes", 1,0)</f>
        <v>0</v>
      </c>
      <c r="C546" t="str">
        <f>Table1[[#This Row],[Attrition]]</f>
        <v>No</v>
      </c>
      <c r="D546" t="str">
        <f>Table1[[#This Row],[Department]]</f>
        <v>Sales</v>
      </c>
      <c r="E546">
        <f>Table1[[#This Row],[EnvironmentSatisfaction]]</f>
        <v>4</v>
      </c>
      <c r="F546">
        <f>Table1[[#This Row],[HourlyRate]]</f>
        <v>49</v>
      </c>
      <c r="G546" t="str">
        <f>Table1[[#This Row],[JobRole]]</f>
        <v>Sales Executive</v>
      </c>
      <c r="H546">
        <f>Table1[[#This Row],[JobSatisfaction]]</f>
        <v>3</v>
      </c>
      <c r="I546">
        <f>Table1[[#This Row],[YearsAtCompany]]</f>
        <v>22</v>
      </c>
      <c r="J546">
        <f>Table1[[#This Row],[YearsSinceLastPromotion]]</f>
        <v>11</v>
      </c>
      <c r="K546">
        <f>Table1[[#This Row],[EmployeeNumber]]</f>
        <v>746</v>
      </c>
      <c r="L546">
        <f>Table1[[#This Row],[DistanceFromHome]]</f>
        <v>3</v>
      </c>
      <c r="M546" t="str">
        <f>Table1[[#This Row],[OverTime]]</f>
        <v>Yes</v>
      </c>
      <c r="N546">
        <f>Table1[[#This Row],[WorkLifeBalance]]</f>
        <v>2</v>
      </c>
      <c r="O546" t="str" cm="1">
        <f t="array" ref="O546">_xlfn.IFS(A546&lt;=30,"18-30",A546&lt;=40,"31-40",A546&lt;=50,"41-50",A546&gt;50,"51+")</f>
        <v>41-50</v>
      </c>
      <c r="P546" t="str" cm="1">
        <f t="array" ref="P546">_xlfn.IFS(F546&lt;=45,"45 or below",F546&lt;= 60,"46-60",F546&lt;=75,"61-75",F546&lt;=90,"76-90",F546&gt;90,"91 or above")</f>
        <v>46-60</v>
      </c>
      <c r="Q5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46" t="str" cm="1">
        <f t="array" ref="R546" xml:space="preserve"> _xlfn.IFS(Table3[[#This Row],[Flight Risk Score]] = "NA","NA",Table3[[#This Row],[Flight Risk Score]] &gt;= 70,"High Risk",Table3[[#This Row],[Flight Risk Score]] &gt;= 50, "Medium Risk", Table3[[#This Row],[Flight Risk Score]] &gt;= 30,"Low Risk",Table3[[#This Row],[Flight Risk Score]] &lt; 30,"Very Low Risk")</f>
        <v>Low Risk</v>
      </c>
    </row>
    <row r="547" spans="1:18" x14ac:dyDescent="0.2">
      <c r="A547">
        <f>Table1[[#This Row],[Age]]</f>
        <v>30</v>
      </c>
      <c r="B547">
        <f>IF(Table3[[#This Row],[Attrition]] = "Yes", 1,0)</f>
        <v>0</v>
      </c>
      <c r="C547" t="str">
        <f>Table1[[#This Row],[Attrition]]</f>
        <v>No</v>
      </c>
      <c r="D547" t="str">
        <f>Table1[[#This Row],[Department]]</f>
        <v>Sales</v>
      </c>
      <c r="E547">
        <f>Table1[[#This Row],[EnvironmentSatisfaction]]</f>
        <v>3</v>
      </c>
      <c r="F547">
        <f>Table1[[#This Row],[HourlyRate]]</f>
        <v>99</v>
      </c>
      <c r="G547" t="str">
        <f>Table1[[#This Row],[JobRole]]</f>
        <v>Sales Executive</v>
      </c>
      <c r="H547">
        <f>Table1[[#This Row],[JobSatisfaction]]</f>
        <v>4</v>
      </c>
      <c r="I547">
        <f>Table1[[#This Row],[YearsAtCompany]]</f>
        <v>8</v>
      </c>
      <c r="J547">
        <f>Table1[[#This Row],[YearsSinceLastPromotion]]</f>
        <v>7</v>
      </c>
      <c r="K547">
        <f>Table1[[#This Row],[EmployeeNumber]]</f>
        <v>747</v>
      </c>
      <c r="L547">
        <f>Table1[[#This Row],[DistanceFromHome]]</f>
        <v>27</v>
      </c>
      <c r="M547" t="str">
        <f>Table1[[#This Row],[OverTime]]</f>
        <v>No</v>
      </c>
      <c r="N547">
        <f>Table1[[#This Row],[WorkLifeBalance]]</f>
        <v>2</v>
      </c>
      <c r="O547" t="str" cm="1">
        <f t="array" ref="O547">_xlfn.IFS(A547&lt;=30,"18-30",A547&lt;=40,"31-40",A547&lt;=50,"41-50",A547&gt;50,"51+")</f>
        <v>18-30</v>
      </c>
      <c r="P547" t="str" cm="1">
        <f t="array" ref="P547">_xlfn.IFS(F547&lt;=45,"45 or below",F547&lt;= 60,"46-60",F547&lt;=75,"61-75",F547&lt;=90,"76-90",F547&gt;90,"91 or above")</f>
        <v>91 or above</v>
      </c>
      <c r="Q5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47" t="str" cm="1">
        <f t="array" ref="R54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48" spans="1:18" x14ac:dyDescent="0.2">
      <c r="A548">
        <f>Table1[[#This Row],[Age]]</f>
        <v>29</v>
      </c>
      <c r="B548">
        <f>IF(Table3[[#This Row],[Attrition]] = "Yes", 1,0)</f>
        <v>0</v>
      </c>
      <c r="C548" t="str">
        <f>Table1[[#This Row],[Attrition]]</f>
        <v>No</v>
      </c>
      <c r="D548" t="str">
        <f>Table1[[#This Row],[Department]]</f>
        <v>Sales</v>
      </c>
      <c r="E548">
        <f>Table1[[#This Row],[EnvironmentSatisfaction]]</f>
        <v>3</v>
      </c>
      <c r="F548">
        <f>Table1[[#This Row],[HourlyRate]]</f>
        <v>99</v>
      </c>
      <c r="G548" t="str">
        <f>Table1[[#This Row],[JobRole]]</f>
        <v>Sales Representative</v>
      </c>
      <c r="H548">
        <f>Table1[[#This Row],[JobSatisfaction]]</f>
        <v>3</v>
      </c>
      <c r="I548">
        <f>Table1[[#This Row],[YearsAtCompany]]</f>
        <v>1</v>
      </c>
      <c r="J548">
        <f>Table1[[#This Row],[YearsSinceLastPromotion]]</f>
        <v>0</v>
      </c>
      <c r="K548">
        <f>Table1[[#This Row],[EmployeeNumber]]</f>
        <v>749</v>
      </c>
      <c r="L548">
        <f>Table1[[#This Row],[DistanceFromHome]]</f>
        <v>10</v>
      </c>
      <c r="M548" t="str">
        <f>Table1[[#This Row],[OverTime]]</f>
        <v>No</v>
      </c>
      <c r="N548">
        <f>Table1[[#This Row],[WorkLifeBalance]]</f>
        <v>3</v>
      </c>
      <c r="O548" t="str" cm="1">
        <f t="array" ref="O548">_xlfn.IFS(A548&lt;=30,"18-30",A548&lt;=40,"31-40",A548&lt;=50,"41-50",A548&gt;50,"51+")</f>
        <v>18-30</v>
      </c>
      <c r="P548" t="str" cm="1">
        <f t="array" ref="P548">_xlfn.IFS(F548&lt;=45,"45 or below",F548&lt;= 60,"46-60",F548&lt;=75,"61-75",F548&lt;=90,"76-90",F548&gt;90,"91 or above")</f>
        <v>91 or above</v>
      </c>
      <c r="Q5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48" t="str" cm="1">
        <f t="array" ref="R5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49" spans="1:18" hidden="1" x14ac:dyDescent="0.2">
      <c r="A549">
        <f>Table1[[#This Row],[Age]]</f>
        <v>42</v>
      </c>
      <c r="B549">
        <f>IF(Table3[[#This Row],[Attrition]] = "Yes", 1,0)</f>
        <v>1</v>
      </c>
      <c r="C549" t="str">
        <f>Table1[[#This Row],[Attrition]]</f>
        <v>Yes</v>
      </c>
      <c r="D549" t="str">
        <f>Table1[[#This Row],[Department]]</f>
        <v>Research &amp; Development</v>
      </c>
      <c r="E549">
        <f>Table1[[#This Row],[EnvironmentSatisfaction]]</f>
        <v>3</v>
      </c>
      <c r="F549">
        <f>Table1[[#This Row],[HourlyRate]]</f>
        <v>57</v>
      </c>
      <c r="G549" t="str">
        <f>Table1[[#This Row],[JobRole]]</f>
        <v>Research Scientist</v>
      </c>
      <c r="H549">
        <f>Table1[[#This Row],[JobSatisfaction]]</f>
        <v>3</v>
      </c>
      <c r="I549">
        <f>Table1[[#This Row],[YearsAtCompany]]</f>
        <v>2</v>
      </c>
      <c r="J549">
        <f>Table1[[#This Row],[YearsSinceLastPromotion]]</f>
        <v>2</v>
      </c>
      <c r="K549">
        <f>Table1[[#This Row],[EmployeeNumber]]</f>
        <v>752</v>
      </c>
      <c r="L549">
        <f>Table1[[#This Row],[DistanceFromHome]]</f>
        <v>19</v>
      </c>
      <c r="M549" t="str">
        <f>Table1[[#This Row],[OverTime]]</f>
        <v>Yes</v>
      </c>
      <c r="N549">
        <f>Table1[[#This Row],[WorkLifeBalance]]</f>
        <v>3</v>
      </c>
      <c r="O549" t="str" cm="1">
        <f t="array" ref="O549">_xlfn.IFS(A549&lt;=30,"18-30",A549&lt;=40,"31-40",A549&lt;=50,"41-50",A549&gt;50,"51+")</f>
        <v>41-50</v>
      </c>
      <c r="P549" t="str" cm="1">
        <f t="array" ref="P549">_xlfn.IFS(F549&lt;=45,"45 or below",F549&lt;= 60,"46-60",F549&lt;=75,"61-75",F549&lt;=90,"76-90",F549&gt;90,"91 or above")</f>
        <v>46-60</v>
      </c>
      <c r="Q54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49" t="str" cm="1">
        <f t="array" ref="R549" xml:space="preserve"> _xlfn.IFS(Table3[[#This Row],[Flight Risk Score]] = "NA","NA",Table3[[#This Row],[Flight Risk Score]] &gt;= 70,"High Risk",Table3[[#This Row],[Flight Risk Score]] &gt;= 50, "Medium Risk", Table3[[#This Row],[Flight Risk Score]] &gt;= 30,"Low Risk",Table3[[#This Row],[Flight Risk Score]] &lt; 30,"Very Low Risk")</f>
        <v>NA</v>
      </c>
    </row>
    <row r="550" spans="1:18" x14ac:dyDescent="0.2">
      <c r="A550">
        <f>Table1[[#This Row],[Age]]</f>
        <v>43</v>
      </c>
      <c r="B550">
        <f>IF(Table3[[#This Row],[Attrition]] = "Yes", 1,0)</f>
        <v>0</v>
      </c>
      <c r="C550" t="str">
        <f>Table1[[#This Row],[Attrition]]</f>
        <v>No</v>
      </c>
      <c r="D550" t="str">
        <f>Table1[[#This Row],[Department]]</f>
        <v>Sales</v>
      </c>
      <c r="E550">
        <f>Table1[[#This Row],[EnvironmentSatisfaction]]</f>
        <v>4</v>
      </c>
      <c r="F550">
        <f>Table1[[#This Row],[HourlyRate]]</f>
        <v>47</v>
      </c>
      <c r="G550" t="str">
        <f>Table1[[#This Row],[JobRole]]</f>
        <v>Sales Executive</v>
      </c>
      <c r="H550">
        <f>Table1[[#This Row],[JobSatisfaction]]</f>
        <v>4</v>
      </c>
      <c r="I550">
        <f>Table1[[#This Row],[YearsAtCompany]]</f>
        <v>2</v>
      </c>
      <c r="J550">
        <f>Table1[[#This Row],[YearsSinceLastPromotion]]</f>
        <v>2</v>
      </c>
      <c r="K550">
        <f>Table1[[#This Row],[EmployeeNumber]]</f>
        <v>754</v>
      </c>
      <c r="L550">
        <f>Table1[[#This Row],[DistanceFromHome]]</f>
        <v>15</v>
      </c>
      <c r="M550" t="str">
        <f>Table1[[#This Row],[OverTime]]</f>
        <v>No</v>
      </c>
      <c r="N550">
        <f>Table1[[#This Row],[WorkLifeBalance]]</f>
        <v>3</v>
      </c>
      <c r="O550" t="str" cm="1">
        <f t="array" ref="O550">_xlfn.IFS(A550&lt;=30,"18-30",A550&lt;=40,"31-40",A550&lt;=50,"41-50",A550&gt;50,"51+")</f>
        <v>41-50</v>
      </c>
      <c r="P550" t="str" cm="1">
        <f t="array" ref="P550">_xlfn.IFS(F550&lt;=45,"45 or below",F550&lt;= 60,"46-60",F550&lt;=75,"61-75",F550&lt;=90,"76-90",F550&gt;90,"91 or above")</f>
        <v>46-60</v>
      </c>
      <c r="Q5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50" t="str" cm="1">
        <f t="array" ref="R5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51" spans="1:18" x14ac:dyDescent="0.2">
      <c r="A551">
        <f>Table1[[#This Row],[Age]]</f>
        <v>34</v>
      </c>
      <c r="B551">
        <f>IF(Table3[[#This Row],[Attrition]] = "Yes", 1,0)</f>
        <v>0</v>
      </c>
      <c r="C551" t="str">
        <f>Table1[[#This Row],[Attrition]]</f>
        <v>No</v>
      </c>
      <c r="D551" t="str">
        <f>Table1[[#This Row],[Department]]</f>
        <v>Research &amp; Development</v>
      </c>
      <c r="E551">
        <f>Table1[[#This Row],[EnvironmentSatisfaction]]</f>
        <v>2</v>
      </c>
      <c r="F551">
        <f>Table1[[#This Row],[HourlyRate]]</f>
        <v>96</v>
      </c>
      <c r="G551" t="str">
        <f>Table1[[#This Row],[JobRole]]</f>
        <v>Healthcare Representative</v>
      </c>
      <c r="H551">
        <f>Table1[[#This Row],[JobSatisfaction]]</f>
        <v>3</v>
      </c>
      <c r="I551">
        <f>Table1[[#This Row],[YearsAtCompany]]</f>
        <v>5</v>
      </c>
      <c r="J551">
        <f>Table1[[#This Row],[YearsSinceLastPromotion]]</f>
        <v>4</v>
      </c>
      <c r="K551">
        <f>Table1[[#This Row],[EmployeeNumber]]</f>
        <v>757</v>
      </c>
      <c r="L551">
        <f>Table1[[#This Row],[DistanceFromHome]]</f>
        <v>8</v>
      </c>
      <c r="M551" t="str">
        <f>Table1[[#This Row],[OverTime]]</f>
        <v>No</v>
      </c>
      <c r="N551">
        <f>Table1[[#This Row],[WorkLifeBalance]]</f>
        <v>3</v>
      </c>
      <c r="O551" t="str" cm="1">
        <f t="array" ref="O551">_xlfn.IFS(A551&lt;=30,"18-30",A551&lt;=40,"31-40",A551&lt;=50,"41-50",A551&gt;50,"51+")</f>
        <v>31-40</v>
      </c>
      <c r="P551" t="str" cm="1">
        <f t="array" ref="P551">_xlfn.IFS(F551&lt;=45,"45 or below",F551&lt;= 60,"46-60",F551&lt;=75,"61-75",F551&lt;=90,"76-90",F551&gt;90,"91 or above")</f>
        <v>91 or above</v>
      </c>
      <c r="Q5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51" t="str" cm="1">
        <f t="array" ref="R5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52" spans="1:18" x14ac:dyDescent="0.2">
      <c r="A552">
        <f>Table1[[#This Row],[Age]]</f>
        <v>23</v>
      </c>
      <c r="B552">
        <f>IF(Table3[[#This Row],[Attrition]] = "Yes", 1,0)</f>
        <v>0</v>
      </c>
      <c r="C552" t="str">
        <f>Table1[[#This Row],[Attrition]]</f>
        <v>No</v>
      </c>
      <c r="D552" t="str">
        <f>Table1[[#This Row],[Department]]</f>
        <v>Research &amp; Development</v>
      </c>
      <c r="E552">
        <f>Table1[[#This Row],[EnvironmentSatisfaction]]</f>
        <v>2</v>
      </c>
      <c r="F552">
        <f>Table1[[#This Row],[HourlyRate]]</f>
        <v>37</v>
      </c>
      <c r="G552" t="str">
        <f>Table1[[#This Row],[JobRole]]</f>
        <v>Laboratory Technician</v>
      </c>
      <c r="H552">
        <f>Table1[[#This Row],[JobSatisfaction]]</f>
        <v>1</v>
      </c>
      <c r="I552">
        <f>Table1[[#This Row],[YearsAtCompany]]</f>
        <v>4</v>
      </c>
      <c r="J552">
        <f>Table1[[#This Row],[YearsSinceLastPromotion]]</f>
        <v>0</v>
      </c>
      <c r="K552">
        <f>Table1[[#This Row],[EmployeeNumber]]</f>
        <v>758</v>
      </c>
      <c r="L552">
        <f>Table1[[#This Row],[DistanceFromHome]]</f>
        <v>9</v>
      </c>
      <c r="M552" t="str">
        <f>Table1[[#This Row],[OverTime]]</f>
        <v>No</v>
      </c>
      <c r="N552">
        <f>Table1[[#This Row],[WorkLifeBalance]]</f>
        <v>4</v>
      </c>
      <c r="O552" t="str" cm="1">
        <f t="array" ref="O552">_xlfn.IFS(A552&lt;=30,"18-30",A552&lt;=40,"31-40",A552&lt;=50,"41-50",A552&gt;50,"51+")</f>
        <v>18-30</v>
      </c>
      <c r="P552" t="str" cm="1">
        <f t="array" ref="P552">_xlfn.IFS(F552&lt;=45,"45 or below",F552&lt;= 60,"46-60",F552&lt;=75,"61-75",F552&lt;=90,"76-90",F552&gt;90,"91 or above")</f>
        <v>45 or below</v>
      </c>
      <c r="Q5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52" t="str" cm="1">
        <f t="array" ref="R5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553" spans="1:18" x14ac:dyDescent="0.2">
      <c r="A553">
        <f>Table1[[#This Row],[Age]]</f>
        <v>39</v>
      </c>
      <c r="B553">
        <f>IF(Table3[[#This Row],[Attrition]] = "Yes", 1,0)</f>
        <v>0</v>
      </c>
      <c r="C553" t="str">
        <f>Table1[[#This Row],[Attrition]]</f>
        <v>No</v>
      </c>
      <c r="D553" t="str">
        <f>Table1[[#This Row],[Department]]</f>
        <v>Human Resources</v>
      </c>
      <c r="E553">
        <f>Table1[[#This Row],[EnvironmentSatisfaction]]</f>
        <v>3</v>
      </c>
      <c r="F553">
        <f>Table1[[#This Row],[HourlyRate]]</f>
        <v>44</v>
      </c>
      <c r="G553" t="str">
        <f>Table1[[#This Row],[JobRole]]</f>
        <v>Human Resources</v>
      </c>
      <c r="H553">
        <f>Table1[[#This Row],[JobSatisfaction]]</f>
        <v>2</v>
      </c>
      <c r="I553">
        <f>Table1[[#This Row],[YearsAtCompany]]</f>
        <v>8</v>
      </c>
      <c r="J553">
        <f>Table1[[#This Row],[YearsSinceLastPromotion]]</f>
        <v>3</v>
      </c>
      <c r="K553">
        <f>Table1[[#This Row],[EmployeeNumber]]</f>
        <v>760</v>
      </c>
      <c r="L553">
        <f>Table1[[#This Row],[DistanceFromHome]]</f>
        <v>3</v>
      </c>
      <c r="M553" t="str">
        <f>Table1[[#This Row],[OverTime]]</f>
        <v>No</v>
      </c>
      <c r="N553">
        <f>Table1[[#This Row],[WorkLifeBalance]]</f>
        <v>1</v>
      </c>
      <c r="O553" t="str" cm="1">
        <f t="array" ref="O553">_xlfn.IFS(A553&lt;=30,"18-30",A553&lt;=40,"31-40",A553&lt;=50,"41-50",A553&gt;50,"51+")</f>
        <v>31-40</v>
      </c>
      <c r="P553" t="str" cm="1">
        <f t="array" ref="P553">_xlfn.IFS(F553&lt;=45,"45 or below",F553&lt;= 60,"46-60",F553&lt;=75,"61-75",F553&lt;=90,"76-90",F553&gt;90,"91 or above")</f>
        <v>45 or below</v>
      </c>
      <c r="Q5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53" t="str" cm="1">
        <f t="array" ref="R55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54" spans="1:18" x14ac:dyDescent="0.2">
      <c r="A554">
        <f>Table1[[#This Row],[Age]]</f>
        <v>56</v>
      </c>
      <c r="B554">
        <f>IF(Table3[[#This Row],[Attrition]] = "Yes", 1,0)</f>
        <v>0</v>
      </c>
      <c r="C554" t="str">
        <f>Table1[[#This Row],[Attrition]]</f>
        <v>No</v>
      </c>
      <c r="D554" t="str">
        <f>Table1[[#This Row],[Department]]</f>
        <v>Research &amp; Development</v>
      </c>
      <c r="E554">
        <f>Table1[[#This Row],[EnvironmentSatisfaction]]</f>
        <v>3</v>
      </c>
      <c r="F554">
        <f>Table1[[#This Row],[HourlyRate]]</f>
        <v>81</v>
      </c>
      <c r="G554" t="str">
        <f>Table1[[#This Row],[JobRole]]</f>
        <v>Healthcare Representative</v>
      </c>
      <c r="H554">
        <f>Table1[[#This Row],[JobSatisfaction]]</f>
        <v>4</v>
      </c>
      <c r="I554">
        <f>Table1[[#This Row],[YearsAtCompany]]</f>
        <v>10</v>
      </c>
      <c r="J554">
        <f>Table1[[#This Row],[YearsSinceLastPromotion]]</f>
        <v>1</v>
      </c>
      <c r="K554">
        <f>Table1[[#This Row],[EmployeeNumber]]</f>
        <v>762</v>
      </c>
      <c r="L554">
        <f>Table1[[#This Row],[DistanceFromHome]]</f>
        <v>9</v>
      </c>
      <c r="M554" t="str">
        <f>Table1[[#This Row],[OverTime]]</f>
        <v>No</v>
      </c>
      <c r="N554">
        <f>Table1[[#This Row],[WorkLifeBalance]]</f>
        <v>2</v>
      </c>
      <c r="O554" t="str" cm="1">
        <f t="array" ref="O554">_xlfn.IFS(A554&lt;=30,"18-30",A554&lt;=40,"31-40",A554&lt;=50,"41-50",A554&gt;50,"51+")</f>
        <v>51+</v>
      </c>
      <c r="P554" t="str" cm="1">
        <f t="array" ref="P554">_xlfn.IFS(F554&lt;=45,"45 or below",F554&lt;= 60,"46-60",F554&lt;=75,"61-75",F554&lt;=90,"76-90",F554&gt;90,"91 or above")</f>
        <v>76-90</v>
      </c>
      <c r="Q5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54" t="str" cm="1">
        <f t="array" ref="R55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55" spans="1:18" x14ac:dyDescent="0.2">
      <c r="A555">
        <f>Table1[[#This Row],[Age]]</f>
        <v>40</v>
      </c>
      <c r="B555">
        <f>IF(Table3[[#This Row],[Attrition]] = "Yes", 1,0)</f>
        <v>0</v>
      </c>
      <c r="C555" t="str">
        <f>Table1[[#This Row],[Attrition]]</f>
        <v>No</v>
      </c>
      <c r="D555" t="str">
        <f>Table1[[#This Row],[Department]]</f>
        <v>Research &amp; Development</v>
      </c>
      <c r="E555">
        <f>Table1[[#This Row],[EnvironmentSatisfaction]]</f>
        <v>4</v>
      </c>
      <c r="F555">
        <f>Table1[[#This Row],[HourlyRate]]</f>
        <v>86</v>
      </c>
      <c r="G555" t="str">
        <f>Table1[[#This Row],[JobRole]]</f>
        <v>Research Scientist</v>
      </c>
      <c r="H555">
        <f>Table1[[#This Row],[JobSatisfaction]]</f>
        <v>4</v>
      </c>
      <c r="I555">
        <f>Table1[[#This Row],[YearsAtCompany]]</f>
        <v>4</v>
      </c>
      <c r="J555">
        <f>Table1[[#This Row],[YearsSinceLastPromotion]]</f>
        <v>2</v>
      </c>
      <c r="K555">
        <f>Table1[[#This Row],[EmployeeNumber]]</f>
        <v>763</v>
      </c>
      <c r="L555">
        <f>Table1[[#This Row],[DistanceFromHome]]</f>
        <v>2</v>
      </c>
      <c r="M555" t="str">
        <f>Table1[[#This Row],[OverTime]]</f>
        <v>Yes</v>
      </c>
      <c r="N555">
        <f>Table1[[#This Row],[WorkLifeBalance]]</f>
        <v>2</v>
      </c>
      <c r="O555" t="str" cm="1">
        <f t="array" ref="O555">_xlfn.IFS(A555&lt;=30,"18-30",A555&lt;=40,"31-40",A555&lt;=50,"41-50",A555&gt;50,"51+")</f>
        <v>31-40</v>
      </c>
      <c r="P555" t="str" cm="1">
        <f t="array" ref="P555">_xlfn.IFS(F555&lt;=45,"45 or below",F555&lt;= 60,"46-60",F555&lt;=75,"61-75",F555&lt;=90,"76-90",F555&gt;90,"91 or above")</f>
        <v>76-90</v>
      </c>
      <c r="Q5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55" t="str" cm="1">
        <f t="array" ref="R555" xml:space="preserve"> _xlfn.IFS(Table3[[#This Row],[Flight Risk Score]] = "NA","NA",Table3[[#This Row],[Flight Risk Score]] &gt;= 70,"High Risk",Table3[[#This Row],[Flight Risk Score]] &gt;= 50, "Medium Risk", Table3[[#This Row],[Flight Risk Score]] &gt;= 30,"Low Risk",Table3[[#This Row],[Flight Risk Score]] &lt; 30,"Very Low Risk")</f>
        <v>Low Risk</v>
      </c>
    </row>
    <row r="556" spans="1:18" x14ac:dyDescent="0.2">
      <c r="A556">
        <f>Table1[[#This Row],[Age]]</f>
        <v>27</v>
      </c>
      <c r="B556">
        <f>IF(Table3[[#This Row],[Attrition]] = "Yes", 1,0)</f>
        <v>0</v>
      </c>
      <c r="C556" t="str">
        <f>Table1[[#This Row],[Attrition]]</f>
        <v>No</v>
      </c>
      <c r="D556" t="str">
        <f>Table1[[#This Row],[Department]]</f>
        <v>Research &amp; Development</v>
      </c>
      <c r="E556">
        <f>Table1[[#This Row],[EnvironmentSatisfaction]]</f>
        <v>4</v>
      </c>
      <c r="F556">
        <f>Table1[[#This Row],[HourlyRate]]</f>
        <v>55</v>
      </c>
      <c r="G556" t="str">
        <f>Table1[[#This Row],[JobRole]]</f>
        <v>Healthcare Representative</v>
      </c>
      <c r="H556">
        <f>Table1[[#This Row],[JobSatisfaction]]</f>
        <v>1</v>
      </c>
      <c r="I556">
        <f>Table1[[#This Row],[YearsAtCompany]]</f>
        <v>7</v>
      </c>
      <c r="J556">
        <f>Table1[[#This Row],[YearsSinceLastPromotion]]</f>
        <v>0</v>
      </c>
      <c r="K556">
        <f>Table1[[#This Row],[EmployeeNumber]]</f>
        <v>764</v>
      </c>
      <c r="L556">
        <f>Table1[[#This Row],[DistanceFromHome]]</f>
        <v>7</v>
      </c>
      <c r="M556" t="str">
        <f>Table1[[#This Row],[OverTime]]</f>
        <v>No</v>
      </c>
      <c r="N556">
        <f>Table1[[#This Row],[WorkLifeBalance]]</f>
        <v>1</v>
      </c>
      <c r="O556" t="str" cm="1">
        <f t="array" ref="O556">_xlfn.IFS(A556&lt;=30,"18-30",A556&lt;=40,"31-40",A556&lt;=50,"41-50",A556&gt;50,"51+")</f>
        <v>18-30</v>
      </c>
      <c r="P556" t="str" cm="1">
        <f t="array" ref="P556">_xlfn.IFS(F556&lt;=45,"45 or below",F556&lt;= 60,"46-60",F556&lt;=75,"61-75",F556&lt;=90,"76-90",F556&gt;90,"91 or above")</f>
        <v>46-60</v>
      </c>
      <c r="Q5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56" t="str" cm="1">
        <f t="array" ref="R55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57" spans="1:18" x14ac:dyDescent="0.2">
      <c r="A557">
        <f>Table1[[#This Row],[Age]]</f>
        <v>29</v>
      </c>
      <c r="B557">
        <f>IF(Table3[[#This Row],[Attrition]] = "Yes", 1,0)</f>
        <v>0</v>
      </c>
      <c r="C557" t="str">
        <f>Table1[[#This Row],[Attrition]]</f>
        <v>No</v>
      </c>
      <c r="D557" t="str">
        <f>Table1[[#This Row],[Department]]</f>
        <v>Sales</v>
      </c>
      <c r="E557">
        <f>Table1[[#This Row],[EnvironmentSatisfaction]]</f>
        <v>4</v>
      </c>
      <c r="F557">
        <f>Table1[[#This Row],[HourlyRate]]</f>
        <v>83</v>
      </c>
      <c r="G557" t="str">
        <f>Table1[[#This Row],[JobRole]]</f>
        <v>Sales Representative</v>
      </c>
      <c r="H557">
        <f>Table1[[#This Row],[JobSatisfaction]]</f>
        <v>2</v>
      </c>
      <c r="I557">
        <f>Table1[[#This Row],[YearsAtCompany]]</f>
        <v>2</v>
      </c>
      <c r="J557">
        <f>Table1[[#This Row],[YearsSinceLastPromotion]]</f>
        <v>2</v>
      </c>
      <c r="K557">
        <f>Table1[[#This Row],[EmployeeNumber]]</f>
        <v>766</v>
      </c>
      <c r="L557">
        <f>Table1[[#This Row],[DistanceFromHome]]</f>
        <v>10</v>
      </c>
      <c r="M557" t="str">
        <f>Table1[[#This Row],[OverTime]]</f>
        <v>No</v>
      </c>
      <c r="N557">
        <f>Table1[[#This Row],[WorkLifeBalance]]</f>
        <v>3</v>
      </c>
      <c r="O557" t="str" cm="1">
        <f t="array" ref="O557">_xlfn.IFS(A557&lt;=30,"18-30",A557&lt;=40,"31-40",A557&lt;=50,"41-50",A557&gt;50,"51+")</f>
        <v>18-30</v>
      </c>
      <c r="P557" t="str" cm="1">
        <f t="array" ref="P557">_xlfn.IFS(F557&lt;=45,"45 or below",F557&lt;= 60,"46-60",F557&lt;=75,"61-75",F557&lt;=90,"76-90",F557&gt;90,"91 or above")</f>
        <v>76-90</v>
      </c>
      <c r="Q5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57" t="str" cm="1">
        <f t="array" ref="R5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58" spans="1:18" x14ac:dyDescent="0.2">
      <c r="A558">
        <f>Table1[[#This Row],[Age]]</f>
        <v>53</v>
      </c>
      <c r="B558">
        <f>IF(Table3[[#This Row],[Attrition]] = "Yes", 1,0)</f>
        <v>0</v>
      </c>
      <c r="C558" t="str">
        <f>Table1[[#This Row],[Attrition]]</f>
        <v>No</v>
      </c>
      <c r="D558" t="str">
        <f>Table1[[#This Row],[Department]]</f>
        <v>Research &amp; Development</v>
      </c>
      <c r="E558">
        <f>Table1[[#This Row],[EnvironmentSatisfaction]]</f>
        <v>4</v>
      </c>
      <c r="F558">
        <f>Table1[[#This Row],[HourlyRate]]</f>
        <v>86</v>
      </c>
      <c r="G558" t="str">
        <f>Table1[[#This Row],[JobRole]]</f>
        <v>Laboratory Technician</v>
      </c>
      <c r="H558">
        <f>Table1[[#This Row],[JobSatisfaction]]</f>
        <v>4</v>
      </c>
      <c r="I558">
        <f>Table1[[#This Row],[YearsAtCompany]]</f>
        <v>2</v>
      </c>
      <c r="J558">
        <f>Table1[[#This Row],[YearsSinceLastPromotion]]</f>
        <v>2</v>
      </c>
      <c r="K558">
        <f>Table1[[#This Row],[EmployeeNumber]]</f>
        <v>769</v>
      </c>
      <c r="L558">
        <f>Table1[[#This Row],[DistanceFromHome]]</f>
        <v>6</v>
      </c>
      <c r="M558" t="str">
        <f>Table1[[#This Row],[OverTime]]</f>
        <v>No</v>
      </c>
      <c r="N558">
        <f>Table1[[#This Row],[WorkLifeBalance]]</f>
        <v>3</v>
      </c>
      <c r="O558" t="str" cm="1">
        <f t="array" ref="O558">_xlfn.IFS(A558&lt;=30,"18-30",A558&lt;=40,"31-40",A558&lt;=50,"41-50",A558&gt;50,"51+")</f>
        <v>51+</v>
      </c>
      <c r="P558" t="str" cm="1">
        <f t="array" ref="P558">_xlfn.IFS(F558&lt;=45,"45 or below",F558&lt;= 60,"46-60",F558&lt;=75,"61-75",F558&lt;=90,"76-90",F558&gt;90,"91 or above")</f>
        <v>76-90</v>
      </c>
      <c r="Q5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58" t="str" cm="1">
        <f t="array" ref="R5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59" spans="1:18" x14ac:dyDescent="0.2">
      <c r="A559">
        <f>Table1[[#This Row],[Age]]</f>
        <v>35</v>
      </c>
      <c r="B559">
        <f>IF(Table3[[#This Row],[Attrition]] = "Yes", 1,0)</f>
        <v>0</v>
      </c>
      <c r="C559" t="str">
        <f>Table1[[#This Row],[Attrition]]</f>
        <v>No</v>
      </c>
      <c r="D559" t="str">
        <f>Table1[[#This Row],[Department]]</f>
        <v>Research &amp; Development</v>
      </c>
      <c r="E559">
        <f>Table1[[#This Row],[EnvironmentSatisfaction]]</f>
        <v>4</v>
      </c>
      <c r="F559">
        <f>Table1[[#This Row],[HourlyRate]]</f>
        <v>61</v>
      </c>
      <c r="G559" t="str">
        <f>Table1[[#This Row],[JobRole]]</f>
        <v>Healthcare Representative</v>
      </c>
      <c r="H559">
        <f>Table1[[#This Row],[JobSatisfaction]]</f>
        <v>1</v>
      </c>
      <c r="I559">
        <f>Table1[[#This Row],[YearsAtCompany]]</f>
        <v>1</v>
      </c>
      <c r="J559">
        <f>Table1[[#This Row],[YearsSinceLastPromotion]]</f>
        <v>0</v>
      </c>
      <c r="K559">
        <f>Table1[[#This Row],[EmployeeNumber]]</f>
        <v>771</v>
      </c>
      <c r="L559">
        <f>Table1[[#This Row],[DistanceFromHome]]</f>
        <v>2</v>
      </c>
      <c r="M559" t="str">
        <f>Table1[[#This Row],[OverTime]]</f>
        <v>No</v>
      </c>
      <c r="N559">
        <f>Table1[[#This Row],[WorkLifeBalance]]</f>
        <v>4</v>
      </c>
      <c r="O559" t="str" cm="1">
        <f t="array" ref="O559">_xlfn.IFS(A559&lt;=30,"18-30",A559&lt;=40,"31-40",A559&lt;=50,"41-50",A559&gt;50,"51+")</f>
        <v>31-40</v>
      </c>
      <c r="P559" t="str" cm="1">
        <f t="array" ref="P559">_xlfn.IFS(F559&lt;=45,"45 or below",F559&lt;= 60,"46-60",F559&lt;=75,"61-75",F559&lt;=90,"76-90",F559&gt;90,"91 or above")</f>
        <v>61-75</v>
      </c>
      <c r="Q5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59" t="str" cm="1">
        <f t="array" ref="R5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60" spans="1:18" x14ac:dyDescent="0.2">
      <c r="A560">
        <f>Table1[[#This Row],[Age]]</f>
        <v>32</v>
      </c>
      <c r="B560">
        <f>IF(Table3[[#This Row],[Attrition]] = "Yes", 1,0)</f>
        <v>0</v>
      </c>
      <c r="C560" t="str">
        <f>Table1[[#This Row],[Attrition]]</f>
        <v>No</v>
      </c>
      <c r="D560" t="str">
        <f>Table1[[#This Row],[Department]]</f>
        <v>Research &amp; Development</v>
      </c>
      <c r="E560">
        <f>Table1[[#This Row],[EnvironmentSatisfaction]]</f>
        <v>1</v>
      </c>
      <c r="F560">
        <f>Table1[[#This Row],[HourlyRate]]</f>
        <v>80</v>
      </c>
      <c r="G560" t="str">
        <f>Table1[[#This Row],[JobRole]]</f>
        <v>Laboratory Technician</v>
      </c>
      <c r="H560">
        <f>Table1[[#This Row],[JobSatisfaction]]</f>
        <v>4</v>
      </c>
      <c r="I560">
        <f>Table1[[#This Row],[YearsAtCompany]]</f>
        <v>10</v>
      </c>
      <c r="J560">
        <f>Table1[[#This Row],[YearsSinceLastPromotion]]</f>
        <v>4</v>
      </c>
      <c r="K560">
        <f>Table1[[#This Row],[EmployeeNumber]]</f>
        <v>772</v>
      </c>
      <c r="L560">
        <f>Table1[[#This Row],[DistanceFromHome]]</f>
        <v>24</v>
      </c>
      <c r="M560" t="str">
        <f>Table1[[#This Row],[OverTime]]</f>
        <v>No</v>
      </c>
      <c r="N560">
        <f>Table1[[#This Row],[WorkLifeBalance]]</f>
        <v>3</v>
      </c>
      <c r="O560" t="str" cm="1">
        <f t="array" ref="O560">_xlfn.IFS(A560&lt;=30,"18-30",A560&lt;=40,"31-40",A560&lt;=50,"41-50",A560&gt;50,"51+")</f>
        <v>31-40</v>
      </c>
      <c r="P560" t="str" cm="1">
        <f t="array" ref="P560">_xlfn.IFS(F560&lt;=45,"45 or below",F560&lt;= 60,"46-60",F560&lt;=75,"61-75",F560&lt;=90,"76-90",F560&gt;90,"91 or above")</f>
        <v>76-90</v>
      </c>
      <c r="Q5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60" t="str" cm="1">
        <f t="array" ref="R5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61" spans="1:18" x14ac:dyDescent="0.2">
      <c r="A561">
        <f>Table1[[#This Row],[Age]]</f>
        <v>38</v>
      </c>
      <c r="B561">
        <f>IF(Table3[[#This Row],[Attrition]] = "Yes", 1,0)</f>
        <v>0</v>
      </c>
      <c r="C561" t="str">
        <f>Table1[[#This Row],[Attrition]]</f>
        <v>No</v>
      </c>
      <c r="D561" t="str">
        <f>Table1[[#This Row],[Department]]</f>
        <v>Research &amp; Development</v>
      </c>
      <c r="E561">
        <f>Table1[[#This Row],[EnvironmentSatisfaction]]</f>
        <v>4</v>
      </c>
      <c r="F561">
        <f>Table1[[#This Row],[HourlyRate]]</f>
        <v>92</v>
      </c>
      <c r="G561" t="str">
        <f>Table1[[#This Row],[JobRole]]</f>
        <v>Research Scientist</v>
      </c>
      <c r="H561">
        <f>Table1[[#This Row],[JobSatisfaction]]</f>
        <v>3</v>
      </c>
      <c r="I561">
        <f>Table1[[#This Row],[YearsAtCompany]]</f>
        <v>1</v>
      </c>
      <c r="J561">
        <f>Table1[[#This Row],[YearsSinceLastPromotion]]</f>
        <v>0</v>
      </c>
      <c r="K561">
        <f>Table1[[#This Row],[EmployeeNumber]]</f>
        <v>773</v>
      </c>
      <c r="L561">
        <f>Table1[[#This Row],[DistanceFromHome]]</f>
        <v>2</v>
      </c>
      <c r="M561" t="str">
        <f>Table1[[#This Row],[OverTime]]</f>
        <v>Yes</v>
      </c>
      <c r="N561">
        <f>Table1[[#This Row],[WorkLifeBalance]]</f>
        <v>1</v>
      </c>
      <c r="O561" t="str" cm="1">
        <f t="array" ref="O561">_xlfn.IFS(A561&lt;=30,"18-30",A561&lt;=40,"31-40",A561&lt;=50,"41-50",A561&gt;50,"51+")</f>
        <v>31-40</v>
      </c>
      <c r="P561" t="str" cm="1">
        <f t="array" ref="P561">_xlfn.IFS(F561&lt;=45,"45 or below",F561&lt;= 60,"46-60",F561&lt;=75,"61-75",F561&lt;=90,"76-90",F561&gt;90,"91 or above")</f>
        <v>91 or above</v>
      </c>
      <c r="Q5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561" t="str" cm="1">
        <f t="array" ref="R561" xml:space="preserve"> _xlfn.IFS(Table3[[#This Row],[Flight Risk Score]] = "NA","NA",Table3[[#This Row],[Flight Risk Score]] &gt;= 70,"High Risk",Table3[[#This Row],[Flight Risk Score]] &gt;= 50, "Medium Risk", Table3[[#This Row],[Flight Risk Score]] &gt;= 30,"Low Risk",Table3[[#This Row],[Flight Risk Score]] &lt; 30,"Very Low Risk")</f>
        <v>High Risk</v>
      </c>
    </row>
    <row r="562" spans="1:18" x14ac:dyDescent="0.2">
      <c r="A562">
        <f>Table1[[#This Row],[Age]]</f>
        <v>34</v>
      </c>
      <c r="B562">
        <f>IF(Table3[[#This Row],[Attrition]] = "Yes", 1,0)</f>
        <v>0</v>
      </c>
      <c r="C562" t="str">
        <f>Table1[[#This Row],[Attrition]]</f>
        <v>No</v>
      </c>
      <c r="D562" t="str">
        <f>Table1[[#This Row],[Department]]</f>
        <v>Research &amp; Development</v>
      </c>
      <c r="E562">
        <f>Table1[[#This Row],[EnvironmentSatisfaction]]</f>
        <v>2</v>
      </c>
      <c r="F562">
        <f>Table1[[#This Row],[HourlyRate]]</f>
        <v>32</v>
      </c>
      <c r="G562" t="str">
        <f>Table1[[#This Row],[JobRole]]</f>
        <v>Manufacturing Director</v>
      </c>
      <c r="H562">
        <f>Table1[[#This Row],[JobSatisfaction]]</f>
        <v>1</v>
      </c>
      <c r="I562">
        <f>Table1[[#This Row],[YearsAtCompany]]</f>
        <v>0</v>
      </c>
      <c r="J562">
        <f>Table1[[#This Row],[YearsSinceLastPromotion]]</f>
        <v>0</v>
      </c>
      <c r="K562">
        <f>Table1[[#This Row],[EmployeeNumber]]</f>
        <v>775</v>
      </c>
      <c r="L562">
        <f>Table1[[#This Row],[DistanceFromHome]]</f>
        <v>8</v>
      </c>
      <c r="M562" t="str">
        <f>Table1[[#This Row],[OverTime]]</f>
        <v>No</v>
      </c>
      <c r="N562">
        <f>Table1[[#This Row],[WorkLifeBalance]]</f>
        <v>3</v>
      </c>
      <c r="O562" t="str" cm="1">
        <f t="array" ref="O562">_xlfn.IFS(A562&lt;=30,"18-30",A562&lt;=40,"31-40",A562&lt;=50,"41-50",A562&gt;50,"51+")</f>
        <v>31-40</v>
      </c>
      <c r="P562" t="str" cm="1">
        <f t="array" ref="P562">_xlfn.IFS(F562&lt;=45,"45 or below",F562&lt;= 60,"46-60",F562&lt;=75,"61-75",F562&lt;=90,"76-90",F562&gt;90,"91 or above")</f>
        <v>45 or below</v>
      </c>
      <c r="Q5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62" t="str" cm="1">
        <f t="array" ref="R562" xml:space="preserve"> _xlfn.IFS(Table3[[#This Row],[Flight Risk Score]] = "NA","NA",Table3[[#This Row],[Flight Risk Score]] &gt;= 70,"High Risk",Table3[[#This Row],[Flight Risk Score]] &gt;= 50, "Medium Risk", Table3[[#This Row],[Flight Risk Score]] &gt;= 30,"Low Risk",Table3[[#This Row],[Flight Risk Score]] &lt; 30,"Very Low Risk")</f>
        <v>Low Risk</v>
      </c>
    </row>
    <row r="563" spans="1:18" x14ac:dyDescent="0.2">
      <c r="A563">
        <f>Table1[[#This Row],[Age]]</f>
        <v>52</v>
      </c>
      <c r="B563">
        <f>IF(Table3[[#This Row],[Attrition]] = "Yes", 1,0)</f>
        <v>0</v>
      </c>
      <c r="C563" t="str">
        <f>Table1[[#This Row],[Attrition]]</f>
        <v>No</v>
      </c>
      <c r="D563" t="str">
        <f>Table1[[#This Row],[Department]]</f>
        <v>Sales</v>
      </c>
      <c r="E563">
        <f>Table1[[#This Row],[EnvironmentSatisfaction]]</f>
        <v>3</v>
      </c>
      <c r="F563">
        <f>Table1[[#This Row],[HourlyRate]]</f>
        <v>31</v>
      </c>
      <c r="G563" t="str">
        <f>Table1[[#This Row],[JobRole]]</f>
        <v>Manager</v>
      </c>
      <c r="H563">
        <f>Table1[[#This Row],[JobSatisfaction]]</f>
        <v>1</v>
      </c>
      <c r="I563">
        <f>Table1[[#This Row],[YearsAtCompany]]</f>
        <v>34</v>
      </c>
      <c r="J563">
        <f>Table1[[#This Row],[YearsSinceLastPromotion]]</f>
        <v>1</v>
      </c>
      <c r="K563">
        <f>Table1[[#This Row],[EmployeeNumber]]</f>
        <v>776</v>
      </c>
      <c r="L563">
        <f>Table1[[#This Row],[DistanceFromHome]]</f>
        <v>3</v>
      </c>
      <c r="M563" t="str">
        <f>Table1[[#This Row],[OverTime]]</f>
        <v>No</v>
      </c>
      <c r="N563">
        <f>Table1[[#This Row],[WorkLifeBalance]]</f>
        <v>4</v>
      </c>
      <c r="O563" t="str" cm="1">
        <f t="array" ref="O563">_xlfn.IFS(A563&lt;=30,"18-30",A563&lt;=40,"31-40",A563&lt;=50,"41-50",A563&gt;50,"51+")</f>
        <v>51+</v>
      </c>
      <c r="P563" t="str" cm="1">
        <f t="array" ref="P563">_xlfn.IFS(F563&lt;=45,"45 or below",F563&lt;= 60,"46-60",F563&lt;=75,"61-75",F563&lt;=90,"76-90",F563&gt;90,"91 or above")</f>
        <v>45 or below</v>
      </c>
      <c r="Q5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63" t="str" cm="1">
        <f t="array" ref="R5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64" spans="1:18" hidden="1" x14ac:dyDescent="0.2">
      <c r="A564">
        <f>Table1[[#This Row],[Age]]</f>
        <v>33</v>
      </c>
      <c r="B564">
        <f>IF(Table3[[#This Row],[Attrition]] = "Yes", 1,0)</f>
        <v>1</v>
      </c>
      <c r="C564" t="str">
        <f>Table1[[#This Row],[Attrition]]</f>
        <v>Yes</v>
      </c>
      <c r="D564" t="str">
        <f>Table1[[#This Row],[Department]]</f>
        <v>Research &amp; Development</v>
      </c>
      <c r="E564">
        <f>Table1[[#This Row],[EnvironmentSatisfaction]]</f>
        <v>4</v>
      </c>
      <c r="F564">
        <f>Table1[[#This Row],[HourlyRate]]</f>
        <v>63</v>
      </c>
      <c r="G564" t="str">
        <f>Table1[[#This Row],[JobRole]]</f>
        <v>Research Scientist</v>
      </c>
      <c r="H564">
        <f>Table1[[#This Row],[JobSatisfaction]]</f>
        <v>4</v>
      </c>
      <c r="I564">
        <f>Table1[[#This Row],[YearsAtCompany]]</f>
        <v>10</v>
      </c>
      <c r="J564">
        <f>Table1[[#This Row],[YearsSinceLastPromotion]]</f>
        <v>7</v>
      </c>
      <c r="K564">
        <f>Table1[[#This Row],[EmployeeNumber]]</f>
        <v>780</v>
      </c>
      <c r="L564">
        <f>Table1[[#This Row],[DistanceFromHome]]</f>
        <v>1</v>
      </c>
      <c r="M564" t="str">
        <f>Table1[[#This Row],[OverTime]]</f>
        <v>Yes</v>
      </c>
      <c r="N564">
        <f>Table1[[#This Row],[WorkLifeBalance]]</f>
        <v>2</v>
      </c>
      <c r="O564" t="str" cm="1">
        <f t="array" ref="O564">_xlfn.IFS(A564&lt;=30,"18-30",A564&lt;=40,"31-40",A564&lt;=50,"41-50",A564&gt;50,"51+")</f>
        <v>31-40</v>
      </c>
      <c r="P564" t="str" cm="1">
        <f t="array" ref="P564">_xlfn.IFS(F564&lt;=45,"45 or below",F564&lt;= 60,"46-60",F564&lt;=75,"61-75",F564&lt;=90,"76-90",F564&gt;90,"91 or above")</f>
        <v>61-75</v>
      </c>
      <c r="Q56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64" t="str" cm="1">
        <f t="array" ref="R564" xml:space="preserve"> _xlfn.IFS(Table3[[#This Row],[Flight Risk Score]] = "NA","NA",Table3[[#This Row],[Flight Risk Score]] &gt;= 70,"High Risk",Table3[[#This Row],[Flight Risk Score]] &gt;= 50, "Medium Risk", Table3[[#This Row],[Flight Risk Score]] &gt;= 30,"Low Risk",Table3[[#This Row],[Flight Risk Score]] &lt; 30,"Very Low Risk")</f>
        <v>NA</v>
      </c>
    </row>
    <row r="565" spans="1:18" x14ac:dyDescent="0.2">
      <c r="A565">
        <f>Table1[[#This Row],[Age]]</f>
        <v>25</v>
      </c>
      <c r="B565">
        <f>IF(Table3[[#This Row],[Attrition]] = "Yes", 1,0)</f>
        <v>0</v>
      </c>
      <c r="C565" t="str">
        <f>Table1[[#This Row],[Attrition]]</f>
        <v>No</v>
      </c>
      <c r="D565" t="str">
        <f>Table1[[#This Row],[Department]]</f>
        <v>Sales</v>
      </c>
      <c r="E565">
        <f>Table1[[#This Row],[EnvironmentSatisfaction]]</f>
        <v>3</v>
      </c>
      <c r="F565">
        <f>Table1[[#This Row],[HourlyRate]]</f>
        <v>32</v>
      </c>
      <c r="G565" t="str">
        <f>Table1[[#This Row],[JobRole]]</f>
        <v>Sales Executive</v>
      </c>
      <c r="H565">
        <f>Table1[[#This Row],[JobSatisfaction]]</f>
        <v>4</v>
      </c>
      <c r="I565">
        <f>Table1[[#This Row],[YearsAtCompany]]</f>
        <v>6</v>
      </c>
      <c r="J565">
        <f>Table1[[#This Row],[YearsSinceLastPromotion]]</f>
        <v>1</v>
      </c>
      <c r="K565">
        <f>Table1[[#This Row],[EmployeeNumber]]</f>
        <v>781</v>
      </c>
      <c r="L565">
        <f>Table1[[#This Row],[DistanceFromHome]]</f>
        <v>26</v>
      </c>
      <c r="M565" t="str">
        <f>Table1[[#This Row],[OverTime]]</f>
        <v>No</v>
      </c>
      <c r="N565">
        <f>Table1[[#This Row],[WorkLifeBalance]]</f>
        <v>2</v>
      </c>
      <c r="O565" t="str" cm="1">
        <f t="array" ref="O565">_xlfn.IFS(A565&lt;=30,"18-30",A565&lt;=40,"31-40",A565&lt;=50,"41-50",A565&gt;50,"51+")</f>
        <v>18-30</v>
      </c>
      <c r="P565" t="str" cm="1">
        <f t="array" ref="P565">_xlfn.IFS(F565&lt;=45,"45 or below",F565&lt;= 60,"46-60",F565&lt;=75,"61-75",F565&lt;=90,"76-90",F565&gt;90,"91 or above")</f>
        <v>45 or below</v>
      </c>
      <c r="Q5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65" t="str" cm="1">
        <f t="array" ref="R56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66" spans="1:18" x14ac:dyDescent="0.2">
      <c r="A566">
        <f>Table1[[#This Row],[Age]]</f>
        <v>45</v>
      </c>
      <c r="B566">
        <f>IF(Table3[[#This Row],[Attrition]] = "Yes", 1,0)</f>
        <v>0</v>
      </c>
      <c r="C566" t="str">
        <f>Table1[[#This Row],[Attrition]]</f>
        <v>No</v>
      </c>
      <c r="D566" t="str">
        <f>Table1[[#This Row],[Department]]</f>
        <v>Sales</v>
      </c>
      <c r="E566">
        <f>Table1[[#This Row],[EnvironmentSatisfaction]]</f>
        <v>2</v>
      </c>
      <c r="F566">
        <f>Table1[[#This Row],[HourlyRate]]</f>
        <v>46</v>
      </c>
      <c r="G566" t="str">
        <f>Table1[[#This Row],[JobRole]]</f>
        <v>Sales Representative</v>
      </c>
      <c r="H566">
        <f>Table1[[#This Row],[JobSatisfaction]]</f>
        <v>3</v>
      </c>
      <c r="I566">
        <f>Table1[[#This Row],[YearsAtCompany]]</f>
        <v>8</v>
      </c>
      <c r="J566">
        <f>Table1[[#This Row],[YearsSinceLastPromotion]]</f>
        <v>3</v>
      </c>
      <c r="K566">
        <f>Table1[[#This Row],[EmployeeNumber]]</f>
        <v>783</v>
      </c>
      <c r="L566">
        <f>Table1[[#This Row],[DistanceFromHome]]</f>
        <v>2</v>
      </c>
      <c r="M566" t="str">
        <f>Table1[[#This Row],[OverTime]]</f>
        <v>No</v>
      </c>
      <c r="N566">
        <f>Table1[[#This Row],[WorkLifeBalance]]</f>
        <v>3</v>
      </c>
      <c r="O566" t="str" cm="1">
        <f t="array" ref="O566">_xlfn.IFS(A566&lt;=30,"18-30",A566&lt;=40,"31-40",A566&lt;=50,"41-50",A566&gt;50,"51+")</f>
        <v>41-50</v>
      </c>
      <c r="P566" t="str" cm="1">
        <f t="array" ref="P566">_xlfn.IFS(F566&lt;=45,"45 or below",F566&lt;= 60,"46-60",F566&lt;=75,"61-75",F566&lt;=90,"76-90",F566&gt;90,"91 or above")</f>
        <v>46-60</v>
      </c>
      <c r="Q5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66" t="str" cm="1">
        <f t="array" ref="R5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67" spans="1:18" x14ac:dyDescent="0.2">
      <c r="A567">
        <f>Table1[[#This Row],[Age]]</f>
        <v>23</v>
      </c>
      <c r="B567">
        <f>IF(Table3[[#This Row],[Attrition]] = "Yes", 1,0)</f>
        <v>0</v>
      </c>
      <c r="C567" t="str">
        <f>Table1[[#This Row],[Attrition]]</f>
        <v>No</v>
      </c>
      <c r="D567" t="str">
        <f>Table1[[#This Row],[Department]]</f>
        <v>Research &amp; Development</v>
      </c>
      <c r="E567">
        <f>Table1[[#This Row],[EnvironmentSatisfaction]]</f>
        <v>1</v>
      </c>
      <c r="F567">
        <f>Table1[[#This Row],[HourlyRate]]</f>
        <v>79</v>
      </c>
      <c r="G567" t="str">
        <f>Table1[[#This Row],[JobRole]]</f>
        <v>Research Scientist</v>
      </c>
      <c r="H567">
        <f>Table1[[#This Row],[JobSatisfaction]]</f>
        <v>3</v>
      </c>
      <c r="I567">
        <f>Table1[[#This Row],[YearsAtCompany]]</f>
        <v>2</v>
      </c>
      <c r="J567">
        <f>Table1[[#This Row],[YearsSinceLastPromotion]]</f>
        <v>0</v>
      </c>
      <c r="K567">
        <f>Table1[[#This Row],[EmployeeNumber]]</f>
        <v>784</v>
      </c>
      <c r="L567">
        <f>Table1[[#This Row],[DistanceFromHome]]</f>
        <v>10</v>
      </c>
      <c r="M567" t="str">
        <f>Table1[[#This Row],[OverTime]]</f>
        <v>No</v>
      </c>
      <c r="N567">
        <f>Table1[[#This Row],[WorkLifeBalance]]</f>
        <v>3</v>
      </c>
      <c r="O567" t="str" cm="1">
        <f t="array" ref="O567">_xlfn.IFS(A567&lt;=30,"18-30",A567&lt;=40,"31-40",A567&lt;=50,"41-50",A567&gt;50,"51+")</f>
        <v>18-30</v>
      </c>
      <c r="P567" t="str" cm="1">
        <f t="array" ref="P567">_xlfn.IFS(F567&lt;=45,"45 or below",F567&lt;= 60,"46-60",F567&lt;=75,"61-75",F567&lt;=90,"76-90",F567&gt;90,"91 or above")</f>
        <v>76-90</v>
      </c>
      <c r="Q5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67" t="str" cm="1">
        <f t="array" ref="R5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68" spans="1:18" hidden="1" x14ac:dyDescent="0.2">
      <c r="A568">
        <f>Table1[[#This Row],[Age]]</f>
        <v>47</v>
      </c>
      <c r="B568">
        <f>IF(Table3[[#This Row],[Attrition]] = "Yes", 1,0)</f>
        <v>1</v>
      </c>
      <c r="C568" t="str">
        <f>Table1[[#This Row],[Attrition]]</f>
        <v>Yes</v>
      </c>
      <c r="D568" t="str">
        <f>Table1[[#This Row],[Department]]</f>
        <v>Sales</v>
      </c>
      <c r="E568">
        <f>Table1[[#This Row],[EnvironmentSatisfaction]]</f>
        <v>2</v>
      </c>
      <c r="F568">
        <f>Table1[[#This Row],[HourlyRate]]</f>
        <v>77</v>
      </c>
      <c r="G568" t="str">
        <f>Table1[[#This Row],[JobRole]]</f>
        <v>Sales Executive</v>
      </c>
      <c r="H568">
        <f>Table1[[#This Row],[JobSatisfaction]]</f>
        <v>3</v>
      </c>
      <c r="I568">
        <f>Table1[[#This Row],[YearsAtCompany]]</f>
        <v>5</v>
      </c>
      <c r="J568">
        <f>Table1[[#This Row],[YearsSinceLastPromotion]]</f>
        <v>1</v>
      </c>
      <c r="K568">
        <f>Table1[[#This Row],[EmployeeNumber]]</f>
        <v>785</v>
      </c>
      <c r="L568">
        <f>Table1[[#This Row],[DistanceFromHome]]</f>
        <v>27</v>
      </c>
      <c r="M568" t="str">
        <f>Table1[[#This Row],[OverTime]]</f>
        <v>Yes</v>
      </c>
      <c r="N568">
        <f>Table1[[#This Row],[WorkLifeBalance]]</f>
        <v>3</v>
      </c>
      <c r="O568" t="str" cm="1">
        <f t="array" ref="O568">_xlfn.IFS(A568&lt;=30,"18-30",A568&lt;=40,"31-40",A568&lt;=50,"41-50",A568&gt;50,"51+")</f>
        <v>41-50</v>
      </c>
      <c r="P568" t="str" cm="1">
        <f t="array" ref="P568">_xlfn.IFS(F568&lt;=45,"45 or below",F568&lt;= 60,"46-60",F568&lt;=75,"61-75",F568&lt;=90,"76-90",F568&gt;90,"91 or above")</f>
        <v>76-90</v>
      </c>
      <c r="Q56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68" t="str" cm="1">
        <f t="array" ref="R568" xml:space="preserve"> _xlfn.IFS(Table3[[#This Row],[Flight Risk Score]] = "NA","NA",Table3[[#This Row],[Flight Risk Score]] &gt;= 70,"High Risk",Table3[[#This Row],[Flight Risk Score]] &gt;= 50, "Medium Risk", Table3[[#This Row],[Flight Risk Score]] &gt;= 30,"Low Risk",Table3[[#This Row],[Flight Risk Score]] &lt; 30,"Very Low Risk")</f>
        <v>NA</v>
      </c>
    </row>
    <row r="569" spans="1:18" x14ac:dyDescent="0.2">
      <c r="A569">
        <f>Table1[[#This Row],[Age]]</f>
        <v>34</v>
      </c>
      <c r="B569">
        <f>IF(Table3[[#This Row],[Attrition]] = "Yes", 1,0)</f>
        <v>0</v>
      </c>
      <c r="C569" t="str">
        <f>Table1[[#This Row],[Attrition]]</f>
        <v>No</v>
      </c>
      <c r="D569" t="str">
        <f>Table1[[#This Row],[Department]]</f>
        <v>Sales</v>
      </c>
      <c r="E569">
        <f>Table1[[#This Row],[EnvironmentSatisfaction]]</f>
        <v>4</v>
      </c>
      <c r="F569">
        <f>Table1[[#This Row],[HourlyRate]]</f>
        <v>60</v>
      </c>
      <c r="G569" t="str">
        <f>Table1[[#This Row],[JobRole]]</f>
        <v>Sales Executive</v>
      </c>
      <c r="H569">
        <f>Table1[[#This Row],[JobSatisfaction]]</f>
        <v>4</v>
      </c>
      <c r="I569">
        <f>Table1[[#This Row],[YearsAtCompany]]</f>
        <v>6</v>
      </c>
      <c r="J569">
        <f>Table1[[#This Row],[YearsSinceLastPromotion]]</f>
        <v>1</v>
      </c>
      <c r="K569">
        <f>Table1[[#This Row],[EmployeeNumber]]</f>
        <v>786</v>
      </c>
      <c r="L569">
        <f>Table1[[#This Row],[DistanceFromHome]]</f>
        <v>2</v>
      </c>
      <c r="M569" t="str">
        <f>Table1[[#This Row],[OverTime]]</f>
        <v>No</v>
      </c>
      <c r="N569">
        <f>Table1[[#This Row],[WorkLifeBalance]]</f>
        <v>3</v>
      </c>
      <c r="O569" t="str" cm="1">
        <f t="array" ref="O569">_xlfn.IFS(A569&lt;=30,"18-30",A569&lt;=40,"31-40",A569&lt;=50,"41-50",A569&gt;50,"51+")</f>
        <v>31-40</v>
      </c>
      <c r="P569" t="str" cm="1">
        <f t="array" ref="P569">_xlfn.IFS(F569&lt;=45,"45 or below",F569&lt;= 60,"46-60",F569&lt;=75,"61-75",F569&lt;=90,"76-90",F569&gt;90,"91 or above")</f>
        <v>46-60</v>
      </c>
      <c r="Q5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69" t="str" cm="1">
        <f t="array" ref="R56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70" spans="1:18" hidden="1" x14ac:dyDescent="0.2">
      <c r="A570">
        <f>Table1[[#This Row],[Age]]</f>
        <v>55</v>
      </c>
      <c r="B570">
        <f>IF(Table3[[#This Row],[Attrition]] = "Yes", 1,0)</f>
        <v>1</v>
      </c>
      <c r="C570" t="str">
        <f>Table1[[#This Row],[Attrition]]</f>
        <v>Yes</v>
      </c>
      <c r="D570" t="str">
        <f>Table1[[#This Row],[Department]]</f>
        <v>Research &amp; Development</v>
      </c>
      <c r="E570">
        <f>Table1[[#This Row],[EnvironmentSatisfaction]]</f>
        <v>4</v>
      </c>
      <c r="F570">
        <f>Table1[[#This Row],[HourlyRate]]</f>
        <v>78</v>
      </c>
      <c r="G570" t="str">
        <f>Table1[[#This Row],[JobRole]]</f>
        <v>Manager</v>
      </c>
      <c r="H570">
        <f>Table1[[#This Row],[JobSatisfaction]]</f>
        <v>1</v>
      </c>
      <c r="I570">
        <f>Table1[[#This Row],[YearsAtCompany]]</f>
        <v>5</v>
      </c>
      <c r="J570">
        <f>Table1[[#This Row],[YearsSinceLastPromotion]]</f>
        <v>1</v>
      </c>
      <c r="K570">
        <f>Table1[[#This Row],[EmployeeNumber]]</f>
        <v>787</v>
      </c>
      <c r="L570">
        <f>Table1[[#This Row],[DistanceFromHome]]</f>
        <v>2</v>
      </c>
      <c r="M570" t="str">
        <f>Table1[[#This Row],[OverTime]]</f>
        <v>Yes</v>
      </c>
      <c r="N570">
        <f>Table1[[#This Row],[WorkLifeBalance]]</f>
        <v>3</v>
      </c>
      <c r="O570" t="str" cm="1">
        <f t="array" ref="O570">_xlfn.IFS(A570&lt;=30,"18-30",A570&lt;=40,"31-40",A570&lt;=50,"41-50",A570&gt;50,"51+")</f>
        <v>51+</v>
      </c>
      <c r="P570" t="str" cm="1">
        <f t="array" ref="P570">_xlfn.IFS(F570&lt;=45,"45 or below",F570&lt;= 60,"46-60",F570&lt;=75,"61-75",F570&lt;=90,"76-90",F570&gt;90,"91 or above")</f>
        <v>76-90</v>
      </c>
      <c r="Q57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70" t="str" cm="1">
        <f t="array" ref="R570" xml:space="preserve"> _xlfn.IFS(Table3[[#This Row],[Flight Risk Score]] = "NA","NA",Table3[[#This Row],[Flight Risk Score]] &gt;= 70,"High Risk",Table3[[#This Row],[Flight Risk Score]] &gt;= 50, "Medium Risk", Table3[[#This Row],[Flight Risk Score]] &gt;= 30,"Low Risk",Table3[[#This Row],[Flight Risk Score]] &lt; 30,"Very Low Risk")</f>
        <v>NA</v>
      </c>
    </row>
    <row r="571" spans="1:18" x14ac:dyDescent="0.2">
      <c r="A571">
        <f>Table1[[#This Row],[Age]]</f>
        <v>36</v>
      </c>
      <c r="B571">
        <f>IF(Table3[[#This Row],[Attrition]] = "Yes", 1,0)</f>
        <v>0</v>
      </c>
      <c r="C571" t="str">
        <f>Table1[[#This Row],[Attrition]]</f>
        <v>No</v>
      </c>
      <c r="D571" t="str">
        <f>Table1[[#This Row],[Department]]</f>
        <v>Sales</v>
      </c>
      <c r="E571">
        <f>Table1[[#This Row],[EnvironmentSatisfaction]]</f>
        <v>1</v>
      </c>
      <c r="F571">
        <f>Table1[[#This Row],[HourlyRate]]</f>
        <v>76</v>
      </c>
      <c r="G571" t="str">
        <f>Table1[[#This Row],[JobRole]]</f>
        <v>Sales Executive</v>
      </c>
      <c r="H571">
        <f>Table1[[#This Row],[JobSatisfaction]]</f>
        <v>1</v>
      </c>
      <c r="I571">
        <f>Table1[[#This Row],[YearsAtCompany]]</f>
        <v>10</v>
      </c>
      <c r="J571">
        <f>Table1[[#This Row],[YearsSinceLastPromotion]]</f>
        <v>0</v>
      </c>
      <c r="K571">
        <f>Table1[[#This Row],[EmployeeNumber]]</f>
        <v>789</v>
      </c>
      <c r="L571">
        <f>Table1[[#This Row],[DistanceFromHome]]</f>
        <v>8</v>
      </c>
      <c r="M571" t="str">
        <f>Table1[[#This Row],[OverTime]]</f>
        <v>No</v>
      </c>
      <c r="N571">
        <f>Table1[[#This Row],[WorkLifeBalance]]</f>
        <v>3</v>
      </c>
      <c r="O571" t="str" cm="1">
        <f t="array" ref="O571">_xlfn.IFS(A571&lt;=30,"18-30",A571&lt;=40,"31-40",A571&lt;=50,"41-50",A571&gt;50,"51+")</f>
        <v>31-40</v>
      </c>
      <c r="P571" t="str" cm="1">
        <f t="array" ref="P571">_xlfn.IFS(F571&lt;=45,"45 or below",F571&lt;= 60,"46-60",F571&lt;=75,"61-75",F571&lt;=90,"76-90",F571&gt;90,"91 or above")</f>
        <v>76-90</v>
      </c>
      <c r="Q5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571" t="str" cm="1">
        <f t="array" ref="R571" xml:space="preserve"> _xlfn.IFS(Table3[[#This Row],[Flight Risk Score]] = "NA","NA",Table3[[#This Row],[Flight Risk Score]] &gt;= 70,"High Risk",Table3[[#This Row],[Flight Risk Score]] &gt;= 50, "Medium Risk", Table3[[#This Row],[Flight Risk Score]] &gt;= 30,"Low Risk",Table3[[#This Row],[Flight Risk Score]] &lt; 30,"Very Low Risk")</f>
        <v>Low Risk</v>
      </c>
    </row>
    <row r="572" spans="1:18" x14ac:dyDescent="0.2">
      <c r="A572">
        <f>Table1[[#This Row],[Age]]</f>
        <v>52</v>
      </c>
      <c r="B572">
        <f>IF(Table3[[#This Row],[Attrition]] = "Yes", 1,0)</f>
        <v>0</v>
      </c>
      <c r="C572" t="str">
        <f>Table1[[#This Row],[Attrition]]</f>
        <v>No</v>
      </c>
      <c r="D572" t="str">
        <f>Table1[[#This Row],[Department]]</f>
        <v>Research &amp; Development</v>
      </c>
      <c r="E572">
        <f>Table1[[#This Row],[EnvironmentSatisfaction]]</f>
        <v>4</v>
      </c>
      <c r="F572">
        <f>Table1[[#This Row],[HourlyRate]]</f>
        <v>41</v>
      </c>
      <c r="G572" t="str">
        <f>Table1[[#This Row],[JobRole]]</f>
        <v>Research Scientist</v>
      </c>
      <c r="H572">
        <f>Table1[[#This Row],[JobSatisfaction]]</f>
        <v>4</v>
      </c>
      <c r="I572">
        <f>Table1[[#This Row],[YearsAtCompany]]</f>
        <v>4</v>
      </c>
      <c r="J572">
        <f>Table1[[#This Row],[YearsSinceLastPromotion]]</f>
        <v>1</v>
      </c>
      <c r="K572">
        <f>Table1[[#This Row],[EmployeeNumber]]</f>
        <v>791</v>
      </c>
      <c r="L572">
        <f>Table1[[#This Row],[DistanceFromHome]]</f>
        <v>19</v>
      </c>
      <c r="M572" t="str">
        <f>Table1[[#This Row],[OverTime]]</f>
        <v>No</v>
      </c>
      <c r="N572">
        <f>Table1[[#This Row],[WorkLifeBalance]]</f>
        <v>3</v>
      </c>
      <c r="O572" t="str" cm="1">
        <f t="array" ref="O572">_xlfn.IFS(A572&lt;=30,"18-30",A572&lt;=40,"31-40",A572&lt;=50,"41-50",A572&gt;50,"51+")</f>
        <v>51+</v>
      </c>
      <c r="P572" t="str" cm="1">
        <f t="array" ref="P572">_xlfn.IFS(F572&lt;=45,"45 or below",F572&lt;= 60,"46-60",F572&lt;=75,"61-75",F572&lt;=90,"76-90",F572&gt;90,"91 or above")</f>
        <v>45 or below</v>
      </c>
      <c r="Q5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72" t="str" cm="1">
        <f t="array" ref="R5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73" spans="1:18" x14ac:dyDescent="0.2">
      <c r="A573">
        <f>Table1[[#This Row],[Age]]</f>
        <v>26</v>
      </c>
      <c r="B573">
        <f>IF(Table3[[#This Row],[Attrition]] = "Yes", 1,0)</f>
        <v>0</v>
      </c>
      <c r="C573" t="str">
        <f>Table1[[#This Row],[Attrition]]</f>
        <v>No</v>
      </c>
      <c r="D573" t="str">
        <f>Table1[[#This Row],[Department]]</f>
        <v>Research &amp; Development</v>
      </c>
      <c r="E573">
        <f>Table1[[#This Row],[EnvironmentSatisfaction]]</f>
        <v>1</v>
      </c>
      <c r="F573">
        <f>Table1[[#This Row],[HourlyRate]]</f>
        <v>71</v>
      </c>
      <c r="G573" t="str">
        <f>Table1[[#This Row],[JobRole]]</f>
        <v>Laboratory Technician</v>
      </c>
      <c r="H573">
        <f>Table1[[#This Row],[JobSatisfaction]]</f>
        <v>4</v>
      </c>
      <c r="I573">
        <f>Table1[[#This Row],[YearsAtCompany]]</f>
        <v>2</v>
      </c>
      <c r="J573">
        <f>Table1[[#This Row],[YearsSinceLastPromotion]]</f>
        <v>2</v>
      </c>
      <c r="K573">
        <f>Table1[[#This Row],[EmployeeNumber]]</f>
        <v>792</v>
      </c>
      <c r="L573">
        <f>Table1[[#This Row],[DistanceFromHome]]</f>
        <v>1</v>
      </c>
      <c r="M573" t="str">
        <f>Table1[[#This Row],[OverTime]]</f>
        <v>No</v>
      </c>
      <c r="N573">
        <f>Table1[[#This Row],[WorkLifeBalance]]</f>
        <v>3</v>
      </c>
      <c r="O573" t="str" cm="1">
        <f t="array" ref="O573">_xlfn.IFS(A573&lt;=30,"18-30",A573&lt;=40,"31-40",A573&lt;=50,"41-50",A573&gt;50,"51+")</f>
        <v>18-30</v>
      </c>
      <c r="P573" t="str" cm="1">
        <f t="array" ref="P573">_xlfn.IFS(F573&lt;=45,"45 or below",F573&lt;= 60,"46-60",F573&lt;=75,"61-75",F573&lt;=90,"76-90",F573&gt;90,"91 or above")</f>
        <v>61-75</v>
      </c>
      <c r="Q5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73" t="str" cm="1">
        <f t="array" ref="R5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74" spans="1:18" x14ac:dyDescent="0.2">
      <c r="A574">
        <f>Table1[[#This Row],[Age]]</f>
        <v>29</v>
      </c>
      <c r="B574">
        <f>IF(Table3[[#This Row],[Attrition]] = "Yes", 1,0)</f>
        <v>0</v>
      </c>
      <c r="C574" t="str">
        <f>Table1[[#This Row],[Attrition]]</f>
        <v>No</v>
      </c>
      <c r="D574" t="str">
        <f>Table1[[#This Row],[Department]]</f>
        <v>Research &amp; Development</v>
      </c>
      <c r="E574">
        <f>Table1[[#This Row],[EnvironmentSatisfaction]]</f>
        <v>2</v>
      </c>
      <c r="F574">
        <f>Table1[[#This Row],[HourlyRate]]</f>
        <v>66</v>
      </c>
      <c r="G574" t="str">
        <f>Table1[[#This Row],[JobRole]]</f>
        <v>Healthcare Representative</v>
      </c>
      <c r="H574">
        <f>Table1[[#This Row],[JobSatisfaction]]</f>
        <v>3</v>
      </c>
      <c r="I574">
        <f>Table1[[#This Row],[YearsAtCompany]]</f>
        <v>8</v>
      </c>
      <c r="J574">
        <f>Table1[[#This Row],[YearsSinceLastPromotion]]</f>
        <v>1</v>
      </c>
      <c r="K574">
        <f>Table1[[#This Row],[EmployeeNumber]]</f>
        <v>793</v>
      </c>
      <c r="L574">
        <f>Table1[[#This Row],[DistanceFromHome]]</f>
        <v>27</v>
      </c>
      <c r="M574" t="str">
        <f>Table1[[#This Row],[OverTime]]</f>
        <v>No</v>
      </c>
      <c r="N574">
        <f>Table1[[#This Row],[WorkLifeBalance]]</f>
        <v>2</v>
      </c>
      <c r="O574" t="str" cm="1">
        <f t="array" ref="O574">_xlfn.IFS(A574&lt;=30,"18-30",A574&lt;=40,"31-40",A574&lt;=50,"41-50",A574&gt;50,"51+")</f>
        <v>18-30</v>
      </c>
      <c r="P574" t="str" cm="1">
        <f t="array" ref="P574">_xlfn.IFS(F574&lt;=45,"45 or below",F574&lt;= 60,"46-60",F574&lt;=75,"61-75",F574&lt;=90,"76-90",F574&gt;90,"91 or above")</f>
        <v>61-75</v>
      </c>
      <c r="Q5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74" t="str" cm="1">
        <f t="array" ref="R5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75" spans="1:18" hidden="1" x14ac:dyDescent="0.2">
      <c r="A575">
        <f>Table1[[#This Row],[Age]]</f>
        <v>26</v>
      </c>
      <c r="B575">
        <f>IF(Table3[[#This Row],[Attrition]] = "Yes", 1,0)</f>
        <v>1</v>
      </c>
      <c r="C575" t="str">
        <f>Table1[[#This Row],[Attrition]]</f>
        <v>Yes</v>
      </c>
      <c r="D575" t="str">
        <f>Table1[[#This Row],[Department]]</f>
        <v>Sales</v>
      </c>
      <c r="E575">
        <f>Table1[[#This Row],[EnvironmentSatisfaction]]</f>
        <v>4</v>
      </c>
      <c r="F575">
        <f>Table1[[#This Row],[HourlyRate]]</f>
        <v>38</v>
      </c>
      <c r="G575" t="str">
        <f>Table1[[#This Row],[JobRole]]</f>
        <v>Sales Executive</v>
      </c>
      <c r="H575">
        <f>Table1[[#This Row],[JobSatisfaction]]</f>
        <v>1</v>
      </c>
      <c r="I575">
        <f>Table1[[#This Row],[YearsAtCompany]]</f>
        <v>4</v>
      </c>
      <c r="J575">
        <f>Table1[[#This Row],[YearsSinceLastPromotion]]</f>
        <v>1</v>
      </c>
      <c r="K575">
        <f>Table1[[#This Row],[EmployeeNumber]]</f>
        <v>796</v>
      </c>
      <c r="L575">
        <f>Table1[[#This Row],[DistanceFromHome]]</f>
        <v>8</v>
      </c>
      <c r="M575" t="str">
        <f>Table1[[#This Row],[OverTime]]</f>
        <v>No</v>
      </c>
      <c r="N575">
        <f>Table1[[#This Row],[WorkLifeBalance]]</f>
        <v>2</v>
      </c>
      <c r="O575" t="str" cm="1">
        <f t="array" ref="O575">_xlfn.IFS(A575&lt;=30,"18-30",A575&lt;=40,"31-40",A575&lt;=50,"41-50",A575&gt;50,"51+")</f>
        <v>18-30</v>
      </c>
      <c r="P575" t="str" cm="1">
        <f t="array" ref="P575">_xlfn.IFS(F575&lt;=45,"45 or below",F575&lt;= 60,"46-60",F575&lt;=75,"61-75",F575&lt;=90,"76-90",F575&gt;90,"91 or above")</f>
        <v>45 or below</v>
      </c>
      <c r="Q57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75" t="str" cm="1">
        <f t="array" ref="R575" xml:space="preserve"> _xlfn.IFS(Table3[[#This Row],[Flight Risk Score]] = "NA","NA",Table3[[#This Row],[Flight Risk Score]] &gt;= 70,"High Risk",Table3[[#This Row],[Flight Risk Score]] &gt;= 50, "Medium Risk", Table3[[#This Row],[Flight Risk Score]] &gt;= 30,"Low Risk",Table3[[#This Row],[Flight Risk Score]] &lt; 30,"Very Low Risk")</f>
        <v>NA</v>
      </c>
    </row>
    <row r="576" spans="1:18" x14ac:dyDescent="0.2">
      <c r="A576">
        <f>Table1[[#This Row],[Age]]</f>
        <v>34</v>
      </c>
      <c r="B576">
        <f>IF(Table3[[#This Row],[Attrition]] = "Yes", 1,0)</f>
        <v>0</v>
      </c>
      <c r="C576" t="str">
        <f>Table1[[#This Row],[Attrition]]</f>
        <v>No</v>
      </c>
      <c r="D576" t="str">
        <f>Table1[[#This Row],[Department]]</f>
        <v>Research &amp; Development</v>
      </c>
      <c r="E576">
        <f>Table1[[#This Row],[EnvironmentSatisfaction]]</f>
        <v>2</v>
      </c>
      <c r="F576">
        <f>Table1[[#This Row],[HourlyRate]]</f>
        <v>72</v>
      </c>
      <c r="G576" t="str">
        <f>Table1[[#This Row],[JobRole]]</f>
        <v>Research Scientist</v>
      </c>
      <c r="H576">
        <f>Table1[[#This Row],[JobSatisfaction]]</f>
        <v>4</v>
      </c>
      <c r="I576">
        <f>Table1[[#This Row],[YearsAtCompany]]</f>
        <v>4</v>
      </c>
      <c r="J576">
        <f>Table1[[#This Row],[YearsSinceLastPromotion]]</f>
        <v>1</v>
      </c>
      <c r="K576">
        <f>Table1[[#This Row],[EmployeeNumber]]</f>
        <v>797</v>
      </c>
      <c r="L576">
        <f>Table1[[#This Row],[DistanceFromHome]]</f>
        <v>1</v>
      </c>
      <c r="M576" t="str">
        <f>Table1[[#This Row],[OverTime]]</f>
        <v>No</v>
      </c>
      <c r="N576">
        <f>Table1[[#This Row],[WorkLifeBalance]]</f>
        <v>3</v>
      </c>
      <c r="O576" t="str" cm="1">
        <f t="array" ref="O576">_xlfn.IFS(A576&lt;=30,"18-30",A576&lt;=40,"31-40",A576&lt;=50,"41-50",A576&gt;50,"51+")</f>
        <v>31-40</v>
      </c>
      <c r="P576" t="str" cm="1">
        <f t="array" ref="P576">_xlfn.IFS(F576&lt;=45,"45 or below",F576&lt;= 60,"46-60",F576&lt;=75,"61-75",F576&lt;=90,"76-90",F576&gt;90,"91 or above")</f>
        <v>61-75</v>
      </c>
      <c r="Q5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76" t="str" cm="1">
        <f t="array" ref="R5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77" spans="1:18" x14ac:dyDescent="0.2">
      <c r="A577">
        <f>Table1[[#This Row],[Age]]</f>
        <v>54</v>
      </c>
      <c r="B577">
        <f>IF(Table3[[#This Row],[Attrition]] = "Yes", 1,0)</f>
        <v>0</v>
      </c>
      <c r="C577" t="str">
        <f>Table1[[#This Row],[Attrition]]</f>
        <v>No</v>
      </c>
      <c r="D577" t="str">
        <f>Table1[[#This Row],[Department]]</f>
        <v>Research &amp; Development</v>
      </c>
      <c r="E577">
        <f>Table1[[#This Row],[EnvironmentSatisfaction]]</f>
        <v>4</v>
      </c>
      <c r="F577">
        <f>Table1[[#This Row],[HourlyRate]]</f>
        <v>95</v>
      </c>
      <c r="G577" t="str">
        <f>Table1[[#This Row],[JobRole]]</f>
        <v>Manufacturing Director</v>
      </c>
      <c r="H577">
        <f>Table1[[#This Row],[JobSatisfaction]]</f>
        <v>1</v>
      </c>
      <c r="I577">
        <f>Table1[[#This Row],[YearsAtCompany]]</f>
        <v>5</v>
      </c>
      <c r="J577">
        <f>Table1[[#This Row],[YearsSinceLastPromotion]]</f>
        <v>1</v>
      </c>
      <c r="K577">
        <f>Table1[[#This Row],[EmployeeNumber]]</f>
        <v>799</v>
      </c>
      <c r="L577">
        <f>Table1[[#This Row],[DistanceFromHome]]</f>
        <v>19</v>
      </c>
      <c r="M577" t="str">
        <f>Table1[[#This Row],[OverTime]]</f>
        <v>Yes</v>
      </c>
      <c r="N577">
        <f>Table1[[#This Row],[WorkLifeBalance]]</f>
        <v>3</v>
      </c>
      <c r="O577" t="str" cm="1">
        <f t="array" ref="O577">_xlfn.IFS(A577&lt;=30,"18-30",A577&lt;=40,"31-40",A577&lt;=50,"41-50",A577&gt;50,"51+")</f>
        <v>51+</v>
      </c>
      <c r="P577" t="str" cm="1">
        <f t="array" ref="P577">_xlfn.IFS(F577&lt;=45,"45 or below",F577&lt;= 60,"46-60",F577&lt;=75,"61-75",F577&lt;=90,"76-90",F577&gt;90,"91 or above")</f>
        <v>91 or above</v>
      </c>
      <c r="Q5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77" t="str" cm="1">
        <f t="array" ref="R57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78" spans="1:18" x14ac:dyDescent="0.2">
      <c r="A578">
        <f>Table1[[#This Row],[Age]]</f>
        <v>27</v>
      </c>
      <c r="B578">
        <f>IF(Table3[[#This Row],[Attrition]] = "Yes", 1,0)</f>
        <v>0</v>
      </c>
      <c r="C578" t="str">
        <f>Table1[[#This Row],[Attrition]]</f>
        <v>No</v>
      </c>
      <c r="D578" t="str">
        <f>Table1[[#This Row],[Department]]</f>
        <v>Sales</v>
      </c>
      <c r="E578">
        <f>Table1[[#This Row],[EnvironmentSatisfaction]]</f>
        <v>3</v>
      </c>
      <c r="F578">
        <f>Table1[[#This Row],[HourlyRate]]</f>
        <v>84</v>
      </c>
      <c r="G578" t="str">
        <f>Table1[[#This Row],[JobRole]]</f>
        <v>Sales Executive</v>
      </c>
      <c r="H578">
        <f>Table1[[#This Row],[JobSatisfaction]]</f>
        <v>4</v>
      </c>
      <c r="I578">
        <f>Table1[[#This Row],[YearsAtCompany]]</f>
        <v>4</v>
      </c>
      <c r="J578">
        <f>Table1[[#This Row],[YearsSinceLastPromotion]]</f>
        <v>1</v>
      </c>
      <c r="K578">
        <f>Table1[[#This Row],[EmployeeNumber]]</f>
        <v>800</v>
      </c>
      <c r="L578">
        <f>Table1[[#This Row],[DistanceFromHome]]</f>
        <v>8</v>
      </c>
      <c r="M578" t="str">
        <f>Table1[[#This Row],[OverTime]]</f>
        <v>No</v>
      </c>
      <c r="N578">
        <f>Table1[[#This Row],[WorkLifeBalance]]</f>
        <v>3</v>
      </c>
      <c r="O578" t="str" cm="1">
        <f t="array" ref="O578">_xlfn.IFS(A578&lt;=30,"18-30",A578&lt;=40,"31-40",A578&lt;=50,"41-50",A578&gt;50,"51+")</f>
        <v>18-30</v>
      </c>
      <c r="P578" t="str" cm="1">
        <f t="array" ref="P578">_xlfn.IFS(F578&lt;=45,"45 or below",F578&lt;= 60,"46-60",F578&lt;=75,"61-75",F578&lt;=90,"76-90",F578&gt;90,"91 or above")</f>
        <v>76-90</v>
      </c>
      <c r="Q5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78" t="str" cm="1">
        <f t="array" ref="R5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79" spans="1:18" x14ac:dyDescent="0.2">
      <c r="A579">
        <f>Table1[[#This Row],[Age]]</f>
        <v>37</v>
      </c>
      <c r="B579">
        <f>IF(Table3[[#This Row],[Attrition]] = "Yes", 1,0)</f>
        <v>0</v>
      </c>
      <c r="C579" t="str">
        <f>Table1[[#This Row],[Attrition]]</f>
        <v>No</v>
      </c>
      <c r="D579" t="str">
        <f>Table1[[#This Row],[Department]]</f>
        <v>Research &amp; Development</v>
      </c>
      <c r="E579">
        <f>Table1[[#This Row],[EnvironmentSatisfaction]]</f>
        <v>4</v>
      </c>
      <c r="F579">
        <f>Table1[[#This Row],[HourlyRate]]</f>
        <v>82</v>
      </c>
      <c r="G579" t="str">
        <f>Table1[[#This Row],[JobRole]]</f>
        <v>Research Scientist</v>
      </c>
      <c r="H579">
        <f>Table1[[#This Row],[JobSatisfaction]]</f>
        <v>1</v>
      </c>
      <c r="I579">
        <f>Table1[[#This Row],[YearsAtCompany]]</f>
        <v>5</v>
      </c>
      <c r="J579">
        <f>Table1[[#This Row],[YearsSinceLastPromotion]]</f>
        <v>4</v>
      </c>
      <c r="K579">
        <f>Table1[[#This Row],[EmployeeNumber]]</f>
        <v>802</v>
      </c>
      <c r="L579">
        <f>Table1[[#This Row],[DistanceFromHome]]</f>
        <v>10</v>
      </c>
      <c r="M579" t="str">
        <f>Table1[[#This Row],[OverTime]]</f>
        <v>Yes</v>
      </c>
      <c r="N579">
        <f>Table1[[#This Row],[WorkLifeBalance]]</f>
        <v>2</v>
      </c>
      <c r="O579" t="str" cm="1">
        <f t="array" ref="O579">_xlfn.IFS(A579&lt;=30,"18-30",A579&lt;=40,"31-40",A579&lt;=50,"41-50",A579&gt;50,"51+")</f>
        <v>31-40</v>
      </c>
      <c r="P579" t="str" cm="1">
        <f t="array" ref="P579">_xlfn.IFS(F579&lt;=45,"45 or below",F579&lt;= 60,"46-60",F579&lt;=75,"61-75",F579&lt;=90,"76-90",F579&gt;90,"91 or above")</f>
        <v>76-90</v>
      </c>
      <c r="Q5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579" t="str" cm="1">
        <f t="array" ref="R57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80" spans="1:18" x14ac:dyDescent="0.2">
      <c r="A580">
        <f>Table1[[#This Row],[Age]]</f>
        <v>38</v>
      </c>
      <c r="B580">
        <f>IF(Table3[[#This Row],[Attrition]] = "Yes", 1,0)</f>
        <v>0</v>
      </c>
      <c r="C580" t="str">
        <f>Table1[[#This Row],[Attrition]]</f>
        <v>No</v>
      </c>
      <c r="D580" t="str">
        <f>Table1[[#This Row],[Department]]</f>
        <v>Research &amp; Development</v>
      </c>
      <c r="E580">
        <f>Table1[[#This Row],[EnvironmentSatisfaction]]</f>
        <v>1</v>
      </c>
      <c r="F580">
        <f>Table1[[#This Row],[HourlyRate]]</f>
        <v>75</v>
      </c>
      <c r="G580" t="str">
        <f>Table1[[#This Row],[JobRole]]</f>
        <v>Manufacturing Director</v>
      </c>
      <c r="H580">
        <f>Table1[[#This Row],[JobSatisfaction]]</f>
        <v>1</v>
      </c>
      <c r="I580">
        <f>Table1[[#This Row],[YearsAtCompany]]</f>
        <v>15</v>
      </c>
      <c r="J580">
        <f>Table1[[#This Row],[YearsSinceLastPromotion]]</f>
        <v>4</v>
      </c>
      <c r="K580">
        <f>Table1[[#This Row],[EmployeeNumber]]</f>
        <v>803</v>
      </c>
      <c r="L580">
        <f>Table1[[#This Row],[DistanceFromHome]]</f>
        <v>2</v>
      </c>
      <c r="M580" t="str">
        <f>Table1[[#This Row],[OverTime]]</f>
        <v>Yes</v>
      </c>
      <c r="N580">
        <f>Table1[[#This Row],[WorkLifeBalance]]</f>
        <v>3</v>
      </c>
      <c r="O580" t="str" cm="1">
        <f t="array" ref="O580">_xlfn.IFS(A580&lt;=30,"18-30",A580&lt;=40,"31-40",A580&lt;=50,"41-50",A580&gt;50,"51+")</f>
        <v>31-40</v>
      </c>
      <c r="P580" t="str" cm="1">
        <f t="array" ref="P580">_xlfn.IFS(F580&lt;=45,"45 or below",F580&lt;= 60,"46-60",F580&lt;=75,"61-75",F580&lt;=90,"76-90",F580&gt;90,"91 or above")</f>
        <v>61-75</v>
      </c>
      <c r="Q5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580" t="str" cm="1">
        <f t="array" ref="R58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581" spans="1:18" x14ac:dyDescent="0.2">
      <c r="A581">
        <f>Table1[[#This Row],[Age]]</f>
        <v>34</v>
      </c>
      <c r="B581">
        <f>IF(Table3[[#This Row],[Attrition]] = "Yes", 1,0)</f>
        <v>0</v>
      </c>
      <c r="C581" t="str">
        <f>Table1[[#This Row],[Attrition]]</f>
        <v>No</v>
      </c>
      <c r="D581" t="str">
        <f>Table1[[#This Row],[Department]]</f>
        <v>Research &amp; Development</v>
      </c>
      <c r="E581">
        <f>Table1[[#This Row],[EnvironmentSatisfaction]]</f>
        <v>3</v>
      </c>
      <c r="F581">
        <f>Table1[[#This Row],[HourlyRate]]</f>
        <v>86</v>
      </c>
      <c r="G581" t="str">
        <f>Table1[[#This Row],[JobRole]]</f>
        <v>Research Scientist</v>
      </c>
      <c r="H581">
        <f>Table1[[#This Row],[JobSatisfaction]]</f>
        <v>1</v>
      </c>
      <c r="I581">
        <f>Table1[[#This Row],[YearsAtCompany]]</f>
        <v>6</v>
      </c>
      <c r="J581">
        <f>Table1[[#This Row],[YearsSinceLastPromotion]]</f>
        <v>1</v>
      </c>
      <c r="K581">
        <f>Table1[[#This Row],[EmployeeNumber]]</f>
        <v>804</v>
      </c>
      <c r="L581">
        <f>Table1[[#This Row],[DistanceFromHome]]</f>
        <v>2</v>
      </c>
      <c r="M581" t="str">
        <f>Table1[[#This Row],[OverTime]]</f>
        <v>No</v>
      </c>
      <c r="N581">
        <f>Table1[[#This Row],[WorkLifeBalance]]</f>
        <v>3</v>
      </c>
      <c r="O581" t="str" cm="1">
        <f t="array" ref="O581">_xlfn.IFS(A581&lt;=30,"18-30",A581&lt;=40,"31-40",A581&lt;=50,"41-50",A581&gt;50,"51+")</f>
        <v>31-40</v>
      </c>
      <c r="P581" t="str" cm="1">
        <f t="array" ref="P581">_xlfn.IFS(F581&lt;=45,"45 or below",F581&lt;= 60,"46-60",F581&lt;=75,"61-75",F581&lt;=90,"76-90",F581&gt;90,"91 or above")</f>
        <v>76-90</v>
      </c>
      <c r="Q5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81" t="str" cm="1">
        <f t="array" ref="R58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2" spans="1:18" x14ac:dyDescent="0.2">
      <c r="A582">
        <f>Table1[[#This Row],[Age]]</f>
        <v>35</v>
      </c>
      <c r="B582">
        <f>IF(Table3[[#This Row],[Attrition]] = "Yes", 1,0)</f>
        <v>0</v>
      </c>
      <c r="C582" t="str">
        <f>Table1[[#This Row],[Attrition]]</f>
        <v>No</v>
      </c>
      <c r="D582" t="str">
        <f>Table1[[#This Row],[Department]]</f>
        <v>Sales</v>
      </c>
      <c r="E582">
        <f>Table1[[#This Row],[EnvironmentSatisfaction]]</f>
        <v>1</v>
      </c>
      <c r="F582">
        <f>Table1[[#This Row],[HourlyRate]]</f>
        <v>72</v>
      </c>
      <c r="G582" t="str">
        <f>Table1[[#This Row],[JobRole]]</f>
        <v>Sales Representative</v>
      </c>
      <c r="H582">
        <f>Table1[[#This Row],[JobSatisfaction]]</f>
        <v>4</v>
      </c>
      <c r="I582">
        <f>Table1[[#This Row],[YearsAtCompany]]</f>
        <v>3</v>
      </c>
      <c r="J582">
        <f>Table1[[#This Row],[YearsSinceLastPromotion]]</f>
        <v>0</v>
      </c>
      <c r="K582">
        <f>Table1[[#This Row],[EmployeeNumber]]</f>
        <v>805</v>
      </c>
      <c r="L582">
        <f>Table1[[#This Row],[DistanceFromHome]]</f>
        <v>8</v>
      </c>
      <c r="M582" t="str">
        <f>Table1[[#This Row],[OverTime]]</f>
        <v>No</v>
      </c>
      <c r="N582">
        <f>Table1[[#This Row],[WorkLifeBalance]]</f>
        <v>2</v>
      </c>
      <c r="O582" t="str" cm="1">
        <f t="array" ref="O582">_xlfn.IFS(A582&lt;=30,"18-30",A582&lt;=40,"31-40",A582&lt;=50,"41-50",A582&gt;50,"51+")</f>
        <v>31-40</v>
      </c>
      <c r="P582" t="str" cm="1">
        <f t="array" ref="P582">_xlfn.IFS(F582&lt;=45,"45 or below",F582&lt;= 60,"46-60",F582&lt;=75,"61-75",F582&lt;=90,"76-90",F582&gt;90,"91 or above")</f>
        <v>61-75</v>
      </c>
      <c r="Q5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82" t="str" cm="1">
        <f t="array" ref="R58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3" spans="1:18" x14ac:dyDescent="0.2">
      <c r="A583">
        <f>Table1[[#This Row],[Age]]</f>
        <v>30</v>
      </c>
      <c r="B583">
        <f>IF(Table3[[#This Row],[Attrition]] = "Yes", 1,0)</f>
        <v>0</v>
      </c>
      <c r="C583" t="str">
        <f>Table1[[#This Row],[Attrition]]</f>
        <v>No</v>
      </c>
      <c r="D583" t="str">
        <f>Table1[[#This Row],[Department]]</f>
        <v>Research &amp; Development</v>
      </c>
      <c r="E583">
        <f>Table1[[#This Row],[EnvironmentSatisfaction]]</f>
        <v>4</v>
      </c>
      <c r="F583">
        <f>Table1[[#This Row],[HourlyRate]]</f>
        <v>38</v>
      </c>
      <c r="G583" t="str">
        <f>Table1[[#This Row],[JobRole]]</f>
        <v>Laboratory Technician</v>
      </c>
      <c r="H583">
        <f>Table1[[#This Row],[JobSatisfaction]]</f>
        <v>3</v>
      </c>
      <c r="I583">
        <f>Table1[[#This Row],[YearsAtCompany]]</f>
        <v>2</v>
      </c>
      <c r="J583">
        <f>Table1[[#This Row],[YearsSinceLastPromotion]]</f>
        <v>0</v>
      </c>
      <c r="K583">
        <f>Table1[[#This Row],[EmployeeNumber]]</f>
        <v>806</v>
      </c>
      <c r="L583">
        <f>Table1[[#This Row],[DistanceFromHome]]</f>
        <v>1</v>
      </c>
      <c r="M583" t="str">
        <f>Table1[[#This Row],[OverTime]]</f>
        <v>No</v>
      </c>
      <c r="N583">
        <f>Table1[[#This Row],[WorkLifeBalance]]</f>
        <v>3</v>
      </c>
      <c r="O583" t="str" cm="1">
        <f t="array" ref="O583">_xlfn.IFS(A583&lt;=30,"18-30",A583&lt;=40,"31-40",A583&lt;=50,"41-50",A583&gt;50,"51+")</f>
        <v>18-30</v>
      </c>
      <c r="P583" t="str" cm="1">
        <f t="array" ref="P583">_xlfn.IFS(F583&lt;=45,"45 or below",F583&lt;= 60,"46-60",F583&lt;=75,"61-75",F583&lt;=90,"76-90",F583&gt;90,"91 or above")</f>
        <v>45 or below</v>
      </c>
      <c r="Q5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83" t="str" cm="1">
        <f t="array" ref="R5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4" spans="1:18" x14ac:dyDescent="0.2">
      <c r="A584">
        <f>Table1[[#This Row],[Age]]</f>
        <v>40</v>
      </c>
      <c r="B584">
        <f>IF(Table3[[#This Row],[Attrition]] = "Yes", 1,0)</f>
        <v>0</v>
      </c>
      <c r="C584" t="str">
        <f>Table1[[#This Row],[Attrition]]</f>
        <v>No</v>
      </c>
      <c r="D584" t="str">
        <f>Table1[[#This Row],[Department]]</f>
        <v>Research &amp; Development</v>
      </c>
      <c r="E584">
        <f>Table1[[#This Row],[EnvironmentSatisfaction]]</f>
        <v>3</v>
      </c>
      <c r="F584">
        <f>Table1[[#This Row],[HourlyRate]]</f>
        <v>38</v>
      </c>
      <c r="G584" t="str">
        <f>Table1[[#This Row],[JobRole]]</f>
        <v>Healthcare Representative</v>
      </c>
      <c r="H584">
        <f>Table1[[#This Row],[JobSatisfaction]]</f>
        <v>2</v>
      </c>
      <c r="I584">
        <f>Table1[[#This Row],[YearsAtCompany]]</f>
        <v>8</v>
      </c>
      <c r="J584">
        <f>Table1[[#This Row],[YearsSinceLastPromotion]]</f>
        <v>3</v>
      </c>
      <c r="K584">
        <f>Table1[[#This Row],[EmployeeNumber]]</f>
        <v>807</v>
      </c>
      <c r="L584">
        <f>Table1[[#This Row],[DistanceFromHome]]</f>
        <v>2</v>
      </c>
      <c r="M584" t="str">
        <f>Table1[[#This Row],[OverTime]]</f>
        <v>No</v>
      </c>
      <c r="N584">
        <f>Table1[[#This Row],[WorkLifeBalance]]</f>
        <v>3</v>
      </c>
      <c r="O584" t="str" cm="1">
        <f t="array" ref="O584">_xlfn.IFS(A584&lt;=30,"18-30",A584&lt;=40,"31-40",A584&lt;=50,"41-50",A584&gt;50,"51+")</f>
        <v>31-40</v>
      </c>
      <c r="P584" t="str" cm="1">
        <f t="array" ref="P584">_xlfn.IFS(F584&lt;=45,"45 or below",F584&lt;= 60,"46-60",F584&lt;=75,"61-75",F584&lt;=90,"76-90",F584&gt;90,"91 or above")</f>
        <v>45 or below</v>
      </c>
      <c r="Q5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84" t="str" cm="1">
        <f t="array" ref="R5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5" spans="1:18" x14ac:dyDescent="0.2">
      <c r="A585">
        <f>Table1[[#This Row],[Age]]</f>
        <v>34</v>
      </c>
      <c r="B585">
        <f>IF(Table3[[#This Row],[Attrition]] = "Yes", 1,0)</f>
        <v>0</v>
      </c>
      <c r="C585" t="str">
        <f>Table1[[#This Row],[Attrition]]</f>
        <v>No</v>
      </c>
      <c r="D585" t="str">
        <f>Table1[[#This Row],[Department]]</f>
        <v>Sales</v>
      </c>
      <c r="E585">
        <f>Table1[[#This Row],[EnvironmentSatisfaction]]</f>
        <v>3</v>
      </c>
      <c r="F585">
        <f>Table1[[#This Row],[HourlyRate]]</f>
        <v>93</v>
      </c>
      <c r="G585" t="str">
        <f>Table1[[#This Row],[JobRole]]</f>
        <v>Sales Executive</v>
      </c>
      <c r="H585">
        <f>Table1[[#This Row],[JobSatisfaction]]</f>
        <v>1</v>
      </c>
      <c r="I585">
        <f>Table1[[#This Row],[YearsAtCompany]]</f>
        <v>3</v>
      </c>
      <c r="J585">
        <f>Table1[[#This Row],[YearsSinceLastPromotion]]</f>
        <v>1</v>
      </c>
      <c r="K585">
        <f>Table1[[#This Row],[EmployeeNumber]]</f>
        <v>808</v>
      </c>
      <c r="L585">
        <f>Table1[[#This Row],[DistanceFromHome]]</f>
        <v>8</v>
      </c>
      <c r="M585" t="str">
        <f>Table1[[#This Row],[OverTime]]</f>
        <v>No</v>
      </c>
      <c r="N585">
        <f>Table1[[#This Row],[WorkLifeBalance]]</f>
        <v>3</v>
      </c>
      <c r="O585" t="str" cm="1">
        <f t="array" ref="O585">_xlfn.IFS(A585&lt;=30,"18-30",A585&lt;=40,"31-40",A585&lt;=50,"41-50",A585&gt;50,"51+")</f>
        <v>31-40</v>
      </c>
      <c r="P585" t="str" cm="1">
        <f t="array" ref="P585">_xlfn.IFS(F585&lt;=45,"45 or below",F585&lt;= 60,"46-60",F585&lt;=75,"61-75",F585&lt;=90,"76-90",F585&gt;90,"91 or above")</f>
        <v>91 or above</v>
      </c>
      <c r="Q5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85" t="str" cm="1">
        <f t="array" ref="R5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6" spans="1:18" x14ac:dyDescent="0.2">
      <c r="A586">
        <f>Table1[[#This Row],[Age]]</f>
        <v>42</v>
      </c>
      <c r="B586">
        <f>IF(Table3[[#This Row],[Attrition]] = "Yes", 1,0)</f>
        <v>0</v>
      </c>
      <c r="C586" t="str">
        <f>Table1[[#This Row],[Attrition]]</f>
        <v>No</v>
      </c>
      <c r="D586" t="str">
        <f>Table1[[#This Row],[Department]]</f>
        <v>Research &amp; Development</v>
      </c>
      <c r="E586">
        <f>Table1[[#This Row],[EnvironmentSatisfaction]]</f>
        <v>2</v>
      </c>
      <c r="F586">
        <f>Table1[[#This Row],[HourlyRate]]</f>
        <v>66</v>
      </c>
      <c r="G586" t="str">
        <f>Table1[[#This Row],[JobRole]]</f>
        <v>Manager</v>
      </c>
      <c r="H586">
        <f>Table1[[#This Row],[JobSatisfaction]]</f>
        <v>4</v>
      </c>
      <c r="I586">
        <f>Table1[[#This Row],[YearsAtCompany]]</f>
        <v>24</v>
      </c>
      <c r="J586">
        <f>Table1[[#This Row],[YearsSinceLastPromotion]]</f>
        <v>14</v>
      </c>
      <c r="K586">
        <f>Table1[[#This Row],[EmployeeNumber]]</f>
        <v>809</v>
      </c>
      <c r="L586">
        <f>Table1[[#This Row],[DistanceFromHome]]</f>
        <v>8</v>
      </c>
      <c r="M586" t="str">
        <f>Table1[[#This Row],[OverTime]]</f>
        <v>No</v>
      </c>
      <c r="N586">
        <f>Table1[[#This Row],[WorkLifeBalance]]</f>
        <v>2</v>
      </c>
      <c r="O586" t="str" cm="1">
        <f t="array" ref="O586">_xlfn.IFS(A586&lt;=30,"18-30",A586&lt;=40,"31-40",A586&lt;=50,"41-50",A586&gt;50,"51+")</f>
        <v>41-50</v>
      </c>
      <c r="P586" t="str" cm="1">
        <f t="array" ref="P586">_xlfn.IFS(F586&lt;=45,"45 or below",F586&lt;= 60,"46-60",F586&lt;=75,"61-75",F586&lt;=90,"76-90",F586&gt;90,"91 or above")</f>
        <v>61-75</v>
      </c>
      <c r="Q5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86" t="str" cm="1">
        <f t="array" ref="R5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7" spans="1:18" hidden="1" x14ac:dyDescent="0.2">
      <c r="A587">
        <f>Table1[[#This Row],[Age]]</f>
        <v>23</v>
      </c>
      <c r="B587">
        <f>IF(Table3[[#This Row],[Attrition]] = "Yes", 1,0)</f>
        <v>1</v>
      </c>
      <c r="C587" t="str">
        <f>Table1[[#This Row],[Attrition]]</f>
        <v>Yes</v>
      </c>
      <c r="D587" t="str">
        <f>Table1[[#This Row],[Department]]</f>
        <v>Research &amp; Development</v>
      </c>
      <c r="E587">
        <f>Table1[[#This Row],[EnvironmentSatisfaction]]</f>
        <v>3</v>
      </c>
      <c r="F587">
        <f>Table1[[#This Row],[HourlyRate]]</f>
        <v>63</v>
      </c>
      <c r="G587" t="str">
        <f>Table1[[#This Row],[JobRole]]</f>
        <v>Laboratory Technician</v>
      </c>
      <c r="H587">
        <f>Table1[[#This Row],[JobSatisfaction]]</f>
        <v>1</v>
      </c>
      <c r="I587">
        <f>Table1[[#This Row],[YearsAtCompany]]</f>
        <v>0</v>
      </c>
      <c r="J587">
        <f>Table1[[#This Row],[YearsSinceLastPromotion]]</f>
        <v>0</v>
      </c>
      <c r="K587">
        <f>Table1[[#This Row],[EmployeeNumber]]</f>
        <v>811</v>
      </c>
      <c r="L587">
        <f>Table1[[#This Row],[DistanceFromHome]]</f>
        <v>6</v>
      </c>
      <c r="M587" t="str">
        <f>Table1[[#This Row],[OverTime]]</f>
        <v>Yes</v>
      </c>
      <c r="N587">
        <f>Table1[[#This Row],[WorkLifeBalance]]</f>
        <v>3</v>
      </c>
      <c r="O587" t="str" cm="1">
        <f t="array" ref="O587">_xlfn.IFS(A587&lt;=30,"18-30",A587&lt;=40,"31-40",A587&lt;=50,"41-50",A587&gt;50,"51+")</f>
        <v>18-30</v>
      </c>
      <c r="P587" t="str" cm="1">
        <f t="array" ref="P587">_xlfn.IFS(F587&lt;=45,"45 or below",F587&lt;= 60,"46-60",F587&lt;=75,"61-75",F587&lt;=90,"76-90",F587&gt;90,"91 or above")</f>
        <v>61-75</v>
      </c>
      <c r="Q58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87" t="str" cm="1">
        <f t="array" ref="R587" xml:space="preserve"> _xlfn.IFS(Table3[[#This Row],[Flight Risk Score]] = "NA","NA",Table3[[#This Row],[Flight Risk Score]] &gt;= 70,"High Risk",Table3[[#This Row],[Flight Risk Score]] &gt;= 50, "Medium Risk", Table3[[#This Row],[Flight Risk Score]] &gt;= 30,"Low Risk",Table3[[#This Row],[Flight Risk Score]] &lt; 30,"Very Low Risk")</f>
        <v>NA</v>
      </c>
    </row>
    <row r="588" spans="1:18" x14ac:dyDescent="0.2">
      <c r="A588">
        <f>Table1[[#This Row],[Age]]</f>
        <v>24</v>
      </c>
      <c r="B588">
        <f>IF(Table3[[#This Row],[Attrition]] = "Yes", 1,0)</f>
        <v>0</v>
      </c>
      <c r="C588" t="str">
        <f>Table1[[#This Row],[Attrition]]</f>
        <v>No</v>
      </c>
      <c r="D588" t="str">
        <f>Table1[[#This Row],[Department]]</f>
        <v>Research &amp; Development</v>
      </c>
      <c r="E588">
        <f>Table1[[#This Row],[EnvironmentSatisfaction]]</f>
        <v>3</v>
      </c>
      <c r="F588">
        <f>Table1[[#This Row],[HourlyRate]]</f>
        <v>60</v>
      </c>
      <c r="G588" t="str">
        <f>Table1[[#This Row],[JobRole]]</f>
        <v>Laboratory Technician</v>
      </c>
      <c r="H588">
        <f>Table1[[#This Row],[JobSatisfaction]]</f>
        <v>2</v>
      </c>
      <c r="I588">
        <f>Table1[[#This Row],[YearsAtCompany]]</f>
        <v>1</v>
      </c>
      <c r="J588">
        <f>Table1[[#This Row],[YearsSinceLastPromotion]]</f>
        <v>0</v>
      </c>
      <c r="K588">
        <f>Table1[[#This Row],[EmployeeNumber]]</f>
        <v>812</v>
      </c>
      <c r="L588">
        <f>Table1[[#This Row],[DistanceFromHome]]</f>
        <v>9</v>
      </c>
      <c r="M588" t="str">
        <f>Table1[[#This Row],[OverTime]]</f>
        <v>No</v>
      </c>
      <c r="N588">
        <f>Table1[[#This Row],[WorkLifeBalance]]</f>
        <v>3</v>
      </c>
      <c r="O588" t="str" cm="1">
        <f t="array" ref="O588">_xlfn.IFS(A588&lt;=30,"18-30",A588&lt;=40,"31-40",A588&lt;=50,"41-50",A588&gt;50,"51+")</f>
        <v>18-30</v>
      </c>
      <c r="P588" t="str" cm="1">
        <f t="array" ref="P588">_xlfn.IFS(F588&lt;=45,"45 or below",F588&lt;= 60,"46-60",F588&lt;=75,"61-75",F588&lt;=90,"76-90",F588&gt;90,"91 or above")</f>
        <v>46-60</v>
      </c>
      <c r="Q5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88" t="str" cm="1">
        <f t="array" ref="R5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89" spans="1:18" x14ac:dyDescent="0.2">
      <c r="A589">
        <f>Table1[[#This Row],[Age]]</f>
        <v>52</v>
      </c>
      <c r="B589">
        <f>IF(Table3[[#This Row],[Attrition]] = "Yes", 1,0)</f>
        <v>0</v>
      </c>
      <c r="C589" t="str">
        <f>Table1[[#This Row],[Attrition]]</f>
        <v>No</v>
      </c>
      <c r="D589" t="str">
        <f>Table1[[#This Row],[Department]]</f>
        <v>Research &amp; Development</v>
      </c>
      <c r="E589">
        <f>Table1[[#This Row],[EnvironmentSatisfaction]]</f>
        <v>4</v>
      </c>
      <c r="F589">
        <f>Table1[[#This Row],[HourlyRate]]</f>
        <v>82</v>
      </c>
      <c r="G589" t="str">
        <f>Table1[[#This Row],[JobRole]]</f>
        <v>Laboratory Technician</v>
      </c>
      <c r="H589">
        <f>Table1[[#This Row],[JobSatisfaction]]</f>
        <v>3</v>
      </c>
      <c r="I589">
        <f>Table1[[#This Row],[YearsAtCompany]]</f>
        <v>5</v>
      </c>
      <c r="J589">
        <f>Table1[[#This Row],[YearsSinceLastPromotion]]</f>
        <v>1</v>
      </c>
      <c r="K589">
        <f>Table1[[#This Row],[EmployeeNumber]]</f>
        <v>813</v>
      </c>
      <c r="L589">
        <f>Table1[[#This Row],[DistanceFromHome]]</f>
        <v>11</v>
      </c>
      <c r="M589" t="str">
        <f>Table1[[#This Row],[OverTime]]</f>
        <v>No</v>
      </c>
      <c r="N589">
        <f>Table1[[#This Row],[WorkLifeBalance]]</f>
        <v>3</v>
      </c>
      <c r="O589" t="str" cm="1">
        <f t="array" ref="O589">_xlfn.IFS(A589&lt;=30,"18-30",A589&lt;=40,"31-40",A589&lt;=50,"41-50",A589&gt;50,"51+")</f>
        <v>51+</v>
      </c>
      <c r="P589" t="str" cm="1">
        <f t="array" ref="P589">_xlfn.IFS(F589&lt;=45,"45 or below",F589&lt;= 60,"46-60",F589&lt;=75,"61-75",F589&lt;=90,"76-90",F589&gt;90,"91 or above")</f>
        <v>76-90</v>
      </c>
      <c r="Q5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89" t="str" cm="1">
        <f t="array" ref="R5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90" spans="1:18" x14ac:dyDescent="0.2">
      <c r="A590">
        <f>Table1[[#This Row],[Age]]</f>
        <v>50</v>
      </c>
      <c r="B590">
        <f>IF(Table3[[#This Row],[Attrition]] = "Yes", 1,0)</f>
        <v>0</v>
      </c>
      <c r="C590" t="str">
        <f>Table1[[#This Row],[Attrition]]</f>
        <v>No</v>
      </c>
      <c r="D590" t="str">
        <f>Table1[[#This Row],[Department]]</f>
        <v>Research &amp; Development</v>
      </c>
      <c r="E590">
        <f>Table1[[#This Row],[EnvironmentSatisfaction]]</f>
        <v>3</v>
      </c>
      <c r="F590">
        <f>Table1[[#This Row],[HourlyRate]]</f>
        <v>64</v>
      </c>
      <c r="G590" t="str">
        <f>Table1[[#This Row],[JobRole]]</f>
        <v>Research Director</v>
      </c>
      <c r="H590">
        <f>Table1[[#This Row],[JobSatisfaction]]</f>
        <v>3</v>
      </c>
      <c r="I590">
        <f>Table1[[#This Row],[YearsAtCompany]]</f>
        <v>4</v>
      </c>
      <c r="J590">
        <f>Table1[[#This Row],[YearsSinceLastPromotion]]</f>
        <v>0</v>
      </c>
      <c r="K590">
        <f>Table1[[#This Row],[EmployeeNumber]]</f>
        <v>815</v>
      </c>
      <c r="L590">
        <f>Table1[[#This Row],[DistanceFromHome]]</f>
        <v>2</v>
      </c>
      <c r="M590" t="str">
        <f>Table1[[#This Row],[OverTime]]</f>
        <v>No</v>
      </c>
      <c r="N590">
        <f>Table1[[#This Row],[WorkLifeBalance]]</f>
        <v>3</v>
      </c>
      <c r="O590" t="str" cm="1">
        <f t="array" ref="O590">_xlfn.IFS(A590&lt;=30,"18-30",A590&lt;=40,"31-40",A590&lt;=50,"41-50",A590&gt;50,"51+")</f>
        <v>41-50</v>
      </c>
      <c r="P590" t="str" cm="1">
        <f t="array" ref="P590">_xlfn.IFS(F590&lt;=45,"45 or below",F590&lt;= 60,"46-60",F590&lt;=75,"61-75",F590&lt;=90,"76-90",F590&gt;90,"91 or above")</f>
        <v>61-75</v>
      </c>
      <c r="Q5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90" t="str" cm="1">
        <f t="array" ref="R5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91" spans="1:18" hidden="1" x14ac:dyDescent="0.2">
      <c r="A591">
        <f>Table1[[#This Row],[Age]]</f>
        <v>29</v>
      </c>
      <c r="B591">
        <f>IF(Table3[[#This Row],[Attrition]] = "Yes", 1,0)</f>
        <v>1</v>
      </c>
      <c r="C591" t="str">
        <f>Table1[[#This Row],[Attrition]]</f>
        <v>Yes</v>
      </c>
      <c r="D591" t="str">
        <f>Table1[[#This Row],[Department]]</f>
        <v>Research &amp; Development</v>
      </c>
      <c r="E591">
        <f>Table1[[#This Row],[EnvironmentSatisfaction]]</f>
        <v>2</v>
      </c>
      <c r="F591">
        <f>Table1[[#This Row],[HourlyRate]]</f>
        <v>36</v>
      </c>
      <c r="G591" t="str">
        <f>Table1[[#This Row],[JobRole]]</f>
        <v>Laboratory Technician</v>
      </c>
      <c r="H591">
        <f>Table1[[#This Row],[JobSatisfaction]]</f>
        <v>1</v>
      </c>
      <c r="I591">
        <f>Table1[[#This Row],[YearsAtCompany]]</f>
        <v>1</v>
      </c>
      <c r="J591">
        <f>Table1[[#This Row],[YearsSinceLastPromotion]]</f>
        <v>0</v>
      </c>
      <c r="K591">
        <f>Table1[[#This Row],[EmployeeNumber]]</f>
        <v>816</v>
      </c>
      <c r="L591">
        <f>Table1[[#This Row],[DistanceFromHome]]</f>
        <v>1</v>
      </c>
      <c r="M591" t="str">
        <f>Table1[[#This Row],[OverTime]]</f>
        <v>Yes</v>
      </c>
      <c r="N591">
        <f>Table1[[#This Row],[WorkLifeBalance]]</f>
        <v>3</v>
      </c>
      <c r="O591" t="str" cm="1">
        <f t="array" ref="O591">_xlfn.IFS(A591&lt;=30,"18-30",A591&lt;=40,"31-40",A591&lt;=50,"41-50",A591&gt;50,"51+")</f>
        <v>18-30</v>
      </c>
      <c r="P591" t="str" cm="1">
        <f t="array" ref="P591">_xlfn.IFS(F591&lt;=45,"45 or below",F591&lt;= 60,"46-60",F591&lt;=75,"61-75",F591&lt;=90,"76-90",F591&gt;90,"91 or above")</f>
        <v>45 or below</v>
      </c>
      <c r="Q59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91" t="str" cm="1">
        <f t="array" ref="R591" xml:space="preserve"> _xlfn.IFS(Table3[[#This Row],[Flight Risk Score]] = "NA","NA",Table3[[#This Row],[Flight Risk Score]] &gt;= 70,"High Risk",Table3[[#This Row],[Flight Risk Score]] &gt;= 50, "Medium Risk", Table3[[#This Row],[Flight Risk Score]] &gt;= 30,"Low Risk",Table3[[#This Row],[Flight Risk Score]] &lt; 30,"Very Low Risk")</f>
        <v>NA</v>
      </c>
    </row>
    <row r="592" spans="1:18" x14ac:dyDescent="0.2">
      <c r="A592">
        <f>Table1[[#This Row],[Age]]</f>
        <v>33</v>
      </c>
      <c r="B592">
        <f>IF(Table3[[#This Row],[Attrition]] = "Yes", 1,0)</f>
        <v>0</v>
      </c>
      <c r="C592" t="str">
        <f>Table1[[#This Row],[Attrition]]</f>
        <v>No</v>
      </c>
      <c r="D592" t="str">
        <f>Table1[[#This Row],[Department]]</f>
        <v>Research &amp; Development</v>
      </c>
      <c r="E592">
        <f>Table1[[#This Row],[EnvironmentSatisfaction]]</f>
        <v>3</v>
      </c>
      <c r="F592">
        <f>Table1[[#This Row],[HourlyRate]]</f>
        <v>49</v>
      </c>
      <c r="G592" t="str">
        <f>Table1[[#This Row],[JobRole]]</f>
        <v>Research Director</v>
      </c>
      <c r="H592">
        <f>Table1[[#This Row],[JobSatisfaction]]</f>
        <v>3</v>
      </c>
      <c r="I592">
        <f>Table1[[#This Row],[YearsAtCompany]]</f>
        <v>13</v>
      </c>
      <c r="J592">
        <f>Table1[[#This Row],[YearsSinceLastPromotion]]</f>
        <v>3</v>
      </c>
      <c r="K592">
        <f>Table1[[#This Row],[EmployeeNumber]]</f>
        <v>817</v>
      </c>
      <c r="L592">
        <f>Table1[[#This Row],[DistanceFromHome]]</f>
        <v>7</v>
      </c>
      <c r="M592" t="str">
        <f>Table1[[#This Row],[OverTime]]</f>
        <v>No</v>
      </c>
      <c r="N592">
        <f>Table1[[#This Row],[WorkLifeBalance]]</f>
        <v>4</v>
      </c>
      <c r="O592" t="str" cm="1">
        <f t="array" ref="O592">_xlfn.IFS(A592&lt;=30,"18-30",A592&lt;=40,"31-40",A592&lt;=50,"41-50",A592&gt;50,"51+")</f>
        <v>31-40</v>
      </c>
      <c r="P592" t="str" cm="1">
        <f t="array" ref="P592">_xlfn.IFS(F592&lt;=45,"45 or below",F592&lt;= 60,"46-60",F592&lt;=75,"61-75",F592&lt;=90,"76-90",F592&gt;90,"91 or above")</f>
        <v>46-60</v>
      </c>
      <c r="Q5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92" t="str" cm="1">
        <f t="array" ref="R5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93" spans="1:18" hidden="1" x14ac:dyDescent="0.2">
      <c r="A593">
        <f>Table1[[#This Row],[Age]]</f>
        <v>33</v>
      </c>
      <c r="B593">
        <f>IF(Table3[[#This Row],[Attrition]] = "Yes", 1,0)</f>
        <v>1</v>
      </c>
      <c r="C593" t="str">
        <f>Table1[[#This Row],[Attrition]]</f>
        <v>Yes</v>
      </c>
      <c r="D593" t="str">
        <f>Table1[[#This Row],[Department]]</f>
        <v>Sales</v>
      </c>
      <c r="E593">
        <f>Table1[[#This Row],[EnvironmentSatisfaction]]</f>
        <v>1</v>
      </c>
      <c r="F593">
        <f>Table1[[#This Row],[HourlyRate]]</f>
        <v>69</v>
      </c>
      <c r="G593" t="str">
        <f>Table1[[#This Row],[JobRole]]</f>
        <v>Sales Executive</v>
      </c>
      <c r="H593">
        <f>Table1[[#This Row],[JobSatisfaction]]</f>
        <v>1</v>
      </c>
      <c r="I593">
        <f>Table1[[#This Row],[YearsAtCompany]]</f>
        <v>3</v>
      </c>
      <c r="J593">
        <f>Table1[[#This Row],[YearsSinceLastPromotion]]</f>
        <v>0</v>
      </c>
      <c r="K593">
        <f>Table1[[#This Row],[EmployeeNumber]]</f>
        <v>819</v>
      </c>
      <c r="L593">
        <f>Table1[[#This Row],[DistanceFromHome]]</f>
        <v>16</v>
      </c>
      <c r="M593" t="str">
        <f>Table1[[#This Row],[OverTime]]</f>
        <v>No</v>
      </c>
      <c r="N593">
        <f>Table1[[#This Row],[WorkLifeBalance]]</f>
        <v>3</v>
      </c>
      <c r="O593" t="str" cm="1">
        <f t="array" ref="O593">_xlfn.IFS(A593&lt;=30,"18-30",A593&lt;=40,"31-40",A593&lt;=50,"41-50",A593&gt;50,"51+")</f>
        <v>31-40</v>
      </c>
      <c r="P593" t="str" cm="1">
        <f t="array" ref="P593">_xlfn.IFS(F593&lt;=45,"45 or below",F593&lt;= 60,"46-60",F593&lt;=75,"61-75",F593&lt;=90,"76-90",F593&gt;90,"91 or above")</f>
        <v>61-75</v>
      </c>
      <c r="Q59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93" t="str" cm="1">
        <f t="array" ref="R593" xml:space="preserve"> _xlfn.IFS(Table3[[#This Row],[Flight Risk Score]] = "NA","NA",Table3[[#This Row],[Flight Risk Score]] &gt;= 70,"High Risk",Table3[[#This Row],[Flight Risk Score]] &gt;= 50, "Medium Risk", Table3[[#This Row],[Flight Risk Score]] &gt;= 30,"Low Risk",Table3[[#This Row],[Flight Risk Score]] &lt; 30,"Very Low Risk")</f>
        <v>NA</v>
      </c>
    </row>
    <row r="594" spans="1:18" x14ac:dyDescent="0.2">
      <c r="A594">
        <f>Table1[[#This Row],[Age]]</f>
        <v>47</v>
      </c>
      <c r="B594">
        <f>IF(Table3[[#This Row],[Attrition]] = "Yes", 1,0)</f>
        <v>0</v>
      </c>
      <c r="C594" t="str">
        <f>Table1[[#This Row],[Attrition]]</f>
        <v>No</v>
      </c>
      <c r="D594" t="str">
        <f>Table1[[#This Row],[Department]]</f>
        <v>Research &amp; Development</v>
      </c>
      <c r="E594">
        <f>Table1[[#This Row],[EnvironmentSatisfaction]]</f>
        <v>3</v>
      </c>
      <c r="F594">
        <f>Table1[[#This Row],[HourlyRate]]</f>
        <v>33</v>
      </c>
      <c r="G594" t="str">
        <f>Table1[[#This Row],[JobRole]]</f>
        <v>Manager</v>
      </c>
      <c r="H594">
        <f>Table1[[#This Row],[JobSatisfaction]]</f>
        <v>4</v>
      </c>
      <c r="I594">
        <f>Table1[[#This Row],[YearsAtCompany]]</f>
        <v>26</v>
      </c>
      <c r="J594">
        <f>Table1[[#This Row],[YearsSinceLastPromotion]]</f>
        <v>3</v>
      </c>
      <c r="K594">
        <f>Table1[[#This Row],[EmployeeNumber]]</f>
        <v>820</v>
      </c>
      <c r="L594">
        <f>Table1[[#This Row],[DistanceFromHome]]</f>
        <v>2</v>
      </c>
      <c r="M594" t="str">
        <f>Table1[[#This Row],[OverTime]]</f>
        <v>Yes</v>
      </c>
      <c r="N594">
        <f>Table1[[#This Row],[WorkLifeBalance]]</f>
        <v>2</v>
      </c>
      <c r="O594" t="str" cm="1">
        <f t="array" ref="O594">_xlfn.IFS(A594&lt;=30,"18-30",A594&lt;=40,"31-40",A594&lt;=50,"41-50",A594&gt;50,"51+")</f>
        <v>41-50</v>
      </c>
      <c r="P594" t="str" cm="1">
        <f t="array" ref="P594">_xlfn.IFS(F594&lt;=45,"45 or below",F594&lt;= 60,"46-60",F594&lt;=75,"61-75",F594&lt;=90,"76-90",F594&gt;90,"91 or above")</f>
        <v>45 or below</v>
      </c>
      <c r="Q5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94" t="str" cm="1">
        <f t="array" ref="R594" xml:space="preserve"> _xlfn.IFS(Table3[[#This Row],[Flight Risk Score]] = "NA","NA",Table3[[#This Row],[Flight Risk Score]] &gt;= 70,"High Risk",Table3[[#This Row],[Flight Risk Score]] &gt;= 50, "Medium Risk", Table3[[#This Row],[Flight Risk Score]] &gt;= 30,"Low Risk",Table3[[#This Row],[Flight Risk Score]] &lt; 30,"Very Low Risk")</f>
        <v>Low Risk</v>
      </c>
    </row>
    <row r="595" spans="1:18" x14ac:dyDescent="0.2">
      <c r="A595">
        <f>Table1[[#This Row],[Age]]</f>
        <v>36</v>
      </c>
      <c r="B595">
        <f>IF(Table3[[#This Row],[Attrition]] = "Yes", 1,0)</f>
        <v>0</v>
      </c>
      <c r="C595" t="str">
        <f>Table1[[#This Row],[Attrition]]</f>
        <v>No</v>
      </c>
      <c r="D595" t="str">
        <f>Table1[[#This Row],[Department]]</f>
        <v>Research &amp; Development</v>
      </c>
      <c r="E595">
        <f>Table1[[#This Row],[EnvironmentSatisfaction]]</f>
        <v>3</v>
      </c>
      <c r="F595">
        <f>Table1[[#This Row],[HourlyRate]]</f>
        <v>35</v>
      </c>
      <c r="G595" t="str">
        <f>Table1[[#This Row],[JobRole]]</f>
        <v>Manufacturing Director</v>
      </c>
      <c r="H595">
        <f>Table1[[#This Row],[JobSatisfaction]]</f>
        <v>2</v>
      </c>
      <c r="I595">
        <f>Table1[[#This Row],[YearsAtCompany]]</f>
        <v>9</v>
      </c>
      <c r="J595">
        <f>Table1[[#This Row],[YearsSinceLastPromotion]]</f>
        <v>0</v>
      </c>
      <c r="K595">
        <f>Table1[[#This Row],[EmployeeNumber]]</f>
        <v>823</v>
      </c>
      <c r="L595">
        <f>Table1[[#This Row],[DistanceFromHome]]</f>
        <v>1</v>
      </c>
      <c r="M595" t="str">
        <f>Table1[[#This Row],[OverTime]]</f>
        <v>No</v>
      </c>
      <c r="N595">
        <f>Table1[[#This Row],[WorkLifeBalance]]</f>
        <v>3</v>
      </c>
      <c r="O595" t="str" cm="1">
        <f t="array" ref="O595">_xlfn.IFS(A595&lt;=30,"18-30",A595&lt;=40,"31-40",A595&lt;=50,"41-50",A595&gt;50,"51+")</f>
        <v>31-40</v>
      </c>
      <c r="P595" t="str" cm="1">
        <f t="array" ref="P595">_xlfn.IFS(F595&lt;=45,"45 or below",F595&lt;= 60,"46-60",F595&lt;=75,"61-75",F595&lt;=90,"76-90",F595&gt;90,"91 or above")</f>
        <v>45 or below</v>
      </c>
      <c r="Q5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595" t="str" cm="1">
        <f t="array" ref="R5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96" spans="1:18" x14ac:dyDescent="0.2">
      <c r="A596">
        <f>Table1[[#This Row],[Age]]</f>
        <v>29</v>
      </c>
      <c r="B596">
        <f>IF(Table3[[#This Row],[Attrition]] = "Yes", 1,0)</f>
        <v>0</v>
      </c>
      <c r="C596" t="str">
        <f>Table1[[#This Row],[Attrition]]</f>
        <v>No</v>
      </c>
      <c r="D596" t="str">
        <f>Table1[[#This Row],[Department]]</f>
        <v>Research &amp; Development</v>
      </c>
      <c r="E596">
        <f>Table1[[#This Row],[EnvironmentSatisfaction]]</f>
        <v>3</v>
      </c>
      <c r="F596">
        <f>Table1[[#This Row],[HourlyRate]]</f>
        <v>81</v>
      </c>
      <c r="G596" t="str">
        <f>Table1[[#This Row],[JobRole]]</f>
        <v>Research Scientist</v>
      </c>
      <c r="H596">
        <f>Table1[[#This Row],[JobSatisfaction]]</f>
        <v>3</v>
      </c>
      <c r="I596">
        <f>Table1[[#This Row],[YearsAtCompany]]</f>
        <v>10</v>
      </c>
      <c r="J596">
        <f>Table1[[#This Row],[YearsSinceLastPromotion]]</f>
        <v>0</v>
      </c>
      <c r="K596">
        <f>Table1[[#This Row],[EmployeeNumber]]</f>
        <v>824</v>
      </c>
      <c r="L596">
        <f>Table1[[#This Row],[DistanceFromHome]]</f>
        <v>23</v>
      </c>
      <c r="M596" t="str">
        <f>Table1[[#This Row],[OverTime]]</f>
        <v>No</v>
      </c>
      <c r="N596">
        <f>Table1[[#This Row],[WorkLifeBalance]]</f>
        <v>3</v>
      </c>
      <c r="O596" t="str" cm="1">
        <f t="array" ref="O596">_xlfn.IFS(A596&lt;=30,"18-30",A596&lt;=40,"31-40",A596&lt;=50,"41-50",A596&gt;50,"51+")</f>
        <v>18-30</v>
      </c>
      <c r="P596" t="str" cm="1">
        <f t="array" ref="P596">_xlfn.IFS(F596&lt;=45,"45 or below",F596&lt;= 60,"46-60",F596&lt;=75,"61-75",F596&lt;=90,"76-90",F596&gt;90,"91 or above")</f>
        <v>76-90</v>
      </c>
      <c r="Q5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96" t="str" cm="1">
        <f t="array" ref="R5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97" spans="1:18" hidden="1" x14ac:dyDescent="0.2">
      <c r="A597">
        <f>Table1[[#This Row],[Age]]</f>
        <v>58</v>
      </c>
      <c r="B597">
        <f>IF(Table3[[#This Row],[Attrition]] = "Yes", 1,0)</f>
        <v>1</v>
      </c>
      <c r="C597" t="str">
        <f>Table1[[#This Row],[Attrition]]</f>
        <v>Yes</v>
      </c>
      <c r="D597" t="str">
        <f>Table1[[#This Row],[Department]]</f>
        <v>Research &amp; Development</v>
      </c>
      <c r="E597">
        <f>Table1[[#This Row],[EnvironmentSatisfaction]]</f>
        <v>4</v>
      </c>
      <c r="F597">
        <f>Table1[[#This Row],[HourlyRate]]</f>
        <v>31</v>
      </c>
      <c r="G597" t="str">
        <f>Table1[[#This Row],[JobRole]]</f>
        <v>Research Director</v>
      </c>
      <c r="H597">
        <f>Table1[[#This Row],[JobSatisfaction]]</f>
        <v>2</v>
      </c>
      <c r="I597">
        <f>Table1[[#This Row],[YearsAtCompany]]</f>
        <v>31</v>
      </c>
      <c r="J597">
        <f>Table1[[#This Row],[YearsSinceLastPromotion]]</f>
        <v>13</v>
      </c>
      <c r="K597">
        <f>Table1[[#This Row],[EmployeeNumber]]</f>
        <v>825</v>
      </c>
      <c r="L597">
        <f>Table1[[#This Row],[DistanceFromHome]]</f>
        <v>2</v>
      </c>
      <c r="M597" t="str">
        <f>Table1[[#This Row],[OverTime]]</f>
        <v>Yes</v>
      </c>
      <c r="N597">
        <f>Table1[[#This Row],[WorkLifeBalance]]</f>
        <v>3</v>
      </c>
      <c r="O597" t="str" cm="1">
        <f t="array" ref="O597">_xlfn.IFS(A597&lt;=30,"18-30",A597&lt;=40,"31-40",A597&lt;=50,"41-50",A597&gt;50,"51+")</f>
        <v>51+</v>
      </c>
      <c r="P597" t="str" cm="1">
        <f t="array" ref="P597">_xlfn.IFS(F597&lt;=45,"45 or below",F597&lt;= 60,"46-60",F597&lt;=75,"61-75",F597&lt;=90,"76-90",F597&gt;90,"91 or above")</f>
        <v>45 or below</v>
      </c>
      <c r="Q59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597" t="str" cm="1">
        <f t="array" ref="R597" xml:space="preserve"> _xlfn.IFS(Table3[[#This Row],[Flight Risk Score]] = "NA","NA",Table3[[#This Row],[Flight Risk Score]] &gt;= 70,"High Risk",Table3[[#This Row],[Flight Risk Score]] &gt;= 50, "Medium Risk", Table3[[#This Row],[Flight Risk Score]] &gt;= 30,"Low Risk",Table3[[#This Row],[Flight Risk Score]] &lt; 30,"Very Low Risk")</f>
        <v>NA</v>
      </c>
    </row>
    <row r="598" spans="1:18" x14ac:dyDescent="0.2">
      <c r="A598">
        <f>Table1[[#This Row],[Age]]</f>
        <v>35</v>
      </c>
      <c r="B598">
        <f>IF(Table3[[#This Row],[Attrition]] = "Yes", 1,0)</f>
        <v>0</v>
      </c>
      <c r="C598" t="str">
        <f>Table1[[#This Row],[Attrition]]</f>
        <v>No</v>
      </c>
      <c r="D598" t="str">
        <f>Table1[[#This Row],[Department]]</f>
        <v>Research &amp; Development</v>
      </c>
      <c r="E598">
        <f>Table1[[#This Row],[EnvironmentSatisfaction]]</f>
        <v>4</v>
      </c>
      <c r="F598">
        <f>Table1[[#This Row],[HourlyRate]]</f>
        <v>40</v>
      </c>
      <c r="G598" t="str">
        <f>Table1[[#This Row],[JobRole]]</f>
        <v>Research Scientist</v>
      </c>
      <c r="H598">
        <f>Table1[[#This Row],[JobSatisfaction]]</f>
        <v>3</v>
      </c>
      <c r="I598">
        <f>Table1[[#This Row],[YearsAtCompany]]</f>
        <v>2</v>
      </c>
      <c r="J598">
        <f>Table1[[#This Row],[YearsSinceLastPromotion]]</f>
        <v>2</v>
      </c>
      <c r="K598">
        <f>Table1[[#This Row],[EmployeeNumber]]</f>
        <v>826</v>
      </c>
      <c r="L598">
        <f>Table1[[#This Row],[DistanceFromHome]]</f>
        <v>1</v>
      </c>
      <c r="M598" t="str">
        <f>Table1[[#This Row],[OverTime]]</f>
        <v>No</v>
      </c>
      <c r="N598">
        <f>Table1[[#This Row],[WorkLifeBalance]]</f>
        <v>3</v>
      </c>
      <c r="O598" t="str" cm="1">
        <f t="array" ref="O598">_xlfn.IFS(A598&lt;=30,"18-30",A598&lt;=40,"31-40",A598&lt;=50,"41-50",A598&gt;50,"51+")</f>
        <v>31-40</v>
      </c>
      <c r="P598" t="str" cm="1">
        <f t="array" ref="P598">_xlfn.IFS(F598&lt;=45,"45 or below",F598&lt;= 60,"46-60",F598&lt;=75,"61-75",F598&lt;=90,"76-90",F598&gt;90,"91 or above")</f>
        <v>45 or below</v>
      </c>
      <c r="Q5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598" t="str" cm="1">
        <f t="array" ref="R59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599" spans="1:18" x14ac:dyDescent="0.2">
      <c r="A599">
        <f>Table1[[#This Row],[Age]]</f>
        <v>42</v>
      </c>
      <c r="B599">
        <f>IF(Table3[[#This Row],[Attrition]] = "Yes", 1,0)</f>
        <v>0</v>
      </c>
      <c r="C599" t="str">
        <f>Table1[[#This Row],[Attrition]]</f>
        <v>No</v>
      </c>
      <c r="D599" t="str">
        <f>Table1[[#This Row],[Department]]</f>
        <v>Research &amp; Development</v>
      </c>
      <c r="E599">
        <f>Table1[[#This Row],[EnvironmentSatisfaction]]</f>
        <v>4</v>
      </c>
      <c r="F599">
        <f>Table1[[#This Row],[HourlyRate]]</f>
        <v>43</v>
      </c>
      <c r="G599" t="str">
        <f>Table1[[#This Row],[JobRole]]</f>
        <v>Manufacturing Director</v>
      </c>
      <c r="H599">
        <f>Table1[[#This Row],[JobSatisfaction]]</f>
        <v>4</v>
      </c>
      <c r="I599">
        <f>Table1[[#This Row],[YearsAtCompany]]</f>
        <v>4</v>
      </c>
      <c r="J599">
        <f>Table1[[#This Row],[YearsSinceLastPromotion]]</f>
        <v>0</v>
      </c>
      <c r="K599">
        <f>Table1[[#This Row],[EmployeeNumber]]</f>
        <v>827</v>
      </c>
      <c r="L599">
        <f>Table1[[#This Row],[DistanceFromHome]]</f>
        <v>1</v>
      </c>
      <c r="M599" t="str">
        <f>Table1[[#This Row],[OverTime]]</f>
        <v>Yes</v>
      </c>
      <c r="N599">
        <f>Table1[[#This Row],[WorkLifeBalance]]</f>
        <v>3</v>
      </c>
      <c r="O599" t="str" cm="1">
        <f t="array" ref="O599">_xlfn.IFS(A599&lt;=30,"18-30",A599&lt;=40,"31-40",A599&lt;=50,"41-50",A599&gt;50,"51+")</f>
        <v>41-50</v>
      </c>
      <c r="P599" t="str" cm="1">
        <f t="array" ref="P599">_xlfn.IFS(F599&lt;=45,"45 or below",F599&lt;= 60,"46-60",F599&lt;=75,"61-75",F599&lt;=90,"76-90",F599&gt;90,"91 or above")</f>
        <v>45 or below</v>
      </c>
      <c r="Q5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599" t="str" cm="1">
        <f t="array" ref="R599" xml:space="preserve"> _xlfn.IFS(Table3[[#This Row],[Flight Risk Score]] = "NA","NA",Table3[[#This Row],[Flight Risk Score]] &gt;= 70,"High Risk",Table3[[#This Row],[Flight Risk Score]] &gt;= 50, "Medium Risk", Table3[[#This Row],[Flight Risk Score]] &gt;= 30,"Low Risk",Table3[[#This Row],[Flight Risk Score]] &lt; 30,"Very Low Risk")</f>
        <v>Low Risk</v>
      </c>
    </row>
    <row r="600" spans="1:18" hidden="1" x14ac:dyDescent="0.2">
      <c r="A600">
        <f>Table1[[#This Row],[Age]]</f>
        <v>28</v>
      </c>
      <c r="B600">
        <f>IF(Table3[[#This Row],[Attrition]] = "Yes", 1,0)</f>
        <v>1</v>
      </c>
      <c r="C600" t="str">
        <f>Table1[[#This Row],[Attrition]]</f>
        <v>Yes</v>
      </c>
      <c r="D600" t="str">
        <f>Table1[[#This Row],[Department]]</f>
        <v>Research &amp; Development</v>
      </c>
      <c r="E600">
        <f>Table1[[#This Row],[EnvironmentSatisfaction]]</f>
        <v>3</v>
      </c>
      <c r="F600">
        <f>Table1[[#This Row],[HourlyRate]]</f>
        <v>46</v>
      </c>
      <c r="G600" t="str">
        <f>Table1[[#This Row],[JobRole]]</f>
        <v>Research Scientist</v>
      </c>
      <c r="H600">
        <f>Table1[[#This Row],[JobSatisfaction]]</f>
        <v>3</v>
      </c>
      <c r="I600">
        <f>Table1[[#This Row],[YearsAtCompany]]</f>
        <v>2</v>
      </c>
      <c r="J600">
        <f>Table1[[#This Row],[YearsSinceLastPromotion]]</f>
        <v>2</v>
      </c>
      <c r="K600">
        <f>Table1[[#This Row],[EmployeeNumber]]</f>
        <v>828</v>
      </c>
      <c r="L600">
        <f>Table1[[#This Row],[DistanceFromHome]]</f>
        <v>2</v>
      </c>
      <c r="M600" t="str">
        <f>Table1[[#This Row],[OverTime]]</f>
        <v>No</v>
      </c>
      <c r="N600">
        <f>Table1[[#This Row],[WorkLifeBalance]]</f>
        <v>2</v>
      </c>
      <c r="O600" t="str" cm="1">
        <f t="array" ref="O600">_xlfn.IFS(A600&lt;=30,"18-30",A600&lt;=40,"31-40",A600&lt;=50,"41-50",A600&gt;50,"51+")</f>
        <v>18-30</v>
      </c>
      <c r="P600" t="str" cm="1">
        <f t="array" ref="P600">_xlfn.IFS(F600&lt;=45,"45 or below",F600&lt;= 60,"46-60",F600&lt;=75,"61-75",F600&lt;=90,"76-90",F600&gt;90,"91 or above")</f>
        <v>46-60</v>
      </c>
      <c r="Q60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00" t="str" cm="1">
        <f t="array" ref="R600" xml:space="preserve"> _xlfn.IFS(Table3[[#This Row],[Flight Risk Score]] = "NA","NA",Table3[[#This Row],[Flight Risk Score]] &gt;= 70,"High Risk",Table3[[#This Row],[Flight Risk Score]] &gt;= 50, "Medium Risk", Table3[[#This Row],[Flight Risk Score]] &gt;= 30,"Low Risk",Table3[[#This Row],[Flight Risk Score]] &lt; 30,"Very Low Risk")</f>
        <v>NA</v>
      </c>
    </row>
    <row r="601" spans="1:18" x14ac:dyDescent="0.2">
      <c r="A601">
        <f>Table1[[#This Row],[Age]]</f>
        <v>36</v>
      </c>
      <c r="B601">
        <f>IF(Table3[[#This Row],[Attrition]] = "Yes", 1,0)</f>
        <v>0</v>
      </c>
      <c r="C601" t="str">
        <f>Table1[[#This Row],[Attrition]]</f>
        <v>No</v>
      </c>
      <c r="D601" t="str">
        <f>Table1[[#This Row],[Department]]</f>
        <v>Human Resources</v>
      </c>
      <c r="E601">
        <f>Table1[[#This Row],[EnvironmentSatisfaction]]</f>
        <v>3</v>
      </c>
      <c r="F601">
        <f>Table1[[#This Row],[HourlyRate]]</f>
        <v>36</v>
      </c>
      <c r="G601" t="str">
        <f>Table1[[#This Row],[JobRole]]</f>
        <v>Human Resources</v>
      </c>
      <c r="H601">
        <f>Table1[[#This Row],[JobSatisfaction]]</f>
        <v>2</v>
      </c>
      <c r="I601">
        <f>Table1[[#This Row],[YearsAtCompany]]</f>
        <v>5</v>
      </c>
      <c r="J601">
        <f>Table1[[#This Row],[YearsSinceLastPromotion]]</f>
        <v>0</v>
      </c>
      <c r="K601">
        <f>Table1[[#This Row],[EmployeeNumber]]</f>
        <v>829</v>
      </c>
      <c r="L601">
        <f>Table1[[#This Row],[DistanceFromHome]]</f>
        <v>13</v>
      </c>
      <c r="M601" t="str">
        <f>Table1[[#This Row],[OverTime]]</f>
        <v>No</v>
      </c>
      <c r="N601">
        <f>Table1[[#This Row],[WorkLifeBalance]]</f>
        <v>3</v>
      </c>
      <c r="O601" t="str" cm="1">
        <f t="array" ref="O601">_xlfn.IFS(A601&lt;=30,"18-30",A601&lt;=40,"31-40",A601&lt;=50,"41-50",A601&gt;50,"51+")</f>
        <v>31-40</v>
      </c>
      <c r="P601" t="str" cm="1">
        <f t="array" ref="P601">_xlfn.IFS(F601&lt;=45,"45 or below",F601&lt;= 60,"46-60",F601&lt;=75,"61-75",F601&lt;=90,"76-90",F601&gt;90,"91 or above")</f>
        <v>45 or below</v>
      </c>
      <c r="Q6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01" t="str" cm="1">
        <f t="array" ref="R6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02" spans="1:18" x14ac:dyDescent="0.2">
      <c r="A602">
        <f>Table1[[#This Row],[Age]]</f>
        <v>32</v>
      </c>
      <c r="B602">
        <f>IF(Table3[[#This Row],[Attrition]] = "Yes", 1,0)</f>
        <v>0</v>
      </c>
      <c r="C602" t="str">
        <f>Table1[[#This Row],[Attrition]]</f>
        <v>No</v>
      </c>
      <c r="D602" t="str">
        <f>Table1[[#This Row],[Department]]</f>
        <v>Research &amp; Development</v>
      </c>
      <c r="E602">
        <f>Table1[[#This Row],[EnvironmentSatisfaction]]</f>
        <v>3</v>
      </c>
      <c r="F602">
        <f>Table1[[#This Row],[HourlyRate]]</f>
        <v>98</v>
      </c>
      <c r="G602" t="str">
        <f>Table1[[#This Row],[JobRole]]</f>
        <v>Manufacturing Director</v>
      </c>
      <c r="H602">
        <f>Table1[[#This Row],[JobSatisfaction]]</f>
        <v>3</v>
      </c>
      <c r="I602">
        <f>Table1[[#This Row],[YearsAtCompany]]</f>
        <v>14</v>
      </c>
      <c r="J602">
        <f>Table1[[#This Row],[YearsSinceLastPromotion]]</f>
        <v>6</v>
      </c>
      <c r="K602">
        <f>Table1[[#This Row],[EmployeeNumber]]</f>
        <v>830</v>
      </c>
      <c r="L602">
        <f>Table1[[#This Row],[DistanceFromHome]]</f>
        <v>4</v>
      </c>
      <c r="M602" t="str">
        <f>Table1[[#This Row],[OverTime]]</f>
        <v>No</v>
      </c>
      <c r="N602">
        <f>Table1[[#This Row],[WorkLifeBalance]]</f>
        <v>3</v>
      </c>
      <c r="O602" t="str" cm="1">
        <f t="array" ref="O602">_xlfn.IFS(A602&lt;=30,"18-30",A602&lt;=40,"31-40",A602&lt;=50,"41-50",A602&gt;50,"51+")</f>
        <v>31-40</v>
      </c>
      <c r="P602" t="str" cm="1">
        <f t="array" ref="P602">_xlfn.IFS(F602&lt;=45,"45 or below",F602&lt;= 60,"46-60",F602&lt;=75,"61-75",F602&lt;=90,"76-90",F602&gt;90,"91 or above")</f>
        <v>91 or above</v>
      </c>
      <c r="Q6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02" t="str" cm="1">
        <f t="array" ref="R60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03" spans="1:18" x14ac:dyDescent="0.2">
      <c r="A603">
        <f>Table1[[#This Row],[Age]]</f>
        <v>40</v>
      </c>
      <c r="B603">
        <f>IF(Table3[[#This Row],[Attrition]] = "Yes", 1,0)</f>
        <v>0</v>
      </c>
      <c r="C603" t="str">
        <f>Table1[[#This Row],[Attrition]]</f>
        <v>No</v>
      </c>
      <c r="D603" t="str">
        <f>Table1[[#This Row],[Department]]</f>
        <v>Research &amp; Development</v>
      </c>
      <c r="E603">
        <f>Table1[[#This Row],[EnvironmentSatisfaction]]</f>
        <v>1</v>
      </c>
      <c r="F603">
        <f>Table1[[#This Row],[HourlyRate]]</f>
        <v>51</v>
      </c>
      <c r="G603" t="str">
        <f>Table1[[#This Row],[JobRole]]</f>
        <v>Laboratory Technician</v>
      </c>
      <c r="H603">
        <f>Table1[[#This Row],[JobSatisfaction]]</f>
        <v>3</v>
      </c>
      <c r="I603">
        <f>Table1[[#This Row],[YearsAtCompany]]</f>
        <v>1</v>
      </c>
      <c r="J603">
        <f>Table1[[#This Row],[YearsSinceLastPromotion]]</f>
        <v>0</v>
      </c>
      <c r="K603">
        <f>Table1[[#This Row],[EmployeeNumber]]</f>
        <v>832</v>
      </c>
      <c r="L603">
        <f>Table1[[#This Row],[DistanceFromHome]]</f>
        <v>16</v>
      </c>
      <c r="M603" t="str">
        <f>Table1[[#This Row],[OverTime]]</f>
        <v>No</v>
      </c>
      <c r="N603">
        <f>Table1[[#This Row],[WorkLifeBalance]]</f>
        <v>3</v>
      </c>
      <c r="O603" t="str" cm="1">
        <f t="array" ref="O603">_xlfn.IFS(A603&lt;=30,"18-30",A603&lt;=40,"31-40",A603&lt;=50,"41-50",A603&gt;50,"51+")</f>
        <v>31-40</v>
      </c>
      <c r="P603" t="str" cm="1">
        <f t="array" ref="P603">_xlfn.IFS(F603&lt;=45,"45 or below",F603&lt;= 60,"46-60",F603&lt;=75,"61-75",F603&lt;=90,"76-90",F603&gt;90,"91 or above")</f>
        <v>46-60</v>
      </c>
      <c r="Q6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03" t="str" cm="1">
        <f t="array" ref="R6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04" spans="1:18" x14ac:dyDescent="0.2">
      <c r="A604">
        <f>Table1[[#This Row],[Age]]</f>
        <v>30</v>
      </c>
      <c r="B604">
        <f>IF(Table3[[#This Row],[Attrition]] = "Yes", 1,0)</f>
        <v>0</v>
      </c>
      <c r="C604" t="str">
        <f>Table1[[#This Row],[Attrition]]</f>
        <v>No</v>
      </c>
      <c r="D604" t="str">
        <f>Table1[[#This Row],[Department]]</f>
        <v>Research &amp; Development</v>
      </c>
      <c r="E604">
        <f>Table1[[#This Row],[EnvironmentSatisfaction]]</f>
        <v>3</v>
      </c>
      <c r="F604">
        <f>Table1[[#This Row],[HourlyRate]]</f>
        <v>52</v>
      </c>
      <c r="G604" t="str">
        <f>Table1[[#This Row],[JobRole]]</f>
        <v>Manufacturing Director</v>
      </c>
      <c r="H604">
        <f>Table1[[#This Row],[JobSatisfaction]]</f>
        <v>4</v>
      </c>
      <c r="I604">
        <f>Table1[[#This Row],[YearsAtCompany]]</f>
        <v>0</v>
      </c>
      <c r="J604">
        <f>Table1[[#This Row],[YearsSinceLastPromotion]]</f>
        <v>0</v>
      </c>
      <c r="K604">
        <f>Table1[[#This Row],[EmployeeNumber]]</f>
        <v>833</v>
      </c>
      <c r="L604">
        <f>Table1[[#This Row],[DistanceFromHome]]</f>
        <v>2</v>
      </c>
      <c r="M604" t="str">
        <f>Table1[[#This Row],[OverTime]]</f>
        <v>Yes</v>
      </c>
      <c r="N604">
        <f>Table1[[#This Row],[WorkLifeBalance]]</f>
        <v>2</v>
      </c>
      <c r="O604" t="str" cm="1">
        <f t="array" ref="O604">_xlfn.IFS(A604&lt;=30,"18-30",A604&lt;=40,"31-40",A604&lt;=50,"41-50",A604&gt;50,"51+")</f>
        <v>18-30</v>
      </c>
      <c r="P604" t="str" cm="1">
        <f t="array" ref="P604">_xlfn.IFS(F604&lt;=45,"45 or below",F604&lt;= 60,"46-60",F604&lt;=75,"61-75",F604&lt;=90,"76-90",F604&gt;90,"91 or above")</f>
        <v>46-60</v>
      </c>
      <c r="Q6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04" t="str" cm="1">
        <f t="array" ref="R604" xml:space="preserve"> _xlfn.IFS(Table3[[#This Row],[Flight Risk Score]] = "NA","NA",Table3[[#This Row],[Flight Risk Score]] &gt;= 70,"High Risk",Table3[[#This Row],[Flight Risk Score]] &gt;= 50, "Medium Risk", Table3[[#This Row],[Flight Risk Score]] &gt;= 30,"Low Risk",Table3[[#This Row],[Flight Risk Score]] &lt; 30,"Very Low Risk")</f>
        <v>Low Risk</v>
      </c>
    </row>
    <row r="605" spans="1:18" x14ac:dyDescent="0.2">
      <c r="A605">
        <f>Table1[[#This Row],[Age]]</f>
        <v>45</v>
      </c>
      <c r="B605">
        <f>IF(Table3[[#This Row],[Attrition]] = "Yes", 1,0)</f>
        <v>0</v>
      </c>
      <c r="C605" t="str">
        <f>Table1[[#This Row],[Attrition]]</f>
        <v>No</v>
      </c>
      <c r="D605" t="str">
        <f>Table1[[#This Row],[Department]]</f>
        <v>Research &amp; Development</v>
      </c>
      <c r="E605">
        <f>Table1[[#This Row],[EnvironmentSatisfaction]]</f>
        <v>2</v>
      </c>
      <c r="F605">
        <f>Table1[[#This Row],[HourlyRate]]</f>
        <v>95</v>
      </c>
      <c r="G605" t="str">
        <f>Table1[[#This Row],[JobRole]]</f>
        <v>Research Scientist</v>
      </c>
      <c r="H605">
        <f>Table1[[#This Row],[JobSatisfaction]]</f>
        <v>3</v>
      </c>
      <c r="I605">
        <f>Table1[[#This Row],[YearsAtCompany]]</f>
        <v>1</v>
      </c>
      <c r="J605">
        <f>Table1[[#This Row],[YearsSinceLastPromotion]]</f>
        <v>0</v>
      </c>
      <c r="K605">
        <f>Table1[[#This Row],[EmployeeNumber]]</f>
        <v>834</v>
      </c>
      <c r="L605">
        <f>Table1[[#This Row],[DistanceFromHome]]</f>
        <v>2</v>
      </c>
      <c r="M605" t="str">
        <f>Table1[[#This Row],[OverTime]]</f>
        <v>No</v>
      </c>
      <c r="N605">
        <f>Table1[[#This Row],[WorkLifeBalance]]</f>
        <v>3</v>
      </c>
      <c r="O605" t="str" cm="1">
        <f t="array" ref="O605">_xlfn.IFS(A605&lt;=30,"18-30",A605&lt;=40,"31-40",A605&lt;=50,"41-50",A605&gt;50,"51+")</f>
        <v>41-50</v>
      </c>
      <c r="P605" t="str" cm="1">
        <f t="array" ref="P605">_xlfn.IFS(F605&lt;=45,"45 or below",F605&lt;= 60,"46-60",F605&lt;=75,"61-75",F605&lt;=90,"76-90",F605&gt;90,"91 or above")</f>
        <v>91 or above</v>
      </c>
      <c r="Q6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05" t="str" cm="1">
        <f t="array" ref="R6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06" spans="1:18" x14ac:dyDescent="0.2">
      <c r="A606">
        <f>Table1[[#This Row],[Age]]</f>
        <v>42</v>
      </c>
      <c r="B606">
        <f>IF(Table3[[#This Row],[Attrition]] = "Yes", 1,0)</f>
        <v>0</v>
      </c>
      <c r="C606" t="str">
        <f>Table1[[#This Row],[Attrition]]</f>
        <v>No</v>
      </c>
      <c r="D606" t="str">
        <f>Table1[[#This Row],[Department]]</f>
        <v>Research &amp; Development</v>
      </c>
      <c r="E606">
        <f>Table1[[#This Row],[EnvironmentSatisfaction]]</f>
        <v>2</v>
      </c>
      <c r="F606">
        <f>Table1[[#This Row],[HourlyRate]]</f>
        <v>98</v>
      </c>
      <c r="G606" t="str">
        <f>Table1[[#This Row],[JobRole]]</f>
        <v>Manufacturing Director</v>
      </c>
      <c r="H606">
        <f>Table1[[#This Row],[JobSatisfaction]]</f>
        <v>2</v>
      </c>
      <c r="I606">
        <f>Table1[[#This Row],[YearsAtCompany]]</f>
        <v>9</v>
      </c>
      <c r="J606">
        <f>Table1[[#This Row],[YearsSinceLastPromotion]]</f>
        <v>7</v>
      </c>
      <c r="K606">
        <f>Table1[[#This Row],[EmployeeNumber]]</f>
        <v>836</v>
      </c>
      <c r="L606">
        <f>Table1[[#This Row],[DistanceFromHome]]</f>
        <v>29</v>
      </c>
      <c r="M606" t="str">
        <f>Table1[[#This Row],[OverTime]]</f>
        <v>No</v>
      </c>
      <c r="N606">
        <f>Table1[[#This Row],[WorkLifeBalance]]</f>
        <v>2</v>
      </c>
      <c r="O606" t="str" cm="1">
        <f t="array" ref="O606">_xlfn.IFS(A606&lt;=30,"18-30",A606&lt;=40,"31-40",A606&lt;=50,"41-50",A606&gt;50,"51+")</f>
        <v>41-50</v>
      </c>
      <c r="P606" t="str" cm="1">
        <f t="array" ref="P606">_xlfn.IFS(F606&lt;=45,"45 or below",F606&lt;= 60,"46-60",F606&lt;=75,"61-75",F606&lt;=90,"76-90",F606&gt;90,"91 or above")</f>
        <v>91 or above</v>
      </c>
      <c r="Q6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06" t="str" cm="1">
        <f t="array" ref="R606" xml:space="preserve"> _xlfn.IFS(Table3[[#This Row],[Flight Risk Score]] = "NA","NA",Table3[[#This Row],[Flight Risk Score]] &gt;= 70,"High Risk",Table3[[#This Row],[Flight Risk Score]] &gt;= 50, "Medium Risk", Table3[[#This Row],[Flight Risk Score]] &gt;= 30,"Low Risk",Table3[[#This Row],[Flight Risk Score]] &lt; 30,"Very Low Risk")</f>
        <v>Low Risk</v>
      </c>
    </row>
    <row r="607" spans="1:18" x14ac:dyDescent="0.2">
      <c r="A607">
        <f>Table1[[#This Row],[Age]]</f>
        <v>38</v>
      </c>
      <c r="B607">
        <f>IF(Table3[[#This Row],[Attrition]] = "Yes", 1,0)</f>
        <v>0</v>
      </c>
      <c r="C607" t="str">
        <f>Table1[[#This Row],[Attrition]]</f>
        <v>No</v>
      </c>
      <c r="D607" t="str">
        <f>Table1[[#This Row],[Department]]</f>
        <v>Research &amp; Development</v>
      </c>
      <c r="E607">
        <f>Table1[[#This Row],[EnvironmentSatisfaction]]</f>
        <v>1</v>
      </c>
      <c r="F607">
        <f>Table1[[#This Row],[HourlyRate]]</f>
        <v>45</v>
      </c>
      <c r="G607" t="str">
        <f>Table1[[#This Row],[JobRole]]</f>
        <v>Healthcare Representative</v>
      </c>
      <c r="H607">
        <f>Table1[[#This Row],[JobSatisfaction]]</f>
        <v>1</v>
      </c>
      <c r="I607">
        <f>Table1[[#This Row],[YearsAtCompany]]</f>
        <v>4</v>
      </c>
      <c r="J607">
        <f>Table1[[#This Row],[YearsSinceLastPromotion]]</f>
        <v>1</v>
      </c>
      <c r="K607">
        <f>Table1[[#This Row],[EmployeeNumber]]</f>
        <v>837</v>
      </c>
      <c r="L607">
        <f>Table1[[#This Row],[DistanceFromHome]]</f>
        <v>12</v>
      </c>
      <c r="M607" t="str">
        <f>Table1[[#This Row],[OverTime]]</f>
        <v>No</v>
      </c>
      <c r="N607">
        <f>Table1[[#This Row],[WorkLifeBalance]]</f>
        <v>2</v>
      </c>
      <c r="O607" t="str" cm="1">
        <f t="array" ref="O607">_xlfn.IFS(A607&lt;=30,"18-30",A607&lt;=40,"31-40",A607&lt;=50,"41-50",A607&gt;50,"51+")</f>
        <v>31-40</v>
      </c>
      <c r="P607" t="str" cm="1">
        <f t="array" ref="P607">_xlfn.IFS(F607&lt;=45,"45 or below",F607&lt;= 60,"46-60",F607&lt;=75,"61-75",F607&lt;=90,"76-90",F607&gt;90,"91 or above")</f>
        <v>45 or below</v>
      </c>
      <c r="Q6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07" t="str" cm="1">
        <f t="array" ref="R607" xml:space="preserve"> _xlfn.IFS(Table3[[#This Row],[Flight Risk Score]] = "NA","NA",Table3[[#This Row],[Flight Risk Score]] &gt;= 70,"High Risk",Table3[[#This Row],[Flight Risk Score]] &gt;= 50, "Medium Risk", Table3[[#This Row],[Flight Risk Score]] &gt;= 30,"Low Risk",Table3[[#This Row],[Flight Risk Score]] &lt; 30,"Very Low Risk")</f>
        <v>Low Risk</v>
      </c>
    </row>
    <row r="608" spans="1:18" x14ac:dyDescent="0.2">
      <c r="A608">
        <f>Table1[[#This Row],[Age]]</f>
        <v>34</v>
      </c>
      <c r="B608">
        <f>IF(Table3[[#This Row],[Attrition]] = "Yes", 1,0)</f>
        <v>0</v>
      </c>
      <c r="C608" t="str">
        <f>Table1[[#This Row],[Attrition]]</f>
        <v>No</v>
      </c>
      <c r="D608" t="str">
        <f>Table1[[#This Row],[Department]]</f>
        <v>Research &amp; Development</v>
      </c>
      <c r="E608">
        <f>Table1[[#This Row],[EnvironmentSatisfaction]]</f>
        <v>3</v>
      </c>
      <c r="F608">
        <f>Table1[[#This Row],[HourlyRate]]</f>
        <v>100</v>
      </c>
      <c r="G608" t="str">
        <f>Table1[[#This Row],[JobRole]]</f>
        <v>Research Scientist</v>
      </c>
      <c r="H608">
        <f>Table1[[#This Row],[JobSatisfaction]]</f>
        <v>4</v>
      </c>
      <c r="I608">
        <f>Table1[[#This Row],[YearsAtCompany]]</f>
        <v>5</v>
      </c>
      <c r="J608">
        <f>Table1[[#This Row],[YearsSinceLastPromotion]]</f>
        <v>1</v>
      </c>
      <c r="K608">
        <f>Table1[[#This Row],[EmployeeNumber]]</f>
        <v>838</v>
      </c>
      <c r="L608">
        <f>Table1[[#This Row],[DistanceFromHome]]</f>
        <v>16</v>
      </c>
      <c r="M608" t="str">
        <f>Table1[[#This Row],[OverTime]]</f>
        <v>No</v>
      </c>
      <c r="N608">
        <f>Table1[[#This Row],[WorkLifeBalance]]</f>
        <v>3</v>
      </c>
      <c r="O608" t="str" cm="1">
        <f t="array" ref="O608">_xlfn.IFS(A608&lt;=30,"18-30",A608&lt;=40,"31-40",A608&lt;=50,"41-50",A608&gt;50,"51+")</f>
        <v>31-40</v>
      </c>
      <c r="P608" t="str" cm="1">
        <f t="array" ref="P608">_xlfn.IFS(F608&lt;=45,"45 or below",F608&lt;= 60,"46-60",F608&lt;=75,"61-75",F608&lt;=90,"76-90",F608&gt;90,"91 or above")</f>
        <v>91 or above</v>
      </c>
      <c r="Q6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08" t="str" cm="1">
        <f t="array" ref="R60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09" spans="1:18" hidden="1" x14ac:dyDescent="0.2">
      <c r="A609">
        <f>Table1[[#This Row],[Age]]</f>
        <v>49</v>
      </c>
      <c r="B609">
        <f>IF(Table3[[#This Row],[Attrition]] = "Yes", 1,0)</f>
        <v>1</v>
      </c>
      <c r="C609" t="str">
        <f>Table1[[#This Row],[Attrition]]</f>
        <v>Yes</v>
      </c>
      <c r="D609" t="str">
        <f>Table1[[#This Row],[Department]]</f>
        <v>Sales</v>
      </c>
      <c r="E609">
        <f>Table1[[#This Row],[EnvironmentSatisfaction]]</f>
        <v>3</v>
      </c>
      <c r="F609">
        <f>Table1[[#This Row],[HourlyRate]]</f>
        <v>43</v>
      </c>
      <c r="G609" t="str">
        <f>Table1[[#This Row],[JobRole]]</f>
        <v>Sales Executive</v>
      </c>
      <c r="H609">
        <f>Table1[[#This Row],[JobSatisfaction]]</f>
        <v>4</v>
      </c>
      <c r="I609">
        <f>Table1[[#This Row],[YearsAtCompany]]</f>
        <v>9</v>
      </c>
      <c r="J609">
        <f>Table1[[#This Row],[YearsSinceLastPromotion]]</f>
        <v>7</v>
      </c>
      <c r="K609">
        <f>Table1[[#This Row],[EmployeeNumber]]</f>
        <v>840</v>
      </c>
      <c r="L609">
        <f>Table1[[#This Row],[DistanceFromHome]]</f>
        <v>11</v>
      </c>
      <c r="M609" t="str">
        <f>Table1[[#This Row],[OverTime]]</f>
        <v>No</v>
      </c>
      <c r="N609">
        <f>Table1[[#This Row],[WorkLifeBalance]]</f>
        <v>4</v>
      </c>
      <c r="O609" t="str" cm="1">
        <f t="array" ref="O609">_xlfn.IFS(A609&lt;=30,"18-30",A609&lt;=40,"31-40",A609&lt;=50,"41-50",A609&gt;50,"51+")</f>
        <v>41-50</v>
      </c>
      <c r="P609" t="str" cm="1">
        <f t="array" ref="P609">_xlfn.IFS(F609&lt;=45,"45 or below",F609&lt;= 60,"46-60",F609&lt;=75,"61-75",F609&lt;=90,"76-90",F609&gt;90,"91 or above")</f>
        <v>45 or below</v>
      </c>
      <c r="Q60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09" t="str" cm="1">
        <f t="array" ref="R609" xml:space="preserve"> _xlfn.IFS(Table3[[#This Row],[Flight Risk Score]] = "NA","NA",Table3[[#This Row],[Flight Risk Score]] &gt;= 70,"High Risk",Table3[[#This Row],[Flight Risk Score]] &gt;= 50, "Medium Risk", Table3[[#This Row],[Flight Risk Score]] &gt;= 30,"Low Risk",Table3[[#This Row],[Flight Risk Score]] &lt; 30,"Very Low Risk")</f>
        <v>NA</v>
      </c>
    </row>
    <row r="610" spans="1:18" hidden="1" x14ac:dyDescent="0.2">
      <c r="A610">
        <f>Table1[[#This Row],[Age]]</f>
        <v>55</v>
      </c>
      <c r="B610">
        <f>IF(Table3[[#This Row],[Attrition]] = "Yes", 1,0)</f>
        <v>1</v>
      </c>
      <c r="C610" t="str">
        <f>Table1[[#This Row],[Attrition]]</f>
        <v>Yes</v>
      </c>
      <c r="D610" t="str">
        <f>Table1[[#This Row],[Department]]</f>
        <v>Sales</v>
      </c>
      <c r="E610">
        <f>Table1[[#This Row],[EnvironmentSatisfaction]]</f>
        <v>3</v>
      </c>
      <c r="F610">
        <f>Table1[[#This Row],[HourlyRate]]</f>
        <v>37</v>
      </c>
      <c r="G610" t="str">
        <f>Table1[[#This Row],[JobRole]]</f>
        <v>Sales Executive</v>
      </c>
      <c r="H610">
        <f>Table1[[#This Row],[JobSatisfaction]]</f>
        <v>4</v>
      </c>
      <c r="I610">
        <f>Table1[[#This Row],[YearsAtCompany]]</f>
        <v>9</v>
      </c>
      <c r="J610">
        <f>Table1[[#This Row],[YearsSinceLastPromotion]]</f>
        <v>7</v>
      </c>
      <c r="K610">
        <f>Table1[[#This Row],[EmployeeNumber]]</f>
        <v>842</v>
      </c>
      <c r="L610">
        <f>Table1[[#This Row],[DistanceFromHome]]</f>
        <v>2</v>
      </c>
      <c r="M610" t="str">
        <f>Table1[[#This Row],[OverTime]]</f>
        <v>No</v>
      </c>
      <c r="N610">
        <f>Table1[[#This Row],[WorkLifeBalance]]</f>
        <v>2</v>
      </c>
      <c r="O610" t="str" cm="1">
        <f t="array" ref="O610">_xlfn.IFS(A610&lt;=30,"18-30",A610&lt;=40,"31-40",A610&lt;=50,"41-50",A610&gt;50,"51+")</f>
        <v>51+</v>
      </c>
      <c r="P610" t="str" cm="1">
        <f t="array" ref="P610">_xlfn.IFS(F610&lt;=45,"45 or below",F610&lt;= 60,"46-60",F610&lt;=75,"61-75",F610&lt;=90,"76-90",F610&gt;90,"91 or above")</f>
        <v>45 or below</v>
      </c>
      <c r="Q61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10" t="str" cm="1">
        <f t="array" ref="R610" xml:space="preserve"> _xlfn.IFS(Table3[[#This Row],[Flight Risk Score]] = "NA","NA",Table3[[#This Row],[Flight Risk Score]] &gt;= 70,"High Risk",Table3[[#This Row],[Flight Risk Score]] &gt;= 50, "Medium Risk", Table3[[#This Row],[Flight Risk Score]] &gt;= 30,"Low Risk",Table3[[#This Row],[Flight Risk Score]] &lt; 30,"Very Low Risk")</f>
        <v>NA</v>
      </c>
    </row>
    <row r="611" spans="1:18" x14ac:dyDescent="0.2">
      <c r="A611">
        <f>Table1[[#This Row],[Age]]</f>
        <v>43</v>
      </c>
      <c r="B611">
        <f>IF(Table3[[#This Row],[Attrition]] = "Yes", 1,0)</f>
        <v>0</v>
      </c>
      <c r="C611" t="str">
        <f>Table1[[#This Row],[Attrition]]</f>
        <v>No</v>
      </c>
      <c r="D611" t="str">
        <f>Table1[[#This Row],[Department]]</f>
        <v>Research &amp; Development</v>
      </c>
      <c r="E611">
        <f>Table1[[#This Row],[EnvironmentSatisfaction]]</f>
        <v>2</v>
      </c>
      <c r="F611">
        <f>Table1[[#This Row],[HourlyRate]]</f>
        <v>94</v>
      </c>
      <c r="G611" t="str">
        <f>Table1[[#This Row],[JobRole]]</f>
        <v>Research Director</v>
      </c>
      <c r="H611">
        <f>Table1[[#This Row],[JobSatisfaction]]</f>
        <v>1</v>
      </c>
      <c r="I611">
        <f>Table1[[#This Row],[YearsAtCompany]]</f>
        <v>4</v>
      </c>
      <c r="J611">
        <f>Table1[[#This Row],[YearsSinceLastPromotion]]</f>
        <v>1</v>
      </c>
      <c r="K611">
        <f>Table1[[#This Row],[EmployeeNumber]]</f>
        <v>843</v>
      </c>
      <c r="L611">
        <f>Table1[[#This Row],[DistanceFromHome]]</f>
        <v>14</v>
      </c>
      <c r="M611" t="str">
        <f>Table1[[#This Row],[OverTime]]</f>
        <v>No</v>
      </c>
      <c r="N611">
        <f>Table1[[#This Row],[WorkLifeBalance]]</f>
        <v>3</v>
      </c>
      <c r="O611" t="str" cm="1">
        <f t="array" ref="O611">_xlfn.IFS(A611&lt;=30,"18-30",A611&lt;=40,"31-40",A611&lt;=50,"41-50",A611&gt;50,"51+")</f>
        <v>41-50</v>
      </c>
      <c r="P611" t="str" cm="1">
        <f t="array" ref="P611">_xlfn.IFS(F611&lt;=45,"45 or below",F611&lt;= 60,"46-60",F611&lt;=75,"61-75",F611&lt;=90,"76-90",F611&gt;90,"91 or above")</f>
        <v>91 or above</v>
      </c>
      <c r="Q6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11" t="str" cm="1">
        <f t="array" ref="R611" xml:space="preserve"> _xlfn.IFS(Table3[[#This Row],[Flight Risk Score]] = "NA","NA",Table3[[#This Row],[Flight Risk Score]] &gt;= 70,"High Risk",Table3[[#This Row],[Flight Risk Score]] &gt;= 50, "Medium Risk", Table3[[#This Row],[Flight Risk Score]] &gt;= 30,"Low Risk",Table3[[#This Row],[Flight Risk Score]] &lt; 30,"Very Low Risk")</f>
        <v>Low Risk</v>
      </c>
    </row>
    <row r="612" spans="1:18" x14ac:dyDescent="0.2">
      <c r="A612">
        <f>Table1[[#This Row],[Age]]</f>
        <v>27</v>
      </c>
      <c r="B612">
        <f>IF(Table3[[#This Row],[Attrition]] = "Yes", 1,0)</f>
        <v>0</v>
      </c>
      <c r="C612" t="str">
        <f>Table1[[#This Row],[Attrition]]</f>
        <v>No</v>
      </c>
      <c r="D612" t="str">
        <f>Table1[[#This Row],[Department]]</f>
        <v>Research &amp; Development</v>
      </c>
      <c r="E612">
        <f>Table1[[#This Row],[EnvironmentSatisfaction]]</f>
        <v>3</v>
      </c>
      <c r="F612">
        <f>Table1[[#This Row],[HourlyRate]]</f>
        <v>42</v>
      </c>
      <c r="G612" t="str">
        <f>Table1[[#This Row],[JobRole]]</f>
        <v>Research Director</v>
      </c>
      <c r="H612">
        <f>Table1[[#This Row],[JobSatisfaction]]</f>
        <v>4</v>
      </c>
      <c r="I612">
        <f>Table1[[#This Row],[YearsAtCompany]]</f>
        <v>9</v>
      </c>
      <c r="J612">
        <f>Table1[[#This Row],[YearsSinceLastPromotion]]</f>
        <v>0</v>
      </c>
      <c r="K612">
        <f>Table1[[#This Row],[EmployeeNumber]]</f>
        <v>844</v>
      </c>
      <c r="L612">
        <f>Table1[[#This Row],[DistanceFromHome]]</f>
        <v>5</v>
      </c>
      <c r="M612" t="str">
        <f>Table1[[#This Row],[OverTime]]</f>
        <v>Yes</v>
      </c>
      <c r="N612">
        <f>Table1[[#This Row],[WorkLifeBalance]]</f>
        <v>3</v>
      </c>
      <c r="O612" t="str" cm="1">
        <f t="array" ref="O612">_xlfn.IFS(A612&lt;=30,"18-30",A612&lt;=40,"31-40",A612&lt;=50,"41-50",A612&gt;50,"51+")</f>
        <v>18-30</v>
      </c>
      <c r="P612" t="str" cm="1">
        <f t="array" ref="P612">_xlfn.IFS(F612&lt;=45,"45 or below",F612&lt;= 60,"46-60",F612&lt;=75,"61-75",F612&lt;=90,"76-90",F612&gt;90,"91 or above")</f>
        <v>45 or below</v>
      </c>
      <c r="Q6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12" t="str" cm="1">
        <f t="array" ref="R612" xml:space="preserve"> _xlfn.IFS(Table3[[#This Row],[Flight Risk Score]] = "NA","NA",Table3[[#This Row],[Flight Risk Score]] &gt;= 70,"High Risk",Table3[[#This Row],[Flight Risk Score]] &gt;= 50, "Medium Risk", Table3[[#This Row],[Flight Risk Score]] &gt;= 30,"Low Risk",Table3[[#This Row],[Flight Risk Score]] &lt; 30,"Very Low Risk")</f>
        <v>Low Risk</v>
      </c>
    </row>
    <row r="613" spans="1:18" x14ac:dyDescent="0.2">
      <c r="A613">
        <f>Table1[[#This Row],[Age]]</f>
        <v>35</v>
      </c>
      <c r="B613">
        <f>IF(Table3[[#This Row],[Attrition]] = "Yes", 1,0)</f>
        <v>0</v>
      </c>
      <c r="C613" t="str">
        <f>Table1[[#This Row],[Attrition]]</f>
        <v>No</v>
      </c>
      <c r="D613" t="str">
        <f>Table1[[#This Row],[Department]]</f>
        <v>Research &amp; Development</v>
      </c>
      <c r="E613">
        <f>Table1[[#This Row],[EnvironmentSatisfaction]]</f>
        <v>3</v>
      </c>
      <c r="F613">
        <f>Table1[[#This Row],[HourlyRate]]</f>
        <v>59</v>
      </c>
      <c r="G613" t="str">
        <f>Table1[[#This Row],[JobRole]]</f>
        <v>Manufacturing Director</v>
      </c>
      <c r="H613">
        <f>Table1[[#This Row],[JobSatisfaction]]</f>
        <v>3</v>
      </c>
      <c r="I613">
        <f>Table1[[#This Row],[YearsAtCompany]]</f>
        <v>8</v>
      </c>
      <c r="J613">
        <f>Table1[[#This Row],[YearsSinceLastPromotion]]</f>
        <v>1</v>
      </c>
      <c r="K613">
        <f>Table1[[#This Row],[EmployeeNumber]]</f>
        <v>845</v>
      </c>
      <c r="L613">
        <f>Table1[[#This Row],[DistanceFromHome]]</f>
        <v>7</v>
      </c>
      <c r="M613" t="str">
        <f>Table1[[#This Row],[OverTime]]</f>
        <v>No</v>
      </c>
      <c r="N613">
        <f>Table1[[#This Row],[WorkLifeBalance]]</f>
        <v>4</v>
      </c>
      <c r="O613" t="str" cm="1">
        <f t="array" ref="O613">_xlfn.IFS(A613&lt;=30,"18-30",A613&lt;=40,"31-40",A613&lt;=50,"41-50",A613&gt;50,"51+")</f>
        <v>31-40</v>
      </c>
      <c r="P613" t="str" cm="1">
        <f t="array" ref="P613">_xlfn.IFS(F613&lt;=45,"45 or below",F613&lt;= 60,"46-60",F613&lt;=75,"61-75",F613&lt;=90,"76-90",F613&gt;90,"91 or above")</f>
        <v>46-60</v>
      </c>
      <c r="Q6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13" t="str" cm="1">
        <f t="array" ref="R61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14" spans="1:18" x14ac:dyDescent="0.2">
      <c r="A614">
        <f>Table1[[#This Row],[Age]]</f>
        <v>28</v>
      </c>
      <c r="B614">
        <f>IF(Table3[[#This Row],[Attrition]] = "Yes", 1,0)</f>
        <v>0</v>
      </c>
      <c r="C614" t="str">
        <f>Table1[[#This Row],[Attrition]]</f>
        <v>No</v>
      </c>
      <c r="D614" t="str">
        <f>Table1[[#This Row],[Department]]</f>
        <v>Sales</v>
      </c>
      <c r="E614">
        <f>Table1[[#This Row],[EnvironmentSatisfaction]]</f>
        <v>2</v>
      </c>
      <c r="F614">
        <f>Table1[[#This Row],[HourlyRate]]</f>
        <v>81</v>
      </c>
      <c r="G614" t="str">
        <f>Table1[[#This Row],[JobRole]]</f>
        <v>Sales Executive</v>
      </c>
      <c r="H614">
        <f>Table1[[#This Row],[JobSatisfaction]]</f>
        <v>2</v>
      </c>
      <c r="I614">
        <f>Table1[[#This Row],[YearsAtCompany]]</f>
        <v>8</v>
      </c>
      <c r="J614">
        <f>Table1[[#This Row],[YearsSinceLastPromotion]]</f>
        <v>7</v>
      </c>
      <c r="K614">
        <f>Table1[[#This Row],[EmployeeNumber]]</f>
        <v>846</v>
      </c>
      <c r="L614">
        <f>Table1[[#This Row],[DistanceFromHome]]</f>
        <v>2</v>
      </c>
      <c r="M614" t="str">
        <f>Table1[[#This Row],[OverTime]]</f>
        <v>Yes</v>
      </c>
      <c r="N614">
        <f>Table1[[#This Row],[WorkLifeBalance]]</f>
        <v>3</v>
      </c>
      <c r="O614" t="str" cm="1">
        <f t="array" ref="O614">_xlfn.IFS(A614&lt;=30,"18-30",A614&lt;=40,"31-40",A614&lt;=50,"41-50",A614&gt;50,"51+")</f>
        <v>18-30</v>
      </c>
      <c r="P614" t="str" cm="1">
        <f t="array" ref="P614">_xlfn.IFS(F614&lt;=45,"45 or below",F614&lt;= 60,"46-60",F614&lt;=75,"61-75",F614&lt;=90,"76-90",F614&gt;90,"91 or above")</f>
        <v>76-90</v>
      </c>
      <c r="Q6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614" t="str" cm="1">
        <f t="array" ref="R61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15" spans="1:18" x14ac:dyDescent="0.2">
      <c r="A615">
        <f>Table1[[#This Row],[Age]]</f>
        <v>34</v>
      </c>
      <c r="B615">
        <f>IF(Table3[[#This Row],[Attrition]] = "Yes", 1,0)</f>
        <v>0</v>
      </c>
      <c r="C615" t="str">
        <f>Table1[[#This Row],[Attrition]]</f>
        <v>No</v>
      </c>
      <c r="D615" t="str">
        <f>Table1[[#This Row],[Department]]</f>
        <v>Human Resources</v>
      </c>
      <c r="E615">
        <f>Table1[[#This Row],[EnvironmentSatisfaction]]</f>
        <v>3</v>
      </c>
      <c r="F615">
        <f>Table1[[#This Row],[HourlyRate]]</f>
        <v>88</v>
      </c>
      <c r="G615" t="str">
        <f>Table1[[#This Row],[JobRole]]</f>
        <v>Human Resources</v>
      </c>
      <c r="H615">
        <f>Table1[[#This Row],[JobSatisfaction]]</f>
        <v>4</v>
      </c>
      <c r="I615">
        <f>Table1[[#This Row],[YearsAtCompany]]</f>
        <v>3</v>
      </c>
      <c r="J615">
        <f>Table1[[#This Row],[YearsSinceLastPromotion]]</f>
        <v>0</v>
      </c>
      <c r="K615">
        <f>Table1[[#This Row],[EmployeeNumber]]</f>
        <v>847</v>
      </c>
      <c r="L615">
        <f>Table1[[#This Row],[DistanceFromHome]]</f>
        <v>3</v>
      </c>
      <c r="M615" t="str">
        <f>Table1[[#This Row],[OverTime]]</f>
        <v>No</v>
      </c>
      <c r="N615">
        <f>Table1[[#This Row],[WorkLifeBalance]]</f>
        <v>1</v>
      </c>
      <c r="O615" t="str" cm="1">
        <f t="array" ref="O615">_xlfn.IFS(A615&lt;=30,"18-30",A615&lt;=40,"31-40",A615&lt;=50,"41-50",A615&gt;50,"51+")</f>
        <v>31-40</v>
      </c>
      <c r="P615" t="str" cm="1">
        <f t="array" ref="P615">_xlfn.IFS(F615&lt;=45,"45 or below",F615&lt;= 60,"46-60",F615&lt;=75,"61-75",F615&lt;=90,"76-90",F615&gt;90,"91 or above")</f>
        <v>76-90</v>
      </c>
      <c r="Q6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15" t="str" cm="1">
        <f t="array" ref="R615" xml:space="preserve"> _xlfn.IFS(Table3[[#This Row],[Flight Risk Score]] = "NA","NA",Table3[[#This Row],[Flight Risk Score]] &gt;= 70,"High Risk",Table3[[#This Row],[Flight Risk Score]] &gt;= 50, "Medium Risk", Table3[[#This Row],[Flight Risk Score]] &gt;= 30,"Low Risk",Table3[[#This Row],[Flight Risk Score]] &lt; 30,"Very Low Risk")</f>
        <v>Low Risk</v>
      </c>
    </row>
    <row r="616" spans="1:18" hidden="1" x14ac:dyDescent="0.2">
      <c r="A616">
        <f>Table1[[#This Row],[Age]]</f>
        <v>26</v>
      </c>
      <c r="B616">
        <f>IF(Table3[[#This Row],[Attrition]] = "Yes", 1,0)</f>
        <v>1</v>
      </c>
      <c r="C616" t="str">
        <f>Table1[[#This Row],[Attrition]]</f>
        <v>Yes</v>
      </c>
      <c r="D616" t="str">
        <f>Table1[[#This Row],[Department]]</f>
        <v>Research &amp; Development</v>
      </c>
      <c r="E616">
        <f>Table1[[#This Row],[EnvironmentSatisfaction]]</f>
        <v>3</v>
      </c>
      <c r="F616">
        <f>Table1[[#This Row],[HourlyRate]]</f>
        <v>88</v>
      </c>
      <c r="G616" t="str">
        <f>Table1[[#This Row],[JobRole]]</f>
        <v>Research Scientist</v>
      </c>
      <c r="H616">
        <f>Table1[[#This Row],[JobSatisfaction]]</f>
        <v>3</v>
      </c>
      <c r="I616">
        <f>Table1[[#This Row],[YearsAtCompany]]</f>
        <v>8</v>
      </c>
      <c r="J616">
        <f>Table1[[#This Row],[YearsSinceLastPromotion]]</f>
        <v>1</v>
      </c>
      <c r="K616">
        <f>Table1[[#This Row],[EmployeeNumber]]</f>
        <v>848</v>
      </c>
      <c r="L616">
        <f>Table1[[#This Row],[DistanceFromHome]]</f>
        <v>5</v>
      </c>
      <c r="M616" t="str">
        <f>Table1[[#This Row],[OverTime]]</f>
        <v>Yes</v>
      </c>
      <c r="N616">
        <f>Table1[[#This Row],[WorkLifeBalance]]</f>
        <v>3</v>
      </c>
      <c r="O616" t="str" cm="1">
        <f t="array" ref="O616">_xlfn.IFS(A616&lt;=30,"18-30",A616&lt;=40,"31-40",A616&lt;=50,"41-50",A616&gt;50,"51+")</f>
        <v>18-30</v>
      </c>
      <c r="P616" t="str" cm="1">
        <f t="array" ref="P616">_xlfn.IFS(F616&lt;=45,"45 or below",F616&lt;= 60,"46-60",F616&lt;=75,"61-75",F616&lt;=90,"76-90",F616&gt;90,"91 or above")</f>
        <v>76-90</v>
      </c>
      <c r="Q61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16" t="str" cm="1">
        <f t="array" ref="R616" xml:space="preserve"> _xlfn.IFS(Table3[[#This Row],[Flight Risk Score]] = "NA","NA",Table3[[#This Row],[Flight Risk Score]] &gt;= 70,"High Risk",Table3[[#This Row],[Flight Risk Score]] &gt;= 50, "Medium Risk", Table3[[#This Row],[Flight Risk Score]] &gt;= 30,"Low Risk",Table3[[#This Row],[Flight Risk Score]] &lt; 30,"Very Low Risk")</f>
        <v>NA</v>
      </c>
    </row>
    <row r="617" spans="1:18" x14ac:dyDescent="0.2">
      <c r="A617">
        <f>Table1[[#This Row],[Age]]</f>
        <v>27</v>
      </c>
      <c r="B617">
        <f>IF(Table3[[#This Row],[Attrition]] = "Yes", 1,0)</f>
        <v>0</v>
      </c>
      <c r="C617" t="str">
        <f>Table1[[#This Row],[Attrition]]</f>
        <v>No</v>
      </c>
      <c r="D617" t="str">
        <f>Table1[[#This Row],[Department]]</f>
        <v>Research &amp; Development</v>
      </c>
      <c r="E617">
        <f>Table1[[#This Row],[EnvironmentSatisfaction]]</f>
        <v>4</v>
      </c>
      <c r="F617">
        <f>Table1[[#This Row],[HourlyRate]]</f>
        <v>50</v>
      </c>
      <c r="G617" t="str">
        <f>Table1[[#This Row],[JobRole]]</f>
        <v>Research Scientist</v>
      </c>
      <c r="H617">
        <f>Table1[[#This Row],[JobSatisfaction]]</f>
        <v>4</v>
      </c>
      <c r="I617">
        <f>Table1[[#This Row],[YearsAtCompany]]</f>
        <v>0</v>
      </c>
      <c r="J617">
        <f>Table1[[#This Row],[YearsSinceLastPromotion]]</f>
        <v>0</v>
      </c>
      <c r="K617">
        <f>Table1[[#This Row],[EmployeeNumber]]</f>
        <v>850</v>
      </c>
      <c r="L617">
        <f>Table1[[#This Row],[DistanceFromHome]]</f>
        <v>3</v>
      </c>
      <c r="M617" t="str">
        <f>Table1[[#This Row],[OverTime]]</f>
        <v>No</v>
      </c>
      <c r="N617">
        <f>Table1[[#This Row],[WorkLifeBalance]]</f>
        <v>2</v>
      </c>
      <c r="O617" t="str" cm="1">
        <f t="array" ref="O617">_xlfn.IFS(A617&lt;=30,"18-30",A617&lt;=40,"31-40",A617&lt;=50,"41-50",A617&gt;50,"51+")</f>
        <v>18-30</v>
      </c>
      <c r="P617" t="str" cm="1">
        <f t="array" ref="P617">_xlfn.IFS(F617&lt;=45,"45 or below",F617&lt;= 60,"46-60",F617&lt;=75,"61-75",F617&lt;=90,"76-90",F617&gt;90,"91 or above")</f>
        <v>46-60</v>
      </c>
      <c r="Q6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17" t="str" cm="1">
        <f t="array" ref="R61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18" spans="1:18" x14ac:dyDescent="0.2">
      <c r="A618">
        <f>Table1[[#This Row],[Age]]</f>
        <v>51</v>
      </c>
      <c r="B618">
        <f>IF(Table3[[#This Row],[Attrition]] = "Yes", 1,0)</f>
        <v>0</v>
      </c>
      <c r="C618" t="str">
        <f>Table1[[#This Row],[Attrition]]</f>
        <v>No</v>
      </c>
      <c r="D618" t="str">
        <f>Table1[[#This Row],[Department]]</f>
        <v>Sales</v>
      </c>
      <c r="E618">
        <f>Table1[[#This Row],[EnvironmentSatisfaction]]</f>
        <v>1</v>
      </c>
      <c r="F618">
        <f>Table1[[#This Row],[HourlyRate]]</f>
        <v>66</v>
      </c>
      <c r="G618" t="str">
        <f>Table1[[#This Row],[JobRole]]</f>
        <v>Manager</v>
      </c>
      <c r="H618">
        <f>Table1[[#This Row],[JobSatisfaction]]</f>
        <v>3</v>
      </c>
      <c r="I618">
        <f>Table1[[#This Row],[YearsAtCompany]]</f>
        <v>20</v>
      </c>
      <c r="J618">
        <f>Table1[[#This Row],[YearsSinceLastPromotion]]</f>
        <v>4</v>
      </c>
      <c r="K618">
        <f>Table1[[#This Row],[EmployeeNumber]]</f>
        <v>851</v>
      </c>
      <c r="L618">
        <f>Table1[[#This Row],[DistanceFromHome]]</f>
        <v>26</v>
      </c>
      <c r="M618" t="str">
        <f>Table1[[#This Row],[OverTime]]</f>
        <v>No</v>
      </c>
      <c r="N618">
        <f>Table1[[#This Row],[WorkLifeBalance]]</f>
        <v>2</v>
      </c>
      <c r="O618" t="str" cm="1">
        <f t="array" ref="O618">_xlfn.IFS(A618&lt;=30,"18-30",A618&lt;=40,"31-40",A618&lt;=50,"41-50",A618&gt;50,"51+")</f>
        <v>51+</v>
      </c>
      <c r="P618" t="str" cm="1">
        <f t="array" ref="P618">_xlfn.IFS(F618&lt;=45,"45 or below",F618&lt;= 60,"46-60",F618&lt;=75,"61-75",F618&lt;=90,"76-90",F618&gt;90,"91 or above")</f>
        <v>61-75</v>
      </c>
      <c r="Q6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18" t="str" cm="1">
        <f t="array" ref="R6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19" spans="1:18" x14ac:dyDescent="0.2">
      <c r="A619">
        <f>Table1[[#This Row],[Age]]</f>
        <v>44</v>
      </c>
      <c r="B619">
        <f>IF(Table3[[#This Row],[Attrition]] = "Yes", 1,0)</f>
        <v>0</v>
      </c>
      <c r="C619" t="str">
        <f>Table1[[#This Row],[Attrition]]</f>
        <v>No</v>
      </c>
      <c r="D619" t="str">
        <f>Table1[[#This Row],[Department]]</f>
        <v>Research &amp; Development</v>
      </c>
      <c r="E619">
        <f>Table1[[#This Row],[EnvironmentSatisfaction]]</f>
        <v>4</v>
      </c>
      <c r="F619">
        <f>Table1[[#This Row],[HourlyRate]]</f>
        <v>50</v>
      </c>
      <c r="G619" t="str">
        <f>Table1[[#This Row],[JobRole]]</f>
        <v>Healthcare Representative</v>
      </c>
      <c r="H619">
        <f>Table1[[#This Row],[JobSatisfaction]]</f>
        <v>2</v>
      </c>
      <c r="I619">
        <f>Table1[[#This Row],[YearsAtCompany]]</f>
        <v>5</v>
      </c>
      <c r="J619">
        <f>Table1[[#This Row],[YearsSinceLastPromotion]]</f>
        <v>2</v>
      </c>
      <c r="K619">
        <f>Table1[[#This Row],[EmployeeNumber]]</f>
        <v>852</v>
      </c>
      <c r="L619">
        <f>Table1[[#This Row],[DistanceFromHome]]</f>
        <v>4</v>
      </c>
      <c r="M619" t="str">
        <f>Table1[[#This Row],[OverTime]]</f>
        <v>No</v>
      </c>
      <c r="N619">
        <f>Table1[[#This Row],[WorkLifeBalance]]</f>
        <v>2</v>
      </c>
      <c r="O619" t="str" cm="1">
        <f t="array" ref="O619">_xlfn.IFS(A619&lt;=30,"18-30",A619&lt;=40,"31-40",A619&lt;=50,"41-50",A619&gt;50,"51+")</f>
        <v>41-50</v>
      </c>
      <c r="P619" t="str" cm="1">
        <f t="array" ref="P619">_xlfn.IFS(F619&lt;=45,"45 or below",F619&lt;= 60,"46-60",F619&lt;=75,"61-75",F619&lt;=90,"76-90",F619&gt;90,"91 or above")</f>
        <v>46-60</v>
      </c>
      <c r="Q6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19" t="str" cm="1">
        <f t="array" ref="R6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20" spans="1:18" x14ac:dyDescent="0.2">
      <c r="A620">
        <f>Table1[[#This Row],[Age]]</f>
        <v>25</v>
      </c>
      <c r="B620">
        <f>IF(Table3[[#This Row],[Attrition]] = "Yes", 1,0)</f>
        <v>0</v>
      </c>
      <c r="C620" t="str">
        <f>Table1[[#This Row],[Attrition]]</f>
        <v>No</v>
      </c>
      <c r="D620" t="str">
        <f>Table1[[#This Row],[Department]]</f>
        <v>Research &amp; Development</v>
      </c>
      <c r="E620">
        <f>Table1[[#This Row],[EnvironmentSatisfaction]]</f>
        <v>1</v>
      </c>
      <c r="F620">
        <f>Table1[[#This Row],[HourlyRate]]</f>
        <v>65</v>
      </c>
      <c r="G620" t="str">
        <f>Table1[[#This Row],[JobRole]]</f>
        <v>Research Scientist</v>
      </c>
      <c r="H620">
        <f>Table1[[#This Row],[JobSatisfaction]]</f>
        <v>1</v>
      </c>
      <c r="I620">
        <f>Table1[[#This Row],[YearsAtCompany]]</f>
        <v>4</v>
      </c>
      <c r="J620">
        <f>Table1[[#This Row],[YearsSinceLastPromotion]]</f>
        <v>0</v>
      </c>
      <c r="K620">
        <f>Table1[[#This Row],[EmployeeNumber]]</f>
        <v>854</v>
      </c>
      <c r="L620">
        <f>Table1[[#This Row],[DistanceFromHome]]</f>
        <v>2</v>
      </c>
      <c r="M620" t="str">
        <f>Table1[[#This Row],[OverTime]]</f>
        <v>No</v>
      </c>
      <c r="N620">
        <f>Table1[[#This Row],[WorkLifeBalance]]</f>
        <v>2</v>
      </c>
      <c r="O620" t="str" cm="1">
        <f t="array" ref="O620">_xlfn.IFS(A620&lt;=30,"18-30",A620&lt;=40,"31-40",A620&lt;=50,"41-50",A620&gt;50,"51+")</f>
        <v>18-30</v>
      </c>
      <c r="P620" t="str" cm="1">
        <f t="array" ref="P620">_xlfn.IFS(F620&lt;=45,"45 or below",F620&lt;= 60,"46-60",F620&lt;=75,"61-75",F620&lt;=90,"76-90",F620&gt;90,"91 or above")</f>
        <v>61-75</v>
      </c>
      <c r="Q6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20" t="str" cm="1">
        <f t="array" ref="R620" xml:space="preserve"> _xlfn.IFS(Table3[[#This Row],[Flight Risk Score]] = "NA","NA",Table3[[#This Row],[Flight Risk Score]] &gt;= 70,"High Risk",Table3[[#This Row],[Flight Risk Score]] &gt;= 50, "Medium Risk", Table3[[#This Row],[Flight Risk Score]] &gt;= 30,"Low Risk",Table3[[#This Row],[Flight Risk Score]] &lt; 30,"Very Low Risk")</f>
        <v>Low Risk</v>
      </c>
    </row>
    <row r="621" spans="1:18" x14ac:dyDescent="0.2">
      <c r="A621">
        <f>Table1[[#This Row],[Age]]</f>
        <v>33</v>
      </c>
      <c r="B621">
        <f>IF(Table3[[#This Row],[Attrition]] = "Yes", 1,0)</f>
        <v>0</v>
      </c>
      <c r="C621" t="str">
        <f>Table1[[#This Row],[Attrition]]</f>
        <v>No</v>
      </c>
      <c r="D621" t="str">
        <f>Table1[[#This Row],[Department]]</f>
        <v>Sales</v>
      </c>
      <c r="E621">
        <f>Table1[[#This Row],[EnvironmentSatisfaction]]</f>
        <v>1</v>
      </c>
      <c r="F621">
        <f>Table1[[#This Row],[HourlyRate]]</f>
        <v>48</v>
      </c>
      <c r="G621" t="str">
        <f>Table1[[#This Row],[JobRole]]</f>
        <v>Sales Executive</v>
      </c>
      <c r="H621">
        <f>Table1[[#This Row],[JobSatisfaction]]</f>
        <v>1</v>
      </c>
      <c r="I621">
        <f>Table1[[#This Row],[YearsAtCompany]]</f>
        <v>9</v>
      </c>
      <c r="J621">
        <f>Table1[[#This Row],[YearsSinceLastPromotion]]</f>
        <v>0</v>
      </c>
      <c r="K621">
        <f>Table1[[#This Row],[EmployeeNumber]]</f>
        <v>855</v>
      </c>
      <c r="L621">
        <f>Table1[[#This Row],[DistanceFromHome]]</f>
        <v>1</v>
      </c>
      <c r="M621" t="str">
        <f>Table1[[#This Row],[OverTime]]</f>
        <v>No</v>
      </c>
      <c r="N621">
        <f>Table1[[#This Row],[WorkLifeBalance]]</f>
        <v>3</v>
      </c>
      <c r="O621" t="str" cm="1">
        <f t="array" ref="O621">_xlfn.IFS(A621&lt;=30,"18-30",A621&lt;=40,"31-40",A621&lt;=50,"41-50",A621&gt;50,"51+")</f>
        <v>31-40</v>
      </c>
      <c r="P621" t="str" cm="1">
        <f t="array" ref="P621">_xlfn.IFS(F621&lt;=45,"45 or below",F621&lt;= 60,"46-60",F621&lt;=75,"61-75",F621&lt;=90,"76-90",F621&gt;90,"91 or above")</f>
        <v>46-60</v>
      </c>
      <c r="Q6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21" t="str" cm="1">
        <f t="array" ref="R621" xml:space="preserve"> _xlfn.IFS(Table3[[#This Row],[Flight Risk Score]] = "NA","NA",Table3[[#This Row],[Flight Risk Score]] &gt;= 70,"High Risk",Table3[[#This Row],[Flight Risk Score]] &gt;= 50, "Medium Risk", Table3[[#This Row],[Flight Risk Score]] &gt;= 30,"Low Risk",Table3[[#This Row],[Flight Risk Score]] &lt; 30,"Very Low Risk")</f>
        <v>Low Risk</v>
      </c>
    </row>
    <row r="622" spans="1:18" x14ac:dyDescent="0.2">
      <c r="A622">
        <f>Table1[[#This Row],[Age]]</f>
        <v>35</v>
      </c>
      <c r="B622">
        <f>IF(Table3[[#This Row],[Attrition]] = "Yes", 1,0)</f>
        <v>0</v>
      </c>
      <c r="C622" t="str">
        <f>Table1[[#This Row],[Attrition]]</f>
        <v>No</v>
      </c>
      <c r="D622" t="str">
        <f>Table1[[#This Row],[Department]]</f>
        <v>Research &amp; Development</v>
      </c>
      <c r="E622">
        <f>Table1[[#This Row],[EnvironmentSatisfaction]]</f>
        <v>3</v>
      </c>
      <c r="F622">
        <f>Table1[[#This Row],[HourlyRate]]</f>
        <v>53</v>
      </c>
      <c r="G622" t="str">
        <f>Table1[[#This Row],[JobRole]]</f>
        <v>Research Scientist</v>
      </c>
      <c r="H622">
        <f>Table1[[#This Row],[JobSatisfaction]]</f>
        <v>1</v>
      </c>
      <c r="I622">
        <f>Table1[[#This Row],[YearsAtCompany]]</f>
        <v>6</v>
      </c>
      <c r="J622">
        <f>Table1[[#This Row],[YearsSinceLastPromotion]]</f>
        <v>1</v>
      </c>
      <c r="K622">
        <f>Table1[[#This Row],[EmployeeNumber]]</f>
        <v>856</v>
      </c>
      <c r="L622">
        <f>Table1[[#This Row],[DistanceFromHome]]</f>
        <v>27</v>
      </c>
      <c r="M622" t="str">
        <f>Table1[[#This Row],[OverTime]]</f>
        <v>No</v>
      </c>
      <c r="N622">
        <f>Table1[[#This Row],[WorkLifeBalance]]</f>
        <v>2</v>
      </c>
      <c r="O622" t="str" cm="1">
        <f t="array" ref="O622">_xlfn.IFS(A622&lt;=30,"18-30",A622&lt;=40,"31-40",A622&lt;=50,"41-50",A622&gt;50,"51+")</f>
        <v>31-40</v>
      </c>
      <c r="P622" t="str" cm="1">
        <f t="array" ref="P622">_xlfn.IFS(F622&lt;=45,"45 or below",F622&lt;= 60,"46-60",F622&lt;=75,"61-75",F622&lt;=90,"76-90",F622&gt;90,"91 or above")</f>
        <v>46-60</v>
      </c>
      <c r="Q6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22" t="str" cm="1">
        <f t="array" ref="R6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23" spans="1:18" x14ac:dyDescent="0.2">
      <c r="A623">
        <f>Table1[[#This Row],[Age]]</f>
        <v>36</v>
      </c>
      <c r="B623">
        <f>IF(Table3[[#This Row],[Attrition]] = "Yes", 1,0)</f>
        <v>0</v>
      </c>
      <c r="C623" t="str">
        <f>Table1[[#This Row],[Attrition]]</f>
        <v>No</v>
      </c>
      <c r="D623" t="str">
        <f>Table1[[#This Row],[Department]]</f>
        <v>Sales</v>
      </c>
      <c r="E623">
        <f>Table1[[#This Row],[EnvironmentSatisfaction]]</f>
        <v>2</v>
      </c>
      <c r="F623">
        <f>Table1[[#This Row],[HourlyRate]]</f>
        <v>56</v>
      </c>
      <c r="G623" t="str">
        <f>Table1[[#This Row],[JobRole]]</f>
        <v>Sales Executive</v>
      </c>
      <c r="H623">
        <f>Table1[[#This Row],[JobSatisfaction]]</f>
        <v>4</v>
      </c>
      <c r="I623">
        <f>Table1[[#This Row],[YearsAtCompany]]</f>
        <v>18</v>
      </c>
      <c r="J623">
        <f>Table1[[#This Row],[YearsSinceLastPromotion]]</f>
        <v>4</v>
      </c>
      <c r="K623">
        <f>Table1[[#This Row],[EmployeeNumber]]</f>
        <v>857</v>
      </c>
      <c r="L623">
        <f>Table1[[#This Row],[DistanceFromHome]]</f>
        <v>1</v>
      </c>
      <c r="M623" t="str">
        <f>Table1[[#This Row],[OverTime]]</f>
        <v>Yes</v>
      </c>
      <c r="N623">
        <f>Table1[[#This Row],[WorkLifeBalance]]</f>
        <v>2</v>
      </c>
      <c r="O623" t="str" cm="1">
        <f t="array" ref="O623">_xlfn.IFS(A623&lt;=30,"18-30",A623&lt;=40,"31-40",A623&lt;=50,"41-50",A623&gt;50,"51+")</f>
        <v>31-40</v>
      </c>
      <c r="P623" t="str" cm="1">
        <f t="array" ref="P623">_xlfn.IFS(F623&lt;=45,"45 or below",F623&lt;= 60,"46-60",F623&lt;=75,"61-75",F623&lt;=90,"76-90",F623&gt;90,"91 or above")</f>
        <v>46-60</v>
      </c>
      <c r="Q6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23" t="str" cm="1">
        <f t="array" ref="R62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24" spans="1:18" x14ac:dyDescent="0.2">
      <c r="A624">
        <f>Table1[[#This Row],[Age]]</f>
        <v>32</v>
      </c>
      <c r="B624">
        <f>IF(Table3[[#This Row],[Attrition]] = "Yes", 1,0)</f>
        <v>0</v>
      </c>
      <c r="C624" t="str">
        <f>Table1[[#This Row],[Attrition]]</f>
        <v>No</v>
      </c>
      <c r="D624" t="str">
        <f>Table1[[#This Row],[Department]]</f>
        <v>Sales</v>
      </c>
      <c r="E624">
        <f>Table1[[#This Row],[EnvironmentSatisfaction]]</f>
        <v>2</v>
      </c>
      <c r="F624">
        <f>Table1[[#This Row],[HourlyRate]]</f>
        <v>73</v>
      </c>
      <c r="G624" t="str">
        <f>Table1[[#This Row],[JobRole]]</f>
        <v>Sales Executive</v>
      </c>
      <c r="H624">
        <f>Table1[[#This Row],[JobSatisfaction]]</f>
        <v>4</v>
      </c>
      <c r="I624">
        <f>Table1[[#This Row],[YearsAtCompany]]</f>
        <v>5</v>
      </c>
      <c r="J624">
        <f>Table1[[#This Row],[YearsSinceLastPromotion]]</f>
        <v>0</v>
      </c>
      <c r="K624">
        <f>Table1[[#This Row],[EmployeeNumber]]</f>
        <v>859</v>
      </c>
      <c r="L624">
        <f>Table1[[#This Row],[DistanceFromHome]]</f>
        <v>13</v>
      </c>
      <c r="M624" t="str">
        <f>Table1[[#This Row],[OverTime]]</f>
        <v>No</v>
      </c>
      <c r="N624">
        <f>Table1[[#This Row],[WorkLifeBalance]]</f>
        <v>2</v>
      </c>
      <c r="O624" t="str" cm="1">
        <f t="array" ref="O624">_xlfn.IFS(A624&lt;=30,"18-30",A624&lt;=40,"31-40",A624&lt;=50,"41-50",A624&gt;50,"51+")</f>
        <v>31-40</v>
      </c>
      <c r="P624" t="str" cm="1">
        <f t="array" ref="P624">_xlfn.IFS(F624&lt;=45,"45 or below",F624&lt;= 60,"46-60",F624&lt;=75,"61-75",F624&lt;=90,"76-90",F624&gt;90,"91 or above")</f>
        <v>61-75</v>
      </c>
      <c r="Q6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24" t="str" cm="1">
        <f t="array" ref="R6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25" spans="1:18" x14ac:dyDescent="0.2">
      <c r="A625">
        <f>Table1[[#This Row],[Age]]</f>
        <v>30</v>
      </c>
      <c r="B625">
        <f>IF(Table3[[#This Row],[Attrition]] = "Yes", 1,0)</f>
        <v>0</v>
      </c>
      <c r="C625" t="str">
        <f>Table1[[#This Row],[Attrition]]</f>
        <v>No</v>
      </c>
      <c r="D625" t="str">
        <f>Table1[[#This Row],[Department]]</f>
        <v>Research &amp; Development</v>
      </c>
      <c r="E625">
        <f>Table1[[#This Row],[EnvironmentSatisfaction]]</f>
        <v>2</v>
      </c>
      <c r="F625">
        <f>Table1[[#This Row],[HourlyRate]]</f>
        <v>75</v>
      </c>
      <c r="G625" t="str">
        <f>Table1[[#This Row],[JobRole]]</f>
        <v>Research Scientist</v>
      </c>
      <c r="H625">
        <f>Table1[[#This Row],[JobSatisfaction]]</f>
        <v>4</v>
      </c>
      <c r="I625">
        <f>Table1[[#This Row],[YearsAtCompany]]</f>
        <v>5</v>
      </c>
      <c r="J625">
        <f>Table1[[#This Row],[YearsSinceLastPromotion]]</f>
        <v>0</v>
      </c>
      <c r="K625">
        <f>Table1[[#This Row],[EmployeeNumber]]</f>
        <v>861</v>
      </c>
      <c r="L625">
        <f>Table1[[#This Row],[DistanceFromHome]]</f>
        <v>5</v>
      </c>
      <c r="M625" t="str">
        <f>Table1[[#This Row],[OverTime]]</f>
        <v>No</v>
      </c>
      <c r="N625">
        <f>Table1[[#This Row],[WorkLifeBalance]]</f>
        <v>2</v>
      </c>
      <c r="O625" t="str" cm="1">
        <f t="array" ref="O625">_xlfn.IFS(A625&lt;=30,"18-30",A625&lt;=40,"31-40",A625&lt;=50,"41-50",A625&gt;50,"51+")</f>
        <v>18-30</v>
      </c>
      <c r="P625" t="str" cm="1">
        <f t="array" ref="P625">_xlfn.IFS(F625&lt;=45,"45 or below",F625&lt;= 60,"46-60",F625&lt;=75,"61-75",F625&lt;=90,"76-90",F625&gt;90,"91 or above")</f>
        <v>61-75</v>
      </c>
      <c r="Q6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25" t="str" cm="1">
        <f t="array" ref="R6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26" spans="1:18" x14ac:dyDescent="0.2">
      <c r="A626">
        <f>Table1[[#This Row],[Age]]</f>
        <v>53</v>
      </c>
      <c r="B626">
        <f>IF(Table3[[#This Row],[Attrition]] = "Yes", 1,0)</f>
        <v>0</v>
      </c>
      <c r="C626" t="str">
        <f>Table1[[#This Row],[Attrition]]</f>
        <v>No</v>
      </c>
      <c r="D626" t="str">
        <f>Table1[[#This Row],[Department]]</f>
        <v>Sales</v>
      </c>
      <c r="E626">
        <f>Table1[[#This Row],[EnvironmentSatisfaction]]</f>
        <v>1</v>
      </c>
      <c r="F626">
        <f>Table1[[#This Row],[HourlyRate]]</f>
        <v>78</v>
      </c>
      <c r="G626" t="str">
        <f>Table1[[#This Row],[JobRole]]</f>
        <v>Sales Executive</v>
      </c>
      <c r="H626">
        <f>Table1[[#This Row],[JobSatisfaction]]</f>
        <v>4</v>
      </c>
      <c r="I626">
        <f>Table1[[#This Row],[YearsAtCompany]]</f>
        <v>5</v>
      </c>
      <c r="J626">
        <f>Table1[[#This Row],[YearsSinceLastPromotion]]</f>
        <v>0</v>
      </c>
      <c r="K626">
        <f>Table1[[#This Row],[EmployeeNumber]]</f>
        <v>862</v>
      </c>
      <c r="L626">
        <f>Table1[[#This Row],[DistanceFromHome]]</f>
        <v>7</v>
      </c>
      <c r="M626" t="str">
        <f>Table1[[#This Row],[OverTime]]</f>
        <v>Yes</v>
      </c>
      <c r="N626">
        <f>Table1[[#This Row],[WorkLifeBalance]]</f>
        <v>3</v>
      </c>
      <c r="O626" t="str" cm="1">
        <f t="array" ref="O626">_xlfn.IFS(A626&lt;=30,"18-30",A626&lt;=40,"31-40",A626&lt;=50,"41-50",A626&gt;50,"51+")</f>
        <v>51+</v>
      </c>
      <c r="P626" t="str" cm="1">
        <f t="array" ref="P626">_xlfn.IFS(F626&lt;=45,"45 or below",F626&lt;= 60,"46-60",F626&lt;=75,"61-75",F626&lt;=90,"76-90",F626&gt;90,"91 or above")</f>
        <v>76-90</v>
      </c>
      <c r="Q6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26" t="str" cm="1">
        <f t="array" ref="R62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27" spans="1:18" x14ac:dyDescent="0.2">
      <c r="A627">
        <f>Table1[[#This Row],[Age]]</f>
        <v>45</v>
      </c>
      <c r="B627">
        <f>IF(Table3[[#This Row],[Attrition]] = "Yes", 1,0)</f>
        <v>0</v>
      </c>
      <c r="C627" t="str">
        <f>Table1[[#This Row],[Attrition]]</f>
        <v>No</v>
      </c>
      <c r="D627" t="str">
        <f>Table1[[#This Row],[Department]]</f>
        <v>Sales</v>
      </c>
      <c r="E627">
        <f>Table1[[#This Row],[EnvironmentSatisfaction]]</f>
        <v>4</v>
      </c>
      <c r="F627">
        <f>Table1[[#This Row],[HourlyRate]]</f>
        <v>74</v>
      </c>
      <c r="G627" t="str">
        <f>Table1[[#This Row],[JobRole]]</f>
        <v>Sales Executive</v>
      </c>
      <c r="H627">
        <f>Table1[[#This Row],[JobSatisfaction]]</f>
        <v>1</v>
      </c>
      <c r="I627">
        <f>Table1[[#This Row],[YearsAtCompany]]</f>
        <v>5</v>
      </c>
      <c r="J627">
        <f>Table1[[#This Row],[YearsSinceLastPromotion]]</f>
        <v>0</v>
      </c>
      <c r="K627">
        <f>Table1[[#This Row],[EmployeeNumber]]</f>
        <v>864</v>
      </c>
      <c r="L627">
        <f>Table1[[#This Row],[DistanceFromHome]]</f>
        <v>9</v>
      </c>
      <c r="M627" t="str">
        <f>Table1[[#This Row],[OverTime]]</f>
        <v>Yes</v>
      </c>
      <c r="N627">
        <f>Table1[[#This Row],[WorkLifeBalance]]</f>
        <v>3</v>
      </c>
      <c r="O627" t="str" cm="1">
        <f t="array" ref="O627">_xlfn.IFS(A627&lt;=30,"18-30",A627&lt;=40,"31-40",A627&lt;=50,"41-50",A627&gt;50,"51+")</f>
        <v>41-50</v>
      </c>
      <c r="P627" t="str" cm="1">
        <f t="array" ref="P627">_xlfn.IFS(F627&lt;=45,"45 or below",F627&lt;= 60,"46-60",F627&lt;=75,"61-75",F627&lt;=90,"76-90",F627&gt;90,"91 or above")</f>
        <v>61-75</v>
      </c>
      <c r="Q6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27" t="str" cm="1">
        <f t="array" ref="R62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28" spans="1:18" x14ac:dyDescent="0.2">
      <c r="A628">
        <f>Table1[[#This Row],[Age]]</f>
        <v>32</v>
      </c>
      <c r="B628">
        <f>IF(Table3[[#This Row],[Attrition]] = "Yes", 1,0)</f>
        <v>0</v>
      </c>
      <c r="C628" t="str">
        <f>Table1[[#This Row],[Attrition]]</f>
        <v>No</v>
      </c>
      <c r="D628" t="str">
        <f>Table1[[#This Row],[Department]]</f>
        <v>Research &amp; Development</v>
      </c>
      <c r="E628">
        <f>Table1[[#This Row],[EnvironmentSatisfaction]]</f>
        <v>3</v>
      </c>
      <c r="F628">
        <f>Table1[[#This Row],[HourlyRate]]</f>
        <v>91</v>
      </c>
      <c r="G628" t="str">
        <f>Table1[[#This Row],[JobRole]]</f>
        <v>Research Scientist</v>
      </c>
      <c r="H628">
        <f>Table1[[#This Row],[JobSatisfaction]]</f>
        <v>3</v>
      </c>
      <c r="I628">
        <f>Table1[[#This Row],[YearsAtCompany]]</f>
        <v>5</v>
      </c>
      <c r="J628">
        <f>Table1[[#This Row],[YearsSinceLastPromotion]]</f>
        <v>1</v>
      </c>
      <c r="K628">
        <f>Table1[[#This Row],[EmployeeNumber]]</f>
        <v>865</v>
      </c>
      <c r="L628">
        <f>Table1[[#This Row],[DistanceFromHome]]</f>
        <v>8</v>
      </c>
      <c r="M628" t="str">
        <f>Table1[[#This Row],[OverTime]]</f>
        <v>No</v>
      </c>
      <c r="N628">
        <f>Table1[[#This Row],[WorkLifeBalance]]</f>
        <v>2</v>
      </c>
      <c r="O628" t="str" cm="1">
        <f t="array" ref="O628">_xlfn.IFS(A628&lt;=30,"18-30",A628&lt;=40,"31-40",A628&lt;=50,"41-50",A628&gt;50,"51+")</f>
        <v>31-40</v>
      </c>
      <c r="P628" t="str" cm="1">
        <f t="array" ref="P628">_xlfn.IFS(F628&lt;=45,"45 or below",F628&lt;= 60,"46-60",F628&lt;=75,"61-75",F628&lt;=90,"76-90",F628&gt;90,"91 or above")</f>
        <v>91 or above</v>
      </c>
      <c r="Q6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28" t="str" cm="1">
        <f t="array" ref="R6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29" spans="1:18" x14ac:dyDescent="0.2">
      <c r="A629">
        <f>Table1[[#This Row],[Age]]</f>
        <v>52</v>
      </c>
      <c r="B629">
        <f>IF(Table3[[#This Row],[Attrition]] = "Yes", 1,0)</f>
        <v>0</v>
      </c>
      <c r="C629" t="str">
        <f>Table1[[#This Row],[Attrition]]</f>
        <v>No</v>
      </c>
      <c r="D629" t="str">
        <f>Table1[[#This Row],[Department]]</f>
        <v>Research &amp; Development</v>
      </c>
      <c r="E629">
        <f>Table1[[#This Row],[EnvironmentSatisfaction]]</f>
        <v>3</v>
      </c>
      <c r="F629">
        <f>Table1[[#This Row],[HourlyRate]]</f>
        <v>81</v>
      </c>
      <c r="G629" t="str">
        <f>Table1[[#This Row],[JobRole]]</f>
        <v>Manufacturing Director</v>
      </c>
      <c r="H629">
        <f>Table1[[#This Row],[JobSatisfaction]]</f>
        <v>4</v>
      </c>
      <c r="I629">
        <f>Table1[[#This Row],[YearsAtCompany]]</f>
        <v>9</v>
      </c>
      <c r="J629">
        <f>Table1[[#This Row],[YearsSinceLastPromotion]]</f>
        <v>0</v>
      </c>
      <c r="K629">
        <f>Table1[[#This Row],[EmployeeNumber]]</f>
        <v>867</v>
      </c>
      <c r="L629">
        <f>Table1[[#This Row],[DistanceFromHome]]</f>
        <v>25</v>
      </c>
      <c r="M629" t="str">
        <f>Table1[[#This Row],[OverTime]]</f>
        <v>No</v>
      </c>
      <c r="N629">
        <f>Table1[[#This Row],[WorkLifeBalance]]</f>
        <v>3</v>
      </c>
      <c r="O629" t="str" cm="1">
        <f t="array" ref="O629">_xlfn.IFS(A629&lt;=30,"18-30",A629&lt;=40,"31-40",A629&lt;=50,"41-50",A629&gt;50,"51+")</f>
        <v>51+</v>
      </c>
      <c r="P629" t="str" cm="1">
        <f t="array" ref="P629">_xlfn.IFS(F629&lt;=45,"45 or below",F629&lt;= 60,"46-60",F629&lt;=75,"61-75",F629&lt;=90,"76-90",F629&gt;90,"91 or above")</f>
        <v>76-90</v>
      </c>
      <c r="Q6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29" t="str" cm="1">
        <f t="array" ref="R6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30" spans="1:18" x14ac:dyDescent="0.2">
      <c r="A630">
        <f>Table1[[#This Row],[Age]]</f>
        <v>37</v>
      </c>
      <c r="B630">
        <f>IF(Table3[[#This Row],[Attrition]] = "Yes", 1,0)</f>
        <v>0</v>
      </c>
      <c r="C630" t="str">
        <f>Table1[[#This Row],[Attrition]]</f>
        <v>No</v>
      </c>
      <c r="D630" t="str">
        <f>Table1[[#This Row],[Department]]</f>
        <v>Sales</v>
      </c>
      <c r="E630">
        <f>Table1[[#This Row],[EnvironmentSatisfaction]]</f>
        <v>4</v>
      </c>
      <c r="F630">
        <f>Table1[[#This Row],[HourlyRate]]</f>
        <v>66</v>
      </c>
      <c r="G630" t="str">
        <f>Table1[[#This Row],[JobRole]]</f>
        <v>Sales Executive</v>
      </c>
      <c r="H630">
        <f>Table1[[#This Row],[JobSatisfaction]]</f>
        <v>3</v>
      </c>
      <c r="I630">
        <f>Table1[[#This Row],[YearsAtCompany]]</f>
        <v>1</v>
      </c>
      <c r="J630">
        <f>Table1[[#This Row],[YearsSinceLastPromotion]]</f>
        <v>0</v>
      </c>
      <c r="K630">
        <f>Table1[[#This Row],[EmployeeNumber]]</f>
        <v>868</v>
      </c>
      <c r="L630">
        <f>Table1[[#This Row],[DistanceFromHome]]</f>
        <v>16</v>
      </c>
      <c r="M630" t="str">
        <f>Table1[[#This Row],[OverTime]]</f>
        <v>No</v>
      </c>
      <c r="N630">
        <f>Table1[[#This Row],[WorkLifeBalance]]</f>
        <v>3</v>
      </c>
      <c r="O630" t="str" cm="1">
        <f t="array" ref="O630">_xlfn.IFS(A630&lt;=30,"18-30",A630&lt;=40,"31-40",A630&lt;=50,"41-50",A630&gt;50,"51+")</f>
        <v>31-40</v>
      </c>
      <c r="P630" t="str" cm="1">
        <f t="array" ref="P630">_xlfn.IFS(F630&lt;=45,"45 or below",F630&lt;= 60,"46-60",F630&lt;=75,"61-75",F630&lt;=90,"76-90",F630&gt;90,"91 or above")</f>
        <v>61-75</v>
      </c>
      <c r="Q6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30" t="str" cm="1">
        <f t="array" ref="R6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31" spans="1:18" x14ac:dyDescent="0.2">
      <c r="A631">
        <f>Table1[[#This Row],[Age]]</f>
        <v>28</v>
      </c>
      <c r="B631">
        <f>IF(Table3[[#This Row],[Attrition]] = "Yes", 1,0)</f>
        <v>0</v>
      </c>
      <c r="C631" t="str">
        <f>Table1[[#This Row],[Attrition]]</f>
        <v>No</v>
      </c>
      <c r="D631" t="str">
        <f>Table1[[#This Row],[Department]]</f>
        <v>Human Resources</v>
      </c>
      <c r="E631">
        <f>Table1[[#This Row],[EnvironmentSatisfaction]]</f>
        <v>2</v>
      </c>
      <c r="F631">
        <f>Table1[[#This Row],[HourlyRate]]</f>
        <v>63</v>
      </c>
      <c r="G631" t="str">
        <f>Table1[[#This Row],[JobRole]]</f>
        <v>Human Resources</v>
      </c>
      <c r="H631">
        <f>Table1[[#This Row],[JobSatisfaction]]</f>
        <v>4</v>
      </c>
      <c r="I631">
        <f>Table1[[#This Row],[YearsAtCompany]]</f>
        <v>5</v>
      </c>
      <c r="J631">
        <f>Table1[[#This Row],[YearsSinceLastPromotion]]</f>
        <v>0</v>
      </c>
      <c r="K631">
        <f>Table1[[#This Row],[EmployeeNumber]]</f>
        <v>869</v>
      </c>
      <c r="L631">
        <f>Table1[[#This Row],[DistanceFromHome]]</f>
        <v>8</v>
      </c>
      <c r="M631" t="str">
        <f>Table1[[#This Row],[OverTime]]</f>
        <v>No</v>
      </c>
      <c r="N631">
        <f>Table1[[#This Row],[WorkLifeBalance]]</f>
        <v>3</v>
      </c>
      <c r="O631" t="str" cm="1">
        <f t="array" ref="O631">_xlfn.IFS(A631&lt;=30,"18-30",A631&lt;=40,"31-40",A631&lt;=50,"41-50",A631&gt;50,"51+")</f>
        <v>18-30</v>
      </c>
      <c r="P631" t="str" cm="1">
        <f t="array" ref="P631">_xlfn.IFS(F631&lt;=45,"45 or below",F631&lt;= 60,"46-60",F631&lt;=75,"61-75",F631&lt;=90,"76-90",F631&gt;90,"91 or above")</f>
        <v>61-75</v>
      </c>
      <c r="Q6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31" t="str" cm="1">
        <f t="array" ref="R6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32" spans="1:18" x14ac:dyDescent="0.2">
      <c r="A632">
        <f>Table1[[#This Row],[Age]]</f>
        <v>22</v>
      </c>
      <c r="B632">
        <f>IF(Table3[[#This Row],[Attrition]] = "Yes", 1,0)</f>
        <v>0</v>
      </c>
      <c r="C632" t="str">
        <f>Table1[[#This Row],[Attrition]]</f>
        <v>No</v>
      </c>
      <c r="D632" t="str">
        <f>Table1[[#This Row],[Department]]</f>
        <v>Research &amp; Development</v>
      </c>
      <c r="E632">
        <f>Table1[[#This Row],[EnvironmentSatisfaction]]</f>
        <v>4</v>
      </c>
      <c r="F632">
        <f>Table1[[#This Row],[HourlyRate]]</f>
        <v>33</v>
      </c>
      <c r="G632" t="str">
        <f>Table1[[#This Row],[JobRole]]</f>
        <v>Manufacturing Director</v>
      </c>
      <c r="H632">
        <f>Table1[[#This Row],[JobSatisfaction]]</f>
        <v>4</v>
      </c>
      <c r="I632">
        <f>Table1[[#This Row],[YearsAtCompany]]</f>
        <v>2</v>
      </c>
      <c r="J632">
        <f>Table1[[#This Row],[YearsSinceLastPromotion]]</f>
        <v>2</v>
      </c>
      <c r="K632">
        <f>Table1[[#This Row],[EmployeeNumber]]</f>
        <v>872</v>
      </c>
      <c r="L632">
        <f>Table1[[#This Row],[DistanceFromHome]]</f>
        <v>1</v>
      </c>
      <c r="M632" t="str">
        <f>Table1[[#This Row],[OverTime]]</f>
        <v>No</v>
      </c>
      <c r="N632">
        <f>Table1[[#This Row],[WorkLifeBalance]]</f>
        <v>1</v>
      </c>
      <c r="O632" t="str" cm="1">
        <f t="array" ref="O632">_xlfn.IFS(A632&lt;=30,"18-30",A632&lt;=40,"31-40",A632&lt;=50,"41-50",A632&gt;50,"51+")</f>
        <v>18-30</v>
      </c>
      <c r="P632" t="str" cm="1">
        <f t="array" ref="P632">_xlfn.IFS(F632&lt;=45,"45 or below",F632&lt;= 60,"46-60",F632&lt;=75,"61-75",F632&lt;=90,"76-90",F632&gt;90,"91 or above")</f>
        <v>45 or below</v>
      </c>
      <c r="Q6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32" t="str" cm="1">
        <f t="array" ref="R632" xml:space="preserve"> _xlfn.IFS(Table3[[#This Row],[Flight Risk Score]] = "NA","NA",Table3[[#This Row],[Flight Risk Score]] &gt;= 70,"High Risk",Table3[[#This Row],[Flight Risk Score]] &gt;= 50, "Medium Risk", Table3[[#This Row],[Flight Risk Score]] &gt;= 30,"Low Risk",Table3[[#This Row],[Flight Risk Score]] &lt; 30,"Very Low Risk")</f>
        <v>Low Risk</v>
      </c>
    </row>
    <row r="633" spans="1:18" x14ac:dyDescent="0.2">
      <c r="A633">
        <f>Table1[[#This Row],[Age]]</f>
        <v>44</v>
      </c>
      <c r="B633">
        <f>IF(Table3[[#This Row],[Attrition]] = "Yes", 1,0)</f>
        <v>0</v>
      </c>
      <c r="C633" t="str">
        <f>Table1[[#This Row],[Attrition]]</f>
        <v>No</v>
      </c>
      <c r="D633" t="str">
        <f>Table1[[#This Row],[Department]]</f>
        <v>Research &amp; Development</v>
      </c>
      <c r="E633">
        <f>Table1[[#This Row],[EnvironmentSatisfaction]]</f>
        <v>1</v>
      </c>
      <c r="F633">
        <f>Table1[[#This Row],[HourlyRate]]</f>
        <v>62</v>
      </c>
      <c r="G633" t="str">
        <f>Table1[[#This Row],[JobRole]]</f>
        <v>Laboratory Technician</v>
      </c>
      <c r="H633">
        <f>Table1[[#This Row],[JobSatisfaction]]</f>
        <v>4</v>
      </c>
      <c r="I633">
        <f>Table1[[#This Row],[YearsAtCompany]]</f>
        <v>3</v>
      </c>
      <c r="J633">
        <f>Table1[[#This Row],[YearsSinceLastPromotion]]</f>
        <v>0</v>
      </c>
      <c r="K633">
        <f>Table1[[#This Row],[EmployeeNumber]]</f>
        <v>874</v>
      </c>
      <c r="L633">
        <f>Table1[[#This Row],[DistanceFromHome]]</f>
        <v>8</v>
      </c>
      <c r="M633" t="str">
        <f>Table1[[#This Row],[OverTime]]</f>
        <v>Yes</v>
      </c>
      <c r="N633">
        <f>Table1[[#This Row],[WorkLifeBalance]]</f>
        <v>2</v>
      </c>
      <c r="O633" t="str" cm="1">
        <f t="array" ref="O633">_xlfn.IFS(A633&lt;=30,"18-30",A633&lt;=40,"31-40",A633&lt;=50,"41-50",A633&gt;50,"51+")</f>
        <v>41-50</v>
      </c>
      <c r="P633" t="str" cm="1">
        <f t="array" ref="P633">_xlfn.IFS(F633&lt;=45,"45 or below",F633&lt;= 60,"46-60",F633&lt;=75,"61-75",F633&lt;=90,"76-90",F633&gt;90,"91 or above")</f>
        <v>61-75</v>
      </c>
      <c r="Q6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33" t="str" cm="1">
        <f t="array" ref="R63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34" spans="1:18" x14ac:dyDescent="0.2">
      <c r="A634">
        <f>Table1[[#This Row],[Age]]</f>
        <v>42</v>
      </c>
      <c r="B634">
        <f>IF(Table3[[#This Row],[Attrition]] = "Yes", 1,0)</f>
        <v>0</v>
      </c>
      <c r="C634" t="str">
        <f>Table1[[#This Row],[Attrition]]</f>
        <v>No</v>
      </c>
      <c r="D634" t="str">
        <f>Table1[[#This Row],[Department]]</f>
        <v>Research &amp; Development</v>
      </c>
      <c r="E634">
        <f>Table1[[#This Row],[EnvironmentSatisfaction]]</f>
        <v>2</v>
      </c>
      <c r="F634">
        <f>Table1[[#This Row],[HourlyRate]]</f>
        <v>35</v>
      </c>
      <c r="G634" t="str">
        <f>Table1[[#This Row],[JobRole]]</f>
        <v>Research Scientist</v>
      </c>
      <c r="H634">
        <f>Table1[[#This Row],[JobSatisfaction]]</f>
        <v>4</v>
      </c>
      <c r="I634">
        <f>Table1[[#This Row],[YearsAtCompany]]</f>
        <v>2</v>
      </c>
      <c r="J634">
        <f>Table1[[#This Row],[YearsSinceLastPromotion]]</f>
        <v>2</v>
      </c>
      <c r="K634">
        <f>Table1[[#This Row],[EmployeeNumber]]</f>
        <v>875</v>
      </c>
      <c r="L634">
        <f>Table1[[#This Row],[DistanceFromHome]]</f>
        <v>2</v>
      </c>
      <c r="M634" t="str">
        <f>Table1[[#This Row],[OverTime]]</f>
        <v>Yes</v>
      </c>
      <c r="N634">
        <f>Table1[[#This Row],[WorkLifeBalance]]</f>
        <v>3</v>
      </c>
      <c r="O634" t="str" cm="1">
        <f t="array" ref="O634">_xlfn.IFS(A634&lt;=30,"18-30",A634&lt;=40,"31-40",A634&lt;=50,"41-50",A634&gt;50,"51+")</f>
        <v>41-50</v>
      </c>
      <c r="P634" t="str" cm="1">
        <f t="array" ref="P634">_xlfn.IFS(F634&lt;=45,"45 or below",F634&lt;= 60,"46-60",F634&lt;=75,"61-75",F634&lt;=90,"76-90",F634&gt;90,"91 or above")</f>
        <v>45 or below</v>
      </c>
      <c r="Q6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34" t="str" cm="1">
        <f t="array" ref="R63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35" spans="1:18" x14ac:dyDescent="0.2">
      <c r="A635">
        <f>Table1[[#This Row],[Age]]</f>
        <v>36</v>
      </c>
      <c r="B635">
        <f>IF(Table3[[#This Row],[Attrition]] = "Yes", 1,0)</f>
        <v>0</v>
      </c>
      <c r="C635" t="str">
        <f>Table1[[#This Row],[Attrition]]</f>
        <v>No</v>
      </c>
      <c r="D635" t="str">
        <f>Table1[[#This Row],[Department]]</f>
        <v>Human Resources</v>
      </c>
      <c r="E635">
        <f>Table1[[#This Row],[EnvironmentSatisfaction]]</f>
        <v>1</v>
      </c>
      <c r="F635">
        <f>Table1[[#This Row],[HourlyRate]]</f>
        <v>77</v>
      </c>
      <c r="G635" t="str">
        <f>Table1[[#This Row],[JobRole]]</f>
        <v>Human Resources</v>
      </c>
      <c r="H635">
        <f>Table1[[#This Row],[JobSatisfaction]]</f>
        <v>1</v>
      </c>
      <c r="I635">
        <f>Table1[[#This Row],[YearsAtCompany]]</f>
        <v>5</v>
      </c>
      <c r="J635">
        <f>Table1[[#This Row],[YearsSinceLastPromotion]]</f>
        <v>0</v>
      </c>
      <c r="K635">
        <f>Table1[[#This Row],[EmployeeNumber]]</f>
        <v>878</v>
      </c>
      <c r="L635">
        <f>Table1[[#This Row],[DistanceFromHome]]</f>
        <v>8</v>
      </c>
      <c r="M635" t="str">
        <f>Table1[[#This Row],[OverTime]]</f>
        <v>No</v>
      </c>
      <c r="N635">
        <f>Table1[[#This Row],[WorkLifeBalance]]</f>
        <v>3</v>
      </c>
      <c r="O635" t="str" cm="1">
        <f t="array" ref="O635">_xlfn.IFS(A635&lt;=30,"18-30",A635&lt;=40,"31-40",A635&lt;=50,"41-50",A635&gt;50,"51+")</f>
        <v>31-40</v>
      </c>
      <c r="P635" t="str" cm="1">
        <f t="array" ref="P635">_xlfn.IFS(F635&lt;=45,"45 or below",F635&lt;= 60,"46-60",F635&lt;=75,"61-75",F635&lt;=90,"76-90",F635&gt;90,"91 or above")</f>
        <v>76-90</v>
      </c>
      <c r="Q6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35" t="str" cm="1">
        <f t="array" ref="R635" xml:space="preserve"> _xlfn.IFS(Table3[[#This Row],[Flight Risk Score]] = "NA","NA",Table3[[#This Row],[Flight Risk Score]] &gt;= 70,"High Risk",Table3[[#This Row],[Flight Risk Score]] &gt;= 50, "Medium Risk", Table3[[#This Row],[Flight Risk Score]] &gt;= 30,"Low Risk",Table3[[#This Row],[Flight Risk Score]] &lt; 30,"Very Low Risk")</f>
        <v>Low Risk</v>
      </c>
    </row>
    <row r="636" spans="1:18" x14ac:dyDescent="0.2">
      <c r="A636">
        <f>Table1[[#This Row],[Age]]</f>
        <v>25</v>
      </c>
      <c r="B636">
        <f>IF(Table3[[#This Row],[Attrition]] = "Yes", 1,0)</f>
        <v>0</v>
      </c>
      <c r="C636" t="str">
        <f>Table1[[#This Row],[Attrition]]</f>
        <v>No</v>
      </c>
      <c r="D636" t="str">
        <f>Table1[[#This Row],[Department]]</f>
        <v>Sales</v>
      </c>
      <c r="E636">
        <f>Table1[[#This Row],[EnvironmentSatisfaction]]</f>
        <v>3</v>
      </c>
      <c r="F636">
        <f>Table1[[#This Row],[HourlyRate]]</f>
        <v>98</v>
      </c>
      <c r="G636" t="str">
        <f>Table1[[#This Row],[JobRole]]</f>
        <v>Sales Executive</v>
      </c>
      <c r="H636">
        <f>Table1[[#This Row],[JobSatisfaction]]</f>
        <v>1</v>
      </c>
      <c r="I636">
        <f>Table1[[#This Row],[YearsAtCompany]]</f>
        <v>5</v>
      </c>
      <c r="J636">
        <f>Table1[[#This Row],[YearsSinceLastPromotion]]</f>
        <v>0</v>
      </c>
      <c r="K636">
        <f>Table1[[#This Row],[EmployeeNumber]]</f>
        <v>879</v>
      </c>
      <c r="L636">
        <f>Table1[[#This Row],[DistanceFromHome]]</f>
        <v>3</v>
      </c>
      <c r="M636" t="str">
        <f>Table1[[#This Row],[OverTime]]</f>
        <v>Yes</v>
      </c>
      <c r="N636">
        <f>Table1[[#This Row],[WorkLifeBalance]]</f>
        <v>3</v>
      </c>
      <c r="O636" t="str" cm="1">
        <f t="array" ref="O636">_xlfn.IFS(A636&lt;=30,"18-30",A636&lt;=40,"31-40",A636&lt;=50,"41-50",A636&gt;50,"51+")</f>
        <v>18-30</v>
      </c>
      <c r="P636" t="str" cm="1">
        <f t="array" ref="P636">_xlfn.IFS(F636&lt;=45,"45 or below",F636&lt;= 60,"46-60",F636&lt;=75,"61-75",F636&lt;=90,"76-90",F636&gt;90,"91 or above")</f>
        <v>91 or above</v>
      </c>
      <c r="Q6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36" t="str" cm="1">
        <f t="array" ref="R63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37" spans="1:18" x14ac:dyDescent="0.2">
      <c r="A637">
        <f>Table1[[#This Row],[Age]]</f>
        <v>35</v>
      </c>
      <c r="B637">
        <f>IF(Table3[[#This Row],[Attrition]] = "Yes", 1,0)</f>
        <v>0</v>
      </c>
      <c r="C637" t="str">
        <f>Table1[[#This Row],[Attrition]]</f>
        <v>No</v>
      </c>
      <c r="D637" t="str">
        <f>Table1[[#This Row],[Department]]</f>
        <v>Research &amp; Development</v>
      </c>
      <c r="E637">
        <f>Table1[[#This Row],[EnvironmentSatisfaction]]</f>
        <v>4</v>
      </c>
      <c r="F637">
        <f>Table1[[#This Row],[HourlyRate]]</f>
        <v>66</v>
      </c>
      <c r="G637" t="str">
        <f>Table1[[#This Row],[JobRole]]</f>
        <v>Manufacturing Director</v>
      </c>
      <c r="H637">
        <f>Table1[[#This Row],[JobSatisfaction]]</f>
        <v>3</v>
      </c>
      <c r="I637">
        <f>Table1[[#This Row],[YearsAtCompany]]</f>
        <v>17</v>
      </c>
      <c r="J637">
        <f>Table1[[#This Row],[YearsSinceLastPromotion]]</f>
        <v>5</v>
      </c>
      <c r="K637">
        <f>Table1[[#This Row],[EmployeeNumber]]</f>
        <v>880</v>
      </c>
      <c r="L637">
        <f>Table1[[#This Row],[DistanceFromHome]]</f>
        <v>9</v>
      </c>
      <c r="M637" t="str">
        <f>Table1[[#This Row],[OverTime]]</f>
        <v>Yes</v>
      </c>
      <c r="N637">
        <f>Table1[[#This Row],[WorkLifeBalance]]</f>
        <v>3</v>
      </c>
      <c r="O637" t="str" cm="1">
        <f t="array" ref="O637">_xlfn.IFS(A637&lt;=30,"18-30",A637&lt;=40,"31-40",A637&lt;=50,"41-50",A637&gt;50,"51+")</f>
        <v>31-40</v>
      </c>
      <c r="P637" t="str" cm="1">
        <f t="array" ref="P637">_xlfn.IFS(F637&lt;=45,"45 or below",F637&lt;= 60,"46-60",F637&lt;=75,"61-75",F637&lt;=90,"76-90",F637&gt;90,"91 or above")</f>
        <v>61-75</v>
      </c>
      <c r="Q6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37" t="str" cm="1">
        <f t="array" ref="R637" xml:space="preserve"> _xlfn.IFS(Table3[[#This Row],[Flight Risk Score]] = "NA","NA",Table3[[#This Row],[Flight Risk Score]] &gt;= 70,"High Risk",Table3[[#This Row],[Flight Risk Score]] &gt;= 50, "Medium Risk", Table3[[#This Row],[Flight Risk Score]] &gt;= 30,"Low Risk",Table3[[#This Row],[Flight Risk Score]] &lt; 30,"Very Low Risk")</f>
        <v>Low Risk</v>
      </c>
    </row>
    <row r="638" spans="1:18" hidden="1" x14ac:dyDescent="0.2">
      <c r="A638">
        <f>Table1[[#This Row],[Age]]</f>
        <v>35</v>
      </c>
      <c r="B638">
        <f>IF(Table3[[#This Row],[Attrition]] = "Yes", 1,0)</f>
        <v>1</v>
      </c>
      <c r="C638" t="str">
        <f>Table1[[#This Row],[Attrition]]</f>
        <v>Yes</v>
      </c>
      <c r="D638" t="str">
        <f>Table1[[#This Row],[Department]]</f>
        <v>Research &amp; Development</v>
      </c>
      <c r="E638">
        <f>Table1[[#This Row],[EnvironmentSatisfaction]]</f>
        <v>4</v>
      </c>
      <c r="F638">
        <f>Table1[[#This Row],[HourlyRate]]</f>
        <v>96</v>
      </c>
      <c r="G638" t="str">
        <f>Table1[[#This Row],[JobRole]]</f>
        <v>Research Scientist</v>
      </c>
      <c r="H638">
        <f>Table1[[#This Row],[JobSatisfaction]]</f>
        <v>2</v>
      </c>
      <c r="I638">
        <f>Table1[[#This Row],[YearsAtCompany]]</f>
        <v>10</v>
      </c>
      <c r="J638">
        <f>Table1[[#This Row],[YearsSinceLastPromotion]]</f>
        <v>7</v>
      </c>
      <c r="K638">
        <f>Table1[[#This Row],[EmployeeNumber]]</f>
        <v>881</v>
      </c>
      <c r="L638">
        <f>Table1[[#This Row],[DistanceFromHome]]</f>
        <v>25</v>
      </c>
      <c r="M638" t="str">
        <f>Table1[[#This Row],[OverTime]]</f>
        <v>Yes</v>
      </c>
      <c r="N638">
        <f>Table1[[#This Row],[WorkLifeBalance]]</f>
        <v>2</v>
      </c>
      <c r="O638" t="str" cm="1">
        <f t="array" ref="O638">_xlfn.IFS(A638&lt;=30,"18-30",A638&lt;=40,"31-40",A638&lt;=50,"41-50",A638&gt;50,"51+")</f>
        <v>31-40</v>
      </c>
      <c r="P638" t="str" cm="1">
        <f t="array" ref="P638">_xlfn.IFS(F638&lt;=45,"45 or below",F638&lt;= 60,"46-60",F638&lt;=75,"61-75",F638&lt;=90,"76-90",F638&gt;90,"91 or above")</f>
        <v>91 or above</v>
      </c>
      <c r="Q6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38" t="str" cm="1">
        <f t="array" ref="R638" xml:space="preserve"> _xlfn.IFS(Table3[[#This Row],[Flight Risk Score]] = "NA","NA",Table3[[#This Row],[Flight Risk Score]] &gt;= 70,"High Risk",Table3[[#This Row],[Flight Risk Score]] &gt;= 50, "Medium Risk", Table3[[#This Row],[Flight Risk Score]] &gt;= 30,"Low Risk",Table3[[#This Row],[Flight Risk Score]] &lt; 30,"Very Low Risk")</f>
        <v>NA</v>
      </c>
    </row>
    <row r="639" spans="1:18" x14ac:dyDescent="0.2">
      <c r="A639">
        <f>Table1[[#This Row],[Age]]</f>
        <v>32</v>
      </c>
      <c r="B639">
        <f>IF(Table3[[#This Row],[Attrition]] = "Yes", 1,0)</f>
        <v>0</v>
      </c>
      <c r="C639" t="str">
        <f>Table1[[#This Row],[Attrition]]</f>
        <v>No</v>
      </c>
      <c r="D639" t="str">
        <f>Table1[[#This Row],[Department]]</f>
        <v>Research &amp; Development</v>
      </c>
      <c r="E639">
        <f>Table1[[#This Row],[EnvironmentSatisfaction]]</f>
        <v>4</v>
      </c>
      <c r="F639">
        <f>Table1[[#This Row],[HourlyRate]]</f>
        <v>61</v>
      </c>
      <c r="G639" t="str">
        <f>Table1[[#This Row],[JobRole]]</f>
        <v>Laboratory Technician</v>
      </c>
      <c r="H639">
        <f>Table1[[#This Row],[JobSatisfaction]]</f>
        <v>4</v>
      </c>
      <c r="I639">
        <f>Table1[[#This Row],[YearsAtCompany]]</f>
        <v>3</v>
      </c>
      <c r="J639">
        <f>Table1[[#This Row],[YearsSinceLastPromotion]]</f>
        <v>0</v>
      </c>
      <c r="K639">
        <f>Table1[[#This Row],[EmployeeNumber]]</f>
        <v>882</v>
      </c>
      <c r="L639">
        <f>Table1[[#This Row],[DistanceFromHome]]</f>
        <v>1</v>
      </c>
      <c r="M639" t="str">
        <f>Table1[[#This Row],[OverTime]]</f>
        <v>No</v>
      </c>
      <c r="N639">
        <f>Table1[[#This Row],[WorkLifeBalance]]</f>
        <v>3</v>
      </c>
      <c r="O639" t="str" cm="1">
        <f t="array" ref="O639">_xlfn.IFS(A639&lt;=30,"18-30",A639&lt;=40,"31-40",A639&lt;=50,"41-50",A639&gt;50,"51+")</f>
        <v>31-40</v>
      </c>
      <c r="P639" t="str" cm="1">
        <f t="array" ref="P639">_xlfn.IFS(F639&lt;=45,"45 or below",F639&lt;= 60,"46-60",F639&lt;=75,"61-75",F639&lt;=90,"76-90",F639&gt;90,"91 or above")</f>
        <v>61-75</v>
      </c>
      <c r="Q6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39" t="str" cm="1">
        <f t="array" ref="R6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40" spans="1:18" x14ac:dyDescent="0.2">
      <c r="A640">
        <f>Table1[[#This Row],[Age]]</f>
        <v>25</v>
      </c>
      <c r="B640">
        <f>IF(Table3[[#This Row],[Attrition]] = "Yes", 1,0)</f>
        <v>0</v>
      </c>
      <c r="C640" t="str">
        <f>Table1[[#This Row],[Attrition]]</f>
        <v>No</v>
      </c>
      <c r="D640" t="str">
        <f>Table1[[#This Row],[Department]]</f>
        <v>Sales</v>
      </c>
      <c r="E640">
        <f>Table1[[#This Row],[EnvironmentSatisfaction]]</f>
        <v>3</v>
      </c>
      <c r="F640">
        <f>Table1[[#This Row],[HourlyRate]]</f>
        <v>87</v>
      </c>
      <c r="G640" t="str">
        <f>Table1[[#This Row],[JobRole]]</f>
        <v>Sales Executive</v>
      </c>
      <c r="H640">
        <f>Table1[[#This Row],[JobSatisfaction]]</f>
        <v>1</v>
      </c>
      <c r="I640">
        <f>Table1[[#This Row],[YearsAtCompany]]</f>
        <v>5</v>
      </c>
      <c r="J640">
        <f>Table1[[#This Row],[YearsSinceLastPromotion]]</f>
        <v>0</v>
      </c>
      <c r="K640">
        <f>Table1[[#This Row],[EmployeeNumber]]</f>
        <v>885</v>
      </c>
      <c r="L640">
        <f>Table1[[#This Row],[DistanceFromHome]]</f>
        <v>4</v>
      </c>
      <c r="M640" t="str">
        <f>Table1[[#This Row],[OverTime]]</f>
        <v>No</v>
      </c>
      <c r="N640">
        <f>Table1[[#This Row],[WorkLifeBalance]]</f>
        <v>4</v>
      </c>
      <c r="O640" t="str" cm="1">
        <f t="array" ref="O640">_xlfn.IFS(A640&lt;=30,"18-30",A640&lt;=40,"31-40",A640&lt;=50,"41-50",A640&gt;50,"51+")</f>
        <v>18-30</v>
      </c>
      <c r="P640" t="str" cm="1">
        <f t="array" ref="P640">_xlfn.IFS(F640&lt;=45,"45 or below",F640&lt;= 60,"46-60",F640&lt;=75,"61-75",F640&lt;=90,"76-90",F640&gt;90,"91 or above")</f>
        <v>76-90</v>
      </c>
      <c r="Q6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40" t="str" cm="1">
        <f t="array" ref="R6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41" spans="1:18" x14ac:dyDescent="0.2">
      <c r="A641">
        <f>Table1[[#This Row],[Age]]</f>
        <v>49</v>
      </c>
      <c r="B641">
        <f>IF(Table3[[#This Row],[Attrition]] = "Yes", 1,0)</f>
        <v>0</v>
      </c>
      <c r="C641" t="str">
        <f>Table1[[#This Row],[Attrition]]</f>
        <v>No</v>
      </c>
      <c r="D641" t="str">
        <f>Table1[[#This Row],[Department]]</f>
        <v>Research &amp; Development</v>
      </c>
      <c r="E641">
        <f>Table1[[#This Row],[EnvironmentSatisfaction]]</f>
        <v>3</v>
      </c>
      <c r="F641">
        <f>Table1[[#This Row],[HourlyRate]]</f>
        <v>36</v>
      </c>
      <c r="G641" t="str">
        <f>Table1[[#This Row],[JobRole]]</f>
        <v>Research Scientist</v>
      </c>
      <c r="H641">
        <f>Table1[[#This Row],[JobSatisfaction]]</f>
        <v>1</v>
      </c>
      <c r="I641">
        <f>Table1[[#This Row],[YearsAtCompany]]</f>
        <v>4</v>
      </c>
      <c r="J641">
        <f>Table1[[#This Row],[YearsSinceLastPromotion]]</f>
        <v>0</v>
      </c>
      <c r="K641">
        <f>Table1[[#This Row],[EmployeeNumber]]</f>
        <v>887</v>
      </c>
      <c r="L641">
        <f>Table1[[#This Row],[DistanceFromHome]]</f>
        <v>1</v>
      </c>
      <c r="M641" t="str">
        <f>Table1[[#This Row],[OverTime]]</f>
        <v>No</v>
      </c>
      <c r="N641">
        <f>Table1[[#This Row],[WorkLifeBalance]]</f>
        <v>3</v>
      </c>
      <c r="O641" t="str" cm="1">
        <f t="array" ref="O641">_xlfn.IFS(A641&lt;=30,"18-30",A641&lt;=40,"31-40",A641&lt;=50,"41-50",A641&gt;50,"51+")</f>
        <v>41-50</v>
      </c>
      <c r="P641" t="str" cm="1">
        <f t="array" ref="P641">_xlfn.IFS(F641&lt;=45,"45 or below",F641&lt;= 60,"46-60",F641&lt;=75,"61-75",F641&lt;=90,"76-90",F641&gt;90,"91 or above")</f>
        <v>45 or below</v>
      </c>
      <c r="Q6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41" t="str" cm="1">
        <f t="array" ref="R6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42" spans="1:18" x14ac:dyDescent="0.2">
      <c r="A642">
        <f>Table1[[#This Row],[Age]]</f>
        <v>24</v>
      </c>
      <c r="B642">
        <f>IF(Table3[[#This Row],[Attrition]] = "Yes", 1,0)</f>
        <v>0</v>
      </c>
      <c r="C642" t="str">
        <f>Table1[[#This Row],[Attrition]]</f>
        <v>No</v>
      </c>
      <c r="D642" t="str">
        <f>Table1[[#This Row],[Department]]</f>
        <v>Research &amp; Development</v>
      </c>
      <c r="E642">
        <f>Table1[[#This Row],[EnvironmentSatisfaction]]</f>
        <v>1</v>
      </c>
      <c r="F642">
        <f>Table1[[#This Row],[HourlyRate]]</f>
        <v>46</v>
      </c>
      <c r="G642" t="str">
        <f>Table1[[#This Row],[JobRole]]</f>
        <v>Laboratory Technician</v>
      </c>
      <c r="H642">
        <f>Table1[[#This Row],[JobSatisfaction]]</f>
        <v>4</v>
      </c>
      <c r="I642">
        <f>Table1[[#This Row],[YearsAtCompany]]</f>
        <v>5</v>
      </c>
      <c r="J642">
        <f>Table1[[#This Row],[YearsSinceLastPromotion]]</f>
        <v>3</v>
      </c>
      <c r="K642">
        <f>Table1[[#This Row],[EmployeeNumber]]</f>
        <v>888</v>
      </c>
      <c r="L642">
        <f>Table1[[#This Row],[DistanceFromHome]]</f>
        <v>4</v>
      </c>
      <c r="M642" t="str">
        <f>Table1[[#This Row],[OverTime]]</f>
        <v>No</v>
      </c>
      <c r="N642">
        <f>Table1[[#This Row],[WorkLifeBalance]]</f>
        <v>2</v>
      </c>
      <c r="O642" t="str" cm="1">
        <f t="array" ref="O642">_xlfn.IFS(A642&lt;=30,"18-30",A642&lt;=40,"31-40",A642&lt;=50,"41-50",A642&gt;50,"51+")</f>
        <v>18-30</v>
      </c>
      <c r="P642" t="str" cm="1">
        <f t="array" ref="P642">_xlfn.IFS(F642&lt;=45,"45 or below",F642&lt;= 60,"46-60",F642&lt;=75,"61-75",F642&lt;=90,"76-90",F642&gt;90,"91 or above")</f>
        <v>46-60</v>
      </c>
      <c r="Q6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42" t="str" cm="1">
        <f t="array" ref="R6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43" spans="1:18" x14ac:dyDescent="0.2">
      <c r="A643">
        <f>Table1[[#This Row],[Age]]</f>
        <v>32</v>
      </c>
      <c r="B643">
        <f>IF(Table3[[#This Row],[Attrition]] = "Yes", 1,0)</f>
        <v>0</v>
      </c>
      <c r="C643" t="str">
        <f>Table1[[#This Row],[Attrition]]</f>
        <v>No</v>
      </c>
      <c r="D643" t="str">
        <f>Table1[[#This Row],[Department]]</f>
        <v>Sales</v>
      </c>
      <c r="E643">
        <f>Table1[[#This Row],[EnvironmentSatisfaction]]</f>
        <v>2</v>
      </c>
      <c r="F643">
        <f>Table1[[#This Row],[HourlyRate]]</f>
        <v>48</v>
      </c>
      <c r="G643" t="str">
        <f>Table1[[#This Row],[JobRole]]</f>
        <v>Sales Executive</v>
      </c>
      <c r="H643">
        <f>Table1[[#This Row],[JobSatisfaction]]</f>
        <v>2</v>
      </c>
      <c r="I643">
        <f>Table1[[#This Row],[YearsAtCompany]]</f>
        <v>10</v>
      </c>
      <c r="J643">
        <f>Table1[[#This Row],[YearsSinceLastPromotion]]</f>
        <v>5</v>
      </c>
      <c r="K643">
        <f>Table1[[#This Row],[EmployeeNumber]]</f>
        <v>889</v>
      </c>
      <c r="L643">
        <f>Table1[[#This Row],[DistanceFromHome]]</f>
        <v>5</v>
      </c>
      <c r="M643" t="str">
        <f>Table1[[#This Row],[OverTime]]</f>
        <v>No</v>
      </c>
      <c r="N643">
        <f>Table1[[#This Row],[WorkLifeBalance]]</f>
        <v>3</v>
      </c>
      <c r="O643" t="str" cm="1">
        <f t="array" ref="O643">_xlfn.IFS(A643&lt;=30,"18-30",A643&lt;=40,"31-40",A643&lt;=50,"41-50",A643&gt;50,"51+")</f>
        <v>31-40</v>
      </c>
      <c r="P643" t="str" cm="1">
        <f t="array" ref="P643">_xlfn.IFS(F643&lt;=45,"45 or below",F643&lt;= 60,"46-60",F643&lt;=75,"61-75",F643&lt;=90,"76-90",F643&gt;90,"91 or above")</f>
        <v>46-60</v>
      </c>
      <c r="Q6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43" t="str" cm="1">
        <f t="array" ref="R643" xml:space="preserve"> _xlfn.IFS(Table3[[#This Row],[Flight Risk Score]] = "NA","NA",Table3[[#This Row],[Flight Risk Score]] &gt;= 70,"High Risk",Table3[[#This Row],[Flight Risk Score]] &gt;= 50, "Medium Risk", Table3[[#This Row],[Flight Risk Score]] &gt;= 30,"Low Risk",Table3[[#This Row],[Flight Risk Score]] &lt; 30,"Very Low Risk")</f>
        <v>Low Risk</v>
      </c>
    </row>
    <row r="644" spans="1:18" x14ac:dyDescent="0.2">
      <c r="A644">
        <f>Table1[[#This Row],[Age]]</f>
        <v>38</v>
      </c>
      <c r="B644">
        <f>IF(Table3[[#This Row],[Attrition]] = "Yes", 1,0)</f>
        <v>0</v>
      </c>
      <c r="C644" t="str">
        <f>Table1[[#This Row],[Attrition]]</f>
        <v>No</v>
      </c>
      <c r="D644" t="str">
        <f>Table1[[#This Row],[Department]]</f>
        <v>Sales</v>
      </c>
      <c r="E644">
        <f>Table1[[#This Row],[EnvironmentSatisfaction]]</f>
        <v>2</v>
      </c>
      <c r="F644">
        <f>Table1[[#This Row],[HourlyRate]]</f>
        <v>98</v>
      </c>
      <c r="G644" t="str">
        <f>Table1[[#This Row],[JobRole]]</f>
        <v>Sales Representative</v>
      </c>
      <c r="H644">
        <f>Table1[[#This Row],[JobSatisfaction]]</f>
        <v>2</v>
      </c>
      <c r="I644">
        <f>Table1[[#This Row],[YearsAtCompany]]</f>
        <v>2</v>
      </c>
      <c r="J644">
        <f>Table1[[#This Row],[YearsSinceLastPromotion]]</f>
        <v>1</v>
      </c>
      <c r="K644">
        <f>Table1[[#This Row],[EmployeeNumber]]</f>
        <v>893</v>
      </c>
      <c r="L644">
        <f>Table1[[#This Row],[DistanceFromHome]]</f>
        <v>9</v>
      </c>
      <c r="M644" t="str">
        <f>Table1[[#This Row],[OverTime]]</f>
        <v>No</v>
      </c>
      <c r="N644">
        <f>Table1[[#This Row],[WorkLifeBalance]]</f>
        <v>3</v>
      </c>
      <c r="O644" t="str" cm="1">
        <f t="array" ref="O644">_xlfn.IFS(A644&lt;=30,"18-30",A644&lt;=40,"31-40",A644&lt;=50,"41-50",A644&gt;50,"51+")</f>
        <v>31-40</v>
      </c>
      <c r="P644" t="str" cm="1">
        <f t="array" ref="P644">_xlfn.IFS(F644&lt;=45,"45 or below",F644&lt;= 60,"46-60",F644&lt;=75,"61-75",F644&lt;=90,"76-90",F644&gt;90,"91 or above")</f>
        <v>91 or above</v>
      </c>
      <c r="Q6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44" t="str" cm="1">
        <f t="array" ref="R644" xml:space="preserve"> _xlfn.IFS(Table3[[#This Row],[Flight Risk Score]] = "NA","NA",Table3[[#This Row],[Flight Risk Score]] &gt;= 70,"High Risk",Table3[[#This Row],[Flight Risk Score]] &gt;= 50, "Medium Risk", Table3[[#This Row],[Flight Risk Score]] &gt;= 30,"Low Risk",Table3[[#This Row],[Flight Risk Score]] &lt; 30,"Very Low Risk")</f>
        <v>Low Risk</v>
      </c>
    </row>
    <row r="645" spans="1:18" x14ac:dyDescent="0.2">
      <c r="A645">
        <f>Table1[[#This Row],[Age]]</f>
        <v>42</v>
      </c>
      <c r="B645">
        <f>IF(Table3[[#This Row],[Attrition]] = "Yes", 1,0)</f>
        <v>0</v>
      </c>
      <c r="C645" t="str">
        <f>Table1[[#This Row],[Attrition]]</f>
        <v>No</v>
      </c>
      <c r="D645" t="str">
        <f>Table1[[#This Row],[Department]]</f>
        <v>Research &amp; Development</v>
      </c>
      <c r="E645">
        <f>Table1[[#This Row],[EnvironmentSatisfaction]]</f>
        <v>3</v>
      </c>
      <c r="F645">
        <f>Table1[[#This Row],[HourlyRate]]</f>
        <v>95</v>
      </c>
      <c r="G645" t="str">
        <f>Table1[[#This Row],[JobRole]]</f>
        <v>Laboratory Technician</v>
      </c>
      <c r="H645">
        <f>Table1[[#This Row],[JobSatisfaction]]</f>
        <v>4</v>
      </c>
      <c r="I645">
        <f>Table1[[#This Row],[YearsAtCompany]]</f>
        <v>5</v>
      </c>
      <c r="J645">
        <f>Table1[[#This Row],[YearsSinceLastPromotion]]</f>
        <v>1</v>
      </c>
      <c r="K645">
        <f>Table1[[#This Row],[EmployeeNumber]]</f>
        <v>894</v>
      </c>
      <c r="L645">
        <f>Table1[[#This Row],[DistanceFromHome]]</f>
        <v>3</v>
      </c>
      <c r="M645" t="str">
        <f>Table1[[#This Row],[OverTime]]</f>
        <v>Yes</v>
      </c>
      <c r="N645">
        <f>Table1[[#This Row],[WorkLifeBalance]]</f>
        <v>2</v>
      </c>
      <c r="O645" t="str" cm="1">
        <f t="array" ref="O645">_xlfn.IFS(A645&lt;=30,"18-30",A645&lt;=40,"31-40",A645&lt;=50,"41-50",A645&gt;50,"51+")</f>
        <v>41-50</v>
      </c>
      <c r="P645" t="str" cm="1">
        <f t="array" ref="P645">_xlfn.IFS(F645&lt;=45,"45 or below",F645&lt;= 60,"46-60",F645&lt;=75,"61-75",F645&lt;=90,"76-90",F645&gt;90,"91 or above")</f>
        <v>91 or above</v>
      </c>
      <c r="Q6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45" t="str" cm="1">
        <f t="array" ref="R645" xml:space="preserve"> _xlfn.IFS(Table3[[#This Row],[Flight Risk Score]] = "NA","NA",Table3[[#This Row],[Flight Risk Score]] &gt;= 70,"High Risk",Table3[[#This Row],[Flight Risk Score]] &gt;= 50, "Medium Risk", Table3[[#This Row],[Flight Risk Score]] &gt;= 30,"Low Risk",Table3[[#This Row],[Flight Risk Score]] &lt; 30,"Very Low Risk")</f>
        <v>Low Risk</v>
      </c>
    </row>
    <row r="646" spans="1:18" x14ac:dyDescent="0.2">
      <c r="A646">
        <f>Table1[[#This Row],[Age]]</f>
        <v>31</v>
      </c>
      <c r="B646">
        <f>IF(Table3[[#This Row],[Attrition]] = "Yes", 1,0)</f>
        <v>0</v>
      </c>
      <c r="C646" t="str">
        <f>Table1[[#This Row],[Attrition]]</f>
        <v>No</v>
      </c>
      <c r="D646" t="str">
        <f>Table1[[#This Row],[Department]]</f>
        <v>Research &amp; Development</v>
      </c>
      <c r="E646">
        <f>Table1[[#This Row],[EnvironmentSatisfaction]]</f>
        <v>4</v>
      </c>
      <c r="F646">
        <f>Table1[[#This Row],[HourlyRate]]</f>
        <v>48</v>
      </c>
      <c r="G646" t="str">
        <f>Table1[[#This Row],[JobRole]]</f>
        <v>Research Scientist</v>
      </c>
      <c r="H646">
        <f>Table1[[#This Row],[JobSatisfaction]]</f>
        <v>4</v>
      </c>
      <c r="I646">
        <f>Table1[[#This Row],[YearsAtCompany]]</f>
        <v>6</v>
      </c>
      <c r="J646">
        <f>Table1[[#This Row],[YearsSinceLastPromotion]]</f>
        <v>0</v>
      </c>
      <c r="K646">
        <f>Table1[[#This Row],[EmployeeNumber]]</f>
        <v>895</v>
      </c>
      <c r="L646">
        <f>Table1[[#This Row],[DistanceFromHome]]</f>
        <v>11</v>
      </c>
      <c r="M646" t="str">
        <f>Table1[[#This Row],[OverTime]]</f>
        <v>Yes</v>
      </c>
      <c r="N646">
        <f>Table1[[#This Row],[WorkLifeBalance]]</f>
        <v>3</v>
      </c>
      <c r="O646" t="str" cm="1">
        <f t="array" ref="O646">_xlfn.IFS(A646&lt;=30,"18-30",A646&lt;=40,"31-40",A646&lt;=50,"41-50",A646&gt;50,"51+")</f>
        <v>31-40</v>
      </c>
      <c r="P646" t="str" cm="1">
        <f t="array" ref="P646">_xlfn.IFS(F646&lt;=45,"45 or below",F646&lt;= 60,"46-60",F646&lt;=75,"61-75",F646&lt;=90,"76-90",F646&gt;90,"91 or above")</f>
        <v>46-60</v>
      </c>
      <c r="Q6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46" t="str" cm="1">
        <f t="array" ref="R646" xml:space="preserve"> _xlfn.IFS(Table3[[#This Row],[Flight Risk Score]] = "NA","NA",Table3[[#This Row],[Flight Risk Score]] &gt;= 70,"High Risk",Table3[[#This Row],[Flight Risk Score]] &gt;= 50, "Medium Risk", Table3[[#This Row],[Flight Risk Score]] &gt;= 30,"Low Risk",Table3[[#This Row],[Flight Risk Score]] &lt; 30,"Very Low Risk")</f>
        <v>Low Risk</v>
      </c>
    </row>
    <row r="647" spans="1:18" hidden="1" x14ac:dyDescent="0.2">
      <c r="A647">
        <f>Table1[[#This Row],[Age]]</f>
        <v>29</v>
      </c>
      <c r="B647">
        <f>IF(Table3[[#This Row],[Attrition]] = "Yes", 1,0)</f>
        <v>1</v>
      </c>
      <c r="C647" t="str">
        <f>Table1[[#This Row],[Attrition]]</f>
        <v>Yes</v>
      </c>
      <c r="D647" t="str">
        <f>Table1[[#This Row],[Department]]</f>
        <v>Sales</v>
      </c>
      <c r="E647">
        <f>Table1[[#This Row],[EnvironmentSatisfaction]]</f>
        <v>2</v>
      </c>
      <c r="F647">
        <f>Table1[[#This Row],[HourlyRate]]</f>
        <v>48</v>
      </c>
      <c r="G647" t="str">
        <f>Table1[[#This Row],[JobRole]]</f>
        <v>Sales Representative</v>
      </c>
      <c r="H647">
        <f>Table1[[#This Row],[JobSatisfaction]]</f>
        <v>3</v>
      </c>
      <c r="I647">
        <f>Table1[[#This Row],[YearsAtCompany]]</f>
        <v>3</v>
      </c>
      <c r="J647">
        <f>Table1[[#This Row],[YearsSinceLastPromotion]]</f>
        <v>0</v>
      </c>
      <c r="K647">
        <f>Table1[[#This Row],[EmployeeNumber]]</f>
        <v>896</v>
      </c>
      <c r="L647">
        <f>Table1[[#This Row],[DistanceFromHome]]</f>
        <v>1</v>
      </c>
      <c r="M647" t="str">
        <f>Table1[[#This Row],[OverTime]]</f>
        <v>Yes</v>
      </c>
      <c r="N647">
        <f>Table1[[#This Row],[WorkLifeBalance]]</f>
        <v>3</v>
      </c>
      <c r="O647" t="str" cm="1">
        <f t="array" ref="O647">_xlfn.IFS(A647&lt;=30,"18-30",A647&lt;=40,"31-40",A647&lt;=50,"41-50",A647&gt;50,"51+")</f>
        <v>18-30</v>
      </c>
      <c r="P647" t="str" cm="1">
        <f t="array" ref="P647">_xlfn.IFS(F647&lt;=45,"45 or below",F647&lt;= 60,"46-60",F647&lt;=75,"61-75",F647&lt;=90,"76-90",F647&gt;90,"91 or above")</f>
        <v>46-60</v>
      </c>
      <c r="Q64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47" t="str" cm="1">
        <f t="array" ref="R647" xml:space="preserve"> _xlfn.IFS(Table3[[#This Row],[Flight Risk Score]] = "NA","NA",Table3[[#This Row],[Flight Risk Score]] &gt;= 70,"High Risk",Table3[[#This Row],[Flight Risk Score]] &gt;= 50, "Medium Risk", Table3[[#This Row],[Flight Risk Score]] &gt;= 30,"Low Risk",Table3[[#This Row],[Flight Risk Score]] &lt; 30,"Very Low Risk")</f>
        <v>NA</v>
      </c>
    </row>
    <row r="648" spans="1:18" x14ac:dyDescent="0.2">
      <c r="A648">
        <f>Table1[[#This Row],[Age]]</f>
        <v>53</v>
      </c>
      <c r="B648">
        <f>IF(Table3[[#This Row],[Attrition]] = "Yes", 1,0)</f>
        <v>0</v>
      </c>
      <c r="C648" t="str">
        <f>Table1[[#This Row],[Attrition]]</f>
        <v>No</v>
      </c>
      <c r="D648" t="str">
        <f>Table1[[#This Row],[Department]]</f>
        <v>Sales</v>
      </c>
      <c r="E648">
        <f>Table1[[#This Row],[EnvironmentSatisfaction]]</f>
        <v>1</v>
      </c>
      <c r="F648">
        <f>Table1[[#This Row],[HourlyRate]]</f>
        <v>73</v>
      </c>
      <c r="G648" t="str">
        <f>Table1[[#This Row],[JobRole]]</f>
        <v>Sales Executive</v>
      </c>
      <c r="H648">
        <f>Table1[[#This Row],[JobSatisfaction]]</f>
        <v>4</v>
      </c>
      <c r="I648">
        <f>Table1[[#This Row],[YearsAtCompany]]</f>
        <v>2</v>
      </c>
      <c r="J648">
        <f>Table1[[#This Row],[YearsSinceLastPromotion]]</f>
        <v>2</v>
      </c>
      <c r="K648">
        <f>Table1[[#This Row],[EmployeeNumber]]</f>
        <v>897</v>
      </c>
      <c r="L648">
        <f>Table1[[#This Row],[DistanceFromHome]]</f>
        <v>8</v>
      </c>
      <c r="M648" t="str">
        <f>Table1[[#This Row],[OverTime]]</f>
        <v>No</v>
      </c>
      <c r="N648">
        <f>Table1[[#This Row],[WorkLifeBalance]]</f>
        <v>3</v>
      </c>
      <c r="O648" t="str" cm="1">
        <f t="array" ref="O648">_xlfn.IFS(A648&lt;=30,"18-30",A648&lt;=40,"31-40",A648&lt;=50,"41-50",A648&gt;50,"51+")</f>
        <v>51+</v>
      </c>
      <c r="P648" t="str" cm="1">
        <f t="array" ref="P648">_xlfn.IFS(F648&lt;=45,"45 or below",F648&lt;= 60,"46-60",F648&lt;=75,"61-75",F648&lt;=90,"76-90",F648&gt;90,"91 or above")</f>
        <v>61-75</v>
      </c>
      <c r="Q6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48" t="str" cm="1">
        <f t="array" ref="R6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49" spans="1:18" x14ac:dyDescent="0.2">
      <c r="A649">
        <f>Table1[[#This Row],[Age]]</f>
        <v>35</v>
      </c>
      <c r="B649">
        <f>IF(Table3[[#This Row],[Attrition]] = "Yes", 1,0)</f>
        <v>0</v>
      </c>
      <c r="C649" t="str">
        <f>Table1[[#This Row],[Attrition]]</f>
        <v>No</v>
      </c>
      <c r="D649" t="str">
        <f>Table1[[#This Row],[Department]]</f>
        <v>Research &amp; Development</v>
      </c>
      <c r="E649">
        <f>Table1[[#This Row],[EnvironmentSatisfaction]]</f>
        <v>4</v>
      </c>
      <c r="F649">
        <f>Table1[[#This Row],[HourlyRate]]</f>
        <v>78</v>
      </c>
      <c r="G649" t="str">
        <f>Table1[[#This Row],[JobRole]]</f>
        <v>Manufacturing Director</v>
      </c>
      <c r="H649">
        <f>Table1[[#This Row],[JobSatisfaction]]</f>
        <v>2</v>
      </c>
      <c r="I649">
        <f>Table1[[#This Row],[YearsAtCompany]]</f>
        <v>13</v>
      </c>
      <c r="J649">
        <f>Table1[[#This Row],[YearsSinceLastPromotion]]</f>
        <v>4</v>
      </c>
      <c r="K649">
        <f>Table1[[#This Row],[EmployeeNumber]]</f>
        <v>899</v>
      </c>
      <c r="L649">
        <f>Table1[[#This Row],[DistanceFromHome]]</f>
        <v>25</v>
      </c>
      <c r="M649" t="str">
        <f>Table1[[#This Row],[OverTime]]</f>
        <v>No</v>
      </c>
      <c r="N649">
        <f>Table1[[#This Row],[WorkLifeBalance]]</f>
        <v>3</v>
      </c>
      <c r="O649" t="str" cm="1">
        <f t="array" ref="O649">_xlfn.IFS(A649&lt;=30,"18-30",A649&lt;=40,"31-40",A649&lt;=50,"41-50",A649&gt;50,"51+")</f>
        <v>31-40</v>
      </c>
      <c r="P649" t="str" cm="1">
        <f t="array" ref="P649">_xlfn.IFS(F649&lt;=45,"45 or below",F649&lt;= 60,"46-60",F649&lt;=75,"61-75",F649&lt;=90,"76-90",F649&gt;90,"91 or above")</f>
        <v>76-90</v>
      </c>
      <c r="Q6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49" t="str" cm="1">
        <f t="array" ref="R6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50" spans="1:18" x14ac:dyDescent="0.2">
      <c r="A650">
        <f>Table1[[#This Row],[Age]]</f>
        <v>37</v>
      </c>
      <c r="B650">
        <f>IF(Table3[[#This Row],[Attrition]] = "Yes", 1,0)</f>
        <v>0</v>
      </c>
      <c r="C650" t="str">
        <f>Table1[[#This Row],[Attrition]]</f>
        <v>No</v>
      </c>
      <c r="D650" t="str">
        <f>Table1[[#This Row],[Department]]</f>
        <v>Sales</v>
      </c>
      <c r="E650">
        <f>Table1[[#This Row],[EnvironmentSatisfaction]]</f>
        <v>3</v>
      </c>
      <c r="F650">
        <f>Table1[[#This Row],[HourlyRate]]</f>
        <v>54</v>
      </c>
      <c r="G650" t="str">
        <f>Table1[[#This Row],[JobRole]]</f>
        <v>Sales Representative</v>
      </c>
      <c r="H650">
        <f>Table1[[#This Row],[JobSatisfaction]]</f>
        <v>4</v>
      </c>
      <c r="I650">
        <f>Table1[[#This Row],[YearsAtCompany]]</f>
        <v>5</v>
      </c>
      <c r="J650">
        <f>Table1[[#This Row],[YearsSinceLastPromotion]]</f>
        <v>0</v>
      </c>
      <c r="K650">
        <f>Table1[[#This Row],[EmployeeNumber]]</f>
        <v>900</v>
      </c>
      <c r="L650">
        <f>Table1[[#This Row],[DistanceFromHome]]</f>
        <v>21</v>
      </c>
      <c r="M650" t="str">
        <f>Table1[[#This Row],[OverTime]]</f>
        <v>No</v>
      </c>
      <c r="N650">
        <f>Table1[[#This Row],[WorkLifeBalance]]</f>
        <v>3</v>
      </c>
      <c r="O650" t="str" cm="1">
        <f t="array" ref="O650">_xlfn.IFS(A650&lt;=30,"18-30",A650&lt;=40,"31-40",A650&lt;=50,"41-50",A650&gt;50,"51+")</f>
        <v>31-40</v>
      </c>
      <c r="P650" t="str" cm="1">
        <f t="array" ref="P650">_xlfn.IFS(F650&lt;=45,"45 or below",F650&lt;= 60,"46-60",F650&lt;=75,"61-75",F650&lt;=90,"76-90",F650&gt;90,"91 or above")</f>
        <v>46-60</v>
      </c>
      <c r="Q6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50" t="str" cm="1">
        <f t="array" ref="R6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51" spans="1:18" x14ac:dyDescent="0.2">
      <c r="A651">
        <f>Table1[[#This Row],[Age]]</f>
        <v>53</v>
      </c>
      <c r="B651">
        <f>IF(Table3[[#This Row],[Attrition]] = "Yes", 1,0)</f>
        <v>0</v>
      </c>
      <c r="C651" t="str">
        <f>Table1[[#This Row],[Attrition]]</f>
        <v>No</v>
      </c>
      <c r="D651" t="str">
        <f>Table1[[#This Row],[Department]]</f>
        <v>Research &amp; Development</v>
      </c>
      <c r="E651">
        <f>Table1[[#This Row],[EnvironmentSatisfaction]]</f>
        <v>4</v>
      </c>
      <c r="F651">
        <f>Table1[[#This Row],[HourlyRate]]</f>
        <v>72</v>
      </c>
      <c r="G651" t="str">
        <f>Table1[[#This Row],[JobRole]]</f>
        <v>Research Director</v>
      </c>
      <c r="H651">
        <f>Table1[[#This Row],[JobSatisfaction]]</f>
        <v>4</v>
      </c>
      <c r="I651">
        <f>Table1[[#This Row],[YearsAtCompany]]</f>
        <v>12</v>
      </c>
      <c r="J651">
        <f>Table1[[#This Row],[YearsSinceLastPromotion]]</f>
        <v>3</v>
      </c>
      <c r="K651">
        <f>Table1[[#This Row],[EmployeeNumber]]</f>
        <v>901</v>
      </c>
      <c r="L651">
        <f>Table1[[#This Row],[DistanceFromHome]]</f>
        <v>23</v>
      </c>
      <c r="M651" t="str">
        <f>Table1[[#This Row],[OverTime]]</f>
        <v>No</v>
      </c>
      <c r="N651">
        <f>Table1[[#This Row],[WorkLifeBalance]]</f>
        <v>3</v>
      </c>
      <c r="O651" t="str" cm="1">
        <f t="array" ref="O651">_xlfn.IFS(A651&lt;=30,"18-30",A651&lt;=40,"31-40",A651&lt;=50,"41-50",A651&gt;50,"51+")</f>
        <v>51+</v>
      </c>
      <c r="P651" t="str" cm="1">
        <f t="array" ref="P651">_xlfn.IFS(F651&lt;=45,"45 or below",F651&lt;= 60,"46-60",F651&lt;=75,"61-75",F651&lt;=90,"76-90",F651&gt;90,"91 or above")</f>
        <v>61-75</v>
      </c>
      <c r="Q6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51" t="str" cm="1">
        <f t="array" ref="R6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52" spans="1:18" x14ac:dyDescent="0.2">
      <c r="A652">
        <f>Table1[[#This Row],[Age]]</f>
        <v>43</v>
      </c>
      <c r="B652">
        <f>IF(Table3[[#This Row],[Attrition]] = "Yes", 1,0)</f>
        <v>0</v>
      </c>
      <c r="C652" t="str">
        <f>Table1[[#This Row],[Attrition]]</f>
        <v>No</v>
      </c>
      <c r="D652" t="str">
        <f>Table1[[#This Row],[Department]]</f>
        <v>Research &amp; Development</v>
      </c>
      <c r="E652">
        <f>Table1[[#This Row],[EnvironmentSatisfaction]]</f>
        <v>4</v>
      </c>
      <c r="F652">
        <f>Table1[[#This Row],[HourlyRate]]</f>
        <v>33</v>
      </c>
      <c r="G652" t="str">
        <f>Table1[[#This Row],[JobRole]]</f>
        <v>Healthcare Representative</v>
      </c>
      <c r="H652">
        <f>Table1[[#This Row],[JobSatisfaction]]</f>
        <v>4</v>
      </c>
      <c r="I652">
        <f>Table1[[#This Row],[YearsAtCompany]]</f>
        <v>5</v>
      </c>
      <c r="J652">
        <f>Table1[[#This Row],[YearsSinceLastPromotion]]</f>
        <v>2</v>
      </c>
      <c r="K652">
        <f>Table1[[#This Row],[EmployeeNumber]]</f>
        <v>902</v>
      </c>
      <c r="L652">
        <f>Table1[[#This Row],[DistanceFromHome]]</f>
        <v>1</v>
      </c>
      <c r="M652" t="str">
        <f>Table1[[#This Row],[OverTime]]</f>
        <v>No</v>
      </c>
      <c r="N652">
        <f>Table1[[#This Row],[WorkLifeBalance]]</f>
        <v>2</v>
      </c>
      <c r="O652" t="str" cm="1">
        <f t="array" ref="O652">_xlfn.IFS(A652&lt;=30,"18-30",A652&lt;=40,"31-40",A652&lt;=50,"41-50",A652&gt;50,"51+")</f>
        <v>41-50</v>
      </c>
      <c r="P652" t="str" cm="1">
        <f t="array" ref="P652">_xlfn.IFS(F652&lt;=45,"45 or below",F652&lt;= 60,"46-60",F652&lt;=75,"61-75",F652&lt;=90,"76-90",F652&gt;90,"91 or above")</f>
        <v>45 or below</v>
      </c>
      <c r="Q6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52" t="str" cm="1">
        <f t="array" ref="R65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53" spans="1:18" x14ac:dyDescent="0.2">
      <c r="A653">
        <f>Table1[[#This Row],[Age]]</f>
        <v>47</v>
      </c>
      <c r="B653">
        <f>IF(Table3[[#This Row],[Attrition]] = "Yes", 1,0)</f>
        <v>0</v>
      </c>
      <c r="C653" t="str">
        <f>Table1[[#This Row],[Attrition]]</f>
        <v>No</v>
      </c>
      <c r="D653" t="str">
        <f>Table1[[#This Row],[Department]]</f>
        <v>Sales</v>
      </c>
      <c r="E653">
        <f>Table1[[#This Row],[EnvironmentSatisfaction]]</f>
        <v>3</v>
      </c>
      <c r="F653">
        <f>Table1[[#This Row],[HourlyRate]]</f>
        <v>35</v>
      </c>
      <c r="G653" t="str">
        <f>Table1[[#This Row],[JobRole]]</f>
        <v>Sales Executive</v>
      </c>
      <c r="H653">
        <f>Table1[[#This Row],[JobSatisfaction]]</f>
        <v>4</v>
      </c>
      <c r="I653">
        <f>Table1[[#This Row],[YearsAtCompany]]</f>
        <v>7</v>
      </c>
      <c r="J653">
        <f>Table1[[#This Row],[YearsSinceLastPromotion]]</f>
        <v>7</v>
      </c>
      <c r="K653">
        <f>Table1[[#This Row],[EmployeeNumber]]</f>
        <v>903</v>
      </c>
      <c r="L653">
        <f>Table1[[#This Row],[DistanceFromHome]]</f>
        <v>2</v>
      </c>
      <c r="M653" t="str">
        <f>Table1[[#This Row],[OverTime]]</f>
        <v>Yes</v>
      </c>
      <c r="N653">
        <f>Table1[[#This Row],[WorkLifeBalance]]</f>
        <v>3</v>
      </c>
      <c r="O653" t="str" cm="1">
        <f t="array" ref="O653">_xlfn.IFS(A653&lt;=30,"18-30",A653&lt;=40,"31-40",A653&lt;=50,"41-50",A653&gt;50,"51+")</f>
        <v>41-50</v>
      </c>
      <c r="P653" t="str" cm="1">
        <f t="array" ref="P653">_xlfn.IFS(F653&lt;=45,"45 or below",F653&lt;= 60,"46-60",F653&lt;=75,"61-75",F653&lt;=90,"76-90",F653&gt;90,"91 or above")</f>
        <v>45 or below</v>
      </c>
      <c r="Q6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53" t="str" cm="1">
        <f t="array" ref="R653" xml:space="preserve"> _xlfn.IFS(Table3[[#This Row],[Flight Risk Score]] = "NA","NA",Table3[[#This Row],[Flight Risk Score]] &gt;= 70,"High Risk",Table3[[#This Row],[Flight Risk Score]] &gt;= 50, "Medium Risk", Table3[[#This Row],[Flight Risk Score]] &gt;= 30,"Low Risk",Table3[[#This Row],[Flight Risk Score]] &lt; 30,"Very Low Risk")</f>
        <v>Low Risk</v>
      </c>
    </row>
    <row r="654" spans="1:18" x14ac:dyDescent="0.2">
      <c r="A654">
        <f>Table1[[#This Row],[Age]]</f>
        <v>37</v>
      </c>
      <c r="B654">
        <f>IF(Table3[[#This Row],[Attrition]] = "Yes", 1,0)</f>
        <v>0</v>
      </c>
      <c r="C654" t="str">
        <f>Table1[[#This Row],[Attrition]]</f>
        <v>No</v>
      </c>
      <c r="D654" t="str">
        <f>Table1[[#This Row],[Department]]</f>
        <v>Sales</v>
      </c>
      <c r="E654">
        <f>Table1[[#This Row],[EnvironmentSatisfaction]]</f>
        <v>1</v>
      </c>
      <c r="F654">
        <f>Table1[[#This Row],[HourlyRate]]</f>
        <v>32</v>
      </c>
      <c r="G654" t="str">
        <f>Table1[[#This Row],[JobRole]]</f>
        <v>Sales Executive</v>
      </c>
      <c r="H654">
        <f>Table1[[#This Row],[JobSatisfaction]]</f>
        <v>2</v>
      </c>
      <c r="I654">
        <f>Table1[[#This Row],[YearsAtCompany]]</f>
        <v>10</v>
      </c>
      <c r="J654">
        <f>Table1[[#This Row],[YearsSinceLastPromotion]]</f>
        <v>0</v>
      </c>
      <c r="K654">
        <f>Table1[[#This Row],[EmployeeNumber]]</f>
        <v>904</v>
      </c>
      <c r="L654">
        <f>Table1[[#This Row],[DistanceFromHome]]</f>
        <v>19</v>
      </c>
      <c r="M654" t="str">
        <f>Table1[[#This Row],[OverTime]]</f>
        <v>Yes</v>
      </c>
      <c r="N654">
        <f>Table1[[#This Row],[WorkLifeBalance]]</f>
        <v>3</v>
      </c>
      <c r="O654" t="str" cm="1">
        <f t="array" ref="O654">_xlfn.IFS(A654&lt;=30,"18-30",A654&lt;=40,"31-40",A654&lt;=50,"41-50",A654&gt;50,"51+")</f>
        <v>31-40</v>
      </c>
      <c r="P654" t="str" cm="1">
        <f t="array" ref="P654">_xlfn.IFS(F654&lt;=45,"45 or below",F654&lt;= 60,"46-60",F654&lt;=75,"61-75",F654&lt;=90,"76-90",F654&gt;90,"91 or above")</f>
        <v>45 or below</v>
      </c>
      <c r="Q6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654" t="str" cm="1">
        <f t="array" ref="R65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55" spans="1:18" x14ac:dyDescent="0.2">
      <c r="A655">
        <f>Table1[[#This Row],[Age]]</f>
        <v>50</v>
      </c>
      <c r="B655">
        <f>IF(Table3[[#This Row],[Attrition]] = "Yes", 1,0)</f>
        <v>0</v>
      </c>
      <c r="C655" t="str">
        <f>Table1[[#This Row],[Attrition]]</f>
        <v>No</v>
      </c>
      <c r="D655" t="str">
        <f>Table1[[#This Row],[Department]]</f>
        <v>Research &amp; Development</v>
      </c>
      <c r="E655">
        <f>Table1[[#This Row],[EnvironmentSatisfaction]]</f>
        <v>1</v>
      </c>
      <c r="F655">
        <f>Table1[[#This Row],[HourlyRate]]</f>
        <v>98</v>
      </c>
      <c r="G655" t="str">
        <f>Table1[[#This Row],[JobRole]]</f>
        <v>Manager</v>
      </c>
      <c r="H655">
        <f>Table1[[#This Row],[JobSatisfaction]]</f>
        <v>1</v>
      </c>
      <c r="I655">
        <f>Table1[[#This Row],[YearsAtCompany]]</f>
        <v>31</v>
      </c>
      <c r="J655">
        <f>Table1[[#This Row],[YearsSinceLastPromotion]]</f>
        <v>14</v>
      </c>
      <c r="K655">
        <f>Table1[[#This Row],[EmployeeNumber]]</f>
        <v>905</v>
      </c>
      <c r="L655">
        <f>Table1[[#This Row],[DistanceFromHome]]</f>
        <v>2</v>
      </c>
      <c r="M655" t="str">
        <f>Table1[[#This Row],[OverTime]]</f>
        <v>No</v>
      </c>
      <c r="N655">
        <f>Table1[[#This Row],[WorkLifeBalance]]</f>
        <v>3</v>
      </c>
      <c r="O655" t="str" cm="1">
        <f t="array" ref="O655">_xlfn.IFS(A655&lt;=30,"18-30",A655&lt;=40,"31-40",A655&lt;=50,"41-50",A655&gt;50,"51+")</f>
        <v>41-50</v>
      </c>
      <c r="P655" t="str" cm="1">
        <f t="array" ref="P655">_xlfn.IFS(F655&lt;=45,"45 or below",F655&lt;= 60,"46-60",F655&lt;=75,"61-75",F655&lt;=90,"76-90",F655&gt;90,"91 or above")</f>
        <v>91 or above</v>
      </c>
      <c r="Q6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55" t="str" cm="1">
        <f t="array" ref="R655" xml:space="preserve"> _xlfn.IFS(Table3[[#This Row],[Flight Risk Score]] = "NA","NA",Table3[[#This Row],[Flight Risk Score]] &gt;= 70,"High Risk",Table3[[#This Row],[Flight Risk Score]] &gt;= 50, "Medium Risk", Table3[[#This Row],[Flight Risk Score]] &gt;= 30,"Low Risk",Table3[[#This Row],[Flight Risk Score]] &lt; 30,"Very Low Risk")</f>
        <v>Low Risk</v>
      </c>
    </row>
    <row r="656" spans="1:18" x14ac:dyDescent="0.2">
      <c r="A656">
        <f>Table1[[#This Row],[Age]]</f>
        <v>39</v>
      </c>
      <c r="B656">
        <f>IF(Table3[[#This Row],[Attrition]] = "Yes", 1,0)</f>
        <v>0</v>
      </c>
      <c r="C656" t="str">
        <f>Table1[[#This Row],[Attrition]]</f>
        <v>No</v>
      </c>
      <c r="D656" t="str">
        <f>Table1[[#This Row],[Department]]</f>
        <v>Human Resources</v>
      </c>
      <c r="E656">
        <f>Table1[[#This Row],[EnvironmentSatisfaction]]</f>
        <v>4</v>
      </c>
      <c r="F656">
        <f>Table1[[#This Row],[HourlyRate]]</f>
        <v>42</v>
      </c>
      <c r="G656" t="str">
        <f>Table1[[#This Row],[JobRole]]</f>
        <v>Human Resources</v>
      </c>
      <c r="H656">
        <f>Table1[[#This Row],[JobSatisfaction]]</f>
        <v>4</v>
      </c>
      <c r="I656">
        <f>Table1[[#This Row],[YearsAtCompany]]</f>
        <v>5</v>
      </c>
      <c r="J656">
        <f>Table1[[#This Row],[YearsSinceLastPromotion]]</f>
        <v>0</v>
      </c>
      <c r="K656">
        <f>Table1[[#This Row],[EmployeeNumber]]</f>
        <v>909</v>
      </c>
      <c r="L656">
        <f>Table1[[#This Row],[DistanceFromHome]]</f>
        <v>2</v>
      </c>
      <c r="M656" t="str">
        <f>Table1[[#This Row],[OverTime]]</f>
        <v>No</v>
      </c>
      <c r="N656">
        <f>Table1[[#This Row],[WorkLifeBalance]]</f>
        <v>3</v>
      </c>
      <c r="O656" t="str" cm="1">
        <f t="array" ref="O656">_xlfn.IFS(A656&lt;=30,"18-30",A656&lt;=40,"31-40",A656&lt;=50,"41-50",A656&gt;50,"51+")</f>
        <v>31-40</v>
      </c>
      <c r="P656" t="str" cm="1">
        <f t="array" ref="P656">_xlfn.IFS(F656&lt;=45,"45 or below",F656&lt;= 60,"46-60",F656&lt;=75,"61-75",F656&lt;=90,"76-90",F656&gt;90,"91 or above")</f>
        <v>45 or below</v>
      </c>
      <c r="Q6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56" t="str" cm="1">
        <f t="array" ref="R6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57" spans="1:18" x14ac:dyDescent="0.2">
      <c r="A657">
        <f>Table1[[#This Row],[Age]]</f>
        <v>33</v>
      </c>
      <c r="B657">
        <f>IF(Table3[[#This Row],[Attrition]] = "Yes", 1,0)</f>
        <v>0</v>
      </c>
      <c r="C657" t="str">
        <f>Table1[[#This Row],[Attrition]]</f>
        <v>No</v>
      </c>
      <c r="D657" t="str">
        <f>Table1[[#This Row],[Department]]</f>
        <v>Human Resources</v>
      </c>
      <c r="E657">
        <f>Table1[[#This Row],[EnvironmentSatisfaction]]</f>
        <v>4</v>
      </c>
      <c r="F657">
        <f>Table1[[#This Row],[HourlyRate]]</f>
        <v>57</v>
      </c>
      <c r="G657" t="str">
        <f>Table1[[#This Row],[JobRole]]</f>
        <v>Human Resources</v>
      </c>
      <c r="H657">
        <f>Table1[[#This Row],[JobSatisfaction]]</f>
        <v>2</v>
      </c>
      <c r="I657">
        <f>Table1[[#This Row],[YearsAtCompany]]</f>
        <v>4</v>
      </c>
      <c r="J657">
        <f>Table1[[#This Row],[YearsSinceLastPromotion]]</f>
        <v>0</v>
      </c>
      <c r="K657">
        <f>Table1[[#This Row],[EmployeeNumber]]</f>
        <v>910</v>
      </c>
      <c r="L657">
        <f>Table1[[#This Row],[DistanceFromHome]]</f>
        <v>3</v>
      </c>
      <c r="M657" t="str">
        <f>Table1[[#This Row],[OverTime]]</f>
        <v>Yes</v>
      </c>
      <c r="N657">
        <f>Table1[[#This Row],[WorkLifeBalance]]</f>
        <v>4</v>
      </c>
      <c r="O657" t="str" cm="1">
        <f t="array" ref="O657">_xlfn.IFS(A657&lt;=30,"18-30",A657&lt;=40,"31-40",A657&lt;=50,"41-50",A657&gt;50,"51+")</f>
        <v>31-40</v>
      </c>
      <c r="P657" t="str" cm="1">
        <f t="array" ref="P657">_xlfn.IFS(F657&lt;=45,"45 or below",F657&lt;= 60,"46-60",F657&lt;=75,"61-75",F657&lt;=90,"76-90",F657&gt;90,"91 or above")</f>
        <v>46-60</v>
      </c>
      <c r="Q6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57" t="str" cm="1">
        <f t="array" ref="R65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58" spans="1:18" hidden="1" x14ac:dyDescent="0.2">
      <c r="A658">
        <f>Table1[[#This Row],[Age]]</f>
        <v>32</v>
      </c>
      <c r="B658">
        <f>IF(Table3[[#This Row],[Attrition]] = "Yes", 1,0)</f>
        <v>1</v>
      </c>
      <c r="C658" t="str">
        <f>Table1[[#This Row],[Attrition]]</f>
        <v>Yes</v>
      </c>
      <c r="D658" t="str">
        <f>Table1[[#This Row],[Department]]</f>
        <v>Research &amp; Development</v>
      </c>
      <c r="E658">
        <f>Table1[[#This Row],[EnvironmentSatisfaction]]</f>
        <v>1</v>
      </c>
      <c r="F658">
        <f>Table1[[#This Row],[HourlyRate]]</f>
        <v>87</v>
      </c>
      <c r="G658" t="str">
        <f>Table1[[#This Row],[JobRole]]</f>
        <v>Laboratory Technician</v>
      </c>
      <c r="H658">
        <f>Table1[[#This Row],[JobSatisfaction]]</f>
        <v>4</v>
      </c>
      <c r="I658">
        <f>Table1[[#This Row],[YearsAtCompany]]</f>
        <v>1</v>
      </c>
      <c r="J658">
        <f>Table1[[#This Row],[YearsSinceLastPromotion]]</f>
        <v>0</v>
      </c>
      <c r="K658">
        <f>Table1[[#This Row],[EmployeeNumber]]</f>
        <v>911</v>
      </c>
      <c r="L658">
        <f>Table1[[#This Row],[DistanceFromHome]]</f>
        <v>25</v>
      </c>
      <c r="M658" t="str">
        <f>Table1[[#This Row],[OverTime]]</f>
        <v>Yes</v>
      </c>
      <c r="N658">
        <f>Table1[[#This Row],[WorkLifeBalance]]</f>
        <v>1</v>
      </c>
      <c r="O658" t="str" cm="1">
        <f t="array" ref="O658">_xlfn.IFS(A658&lt;=30,"18-30",A658&lt;=40,"31-40",A658&lt;=50,"41-50",A658&gt;50,"51+")</f>
        <v>31-40</v>
      </c>
      <c r="P658" t="str" cm="1">
        <f t="array" ref="P658">_xlfn.IFS(F658&lt;=45,"45 or below",F658&lt;= 60,"46-60",F658&lt;=75,"61-75",F658&lt;=90,"76-90",F658&gt;90,"91 or above")</f>
        <v>76-90</v>
      </c>
      <c r="Q65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58" t="str" cm="1">
        <f t="array" ref="R658" xml:space="preserve"> _xlfn.IFS(Table3[[#This Row],[Flight Risk Score]] = "NA","NA",Table3[[#This Row],[Flight Risk Score]] &gt;= 70,"High Risk",Table3[[#This Row],[Flight Risk Score]] &gt;= 50, "Medium Risk", Table3[[#This Row],[Flight Risk Score]] &gt;= 30,"Low Risk",Table3[[#This Row],[Flight Risk Score]] &lt; 30,"Very Low Risk")</f>
        <v>NA</v>
      </c>
    </row>
    <row r="659" spans="1:18" x14ac:dyDescent="0.2">
      <c r="A659">
        <f>Table1[[#This Row],[Age]]</f>
        <v>29</v>
      </c>
      <c r="B659">
        <f>IF(Table3[[#This Row],[Attrition]] = "Yes", 1,0)</f>
        <v>0</v>
      </c>
      <c r="C659" t="str">
        <f>Table1[[#This Row],[Attrition]]</f>
        <v>No</v>
      </c>
      <c r="D659" t="str">
        <f>Table1[[#This Row],[Department]]</f>
        <v>Research &amp; Development</v>
      </c>
      <c r="E659">
        <f>Table1[[#This Row],[EnvironmentSatisfaction]]</f>
        <v>1</v>
      </c>
      <c r="F659">
        <f>Table1[[#This Row],[HourlyRate]]</f>
        <v>62</v>
      </c>
      <c r="G659" t="str">
        <f>Table1[[#This Row],[JobRole]]</f>
        <v>Laboratory Technician</v>
      </c>
      <c r="H659">
        <f>Table1[[#This Row],[JobSatisfaction]]</f>
        <v>4</v>
      </c>
      <c r="I659">
        <f>Table1[[#This Row],[YearsAtCompany]]</f>
        <v>4</v>
      </c>
      <c r="J659">
        <f>Table1[[#This Row],[YearsSinceLastPromotion]]</f>
        <v>0</v>
      </c>
      <c r="K659">
        <f>Table1[[#This Row],[EmployeeNumber]]</f>
        <v>912</v>
      </c>
      <c r="L659">
        <f>Table1[[#This Row],[DistanceFromHome]]</f>
        <v>7</v>
      </c>
      <c r="M659" t="str">
        <f>Table1[[#This Row],[OverTime]]</f>
        <v>No</v>
      </c>
      <c r="N659">
        <f>Table1[[#This Row],[WorkLifeBalance]]</f>
        <v>3</v>
      </c>
      <c r="O659" t="str" cm="1">
        <f t="array" ref="O659">_xlfn.IFS(A659&lt;=30,"18-30",A659&lt;=40,"31-40",A659&lt;=50,"41-50",A659&gt;50,"51+")</f>
        <v>18-30</v>
      </c>
      <c r="P659" t="str" cm="1">
        <f t="array" ref="P659">_xlfn.IFS(F659&lt;=45,"45 or below",F659&lt;= 60,"46-60",F659&lt;=75,"61-75",F659&lt;=90,"76-90",F659&gt;90,"91 or above")</f>
        <v>61-75</v>
      </c>
      <c r="Q6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59" t="str" cm="1">
        <f t="array" ref="R6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60" spans="1:18" x14ac:dyDescent="0.2">
      <c r="A660">
        <f>Table1[[#This Row],[Age]]</f>
        <v>44</v>
      </c>
      <c r="B660">
        <f>IF(Table3[[#This Row],[Attrition]] = "Yes", 1,0)</f>
        <v>0</v>
      </c>
      <c r="C660" t="str">
        <f>Table1[[#This Row],[Attrition]]</f>
        <v>No</v>
      </c>
      <c r="D660" t="str">
        <f>Table1[[#This Row],[Department]]</f>
        <v>Research &amp; Development</v>
      </c>
      <c r="E660">
        <f>Table1[[#This Row],[EnvironmentSatisfaction]]</f>
        <v>2</v>
      </c>
      <c r="F660">
        <f>Table1[[#This Row],[HourlyRate]]</f>
        <v>61</v>
      </c>
      <c r="G660" t="str">
        <f>Table1[[#This Row],[JobRole]]</f>
        <v>Research Scientist</v>
      </c>
      <c r="H660">
        <f>Table1[[#This Row],[JobSatisfaction]]</f>
        <v>1</v>
      </c>
      <c r="I660">
        <f>Table1[[#This Row],[YearsAtCompany]]</f>
        <v>8</v>
      </c>
      <c r="J660">
        <f>Table1[[#This Row],[YearsSinceLastPromotion]]</f>
        <v>7</v>
      </c>
      <c r="K660">
        <f>Table1[[#This Row],[EmployeeNumber]]</f>
        <v>913</v>
      </c>
      <c r="L660">
        <f>Table1[[#This Row],[DistanceFromHome]]</f>
        <v>9</v>
      </c>
      <c r="M660" t="str">
        <f>Table1[[#This Row],[OverTime]]</f>
        <v>Yes</v>
      </c>
      <c r="N660">
        <f>Table1[[#This Row],[WorkLifeBalance]]</f>
        <v>3</v>
      </c>
      <c r="O660" t="str" cm="1">
        <f t="array" ref="O660">_xlfn.IFS(A660&lt;=30,"18-30",A660&lt;=40,"31-40",A660&lt;=50,"41-50",A660&gt;50,"51+")</f>
        <v>41-50</v>
      </c>
      <c r="P660" t="str" cm="1">
        <f t="array" ref="P660">_xlfn.IFS(F660&lt;=45,"45 or below",F660&lt;= 60,"46-60",F660&lt;=75,"61-75",F660&lt;=90,"76-90",F660&gt;90,"91 or above")</f>
        <v>61-75</v>
      </c>
      <c r="Q6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660" t="str" cm="1">
        <f t="array" ref="R66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61" spans="1:18" x14ac:dyDescent="0.2">
      <c r="A661">
        <f>Table1[[#This Row],[Age]]</f>
        <v>28</v>
      </c>
      <c r="B661">
        <f>IF(Table3[[#This Row],[Attrition]] = "Yes", 1,0)</f>
        <v>0</v>
      </c>
      <c r="C661" t="str">
        <f>Table1[[#This Row],[Attrition]]</f>
        <v>No</v>
      </c>
      <c r="D661" t="str">
        <f>Table1[[#This Row],[Department]]</f>
        <v>Sales</v>
      </c>
      <c r="E661">
        <f>Table1[[#This Row],[EnvironmentSatisfaction]]</f>
        <v>1</v>
      </c>
      <c r="F661">
        <f>Table1[[#This Row],[HourlyRate]]</f>
        <v>98</v>
      </c>
      <c r="G661" t="str">
        <f>Table1[[#This Row],[JobRole]]</f>
        <v>Sales Executive</v>
      </c>
      <c r="H661">
        <f>Table1[[#This Row],[JobSatisfaction]]</f>
        <v>4</v>
      </c>
      <c r="I661">
        <f>Table1[[#This Row],[YearsAtCompany]]</f>
        <v>4</v>
      </c>
      <c r="J661">
        <f>Table1[[#This Row],[YearsSinceLastPromotion]]</f>
        <v>0</v>
      </c>
      <c r="K661">
        <f>Table1[[#This Row],[EmployeeNumber]]</f>
        <v>916</v>
      </c>
      <c r="L661">
        <f>Table1[[#This Row],[DistanceFromHome]]</f>
        <v>5</v>
      </c>
      <c r="M661" t="str">
        <f>Table1[[#This Row],[OverTime]]</f>
        <v>No</v>
      </c>
      <c r="N661">
        <f>Table1[[#This Row],[WorkLifeBalance]]</f>
        <v>3</v>
      </c>
      <c r="O661" t="str" cm="1">
        <f t="array" ref="O661">_xlfn.IFS(A661&lt;=30,"18-30",A661&lt;=40,"31-40",A661&lt;=50,"41-50",A661&gt;50,"51+")</f>
        <v>18-30</v>
      </c>
      <c r="P661" t="str" cm="1">
        <f t="array" ref="P661">_xlfn.IFS(F661&lt;=45,"45 or below",F661&lt;= 60,"46-60",F661&lt;=75,"61-75",F661&lt;=90,"76-90",F661&gt;90,"91 or above")</f>
        <v>91 or above</v>
      </c>
      <c r="Q6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61" t="str" cm="1">
        <f t="array" ref="R6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62" spans="1:18" hidden="1" x14ac:dyDescent="0.2">
      <c r="A662">
        <f>Table1[[#This Row],[Age]]</f>
        <v>58</v>
      </c>
      <c r="B662">
        <f>IF(Table3[[#This Row],[Attrition]] = "Yes", 1,0)</f>
        <v>1</v>
      </c>
      <c r="C662" t="str">
        <f>Table1[[#This Row],[Attrition]]</f>
        <v>Yes</v>
      </c>
      <c r="D662" t="str">
        <f>Table1[[#This Row],[Department]]</f>
        <v>Research &amp; Development</v>
      </c>
      <c r="E662">
        <f>Table1[[#This Row],[EnvironmentSatisfaction]]</f>
        <v>4</v>
      </c>
      <c r="F662">
        <f>Table1[[#This Row],[HourlyRate]]</f>
        <v>57</v>
      </c>
      <c r="G662" t="str">
        <f>Table1[[#This Row],[JobRole]]</f>
        <v>Laboratory Technician</v>
      </c>
      <c r="H662">
        <f>Table1[[#This Row],[JobSatisfaction]]</f>
        <v>4</v>
      </c>
      <c r="I662">
        <f>Table1[[#This Row],[YearsAtCompany]]</f>
        <v>1</v>
      </c>
      <c r="J662">
        <f>Table1[[#This Row],[YearsSinceLastPromotion]]</f>
        <v>0</v>
      </c>
      <c r="K662">
        <f>Table1[[#This Row],[EmployeeNumber]]</f>
        <v>918</v>
      </c>
      <c r="L662">
        <f>Table1[[#This Row],[DistanceFromHome]]</f>
        <v>2</v>
      </c>
      <c r="M662" t="str">
        <f>Table1[[#This Row],[OverTime]]</f>
        <v>Yes</v>
      </c>
      <c r="N662">
        <f>Table1[[#This Row],[WorkLifeBalance]]</f>
        <v>2</v>
      </c>
      <c r="O662" t="str" cm="1">
        <f t="array" ref="O662">_xlfn.IFS(A662&lt;=30,"18-30",A662&lt;=40,"31-40",A662&lt;=50,"41-50",A662&gt;50,"51+")</f>
        <v>51+</v>
      </c>
      <c r="P662" t="str" cm="1">
        <f t="array" ref="P662">_xlfn.IFS(F662&lt;=45,"45 or below",F662&lt;= 60,"46-60",F662&lt;=75,"61-75",F662&lt;=90,"76-90",F662&gt;90,"91 or above")</f>
        <v>46-60</v>
      </c>
      <c r="Q66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62" t="str" cm="1">
        <f t="array" ref="R662" xml:space="preserve"> _xlfn.IFS(Table3[[#This Row],[Flight Risk Score]] = "NA","NA",Table3[[#This Row],[Flight Risk Score]] &gt;= 70,"High Risk",Table3[[#This Row],[Flight Risk Score]] &gt;= 50, "Medium Risk", Table3[[#This Row],[Flight Risk Score]] &gt;= 30,"Low Risk",Table3[[#This Row],[Flight Risk Score]] &lt; 30,"Very Low Risk")</f>
        <v>NA</v>
      </c>
    </row>
    <row r="663" spans="1:18" x14ac:dyDescent="0.2">
      <c r="A663">
        <f>Table1[[#This Row],[Age]]</f>
        <v>43</v>
      </c>
      <c r="B663">
        <f>IF(Table3[[#This Row],[Attrition]] = "Yes", 1,0)</f>
        <v>0</v>
      </c>
      <c r="C663" t="str">
        <f>Table1[[#This Row],[Attrition]]</f>
        <v>No</v>
      </c>
      <c r="D663" t="str">
        <f>Table1[[#This Row],[Department]]</f>
        <v>Research &amp; Development</v>
      </c>
      <c r="E663">
        <f>Table1[[#This Row],[EnvironmentSatisfaction]]</f>
        <v>1</v>
      </c>
      <c r="F663">
        <f>Table1[[#This Row],[HourlyRate]]</f>
        <v>55</v>
      </c>
      <c r="G663" t="str">
        <f>Table1[[#This Row],[JobRole]]</f>
        <v>Manufacturing Director</v>
      </c>
      <c r="H663">
        <f>Table1[[#This Row],[JobSatisfaction]]</f>
        <v>2</v>
      </c>
      <c r="I663">
        <f>Table1[[#This Row],[YearsAtCompany]]</f>
        <v>1</v>
      </c>
      <c r="J663">
        <f>Table1[[#This Row],[YearsSinceLastPromotion]]</f>
        <v>0</v>
      </c>
      <c r="K663">
        <f>Table1[[#This Row],[EmployeeNumber]]</f>
        <v>920</v>
      </c>
      <c r="L663">
        <f>Table1[[#This Row],[DistanceFromHome]]</f>
        <v>8</v>
      </c>
      <c r="M663" t="str">
        <f>Table1[[#This Row],[OverTime]]</f>
        <v>No</v>
      </c>
      <c r="N663">
        <f>Table1[[#This Row],[WorkLifeBalance]]</f>
        <v>4</v>
      </c>
      <c r="O663" t="str" cm="1">
        <f t="array" ref="O663">_xlfn.IFS(A663&lt;=30,"18-30",A663&lt;=40,"31-40",A663&lt;=50,"41-50",A663&gt;50,"51+")</f>
        <v>41-50</v>
      </c>
      <c r="P663" t="str" cm="1">
        <f t="array" ref="P663">_xlfn.IFS(F663&lt;=45,"45 or below",F663&lt;= 60,"46-60",F663&lt;=75,"61-75",F663&lt;=90,"76-90",F663&gt;90,"91 or above")</f>
        <v>46-60</v>
      </c>
      <c r="Q6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63" t="str" cm="1">
        <f t="array" ref="R663" xml:space="preserve"> _xlfn.IFS(Table3[[#This Row],[Flight Risk Score]] = "NA","NA",Table3[[#This Row],[Flight Risk Score]] &gt;= 70,"High Risk",Table3[[#This Row],[Flight Risk Score]] &gt;= 50, "Medium Risk", Table3[[#This Row],[Flight Risk Score]] &gt;= 30,"Low Risk",Table3[[#This Row],[Flight Risk Score]] &lt; 30,"Very Low Risk")</f>
        <v>Low Risk</v>
      </c>
    </row>
    <row r="664" spans="1:18" hidden="1" x14ac:dyDescent="0.2">
      <c r="A664">
        <f>Table1[[#This Row],[Age]]</f>
        <v>20</v>
      </c>
      <c r="B664">
        <f>IF(Table3[[#This Row],[Attrition]] = "Yes", 1,0)</f>
        <v>1</v>
      </c>
      <c r="C664" t="str">
        <f>Table1[[#This Row],[Attrition]]</f>
        <v>Yes</v>
      </c>
      <c r="D664" t="str">
        <f>Table1[[#This Row],[Department]]</f>
        <v>Sales</v>
      </c>
      <c r="E664">
        <f>Table1[[#This Row],[EnvironmentSatisfaction]]</f>
        <v>3</v>
      </c>
      <c r="F664">
        <f>Table1[[#This Row],[HourlyRate]]</f>
        <v>49</v>
      </c>
      <c r="G664" t="str">
        <f>Table1[[#This Row],[JobRole]]</f>
        <v>Sales Representative</v>
      </c>
      <c r="H664">
        <f>Table1[[#This Row],[JobSatisfaction]]</f>
        <v>3</v>
      </c>
      <c r="I664">
        <f>Table1[[#This Row],[YearsAtCompany]]</f>
        <v>2</v>
      </c>
      <c r="J664">
        <f>Table1[[#This Row],[YearsSinceLastPromotion]]</f>
        <v>0</v>
      </c>
      <c r="K664">
        <f>Table1[[#This Row],[EmployeeNumber]]</f>
        <v>922</v>
      </c>
      <c r="L664">
        <f>Table1[[#This Row],[DistanceFromHome]]</f>
        <v>2</v>
      </c>
      <c r="M664" t="str">
        <f>Table1[[#This Row],[OverTime]]</f>
        <v>No</v>
      </c>
      <c r="N664">
        <f>Table1[[#This Row],[WorkLifeBalance]]</f>
        <v>2</v>
      </c>
      <c r="O664" t="str" cm="1">
        <f t="array" ref="O664">_xlfn.IFS(A664&lt;=30,"18-30",A664&lt;=40,"31-40",A664&lt;=50,"41-50",A664&gt;50,"51+")</f>
        <v>18-30</v>
      </c>
      <c r="P664" t="str" cm="1">
        <f t="array" ref="P664">_xlfn.IFS(F664&lt;=45,"45 or below",F664&lt;= 60,"46-60",F664&lt;=75,"61-75",F664&lt;=90,"76-90",F664&gt;90,"91 or above")</f>
        <v>46-60</v>
      </c>
      <c r="Q66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64" t="str" cm="1">
        <f t="array" ref="R664" xml:space="preserve"> _xlfn.IFS(Table3[[#This Row],[Flight Risk Score]] = "NA","NA",Table3[[#This Row],[Flight Risk Score]] &gt;= 70,"High Risk",Table3[[#This Row],[Flight Risk Score]] &gt;= 50, "Medium Risk", Table3[[#This Row],[Flight Risk Score]] &gt;= 30,"Low Risk",Table3[[#This Row],[Flight Risk Score]] &lt; 30,"Very Low Risk")</f>
        <v>NA</v>
      </c>
    </row>
    <row r="665" spans="1:18" hidden="1" x14ac:dyDescent="0.2">
      <c r="A665">
        <f>Table1[[#This Row],[Age]]</f>
        <v>21</v>
      </c>
      <c r="B665">
        <f>IF(Table3[[#This Row],[Attrition]] = "Yes", 1,0)</f>
        <v>1</v>
      </c>
      <c r="C665" t="str">
        <f>Table1[[#This Row],[Attrition]]</f>
        <v>Yes</v>
      </c>
      <c r="D665" t="str">
        <f>Table1[[#This Row],[Department]]</f>
        <v>Research &amp; Development</v>
      </c>
      <c r="E665">
        <f>Table1[[#This Row],[EnvironmentSatisfaction]]</f>
        <v>4</v>
      </c>
      <c r="F665">
        <f>Table1[[#This Row],[HourlyRate]]</f>
        <v>65</v>
      </c>
      <c r="G665" t="str">
        <f>Table1[[#This Row],[JobRole]]</f>
        <v>Research Scientist</v>
      </c>
      <c r="H665">
        <f>Table1[[#This Row],[JobSatisfaction]]</f>
        <v>4</v>
      </c>
      <c r="I665">
        <f>Table1[[#This Row],[YearsAtCompany]]</f>
        <v>1</v>
      </c>
      <c r="J665">
        <f>Table1[[#This Row],[YearsSinceLastPromotion]]</f>
        <v>0</v>
      </c>
      <c r="K665">
        <f>Table1[[#This Row],[EmployeeNumber]]</f>
        <v>923</v>
      </c>
      <c r="L665">
        <f>Table1[[#This Row],[DistanceFromHome]]</f>
        <v>18</v>
      </c>
      <c r="M665" t="str">
        <f>Table1[[#This Row],[OverTime]]</f>
        <v>No</v>
      </c>
      <c r="N665">
        <f>Table1[[#This Row],[WorkLifeBalance]]</f>
        <v>2</v>
      </c>
      <c r="O665" t="str" cm="1">
        <f t="array" ref="O665">_xlfn.IFS(A665&lt;=30,"18-30",A665&lt;=40,"31-40",A665&lt;=50,"41-50",A665&gt;50,"51+")</f>
        <v>18-30</v>
      </c>
      <c r="P665" t="str" cm="1">
        <f t="array" ref="P665">_xlfn.IFS(F665&lt;=45,"45 or below",F665&lt;= 60,"46-60",F665&lt;=75,"61-75",F665&lt;=90,"76-90",F665&gt;90,"91 or above")</f>
        <v>61-75</v>
      </c>
      <c r="Q66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65" t="str" cm="1">
        <f t="array" ref="R665" xml:space="preserve"> _xlfn.IFS(Table3[[#This Row],[Flight Risk Score]] = "NA","NA",Table3[[#This Row],[Flight Risk Score]] &gt;= 70,"High Risk",Table3[[#This Row],[Flight Risk Score]] &gt;= 50, "Medium Risk", Table3[[#This Row],[Flight Risk Score]] &gt;= 30,"Low Risk",Table3[[#This Row],[Flight Risk Score]] &lt; 30,"Very Low Risk")</f>
        <v>NA</v>
      </c>
    </row>
    <row r="666" spans="1:18" x14ac:dyDescent="0.2">
      <c r="A666">
        <f>Table1[[#This Row],[Age]]</f>
        <v>36</v>
      </c>
      <c r="B666">
        <f>IF(Table3[[#This Row],[Attrition]] = "Yes", 1,0)</f>
        <v>0</v>
      </c>
      <c r="C666" t="str">
        <f>Table1[[#This Row],[Attrition]]</f>
        <v>No</v>
      </c>
      <c r="D666" t="str">
        <f>Table1[[#This Row],[Department]]</f>
        <v>Research &amp; Development</v>
      </c>
      <c r="E666">
        <f>Table1[[#This Row],[EnvironmentSatisfaction]]</f>
        <v>3</v>
      </c>
      <c r="F666">
        <f>Table1[[#This Row],[HourlyRate]]</f>
        <v>68</v>
      </c>
      <c r="G666" t="str">
        <f>Table1[[#This Row],[JobRole]]</f>
        <v>Healthcare Representative</v>
      </c>
      <c r="H666">
        <f>Table1[[#This Row],[JobSatisfaction]]</f>
        <v>4</v>
      </c>
      <c r="I666">
        <f>Table1[[#This Row],[YearsAtCompany]]</f>
        <v>16</v>
      </c>
      <c r="J666">
        <f>Table1[[#This Row],[YearsSinceLastPromotion]]</f>
        <v>4</v>
      </c>
      <c r="K666">
        <f>Table1[[#This Row],[EmployeeNumber]]</f>
        <v>924</v>
      </c>
      <c r="L666">
        <f>Table1[[#This Row],[DistanceFromHome]]</f>
        <v>14</v>
      </c>
      <c r="M666" t="str">
        <f>Table1[[#This Row],[OverTime]]</f>
        <v>Yes</v>
      </c>
      <c r="N666">
        <f>Table1[[#This Row],[WorkLifeBalance]]</f>
        <v>2</v>
      </c>
      <c r="O666" t="str" cm="1">
        <f t="array" ref="O666">_xlfn.IFS(A666&lt;=30,"18-30",A666&lt;=40,"31-40",A666&lt;=50,"41-50",A666&gt;50,"51+")</f>
        <v>31-40</v>
      </c>
      <c r="P666" t="str" cm="1">
        <f t="array" ref="P666">_xlfn.IFS(F666&lt;=45,"45 or below",F666&lt;= 60,"46-60",F666&lt;=75,"61-75",F666&lt;=90,"76-90",F666&gt;90,"91 or above")</f>
        <v>61-75</v>
      </c>
      <c r="Q6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66" t="str" cm="1">
        <f t="array" ref="R666" xml:space="preserve"> _xlfn.IFS(Table3[[#This Row],[Flight Risk Score]] = "NA","NA",Table3[[#This Row],[Flight Risk Score]] &gt;= 70,"High Risk",Table3[[#This Row],[Flight Risk Score]] &gt;= 50, "Medium Risk", Table3[[#This Row],[Flight Risk Score]] &gt;= 30,"Low Risk",Table3[[#This Row],[Flight Risk Score]] &lt; 30,"Very Low Risk")</f>
        <v>Low Risk</v>
      </c>
    </row>
    <row r="667" spans="1:18" x14ac:dyDescent="0.2">
      <c r="A667">
        <f>Table1[[#This Row],[Age]]</f>
        <v>47</v>
      </c>
      <c r="B667">
        <f>IF(Table3[[#This Row],[Attrition]] = "Yes", 1,0)</f>
        <v>0</v>
      </c>
      <c r="C667" t="str">
        <f>Table1[[#This Row],[Attrition]]</f>
        <v>No</v>
      </c>
      <c r="D667" t="str">
        <f>Table1[[#This Row],[Department]]</f>
        <v>Sales</v>
      </c>
      <c r="E667">
        <f>Table1[[#This Row],[EnvironmentSatisfaction]]</f>
        <v>4</v>
      </c>
      <c r="F667">
        <f>Table1[[#This Row],[HourlyRate]]</f>
        <v>65</v>
      </c>
      <c r="G667" t="str">
        <f>Table1[[#This Row],[JobRole]]</f>
        <v>Sales Representative</v>
      </c>
      <c r="H667">
        <f>Table1[[#This Row],[JobSatisfaction]]</f>
        <v>4</v>
      </c>
      <c r="I667">
        <f>Table1[[#This Row],[YearsAtCompany]]</f>
        <v>3</v>
      </c>
      <c r="J667">
        <f>Table1[[#This Row],[YearsSinceLastPromotion]]</f>
        <v>1</v>
      </c>
      <c r="K667">
        <f>Table1[[#This Row],[EmployeeNumber]]</f>
        <v>925</v>
      </c>
      <c r="L667">
        <f>Table1[[#This Row],[DistanceFromHome]]</f>
        <v>2</v>
      </c>
      <c r="M667" t="str">
        <f>Table1[[#This Row],[OverTime]]</f>
        <v>Yes</v>
      </c>
      <c r="N667">
        <f>Table1[[#This Row],[WorkLifeBalance]]</f>
        <v>2</v>
      </c>
      <c r="O667" t="str" cm="1">
        <f t="array" ref="O667">_xlfn.IFS(A667&lt;=30,"18-30",A667&lt;=40,"31-40",A667&lt;=50,"41-50",A667&gt;50,"51+")</f>
        <v>41-50</v>
      </c>
      <c r="P667" t="str" cm="1">
        <f t="array" ref="P667">_xlfn.IFS(F667&lt;=45,"45 or below",F667&lt;= 60,"46-60",F667&lt;=75,"61-75",F667&lt;=90,"76-90",F667&gt;90,"91 or above")</f>
        <v>61-75</v>
      </c>
      <c r="Q6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667" t="str" cm="1">
        <f t="array" ref="R667" xml:space="preserve"> _xlfn.IFS(Table3[[#This Row],[Flight Risk Score]] = "NA","NA",Table3[[#This Row],[Flight Risk Score]] &gt;= 70,"High Risk",Table3[[#This Row],[Flight Risk Score]] &gt;= 50, "Medium Risk", Table3[[#This Row],[Flight Risk Score]] &gt;= 30,"Low Risk",Table3[[#This Row],[Flight Risk Score]] &lt; 30,"Very Low Risk")</f>
        <v>Low Risk</v>
      </c>
    </row>
    <row r="668" spans="1:18" hidden="1" x14ac:dyDescent="0.2">
      <c r="A668">
        <f>Table1[[#This Row],[Age]]</f>
        <v>22</v>
      </c>
      <c r="B668">
        <f>IF(Table3[[#This Row],[Attrition]] = "Yes", 1,0)</f>
        <v>1</v>
      </c>
      <c r="C668" t="str">
        <f>Table1[[#This Row],[Attrition]]</f>
        <v>Yes</v>
      </c>
      <c r="D668" t="str">
        <f>Table1[[#This Row],[Department]]</f>
        <v>Research &amp; Development</v>
      </c>
      <c r="E668">
        <f>Table1[[#This Row],[EnvironmentSatisfaction]]</f>
        <v>2</v>
      </c>
      <c r="F668">
        <f>Table1[[#This Row],[HourlyRate]]</f>
        <v>34</v>
      </c>
      <c r="G668" t="str">
        <f>Table1[[#This Row],[JobRole]]</f>
        <v>Manufacturing Director</v>
      </c>
      <c r="H668">
        <f>Table1[[#This Row],[JobSatisfaction]]</f>
        <v>3</v>
      </c>
      <c r="I668">
        <f>Table1[[#This Row],[YearsAtCompany]]</f>
        <v>3</v>
      </c>
      <c r="J668">
        <f>Table1[[#This Row],[YearsSinceLastPromotion]]</f>
        <v>0</v>
      </c>
      <c r="K668">
        <f>Table1[[#This Row],[EmployeeNumber]]</f>
        <v>926</v>
      </c>
      <c r="L668">
        <f>Table1[[#This Row],[DistanceFromHome]]</f>
        <v>3</v>
      </c>
      <c r="M668" t="str">
        <f>Table1[[#This Row],[OverTime]]</f>
        <v>Yes</v>
      </c>
      <c r="N668">
        <f>Table1[[#This Row],[WorkLifeBalance]]</f>
        <v>4</v>
      </c>
      <c r="O668" t="str" cm="1">
        <f t="array" ref="O668">_xlfn.IFS(A668&lt;=30,"18-30",A668&lt;=40,"31-40",A668&lt;=50,"41-50",A668&gt;50,"51+")</f>
        <v>18-30</v>
      </c>
      <c r="P668" t="str" cm="1">
        <f t="array" ref="P668">_xlfn.IFS(F668&lt;=45,"45 or below",F668&lt;= 60,"46-60",F668&lt;=75,"61-75",F668&lt;=90,"76-90",F668&gt;90,"91 or above")</f>
        <v>45 or below</v>
      </c>
      <c r="Q66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68" t="str" cm="1">
        <f t="array" ref="R668" xml:space="preserve"> _xlfn.IFS(Table3[[#This Row],[Flight Risk Score]] = "NA","NA",Table3[[#This Row],[Flight Risk Score]] &gt;= 70,"High Risk",Table3[[#This Row],[Flight Risk Score]] &gt;= 50, "Medium Risk", Table3[[#This Row],[Flight Risk Score]] &gt;= 30,"Low Risk",Table3[[#This Row],[Flight Risk Score]] &lt; 30,"Very Low Risk")</f>
        <v>NA</v>
      </c>
    </row>
    <row r="669" spans="1:18" hidden="1" x14ac:dyDescent="0.2">
      <c r="A669">
        <f>Table1[[#This Row],[Age]]</f>
        <v>41</v>
      </c>
      <c r="B669">
        <f>IF(Table3[[#This Row],[Attrition]] = "Yes", 1,0)</f>
        <v>1</v>
      </c>
      <c r="C669" t="str">
        <f>Table1[[#This Row],[Attrition]]</f>
        <v>Yes</v>
      </c>
      <c r="D669" t="str">
        <f>Table1[[#This Row],[Department]]</f>
        <v>Research &amp; Development</v>
      </c>
      <c r="E669">
        <f>Table1[[#This Row],[EnvironmentSatisfaction]]</f>
        <v>2</v>
      </c>
      <c r="F669">
        <f>Table1[[#This Row],[HourlyRate]]</f>
        <v>57</v>
      </c>
      <c r="G669" t="str">
        <f>Table1[[#This Row],[JobRole]]</f>
        <v>Laboratory Technician</v>
      </c>
      <c r="H669">
        <f>Table1[[#This Row],[JobSatisfaction]]</f>
        <v>4</v>
      </c>
      <c r="I669">
        <f>Table1[[#This Row],[YearsAtCompany]]</f>
        <v>7</v>
      </c>
      <c r="J669">
        <f>Table1[[#This Row],[YearsSinceLastPromotion]]</f>
        <v>1</v>
      </c>
      <c r="K669">
        <f>Table1[[#This Row],[EmployeeNumber]]</f>
        <v>927</v>
      </c>
      <c r="L669">
        <f>Table1[[#This Row],[DistanceFromHome]]</f>
        <v>2</v>
      </c>
      <c r="M669" t="str">
        <f>Table1[[#This Row],[OverTime]]</f>
        <v>Yes</v>
      </c>
      <c r="N669">
        <f>Table1[[#This Row],[WorkLifeBalance]]</f>
        <v>2</v>
      </c>
      <c r="O669" t="str" cm="1">
        <f t="array" ref="O669">_xlfn.IFS(A669&lt;=30,"18-30",A669&lt;=40,"31-40",A669&lt;=50,"41-50",A669&gt;50,"51+")</f>
        <v>41-50</v>
      </c>
      <c r="P669" t="str" cm="1">
        <f t="array" ref="P669">_xlfn.IFS(F669&lt;=45,"45 or below",F669&lt;= 60,"46-60",F669&lt;=75,"61-75",F669&lt;=90,"76-90",F669&gt;90,"91 or above")</f>
        <v>46-60</v>
      </c>
      <c r="Q66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69" t="str" cm="1">
        <f t="array" ref="R669" xml:space="preserve"> _xlfn.IFS(Table3[[#This Row],[Flight Risk Score]] = "NA","NA",Table3[[#This Row],[Flight Risk Score]] &gt;= 70,"High Risk",Table3[[#This Row],[Flight Risk Score]] &gt;= 50, "Medium Risk", Table3[[#This Row],[Flight Risk Score]] &gt;= 30,"Low Risk",Table3[[#This Row],[Flight Risk Score]] &lt; 30,"Very Low Risk")</f>
        <v>NA</v>
      </c>
    </row>
    <row r="670" spans="1:18" x14ac:dyDescent="0.2">
      <c r="A670">
        <f>Table1[[#This Row],[Age]]</f>
        <v>28</v>
      </c>
      <c r="B670">
        <f>IF(Table3[[#This Row],[Attrition]] = "Yes", 1,0)</f>
        <v>0</v>
      </c>
      <c r="C670" t="str">
        <f>Table1[[#This Row],[Attrition]]</f>
        <v>No</v>
      </c>
      <c r="D670" t="str">
        <f>Table1[[#This Row],[Department]]</f>
        <v>Research &amp; Development</v>
      </c>
      <c r="E670">
        <f>Table1[[#This Row],[EnvironmentSatisfaction]]</f>
        <v>3</v>
      </c>
      <c r="F670">
        <f>Table1[[#This Row],[HourlyRate]]</f>
        <v>77</v>
      </c>
      <c r="G670" t="str">
        <f>Table1[[#This Row],[JobRole]]</f>
        <v>Research Scientist</v>
      </c>
      <c r="H670">
        <f>Table1[[#This Row],[JobSatisfaction]]</f>
        <v>3</v>
      </c>
      <c r="I670">
        <f>Table1[[#This Row],[YearsAtCompany]]</f>
        <v>2</v>
      </c>
      <c r="J670">
        <f>Table1[[#This Row],[YearsSinceLastPromotion]]</f>
        <v>2</v>
      </c>
      <c r="K670">
        <f>Table1[[#This Row],[EmployeeNumber]]</f>
        <v>930</v>
      </c>
      <c r="L670">
        <f>Table1[[#This Row],[DistanceFromHome]]</f>
        <v>9</v>
      </c>
      <c r="M670" t="str">
        <f>Table1[[#This Row],[OverTime]]</f>
        <v>No</v>
      </c>
      <c r="N670">
        <f>Table1[[#This Row],[WorkLifeBalance]]</f>
        <v>3</v>
      </c>
      <c r="O670" t="str" cm="1">
        <f t="array" ref="O670">_xlfn.IFS(A670&lt;=30,"18-30",A670&lt;=40,"31-40",A670&lt;=50,"41-50",A670&gt;50,"51+")</f>
        <v>18-30</v>
      </c>
      <c r="P670" t="str" cm="1">
        <f t="array" ref="P670">_xlfn.IFS(F670&lt;=45,"45 or below",F670&lt;= 60,"46-60",F670&lt;=75,"61-75",F670&lt;=90,"76-90",F670&gt;90,"91 or above")</f>
        <v>76-90</v>
      </c>
      <c r="Q6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70" t="str" cm="1">
        <f t="array" ref="R67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71" spans="1:18" hidden="1" x14ac:dyDescent="0.2">
      <c r="A671">
        <f>Table1[[#This Row],[Age]]</f>
        <v>39</v>
      </c>
      <c r="B671">
        <f>IF(Table3[[#This Row],[Attrition]] = "Yes", 1,0)</f>
        <v>1</v>
      </c>
      <c r="C671" t="str">
        <f>Table1[[#This Row],[Attrition]]</f>
        <v>Yes</v>
      </c>
      <c r="D671" t="str">
        <f>Table1[[#This Row],[Department]]</f>
        <v>Research &amp; Development</v>
      </c>
      <c r="E671">
        <f>Table1[[#This Row],[EnvironmentSatisfaction]]</f>
        <v>4</v>
      </c>
      <c r="F671">
        <f>Table1[[#This Row],[HourlyRate]]</f>
        <v>70</v>
      </c>
      <c r="G671" t="str">
        <f>Table1[[#This Row],[JobRole]]</f>
        <v>Laboratory Technician</v>
      </c>
      <c r="H671">
        <f>Table1[[#This Row],[JobSatisfaction]]</f>
        <v>1</v>
      </c>
      <c r="I671">
        <f>Table1[[#This Row],[YearsAtCompany]]</f>
        <v>2</v>
      </c>
      <c r="J671">
        <f>Table1[[#This Row],[YearsSinceLastPromotion]]</f>
        <v>2</v>
      </c>
      <c r="K671">
        <f>Table1[[#This Row],[EmployeeNumber]]</f>
        <v>932</v>
      </c>
      <c r="L671">
        <f>Table1[[#This Row],[DistanceFromHome]]</f>
        <v>6</v>
      </c>
      <c r="M671" t="str">
        <f>Table1[[#This Row],[OverTime]]</f>
        <v>Yes</v>
      </c>
      <c r="N671">
        <f>Table1[[#This Row],[WorkLifeBalance]]</f>
        <v>1</v>
      </c>
      <c r="O671" t="str" cm="1">
        <f t="array" ref="O671">_xlfn.IFS(A671&lt;=30,"18-30",A671&lt;=40,"31-40",A671&lt;=50,"41-50",A671&gt;50,"51+")</f>
        <v>31-40</v>
      </c>
      <c r="P671" t="str" cm="1">
        <f t="array" ref="P671">_xlfn.IFS(F671&lt;=45,"45 or below",F671&lt;= 60,"46-60",F671&lt;=75,"61-75",F671&lt;=90,"76-90",F671&gt;90,"91 or above")</f>
        <v>61-75</v>
      </c>
      <c r="Q67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71" t="str" cm="1">
        <f t="array" ref="R671" xml:space="preserve"> _xlfn.IFS(Table3[[#This Row],[Flight Risk Score]] = "NA","NA",Table3[[#This Row],[Flight Risk Score]] &gt;= 70,"High Risk",Table3[[#This Row],[Flight Risk Score]] &gt;= 50, "Medium Risk", Table3[[#This Row],[Flight Risk Score]] &gt;= 30,"Low Risk",Table3[[#This Row],[Flight Risk Score]] &lt; 30,"Very Low Risk")</f>
        <v>NA</v>
      </c>
    </row>
    <row r="672" spans="1:18" x14ac:dyDescent="0.2">
      <c r="A672">
        <f>Table1[[#This Row],[Age]]</f>
        <v>27</v>
      </c>
      <c r="B672">
        <f>IF(Table3[[#This Row],[Attrition]] = "Yes", 1,0)</f>
        <v>0</v>
      </c>
      <c r="C672" t="str">
        <f>Table1[[#This Row],[Attrition]]</f>
        <v>No</v>
      </c>
      <c r="D672" t="str">
        <f>Table1[[#This Row],[Department]]</f>
        <v>Research &amp; Development</v>
      </c>
      <c r="E672">
        <f>Table1[[#This Row],[EnvironmentSatisfaction]]</f>
        <v>2</v>
      </c>
      <c r="F672">
        <f>Table1[[#This Row],[HourlyRate]]</f>
        <v>76</v>
      </c>
      <c r="G672" t="str">
        <f>Table1[[#This Row],[JobRole]]</f>
        <v>Research Scientist</v>
      </c>
      <c r="H672">
        <f>Table1[[#This Row],[JobSatisfaction]]</f>
        <v>3</v>
      </c>
      <c r="I672">
        <f>Table1[[#This Row],[YearsAtCompany]]</f>
        <v>1</v>
      </c>
      <c r="J672">
        <f>Table1[[#This Row],[YearsSinceLastPromotion]]</f>
        <v>0</v>
      </c>
      <c r="K672">
        <f>Table1[[#This Row],[EmployeeNumber]]</f>
        <v>933</v>
      </c>
      <c r="L672">
        <f>Table1[[#This Row],[DistanceFromHome]]</f>
        <v>4</v>
      </c>
      <c r="M672" t="str">
        <f>Table1[[#This Row],[OverTime]]</f>
        <v>No</v>
      </c>
      <c r="N672">
        <f>Table1[[#This Row],[WorkLifeBalance]]</f>
        <v>3</v>
      </c>
      <c r="O672" t="str" cm="1">
        <f t="array" ref="O672">_xlfn.IFS(A672&lt;=30,"18-30",A672&lt;=40,"31-40",A672&lt;=50,"41-50",A672&gt;50,"51+")</f>
        <v>18-30</v>
      </c>
      <c r="P672" t="str" cm="1">
        <f t="array" ref="P672">_xlfn.IFS(F672&lt;=45,"45 or below",F672&lt;= 60,"46-60",F672&lt;=75,"61-75",F672&lt;=90,"76-90",F672&gt;90,"91 or above")</f>
        <v>76-90</v>
      </c>
      <c r="Q6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72" t="str" cm="1">
        <f t="array" ref="R6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73" spans="1:18" x14ac:dyDescent="0.2">
      <c r="A673">
        <f>Table1[[#This Row],[Age]]</f>
        <v>34</v>
      </c>
      <c r="B673">
        <f>IF(Table3[[#This Row],[Attrition]] = "Yes", 1,0)</f>
        <v>0</v>
      </c>
      <c r="C673" t="str">
        <f>Table1[[#This Row],[Attrition]]</f>
        <v>No</v>
      </c>
      <c r="D673" t="str">
        <f>Table1[[#This Row],[Department]]</f>
        <v>Research &amp; Development</v>
      </c>
      <c r="E673">
        <f>Table1[[#This Row],[EnvironmentSatisfaction]]</f>
        <v>2</v>
      </c>
      <c r="F673">
        <f>Table1[[#This Row],[HourlyRate]]</f>
        <v>83</v>
      </c>
      <c r="G673" t="str">
        <f>Table1[[#This Row],[JobRole]]</f>
        <v>Laboratory Technician</v>
      </c>
      <c r="H673">
        <f>Table1[[#This Row],[JobSatisfaction]]</f>
        <v>2</v>
      </c>
      <c r="I673">
        <f>Table1[[#This Row],[YearsAtCompany]]</f>
        <v>1</v>
      </c>
      <c r="J673">
        <f>Table1[[#This Row],[YearsSinceLastPromotion]]</f>
        <v>1</v>
      </c>
      <c r="K673">
        <f>Table1[[#This Row],[EmployeeNumber]]</f>
        <v>934</v>
      </c>
      <c r="L673">
        <f>Table1[[#This Row],[DistanceFromHome]]</f>
        <v>10</v>
      </c>
      <c r="M673" t="str">
        <f>Table1[[#This Row],[OverTime]]</f>
        <v>No</v>
      </c>
      <c r="N673">
        <f>Table1[[#This Row],[WorkLifeBalance]]</f>
        <v>3</v>
      </c>
      <c r="O673" t="str" cm="1">
        <f t="array" ref="O673">_xlfn.IFS(A673&lt;=30,"18-30",A673&lt;=40,"31-40",A673&lt;=50,"41-50",A673&gt;50,"51+")</f>
        <v>31-40</v>
      </c>
      <c r="P673" t="str" cm="1">
        <f t="array" ref="P673">_xlfn.IFS(F673&lt;=45,"45 or below",F673&lt;= 60,"46-60",F673&lt;=75,"61-75",F673&lt;=90,"76-90",F673&gt;90,"91 or above")</f>
        <v>76-90</v>
      </c>
      <c r="Q6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73" t="str" cm="1">
        <f t="array" ref="R673" xml:space="preserve"> _xlfn.IFS(Table3[[#This Row],[Flight Risk Score]] = "NA","NA",Table3[[#This Row],[Flight Risk Score]] &gt;= 70,"High Risk",Table3[[#This Row],[Flight Risk Score]] &gt;= 50, "Medium Risk", Table3[[#This Row],[Flight Risk Score]] &gt;= 30,"Low Risk",Table3[[#This Row],[Flight Risk Score]] &lt; 30,"Very Low Risk")</f>
        <v>Low Risk</v>
      </c>
    </row>
    <row r="674" spans="1:18" x14ac:dyDescent="0.2">
      <c r="A674">
        <f>Table1[[#This Row],[Age]]</f>
        <v>42</v>
      </c>
      <c r="B674">
        <f>IF(Table3[[#This Row],[Attrition]] = "Yes", 1,0)</f>
        <v>0</v>
      </c>
      <c r="C674" t="str">
        <f>Table1[[#This Row],[Attrition]]</f>
        <v>No</v>
      </c>
      <c r="D674" t="str">
        <f>Table1[[#This Row],[Department]]</f>
        <v>Sales</v>
      </c>
      <c r="E674">
        <f>Table1[[#This Row],[EnvironmentSatisfaction]]</f>
        <v>3</v>
      </c>
      <c r="F674">
        <f>Table1[[#This Row],[HourlyRate]]</f>
        <v>68</v>
      </c>
      <c r="G674" t="str">
        <f>Table1[[#This Row],[JobRole]]</f>
        <v>Sales Executive</v>
      </c>
      <c r="H674">
        <f>Table1[[#This Row],[JobSatisfaction]]</f>
        <v>3</v>
      </c>
      <c r="I674">
        <f>Table1[[#This Row],[YearsAtCompany]]</f>
        <v>5</v>
      </c>
      <c r="J674">
        <f>Table1[[#This Row],[YearsSinceLastPromotion]]</f>
        <v>0</v>
      </c>
      <c r="K674">
        <f>Table1[[#This Row],[EmployeeNumber]]</f>
        <v>936</v>
      </c>
      <c r="L674">
        <f>Table1[[#This Row],[DistanceFromHome]]</f>
        <v>14</v>
      </c>
      <c r="M674" t="str">
        <f>Table1[[#This Row],[OverTime]]</f>
        <v>No</v>
      </c>
      <c r="N674">
        <f>Table1[[#This Row],[WorkLifeBalance]]</f>
        <v>3</v>
      </c>
      <c r="O674" t="str" cm="1">
        <f t="array" ref="O674">_xlfn.IFS(A674&lt;=30,"18-30",A674&lt;=40,"31-40",A674&lt;=50,"41-50",A674&gt;50,"51+")</f>
        <v>41-50</v>
      </c>
      <c r="P674" t="str" cm="1">
        <f t="array" ref="P674">_xlfn.IFS(F674&lt;=45,"45 or below",F674&lt;= 60,"46-60",F674&lt;=75,"61-75",F674&lt;=90,"76-90",F674&gt;90,"91 or above")</f>
        <v>61-75</v>
      </c>
      <c r="Q6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74" t="str" cm="1">
        <f t="array" ref="R6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75" spans="1:18" x14ac:dyDescent="0.2">
      <c r="A675">
        <f>Table1[[#This Row],[Age]]</f>
        <v>33</v>
      </c>
      <c r="B675">
        <f>IF(Table3[[#This Row],[Attrition]] = "Yes", 1,0)</f>
        <v>0</v>
      </c>
      <c r="C675" t="str">
        <f>Table1[[#This Row],[Attrition]]</f>
        <v>No</v>
      </c>
      <c r="D675" t="str">
        <f>Table1[[#This Row],[Department]]</f>
        <v>Research &amp; Development</v>
      </c>
      <c r="E675">
        <f>Table1[[#This Row],[EnvironmentSatisfaction]]</f>
        <v>3</v>
      </c>
      <c r="F675">
        <f>Table1[[#This Row],[HourlyRate]]</f>
        <v>100</v>
      </c>
      <c r="G675" t="str">
        <f>Table1[[#This Row],[JobRole]]</f>
        <v>Research Scientist</v>
      </c>
      <c r="H675">
        <f>Table1[[#This Row],[JobSatisfaction]]</f>
        <v>1</v>
      </c>
      <c r="I675">
        <f>Table1[[#This Row],[YearsAtCompany]]</f>
        <v>3</v>
      </c>
      <c r="J675">
        <f>Table1[[#This Row],[YearsSinceLastPromotion]]</f>
        <v>0</v>
      </c>
      <c r="K675">
        <f>Table1[[#This Row],[EmployeeNumber]]</f>
        <v>939</v>
      </c>
      <c r="L675">
        <f>Table1[[#This Row],[DistanceFromHome]]</f>
        <v>1</v>
      </c>
      <c r="M675" t="str">
        <f>Table1[[#This Row],[OverTime]]</f>
        <v>Yes</v>
      </c>
      <c r="N675">
        <f>Table1[[#This Row],[WorkLifeBalance]]</f>
        <v>3</v>
      </c>
      <c r="O675" t="str" cm="1">
        <f t="array" ref="O675">_xlfn.IFS(A675&lt;=30,"18-30",A675&lt;=40,"31-40",A675&lt;=50,"41-50",A675&gt;50,"51+")</f>
        <v>31-40</v>
      </c>
      <c r="P675" t="str" cm="1">
        <f t="array" ref="P675">_xlfn.IFS(F675&lt;=45,"45 or below",F675&lt;= 60,"46-60",F675&lt;=75,"61-75",F675&lt;=90,"76-90",F675&gt;90,"91 or above")</f>
        <v>91 or above</v>
      </c>
      <c r="Q6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75" t="str" cm="1">
        <f t="array" ref="R67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76" spans="1:18" x14ac:dyDescent="0.2">
      <c r="A676">
        <f>Table1[[#This Row],[Age]]</f>
        <v>58</v>
      </c>
      <c r="B676">
        <f>IF(Table3[[#This Row],[Attrition]] = "Yes", 1,0)</f>
        <v>0</v>
      </c>
      <c r="C676" t="str">
        <f>Table1[[#This Row],[Attrition]]</f>
        <v>No</v>
      </c>
      <c r="D676" t="str">
        <f>Table1[[#This Row],[Department]]</f>
        <v>Research &amp; Development</v>
      </c>
      <c r="E676">
        <f>Table1[[#This Row],[EnvironmentSatisfaction]]</f>
        <v>3</v>
      </c>
      <c r="F676">
        <f>Table1[[#This Row],[HourlyRate]]</f>
        <v>37</v>
      </c>
      <c r="G676" t="str">
        <f>Table1[[#This Row],[JobRole]]</f>
        <v>Healthcare Representative</v>
      </c>
      <c r="H676">
        <f>Table1[[#This Row],[JobSatisfaction]]</f>
        <v>2</v>
      </c>
      <c r="I676">
        <f>Table1[[#This Row],[YearsAtCompany]]</f>
        <v>6</v>
      </c>
      <c r="J676">
        <f>Table1[[#This Row],[YearsSinceLastPromotion]]</f>
        <v>0</v>
      </c>
      <c r="K676">
        <f>Table1[[#This Row],[EmployeeNumber]]</f>
        <v>940</v>
      </c>
      <c r="L676">
        <f>Table1[[#This Row],[DistanceFromHome]]</f>
        <v>5</v>
      </c>
      <c r="M676" t="str">
        <f>Table1[[#This Row],[OverTime]]</f>
        <v>Yes</v>
      </c>
      <c r="N676">
        <f>Table1[[#This Row],[WorkLifeBalance]]</f>
        <v>3</v>
      </c>
      <c r="O676" t="str" cm="1">
        <f t="array" ref="O676">_xlfn.IFS(A676&lt;=30,"18-30",A676&lt;=40,"31-40",A676&lt;=50,"41-50",A676&gt;50,"51+")</f>
        <v>51+</v>
      </c>
      <c r="P676" t="str" cm="1">
        <f t="array" ref="P676">_xlfn.IFS(F676&lt;=45,"45 or below",F676&lt;= 60,"46-60",F676&lt;=75,"61-75",F676&lt;=90,"76-90",F676&gt;90,"91 or above")</f>
        <v>45 or below</v>
      </c>
      <c r="Q6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76" t="str" cm="1">
        <f t="array" ref="R67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77" spans="1:18" x14ac:dyDescent="0.2">
      <c r="A677">
        <f>Table1[[#This Row],[Age]]</f>
        <v>31</v>
      </c>
      <c r="B677">
        <f>IF(Table3[[#This Row],[Attrition]] = "Yes", 1,0)</f>
        <v>0</v>
      </c>
      <c r="C677" t="str">
        <f>Table1[[#This Row],[Attrition]]</f>
        <v>No</v>
      </c>
      <c r="D677" t="str">
        <f>Table1[[#This Row],[Department]]</f>
        <v>Sales</v>
      </c>
      <c r="E677">
        <f>Table1[[#This Row],[EnvironmentSatisfaction]]</f>
        <v>2</v>
      </c>
      <c r="F677">
        <f>Table1[[#This Row],[HourlyRate]]</f>
        <v>41</v>
      </c>
      <c r="G677" t="str">
        <f>Table1[[#This Row],[JobRole]]</f>
        <v>Sales Representative</v>
      </c>
      <c r="H677">
        <f>Table1[[#This Row],[JobSatisfaction]]</f>
        <v>3</v>
      </c>
      <c r="I677">
        <f>Table1[[#This Row],[YearsAtCompany]]</f>
        <v>7</v>
      </c>
      <c r="J677">
        <f>Table1[[#This Row],[YearsSinceLastPromotion]]</f>
        <v>5</v>
      </c>
      <c r="K677">
        <f>Table1[[#This Row],[EmployeeNumber]]</f>
        <v>941</v>
      </c>
      <c r="L677">
        <f>Table1[[#This Row],[DistanceFromHome]]</f>
        <v>7</v>
      </c>
      <c r="M677" t="str">
        <f>Table1[[#This Row],[OverTime]]</f>
        <v>No</v>
      </c>
      <c r="N677">
        <f>Table1[[#This Row],[WorkLifeBalance]]</f>
        <v>4</v>
      </c>
      <c r="O677" t="str" cm="1">
        <f t="array" ref="O677">_xlfn.IFS(A677&lt;=30,"18-30",A677&lt;=40,"31-40",A677&lt;=50,"41-50",A677&gt;50,"51+")</f>
        <v>31-40</v>
      </c>
      <c r="P677" t="str" cm="1">
        <f t="array" ref="P677">_xlfn.IFS(F677&lt;=45,"45 or below",F677&lt;= 60,"46-60",F677&lt;=75,"61-75",F677&lt;=90,"76-90",F677&gt;90,"91 or above")</f>
        <v>45 or below</v>
      </c>
      <c r="Q6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77" t="str" cm="1">
        <f t="array" ref="R6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78" spans="1:18" x14ac:dyDescent="0.2">
      <c r="A678">
        <f>Table1[[#This Row],[Age]]</f>
        <v>35</v>
      </c>
      <c r="B678">
        <f>IF(Table3[[#This Row],[Attrition]] = "Yes", 1,0)</f>
        <v>0</v>
      </c>
      <c r="C678" t="str">
        <f>Table1[[#This Row],[Attrition]]</f>
        <v>No</v>
      </c>
      <c r="D678" t="str">
        <f>Table1[[#This Row],[Department]]</f>
        <v>Research &amp; Development</v>
      </c>
      <c r="E678">
        <f>Table1[[#This Row],[EnvironmentSatisfaction]]</f>
        <v>4</v>
      </c>
      <c r="F678">
        <f>Table1[[#This Row],[HourlyRate]]</f>
        <v>51</v>
      </c>
      <c r="G678" t="str">
        <f>Table1[[#This Row],[JobRole]]</f>
        <v>Healthcare Representative</v>
      </c>
      <c r="H678">
        <f>Table1[[#This Row],[JobSatisfaction]]</f>
        <v>4</v>
      </c>
      <c r="I678">
        <f>Table1[[#This Row],[YearsAtCompany]]</f>
        <v>10</v>
      </c>
      <c r="J678">
        <f>Table1[[#This Row],[YearsSinceLastPromotion]]</f>
        <v>0</v>
      </c>
      <c r="K678">
        <f>Table1[[#This Row],[EmployeeNumber]]</f>
        <v>942</v>
      </c>
      <c r="L678">
        <f>Table1[[#This Row],[DistanceFromHome]]</f>
        <v>21</v>
      </c>
      <c r="M678" t="str">
        <f>Table1[[#This Row],[OverTime]]</f>
        <v>Yes</v>
      </c>
      <c r="N678">
        <f>Table1[[#This Row],[WorkLifeBalance]]</f>
        <v>1</v>
      </c>
      <c r="O678" t="str" cm="1">
        <f t="array" ref="O678">_xlfn.IFS(A678&lt;=30,"18-30",A678&lt;=40,"31-40",A678&lt;=50,"41-50",A678&gt;50,"51+")</f>
        <v>31-40</v>
      </c>
      <c r="P678" t="str" cm="1">
        <f t="array" ref="P678">_xlfn.IFS(F678&lt;=45,"45 or below",F678&lt;= 60,"46-60",F678&lt;=75,"61-75",F678&lt;=90,"76-90",F678&gt;90,"91 or above")</f>
        <v>46-60</v>
      </c>
      <c r="Q6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678" t="str" cm="1">
        <f t="array" ref="R678" xml:space="preserve"> _xlfn.IFS(Table3[[#This Row],[Flight Risk Score]] = "NA","NA",Table3[[#This Row],[Flight Risk Score]] &gt;= 70,"High Risk",Table3[[#This Row],[Flight Risk Score]] &gt;= 50, "Medium Risk", Table3[[#This Row],[Flight Risk Score]] &gt;= 30,"Low Risk",Table3[[#This Row],[Flight Risk Score]] &lt; 30,"Very Low Risk")</f>
        <v>High Risk</v>
      </c>
    </row>
    <row r="679" spans="1:18" x14ac:dyDescent="0.2">
      <c r="A679">
        <f>Table1[[#This Row],[Age]]</f>
        <v>49</v>
      </c>
      <c r="B679">
        <f>IF(Table3[[#This Row],[Attrition]] = "Yes", 1,0)</f>
        <v>0</v>
      </c>
      <c r="C679" t="str">
        <f>Table1[[#This Row],[Attrition]]</f>
        <v>No</v>
      </c>
      <c r="D679" t="str">
        <f>Table1[[#This Row],[Department]]</f>
        <v>Research &amp; Development</v>
      </c>
      <c r="E679">
        <f>Table1[[#This Row],[EnvironmentSatisfaction]]</f>
        <v>1</v>
      </c>
      <c r="F679">
        <f>Table1[[#This Row],[HourlyRate]]</f>
        <v>51</v>
      </c>
      <c r="G679" t="str">
        <f>Table1[[#This Row],[JobRole]]</f>
        <v>Laboratory Technician</v>
      </c>
      <c r="H679">
        <f>Table1[[#This Row],[JobSatisfaction]]</f>
        <v>2</v>
      </c>
      <c r="I679">
        <f>Table1[[#This Row],[YearsAtCompany]]</f>
        <v>26</v>
      </c>
      <c r="J679">
        <f>Table1[[#This Row],[YearsSinceLastPromotion]]</f>
        <v>1</v>
      </c>
      <c r="K679">
        <f>Table1[[#This Row],[EmployeeNumber]]</f>
        <v>944</v>
      </c>
      <c r="L679">
        <f>Table1[[#This Row],[DistanceFromHome]]</f>
        <v>8</v>
      </c>
      <c r="M679" t="str">
        <f>Table1[[#This Row],[OverTime]]</f>
        <v>No</v>
      </c>
      <c r="N679">
        <f>Table1[[#This Row],[WorkLifeBalance]]</f>
        <v>2</v>
      </c>
      <c r="O679" t="str" cm="1">
        <f t="array" ref="O679">_xlfn.IFS(A679&lt;=30,"18-30",A679&lt;=40,"31-40",A679&lt;=50,"41-50",A679&gt;50,"51+")</f>
        <v>41-50</v>
      </c>
      <c r="P679" t="str" cm="1">
        <f t="array" ref="P679">_xlfn.IFS(F679&lt;=45,"45 or below",F679&lt;= 60,"46-60",F679&lt;=75,"61-75",F679&lt;=90,"76-90",F679&gt;90,"91 or above")</f>
        <v>46-60</v>
      </c>
      <c r="Q6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79" t="str" cm="1">
        <f t="array" ref="R679" xml:space="preserve"> _xlfn.IFS(Table3[[#This Row],[Flight Risk Score]] = "NA","NA",Table3[[#This Row],[Flight Risk Score]] &gt;= 70,"High Risk",Table3[[#This Row],[Flight Risk Score]] &gt;= 50, "Medium Risk", Table3[[#This Row],[Flight Risk Score]] &gt;= 30,"Low Risk",Table3[[#This Row],[Flight Risk Score]] &lt; 30,"Very Low Risk")</f>
        <v>Low Risk</v>
      </c>
    </row>
    <row r="680" spans="1:18" x14ac:dyDescent="0.2">
      <c r="A680">
        <f>Table1[[#This Row],[Age]]</f>
        <v>48</v>
      </c>
      <c r="B680">
        <f>IF(Table3[[#This Row],[Attrition]] = "Yes", 1,0)</f>
        <v>0</v>
      </c>
      <c r="C680" t="str">
        <f>Table1[[#This Row],[Attrition]]</f>
        <v>No</v>
      </c>
      <c r="D680" t="str">
        <f>Table1[[#This Row],[Department]]</f>
        <v>Research &amp; Development</v>
      </c>
      <c r="E680">
        <f>Table1[[#This Row],[EnvironmentSatisfaction]]</f>
        <v>4</v>
      </c>
      <c r="F680">
        <f>Table1[[#This Row],[HourlyRate]]</f>
        <v>51</v>
      </c>
      <c r="G680" t="str">
        <f>Table1[[#This Row],[JobRole]]</f>
        <v>Research Scientist</v>
      </c>
      <c r="H680">
        <f>Table1[[#This Row],[JobSatisfaction]]</f>
        <v>3</v>
      </c>
      <c r="I680">
        <f>Table1[[#This Row],[YearsAtCompany]]</f>
        <v>0</v>
      </c>
      <c r="J680">
        <f>Table1[[#This Row],[YearsSinceLastPromotion]]</f>
        <v>0</v>
      </c>
      <c r="K680">
        <f>Table1[[#This Row],[EmployeeNumber]]</f>
        <v>945</v>
      </c>
      <c r="L680">
        <f>Table1[[#This Row],[DistanceFromHome]]</f>
        <v>20</v>
      </c>
      <c r="M680" t="str">
        <f>Table1[[#This Row],[OverTime]]</f>
        <v>No</v>
      </c>
      <c r="N680">
        <f>Table1[[#This Row],[WorkLifeBalance]]</f>
        <v>2</v>
      </c>
      <c r="O680" t="str" cm="1">
        <f t="array" ref="O680">_xlfn.IFS(A680&lt;=30,"18-30",A680&lt;=40,"31-40",A680&lt;=50,"41-50",A680&gt;50,"51+")</f>
        <v>41-50</v>
      </c>
      <c r="P680" t="str" cm="1">
        <f t="array" ref="P680">_xlfn.IFS(F680&lt;=45,"45 or below",F680&lt;= 60,"46-60",F680&lt;=75,"61-75",F680&lt;=90,"76-90",F680&gt;90,"91 or above")</f>
        <v>46-60</v>
      </c>
      <c r="Q6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80" t="str" cm="1">
        <f t="array" ref="R6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81" spans="1:18" x14ac:dyDescent="0.2">
      <c r="A681">
        <f>Table1[[#This Row],[Age]]</f>
        <v>31</v>
      </c>
      <c r="B681">
        <f>IF(Table3[[#This Row],[Attrition]] = "Yes", 1,0)</f>
        <v>0</v>
      </c>
      <c r="C681" t="str">
        <f>Table1[[#This Row],[Attrition]]</f>
        <v>No</v>
      </c>
      <c r="D681" t="str">
        <f>Table1[[#This Row],[Department]]</f>
        <v>Sales</v>
      </c>
      <c r="E681">
        <f>Table1[[#This Row],[EnvironmentSatisfaction]]</f>
        <v>4</v>
      </c>
      <c r="F681">
        <f>Table1[[#This Row],[HourlyRate]]</f>
        <v>45</v>
      </c>
      <c r="G681" t="str">
        <f>Table1[[#This Row],[JobRole]]</f>
        <v>Sales Executive</v>
      </c>
      <c r="H681">
        <f>Table1[[#This Row],[JobSatisfaction]]</f>
        <v>3</v>
      </c>
      <c r="I681">
        <f>Table1[[#This Row],[YearsAtCompany]]</f>
        <v>9</v>
      </c>
      <c r="J681">
        <f>Table1[[#This Row],[YearsSinceLastPromotion]]</f>
        <v>0</v>
      </c>
      <c r="K681">
        <f>Table1[[#This Row],[EmployeeNumber]]</f>
        <v>947</v>
      </c>
      <c r="L681">
        <f>Table1[[#This Row],[DistanceFromHome]]</f>
        <v>20</v>
      </c>
      <c r="M681" t="str">
        <f>Table1[[#This Row],[OverTime]]</f>
        <v>No</v>
      </c>
      <c r="N681">
        <f>Table1[[#This Row],[WorkLifeBalance]]</f>
        <v>2</v>
      </c>
      <c r="O681" t="str" cm="1">
        <f t="array" ref="O681">_xlfn.IFS(A681&lt;=30,"18-30",A681&lt;=40,"31-40",A681&lt;=50,"41-50",A681&gt;50,"51+")</f>
        <v>31-40</v>
      </c>
      <c r="P681" t="str" cm="1">
        <f t="array" ref="P681">_xlfn.IFS(F681&lt;=45,"45 or below",F681&lt;= 60,"46-60",F681&lt;=75,"61-75",F681&lt;=90,"76-90",F681&gt;90,"91 or above")</f>
        <v>45 or below</v>
      </c>
      <c r="Q6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81" t="str" cm="1">
        <f t="array" ref="R68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82" spans="1:18" x14ac:dyDescent="0.2">
      <c r="A682">
        <f>Table1[[#This Row],[Age]]</f>
        <v>36</v>
      </c>
      <c r="B682">
        <f>IF(Table3[[#This Row],[Attrition]] = "Yes", 1,0)</f>
        <v>0</v>
      </c>
      <c r="C682" t="str">
        <f>Table1[[#This Row],[Attrition]]</f>
        <v>No</v>
      </c>
      <c r="D682" t="str">
        <f>Table1[[#This Row],[Department]]</f>
        <v>Research &amp; Development</v>
      </c>
      <c r="E682">
        <f>Table1[[#This Row],[EnvironmentSatisfaction]]</f>
        <v>2</v>
      </c>
      <c r="F682">
        <f>Table1[[#This Row],[HourlyRate]]</f>
        <v>65</v>
      </c>
      <c r="G682" t="str">
        <f>Table1[[#This Row],[JobRole]]</f>
        <v>Research Scientist</v>
      </c>
      <c r="H682">
        <f>Table1[[#This Row],[JobSatisfaction]]</f>
        <v>4</v>
      </c>
      <c r="I682">
        <f>Table1[[#This Row],[YearsAtCompany]]</f>
        <v>6</v>
      </c>
      <c r="J682">
        <f>Table1[[#This Row],[YearsSinceLastPromotion]]</f>
        <v>0</v>
      </c>
      <c r="K682">
        <f>Table1[[#This Row],[EmployeeNumber]]</f>
        <v>949</v>
      </c>
      <c r="L682">
        <f>Table1[[#This Row],[DistanceFromHome]]</f>
        <v>7</v>
      </c>
      <c r="M682" t="str">
        <f>Table1[[#This Row],[OverTime]]</f>
        <v>No</v>
      </c>
      <c r="N682">
        <f>Table1[[#This Row],[WorkLifeBalance]]</f>
        <v>3</v>
      </c>
      <c r="O682" t="str" cm="1">
        <f t="array" ref="O682">_xlfn.IFS(A682&lt;=30,"18-30",A682&lt;=40,"31-40",A682&lt;=50,"41-50",A682&gt;50,"51+")</f>
        <v>31-40</v>
      </c>
      <c r="P682" t="str" cm="1">
        <f t="array" ref="P682">_xlfn.IFS(F682&lt;=45,"45 or below",F682&lt;= 60,"46-60",F682&lt;=75,"61-75",F682&lt;=90,"76-90",F682&gt;90,"91 or above")</f>
        <v>61-75</v>
      </c>
      <c r="Q6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82" t="str" cm="1">
        <f t="array" ref="R68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83" spans="1:18" x14ac:dyDescent="0.2">
      <c r="A683">
        <f>Table1[[#This Row],[Age]]</f>
        <v>38</v>
      </c>
      <c r="B683">
        <f>IF(Table3[[#This Row],[Attrition]] = "Yes", 1,0)</f>
        <v>0</v>
      </c>
      <c r="C683" t="str">
        <f>Table1[[#This Row],[Attrition]]</f>
        <v>No</v>
      </c>
      <c r="D683" t="str">
        <f>Table1[[#This Row],[Department]]</f>
        <v>Research &amp; Development</v>
      </c>
      <c r="E683">
        <f>Table1[[#This Row],[EnvironmentSatisfaction]]</f>
        <v>4</v>
      </c>
      <c r="F683">
        <f>Table1[[#This Row],[HourlyRate]]</f>
        <v>80</v>
      </c>
      <c r="G683" t="str">
        <f>Table1[[#This Row],[JobRole]]</f>
        <v>Research Director</v>
      </c>
      <c r="H683">
        <f>Table1[[#This Row],[JobSatisfaction]]</f>
        <v>1</v>
      </c>
      <c r="I683">
        <f>Table1[[#This Row],[YearsAtCompany]]</f>
        <v>15</v>
      </c>
      <c r="J683">
        <f>Table1[[#This Row],[YearsSinceLastPromotion]]</f>
        <v>5</v>
      </c>
      <c r="K683">
        <f>Table1[[#This Row],[EmployeeNumber]]</f>
        <v>950</v>
      </c>
      <c r="L683">
        <f>Table1[[#This Row],[DistanceFromHome]]</f>
        <v>1</v>
      </c>
      <c r="M683" t="str">
        <f>Table1[[#This Row],[OverTime]]</f>
        <v>No</v>
      </c>
      <c r="N683">
        <f>Table1[[#This Row],[WorkLifeBalance]]</f>
        <v>3</v>
      </c>
      <c r="O683" t="str" cm="1">
        <f t="array" ref="O683">_xlfn.IFS(A683&lt;=30,"18-30",A683&lt;=40,"31-40",A683&lt;=50,"41-50",A683&gt;50,"51+")</f>
        <v>31-40</v>
      </c>
      <c r="P683" t="str" cm="1">
        <f t="array" ref="P683">_xlfn.IFS(F683&lt;=45,"45 or below",F683&lt;= 60,"46-60",F683&lt;=75,"61-75",F683&lt;=90,"76-90",F683&gt;90,"91 or above")</f>
        <v>76-90</v>
      </c>
      <c r="Q6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83" t="str" cm="1">
        <f t="array" ref="R6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84" spans="1:18" x14ac:dyDescent="0.2">
      <c r="A684">
        <f>Table1[[#This Row],[Age]]</f>
        <v>32</v>
      </c>
      <c r="B684">
        <f>IF(Table3[[#This Row],[Attrition]] = "Yes", 1,0)</f>
        <v>0</v>
      </c>
      <c r="C684" t="str">
        <f>Table1[[#This Row],[Attrition]]</f>
        <v>No</v>
      </c>
      <c r="D684" t="str">
        <f>Table1[[#This Row],[Department]]</f>
        <v>Research &amp; Development</v>
      </c>
      <c r="E684">
        <f>Table1[[#This Row],[EnvironmentSatisfaction]]</f>
        <v>3</v>
      </c>
      <c r="F684">
        <f>Table1[[#This Row],[HourlyRate]]</f>
        <v>70</v>
      </c>
      <c r="G684" t="str">
        <f>Table1[[#This Row],[JobRole]]</f>
        <v>Laboratory Technician</v>
      </c>
      <c r="H684">
        <f>Table1[[#This Row],[JobSatisfaction]]</f>
        <v>2</v>
      </c>
      <c r="I684">
        <f>Table1[[#This Row],[YearsAtCompany]]</f>
        <v>3</v>
      </c>
      <c r="J684">
        <f>Table1[[#This Row],[YearsSinceLastPromotion]]</f>
        <v>0</v>
      </c>
      <c r="K684">
        <f>Table1[[#This Row],[EmployeeNumber]]</f>
        <v>951</v>
      </c>
      <c r="L684">
        <f>Table1[[#This Row],[DistanceFromHome]]</f>
        <v>1</v>
      </c>
      <c r="M684" t="str">
        <f>Table1[[#This Row],[OverTime]]</f>
        <v>No</v>
      </c>
      <c r="N684">
        <f>Table1[[#This Row],[WorkLifeBalance]]</f>
        <v>3</v>
      </c>
      <c r="O684" t="str" cm="1">
        <f t="array" ref="O684">_xlfn.IFS(A684&lt;=30,"18-30",A684&lt;=40,"31-40",A684&lt;=50,"41-50",A684&gt;50,"51+")</f>
        <v>31-40</v>
      </c>
      <c r="P684" t="str" cm="1">
        <f t="array" ref="P684">_xlfn.IFS(F684&lt;=45,"45 or below",F684&lt;= 60,"46-60",F684&lt;=75,"61-75",F684&lt;=90,"76-90",F684&gt;90,"91 or above")</f>
        <v>61-75</v>
      </c>
      <c r="Q6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84" t="str" cm="1">
        <f t="array" ref="R6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85" spans="1:18" hidden="1" x14ac:dyDescent="0.2">
      <c r="A685">
        <f>Table1[[#This Row],[Age]]</f>
        <v>25</v>
      </c>
      <c r="B685">
        <f>IF(Table3[[#This Row],[Attrition]] = "Yes", 1,0)</f>
        <v>1</v>
      </c>
      <c r="C685" t="str">
        <f>Table1[[#This Row],[Attrition]]</f>
        <v>Yes</v>
      </c>
      <c r="D685" t="str">
        <f>Table1[[#This Row],[Department]]</f>
        <v>Sales</v>
      </c>
      <c r="E685">
        <f>Table1[[#This Row],[EnvironmentSatisfaction]]</f>
        <v>3</v>
      </c>
      <c r="F685">
        <f>Table1[[#This Row],[HourlyRate]]</f>
        <v>36</v>
      </c>
      <c r="G685" t="str">
        <f>Table1[[#This Row],[JobRole]]</f>
        <v>Sales Representative</v>
      </c>
      <c r="H685">
        <f>Table1[[#This Row],[JobSatisfaction]]</f>
        <v>2</v>
      </c>
      <c r="I685">
        <f>Table1[[#This Row],[YearsAtCompany]]</f>
        <v>1</v>
      </c>
      <c r="J685">
        <f>Table1[[#This Row],[YearsSinceLastPromotion]]</f>
        <v>0</v>
      </c>
      <c r="K685">
        <f>Table1[[#This Row],[EmployeeNumber]]</f>
        <v>952</v>
      </c>
      <c r="L685">
        <f>Table1[[#This Row],[DistanceFromHome]]</f>
        <v>19</v>
      </c>
      <c r="M685" t="str">
        <f>Table1[[#This Row],[OverTime]]</f>
        <v>Yes</v>
      </c>
      <c r="N685">
        <f>Table1[[#This Row],[WorkLifeBalance]]</f>
        <v>3</v>
      </c>
      <c r="O685" t="str" cm="1">
        <f t="array" ref="O685">_xlfn.IFS(A685&lt;=30,"18-30",A685&lt;=40,"31-40",A685&lt;=50,"41-50",A685&gt;50,"51+")</f>
        <v>18-30</v>
      </c>
      <c r="P685" t="str" cm="1">
        <f t="array" ref="P685">_xlfn.IFS(F685&lt;=45,"45 or below",F685&lt;= 60,"46-60",F685&lt;=75,"61-75",F685&lt;=90,"76-90",F685&gt;90,"91 or above")</f>
        <v>45 or below</v>
      </c>
      <c r="Q68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85" t="str" cm="1">
        <f t="array" ref="R685" xml:space="preserve"> _xlfn.IFS(Table3[[#This Row],[Flight Risk Score]] = "NA","NA",Table3[[#This Row],[Flight Risk Score]] &gt;= 70,"High Risk",Table3[[#This Row],[Flight Risk Score]] &gt;= 50, "Medium Risk", Table3[[#This Row],[Flight Risk Score]] &gt;= 30,"Low Risk",Table3[[#This Row],[Flight Risk Score]] &lt; 30,"Very Low Risk")</f>
        <v>NA</v>
      </c>
    </row>
    <row r="686" spans="1:18" x14ac:dyDescent="0.2">
      <c r="A686">
        <f>Table1[[#This Row],[Age]]</f>
        <v>40</v>
      </c>
      <c r="B686">
        <f>IF(Table3[[#This Row],[Attrition]] = "Yes", 1,0)</f>
        <v>0</v>
      </c>
      <c r="C686" t="str">
        <f>Table1[[#This Row],[Attrition]]</f>
        <v>No</v>
      </c>
      <c r="D686" t="str">
        <f>Table1[[#This Row],[Department]]</f>
        <v>Sales</v>
      </c>
      <c r="E686">
        <f>Table1[[#This Row],[EnvironmentSatisfaction]]</f>
        <v>1</v>
      </c>
      <c r="F686">
        <f>Table1[[#This Row],[HourlyRate]]</f>
        <v>67</v>
      </c>
      <c r="G686" t="str">
        <f>Table1[[#This Row],[JobRole]]</f>
        <v>Sales Executive</v>
      </c>
      <c r="H686">
        <f>Table1[[#This Row],[JobSatisfaction]]</f>
        <v>2</v>
      </c>
      <c r="I686">
        <f>Table1[[#This Row],[YearsAtCompany]]</f>
        <v>1</v>
      </c>
      <c r="J686">
        <f>Table1[[#This Row],[YearsSinceLastPromotion]]</f>
        <v>0</v>
      </c>
      <c r="K686">
        <f>Table1[[#This Row],[EmployeeNumber]]</f>
        <v>954</v>
      </c>
      <c r="L686">
        <f>Table1[[#This Row],[DistanceFromHome]]</f>
        <v>10</v>
      </c>
      <c r="M686" t="str">
        <f>Table1[[#This Row],[OverTime]]</f>
        <v>No</v>
      </c>
      <c r="N686">
        <f>Table1[[#This Row],[WorkLifeBalance]]</f>
        <v>2</v>
      </c>
      <c r="O686" t="str" cm="1">
        <f t="array" ref="O686">_xlfn.IFS(A686&lt;=30,"18-30",A686&lt;=40,"31-40",A686&lt;=50,"41-50",A686&gt;50,"51+")</f>
        <v>31-40</v>
      </c>
      <c r="P686" t="str" cm="1">
        <f t="array" ref="P686">_xlfn.IFS(F686&lt;=45,"45 or below",F686&lt;= 60,"46-60",F686&lt;=75,"61-75",F686&lt;=90,"76-90",F686&gt;90,"91 or above")</f>
        <v>61-75</v>
      </c>
      <c r="Q6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686" t="str" cm="1">
        <f t="array" ref="R686" xml:space="preserve"> _xlfn.IFS(Table3[[#This Row],[Flight Risk Score]] = "NA","NA",Table3[[#This Row],[Flight Risk Score]] &gt;= 70,"High Risk",Table3[[#This Row],[Flight Risk Score]] &gt;= 50, "Medium Risk", Table3[[#This Row],[Flight Risk Score]] &gt;= 30,"Low Risk",Table3[[#This Row],[Flight Risk Score]] &lt; 30,"Very Low Risk")</f>
        <v>Low Risk</v>
      </c>
    </row>
    <row r="687" spans="1:18" x14ac:dyDescent="0.2">
      <c r="A687">
        <f>Table1[[#This Row],[Age]]</f>
        <v>26</v>
      </c>
      <c r="B687">
        <f>IF(Table3[[#This Row],[Attrition]] = "Yes", 1,0)</f>
        <v>0</v>
      </c>
      <c r="C687" t="str">
        <f>Table1[[#This Row],[Attrition]]</f>
        <v>No</v>
      </c>
      <c r="D687" t="str">
        <f>Table1[[#This Row],[Department]]</f>
        <v>Sales</v>
      </c>
      <c r="E687">
        <f>Table1[[#This Row],[EnvironmentSatisfaction]]</f>
        <v>3</v>
      </c>
      <c r="F687">
        <f>Table1[[#This Row],[HourlyRate]]</f>
        <v>52</v>
      </c>
      <c r="G687" t="str">
        <f>Table1[[#This Row],[JobRole]]</f>
        <v>Sales Executive</v>
      </c>
      <c r="H687">
        <f>Table1[[#This Row],[JobSatisfaction]]</f>
        <v>1</v>
      </c>
      <c r="I687">
        <f>Table1[[#This Row],[YearsAtCompany]]</f>
        <v>7</v>
      </c>
      <c r="J687">
        <f>Table1[[#This Row],[YearsSinceLastPromotion]]</f>
        <v>0</v>
      </c>
      <c r="K687">
        <f>Table1[[#This Row],[EmployeeNumber]]</f>
        <v>956</v>
      </c>
      <c r="L687">
        <f>Table1[[#This Row],[DistanceFromHome]]</f>
        <v>1</v>
      </c>
      <c r="M687" t="str">
        <f>Table1[[#This Row],[OverTime]]</f>
        <v>No</v>
      </c>
      <c r="N687">
        <f>Table1[[#This Row],[WorkLifeBalance]]</f>
        <v>3</v>
      </c>
      <c r="O687" t="str" cm="1">
        <f t="array" ref="O687">_xlfn.IFS(A687&lt;=30,"18-30",A687&lt;=40,"31-40",A687&lt;=50,"41-50",A687&gt;50,"51+")</f>
        <v>18-30</v>
      </c>
      <c r="P687" t="str" cm="1">
        <f t="array" ref="P687">_xlfn.IFS(F687&lt;=45,"45 or below",F687&lt;= 60,"46-60",F687&lt;=75,"61-75",F687&lt;=90,"76-90",F687&gt;90,"91 or above")</f>
        <v>46-60</v>
      </c>
      <c r="Q6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87" t="str" cm="1">
        <f t="array" ref="R6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88" spans="1:18" x14ac:dyDescent="0.2">
      <c r="A688">
        <f>Table1[[#This Row],[Age]]</f>
        <v>41</v>
      </c>
      <c r="B688">
        <f>IF(Table3[[#This Row],[Attrition]] = "Yes", 1,0)</f>
        <v>0</v>
      </c>
      <c r="C688" t="str">
        <f>Table1[[#This Row],[Attrition]]</f>
        <v>No</v>
      </c>
      <c r="D688" t="str">
        <f>Table1[[#This Row],[Department]]</f>
        <v>Research &amp; Development</v>
      </c>
      <c r="E688">
        <f>Table1[[#This Row],[EnvironmentSatisfaction]]</f>
        <v>4</v>
      </c>
      <c r="F688">
        <f>Table1[[#This Row],[HourlyRate]]</f>
        <v>59</v>
      </c>
      <c r="G688" t="str">
        <f>Table1[[#This Row],[JobRole]]</f>
        <v>Laboratory Technician</v>
      </c>
      <c r="H688">
        <f>Table1[[#This Row],[JobSatisfaction]]</f>
        <v>1</v>
      </c>
      <c r="I688">
        <f>Table1[[#This Row],[YearsAtCompany]]</f>
        <v>18</v>
      </c>
      <c r="J688">
        <f>Table1[[#This Row],[YearsSinceLastPromotion]]</f>
        <v>2</v>
      </c>
      <c r="K688">
        <f>Table1[[#This Row],[EmployeeNumber]]</f>
        <v>957</v>
      </c>
      <c r="L688">
        <f>Table1[[#This Row],[DistanceFromHome]]</f>
        <v>6</v>
      </c>
      <c r="M688" t="str">
        <f>Table1[[#This Row],[OverTime]]</f>
        <v>Yes</v>
      </c>
      <c r="N688">
        <f>Table1[[#This Row],[WorkLifeBalance]]</f>
        <v>3</v>
      </c>
      <c r="O688" t="str" cm="1">
        <f t="array" ref="O688">_xlfn.IFS(A688&lt;=30,"18-30",A688&lt;=40,"31-40",A688&lt;=50,"41-50",A688&gt;50,"51+")</f>
        <v>41-50</v>
      </c>
      <c r="P688" t="str" cm="1">
        <f t="array" ref="P688">_xlfn.IFS(F688&lt;=45,"45 or below",F688&lt;= 60,"46-60",F688&lt;=75,"61-75",F688&lt;=90,"76-90",F688&gt;90,"91 or above")</f>
        <v>46-60</v>
      </c>
      <c r="Q6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88" t="str" cm="1">
        <f t="array" ref="R68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89" spans="1:18" x14ac:dyDescent="0.2">
      <c r="A689">
        <f>Table1[[#This Row],[Age]]</f>
        <v>36</v>
      </c>
      <c r="B689">
        <f>IF(Table3[[#This Row],[Attrition]] = "Yes", 1,0)</f>
        <v>0</v>
      </c>
      <c r="C689" t="str">
        <f>Table1[[#This Row],[Attrition]]</f>
        <v>No</v>
      </c>
      <c r="D689" t="str">
        <f>Table1[[#This Row],[Department]]</f>
        <v>Research &amp; Development</v>
      </c>
      <c r="E689">
        <f>Table1[[#This Row],[EnvironmentSatisfaction]]</f>
        <v>3</v>
      </c>
      <c r="F689">
        <f>Table1[[#This Row],[HourlyRate]]</f>
        <v>79</v>
      </c>
      <c r="G689" t="str">
        <f>Table1[[#This Row],[JobRole]]</f>
        <v>Laboratory Technician</v>
      </c>
      <c r="H689">
        <f>Table1[[#This Row],[JobSatisfaction]]</f>
        <v>3</v>
      </c>
      <c r="I689">
        <f>Table1[[#This Row],[YearsAtCompany]]</f>
        <v>11</v>
      </c>
      <c r="J689">
        <f>Table1[[#This Row],[YearsSinceLastPromotion]]</f>
        <v>3</v>
      </c>
      <c r="K689">
        <f>Table1[[#This Row],[EmployeeNumber]]</f>
        <v>958</v>
      </c>
      <c r="L689">
        <f>Table1[[#This Row],[DistanceFromHome]]</f>
        <v>2</v>
      </c>
      <c r="M689" t="str">
        <f>Table1[[#This Row],[OverTime]]</f>
        <v>No</v>
      </c>
      <c r="N689">
        <f>Table1[[#This Row],[WorkLifeBalance]]</f>
        <v>3</v>
      </c>
      <c r="O689" t="str" cm="1">
        <f t="array" ref="O689">_xlfn.IFS(A689&lt;=30,"18-30",A689&lt;=40,"31-40",A689&lt;=50,"41-50",A689&gt;50,"51+")</f>
        <v>31-40</v>
      </c>
      <c r="P689" t="str" cm="1">
        <f t="array" ref="P689">_xlfn.IFS(F689&lt;=45,"45 or below",F689&lt;= 60,"46-60",F689&lt;=75,"61-75",F689&lt;=90,"76-90",F689&gt;90,"91 or above")</f>
        <v>76-90</v>
      </c>
      <c r="Q6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89" t="str" cm="1">
        <f t="array" ref="R6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90" spans="1:18" hidden="1" x14ac:dyDescent="0.2">
      <c r="A690">
        <f>Table1[[#This Row],[Age]]</f>
        <v>19</v>
      </c>
      <c r="B690">
        <f>IF(Table3[[#This Row],[Attrition]] = "Yes", 1,0)</f>
        <v>1</v>
      </c>
      <c r="C690" t="str">
        <f>Table1[[#This Row],[Attrition]]</f>
        <v>Yes</v>
      </c>
      <c r="D690" t="str">
        <f>Table1[[#This Row],[Department]]</f>
        <v>Sales</v>
      </c>
      <c r="E690">
        <f>Table1[[#This Row],[EnvironmentSatisfaction]]</f>
        <v>4</v>
      </c>
      <c r="F690">
        <f>Table1[[#This Row],[HourlyRate]]</f>
        <v>37</v>
      </c>
      <c r="G690" t="str">
        <f>Table1[[#This Row],[JobRole]]</f>
        <v>Sales Representative</v>
      </c>
      <c r="H690">
        <f>Table1[[#This Row],[JobSatisfaction]]</f>
        <v>2</v>
      </c>
      <c r="I690">
        <f>Table1[[#This Row],[YearsAtCompany]]</f>
        <v>1</v>
      </c>
      <c r="J690">
        <f>Table1[[#This Row],[YearsSinceLastPromotion]]</f>
        <v>0</v>
      </c>
      <c r="K690">
        <f>Table1[[#This Row],[EmployeeNumber]]</f>
        <v>959</v>
      </c>
      <c r="L690">
        <f>Table1[[#This Row],[DistanceFromHome]]</f>
        <v>21</v>
      </c>
      <c r="M690" t="str">
        <f>Table1[[#This Row],[OverTime]]</f>
        <v>Yes</v>
      </c>
      <c r="N690">
        <f>Table1[[#This Row],[WorkLifeBalance]]</f>
        <v>4</v>
      </c>
      <c r="O690" t="str" cm="1">
        <f t="array" ref="O690">_xlfn.IFS(A690&lt;=30,"18-30",A690&lt;=40,"31-40",A690&lt;=50,"41-50",A690&gt;50,"51+")</f>
        <v>18-30</v>
      </c>
      <c r="P690" t="str" cm="1">
        <f t="array" ref="P690">_xlfn.IFS(F690&lt;=45,"45 or below",F690&lt;= 60,"46-60",F690&lt;=75,"61-75",F690&lt;=90,"76-90",F690&gt;90,"91 or above")</f>
        <v>45 or below</v>
      </c>
      <c r="Q69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90" t="str" cm="1">
        <f t="array" ref="R690" xml:space="preserve"> _xlfn.IFS(Table3[[#This Row],[Flight Risk Score]] = "NA","NA",Table3[[#This Row],[Flight Risk Score]] &gt;= 70,"High Risk",Table3[[#This Row],[Flight Risk Score]] &gt;= 50, "Medium Risk", Table3[[#This Row],[Flight Risk Score]] &gt;= 30,"Low Risk",Table3[[#This Row],[Flight Risk Score]] &lt; 30,"Very Low Risk")</f>
        <v>NA</v>
      </c>
    </row>
    <row r="691" spans="1:18" hidden="1" x14ac:dyDescent="0.2">
      <c r="A691">
        <f>Table1[[#This Row],[Age]]</f>
        <v>20</v>
      </c>
      <c r="B691">
        <f>IF(Table3[[#This Row],[Attrition]] = "Yes", 1,0)</f>
        <v>1</v>
      </c>
      <c r="C691" t="str">
        <f>Table1[[#This Row],[Attrition]]</f>
        <v>Yes</v>
      </c>
      <c r="D691" t="str">
        <f>Table1[[#This Row],[Department]]</f>
        <v>Research &amp; Development</v>
      </c>
      <c r="E691">
        <f>Table1[[#This Row],[EnvironmentSatisfaction]]</f>
        <v>1</v>
      </c>
      <c r="F691">
        <f>Table1[[#This Row],[HourlyRate]]</f>
        <v>84</v>
      </c>
      <c r="G691" t="str">
        <f>Table1[[#This Row],[JobRole]]</f>
        <v>Laboratory Technician</v>
      </c>
      <c r="H691">
        <f>Table1[[#This Row],[JobSatisfaction]]</f>
        <v>1</v>
      </c>
      <c r="I691">
        <f>Table1[[#This Row],[YearsAtCompany]]</f>
        <v>1</v>
      </c>
      <c r="J691">
        <f>Table1[[#This Row],[YearsSinceLastPromotion]]</f>
        <v>0</v>
      </c>
      <c r="K691">
        <f>Table1[[#This Row],[EmployeeNumber]]</f>
        <v>960</v>
      </c>
      <c r="L691">
        <f>Table1[[#This Row],[DistanceFromHome]]</f>
        <v>4</v>
      </c>
      <c r="M691" t="str">
        <f>Table1[[#This Row],[OverTime]]</f>
        <v>No</v>
      </c>
      <c r="N691">
        <f>Table1[[#This Row],[WorkLifeBalance]]</f>
        <v>3</v>
      </c>
      <c r="O691" t="str" cm="1">
        <f t="array" ref="O691">_xlfn.IFS(A691&lt;=30,"18-30",A691&lt;=40,"31-40",A691&lt;=50,"41-50",A691&gt;50,"51+")</f>
        <v>18-30</v>
      </c>
      <c r="P691" t="str" cm="1">
        <f t="array" ref="P691">_xlfn.IFS(F691&lt;=45,"45 or below",F691&lt;= 60,"46-60",F691&lt;=75,"61-75",F691&lt;=90,"76-90",F691&gt;90,"91 or above")</f>
        <v>76-90</v>
      </c>
      <c r="Q69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91" t="str" cm="1">
        <f t="array" ref="R691" xml:space="preserve"> _xlfn.IFS(Table3[[#This Row],[Flight Risk Score]] = "NA","NA",Table3[[#This Row],[Flight Risk Score]] &gt;= 70,"High Risk",Table3[[#This Row],[Flight Risk Score]] &gt;= 50, "Medium Risk", Table3[[#This Row],[Flight Risk Score]] &gt;= 30,"Low Risk",Table3[[#This Row],[Flight Risk Score]] &lt; 30,"Very Low Risk")</f>
        <v>NA</v>
      </c>
    </row>
    <row r="692" spans="1:18" x14ac:dyDescent="0.2">
      <c r="A692">
        <f>Table1[[#This Row],[Age]]</f>
        <v>31</v>
      </c>
      <c r="B692">
        <f>IF(Table3[[#This Row],[Attrition]] = "Yes", 1,0)</f>
        <v>0</v>
      </c>
      <c r="C692" t="str">
        <f>Table1[[#This Row],[Attrition]]</f>
        <v>No</v>
      </c>
      <c r="D692" t="str">
        <f>Table1[[#This Row],[Department]]</f>
        <v>Research &amp; Development</v>
      </c>
      <c r="E692">
        <f>Table1[[#This Row],[EnvironmentSatisfaction]]</f>
        <v>4</v>
      </c>
      <c r="F692">
        <f>Table1[[#This Row],[HourlyRate]]</f>
        <v>41</v>
      </c>
      <c r="G692" t="str">
        <f>Table1[[#This Row],[JobRole]]</f>
        <v>Healthcare Representative</v>
      </c>
      <c r="H692">
        <f>Table1[[#This Row],[JobSatisfaction]]</f>
        <v>4</v>
      </c>
      <c r="I692">
        <f>Table1[[#This Row],[YearsAtCompany]]</f>
        <v>9</v>
      </c>
      <c r="J692">
        <f>Table1[[#This Row],[YearsSinceLastPromotion]]</f>
        <v>8</v>
      </c>
      <c r="K692">
        <f>Table1[[#This Row],[EmployeeNumber]]</f>
        <v>961</v>
      </c>
      <c r="L692">
        <f>Table1[[#This Row],[DistanceFromHome]]</f>
        <v>12</v>
      </c>
      <c r="M692" t="str">
        <f>Table1[[#This Row],[OverTime]]</f>
        <v>Yes</v>
      </c>
      <c r="N692">
        <f>Table1[[#This Row],[WorkLifeBalance]]</f>
        <v>1</v>
      </c>
      <c r="O692" t="str" cm="1">
        <f t="array" ref="O692">_xlfn.IFS(A692&lt;=30,"18-30",A692&lt;=40,"31-40",A692&lt;=50,"41-50",A692&gt;50,"51+")</f>
        <v>31-40</v>
      </c>
      <c r="P692" t="str" cm="1">
        <f t="array" ref="P692">_xlfn.IFS(F692&lt;=45,"45 or below",F692&lt;= 60,"46-60",F692&lt;=75,"61-75",F692&lt;=90,"76-90",F692&gt;90,"91 or above")</f>
        <v>45 or below</v>
      </c>
      <c r="Q6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692" t="str" cm="1">
        <f t="array" ref="R692" xml:space="preserve"> _xlfn.IFS(Table3[[#This Row],[Flight Risk Score]] = "NA","NA",Table3[[#This Row],[Flight Risk Score]] &gt;= 70,"High Risk",Table3[[#This Row],[Flight Risk Score]] &gt;= 50, "Medium Risk", Table3[[#This Row],[Flight Risk Score]] &gt;= 30,"Low Risk",Table3[[#This Row],[Flight Risk Score]] &lt; 30,"Very Low Risk")</f>
        <v>High Risk</v>
      </c>
    </row>
    <row r="693" spans="1:18" x14ac:dyDescent="0.2">
      <c r="A693">
        <f>Table1[[#This Row],[Age]]</f>
        <v>40</v>
      </c>
      <c r="B693">
        <f>IF(Table3[[#This Row],[Attrition]] = "Yes", 1,0)</f>
        <v>0</v>
      </c>
      <c r="C693" t="str">
        <f>Table1[[#This Row],[Attrition]]</f>
        <v>No</v>
      </c>
      <c r="D693" t="str">
        <f>Table1[[#This Row],[Department]]</f>
        <v>Research &amp; Development</v>
      </c>
      <c r="E693">
        <f>Table1[[#This Row],[EnvironmentSatisfaction]]</f>
        <v>4</v>
      </c>
      <c r="F693">
        <f>Table1[[#This Row],[HourlyRate]]</f>
        <v>35</v>
      </c>
      <c r="G693" t="str">
        <f>Table1[[#This Row],[JobRole]]</f>
        <v>Research Scientist</v>
      </c>
      <c r="H693">
        <f>Table1[[#This Row],[JobSatisfaction]]</f>
        <v>2</v>
      </c>
      <c r="I693">
        <f>Table1[[#This Row],[YearsAtCompany]]</f>
        <v>1</v>
      </c>
      <c r="J693">
        <f>Table1[[#This Row],[YearsSinceLastPromotion]]</f>
        <v>0</v>
      </c>
      <c r="K693">
        <f>Table1[[#This Row],[EmployeeNumber]]</f>
        <v>964</v>
      </c>
      <c r="L693">
        <f>Table1[[#This Row],[DistanceFromHome]]</f>
        <v>9</v>
      </c>
      <c r="M693" t="str">
        <f>Table1[[#This Row],[OverTime]]</f>
        <v>Yes</v>
      </c>
      <c r="N693">
        <f>Table1[[#This Row],[WorkLifeBalance]]</f>
        <v>3</v>
      </c>
      <c r="O693" t="str" cm="1">
        <f t="array" ref="O693">_xlfn.IFS(A693&lt;=30,"18-30",A693&lt;=40,"31-40",A693&lt;=50,"41-50",A693&gt;50,"51+")</f>
        <v>31-40</v>
      </c>
      <c r="P693" t="str" cm="1">
        <f t="array" ref="P693">_xlfn.IFS(F693&lt;=45,"45 or below",F693&lt;= 60,"46-60",F693&lt;=75,"61-75",F693&lt;=90,"76-90",F693&gt;90,"91 or above")</f>
        <v>45 or below</v>
      </c>
      <c r="Q6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693" t="str" cm="1">
        <f t="array" ref="R69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694" spans="1:18" x14ac:dyDescent="0.2">
      <c r="A694">
        <f>Table1[[#This Row],[Age]]</f>
        <v>32</v>
      </c>
      <c r="B694">
        <f>IF(Table3[[#This Row],[Attrition]] = "Yes", 1,0)</f>
        <v>0</v>
      </c>
      <c r="C694" t="str">
        <f>Table1[[#This Row],[Attrition]]</f>
        <v>No</v>
      </c>
      <c r="D694" t="str">
        <f>Table1[[#This Row],[Department]]</f>
        <v>Research &amp; Development</v>
      </c>
      <c r="E694">
        <f>Table1[[#This Row],[EnvironmentSatisfaction]]</f>
        <v>3</v>
      </c>
      <c r="F694">
        <f>Table1[[#This Row],[HourlyRate]]</f>
        <v>93</v>
      </c>
      <c r="G694" t="str">
        <f>Table1[[#This Row],[JobRole]]</f>
        <v>Manufacturing Director</v>
      </c>
      <c r="H694">
        <f>Table1[[#This Row],[JobSatisfaction]]</f>
        <v>1</v>
      </c>
      <c r="I694">
        <f>Table1[[#This Row],[YearsAtCompany]]</f>
        <v>8</v>
      </c>
      <c r="J694">
        <f>Table1[[#This Row],[YearsSinceLastPromotion]]</f>
        <v>6</v>
      </c>
      <c r="K694">
        <f>Table1[[#This Row],[EmployeeNumber]]</f>
        <v>966</v>
      </c>
      <c r="L694">
        <f>Table1[[#This Row],[DistanceFromHome]]</f>
        <v>3</v>
      </c>
      <c r="M694" t="str">
        <f>Table1[[#This Row],[OverTime]]</f>
        <v>No</v>
      </c>
      <c r="N694">
        <f>Table1[[#This Row],[WorkLifeBalance]]</f>
        <v>4</v>
      </c>
      <c r="O694" t="str" cm="1">
        <f t="array" ref="O694">_xlfn.IFS(A694&lt;=30,"18-30",A694&lt;=40,"31-40",A694&lt;=50,"41-50",A694&gt;50,"51+")</f>
        <v>31-40</v>
      </c>
      <c r="P694" t="str" cm="1">
        <f t="array" ref="P694">_xlfn.IFS(F694&lt;=45,"45 or below",F694&lt;= 60,"46-60",F694&lt;=75,"61-75",F694&lt;=90,"76-90",F694&gt;90,"91 or above")</f>
        <v>91 or above</v>
      </c>
      <c r="Q6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94" t="str" cm="1">
        <f t="array" ref="R69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95" spans="1:18" hidden="1" x14ac:dyDescent="0.2">
      <c r="A695">
        <f>Table1[[#This Row],[Age]]</f>
        <v>36</v>
      </c>
      <c r="B695">
        <f>IF(Table3[[#This Row],[Attrition]] = "Yes", 1,0)</f>
        <v>1</v>
      </c>
      <c r="C695" t="str">
        <f>Table1[[#This Row],[Attrition]]</f>
        <v>Yes</v>
      </c>
      <c r="D695" t="str">
        <f>Table1[[#This Row],[Department]]</f>
        <v>Sales</v>
      </c>
      <c r="E695">
        <f>Table1[[#This Row],[EnvironmentSatisfaction]]</f>
        <v>3</v>
      </c>
      <c r="F695">
        <f>Table1[[#This Row],[HourlyRate]]</f>
        <v>51</v>
      </c>
      <c r="G695" t="str">
        <f>Table1[[#This Row],[JobRole]]</f>
        <v>Sales Executive</v>
      </c>
      <c r="H695">
        <f>Table1[[#This Row],[JobSatisfaction]]</f>
        <v>4</v>
      </c>
      <c r="I695">
        <f>Table1[[#This Row],[YearsAtCompany]]</f>
        <v>16</v>
      </c>
      <c r="J695">
        <f>Table1[[#This Row],[YearsSinceLastPromotion]]</f>
        <v>3</v>
      </c>
      <c r="K695">
        <f>Table1[[#This Row],[EmployeeNumber]]</f>
        <v>967</v>
      </c>
      <c r="L695">
        <f>Table1[[#This Row],[DistanceFromHome]]</f>
        <v>3</v>
      </c>
      <c r="M695" t="str">
        <f>Table1[[#This Row],[OverTime]]</f>
        <v>Yes</v>
      </c>
      <c r="N695">
        <f>Table1[[#This Row],[WorkLifeBalance]]</f>
        <v>3</v>
      </c>
      <c r="O695" t="str" cm="1">
        <f t="array" ref="O695">_xlfn.IFS(A695&lt;=30,"18-30",A695&lt;=40,"31-40",A695&lt;=50,"41-50",A695&gt;50,"51+")</f>
        <v>31-40</v>
      </c>
      <c r="P695" t="str" cm="1">
        <f t="array" ref="P695">_xlfn.IFS(F695&lt;=45,"45 or below",F695&lt;= 60,"46-60",F695&lt;=75,"61-75",F695&lt;=90,"76-90",F695&gt;90,"91 or above")</f>
        <v>46-60</v>
      </c>
      <c r="Q69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95" t="str" cm="1">
        <f t="array" ref="R695" xml:space="preserve"> _xlfn.IFS(Table3[[#This Row],[Flight Risk Score]] = "NA","NA",Table3[[#This Row],[Flight Risk Score]] &gt;= 70,"High Risk",Table3[[#This Row],[Flight Risk Score]] &gt;= 50, "Medium Risk", Table3[[#This Row],[Flight Risk Score]] &gt;= 30,"Low Risk",Table3[[#This Row],[Flight Risk Score]] &lt; 30,"Very Low Risk")</f>
        <v>NA</v>
      </c>
    </row>
    <row r="696" spans="1:18" x14ac:dyDescent="0.2">
      <c r="A696">
        <f>Table1[[#This Row],[Age]]</f>
        <v>33</v>
      </c>
      <c r="B696">
        <f>IF(Table3[[#This Row],[Attrition]] = "Yes", 1,0)</f>
        <v>0</v>
      </c>
      <c r="C696" t="str">
        <f>Table1[[#This Row],[Attrition]]</f>
        <v>No</v>
      </c>
      <c r="D696" t="str">
        <f>Table1[[#This Row],[Department]]</f>
        <v>Research &amp; Development</v>
      </c>
      <c r="E696">
        <f>Table1[[#This Row],[EnvironmentSatisfaction]]</f>
        <v>2</v>
      </c>
      <c r="F696">
        <f>Table1[[#This Row],[HourlyRate]]</f>
        <v>42</v>
      </c>
      <c r="G696" t="str">
        <f>Table1[[#This Row],[JobRole]]</f>
        <v>Healthcare Representative</v>
      </c>
      <c r="H696">
        <f>Table1[[#This Row],[JobSatisfaction]]</f>
        <v>4</v>
      </c>
      <c r="I696">
        <f>Table1[[#This Row],[YearsAtCompany]]</f>
        <v>5</v>
      </c>
      <c r="J696">
        <f>Table1[[#This Row],[YearsSinceLastPromotion]]</f>
        <v>1</v>
      </c>
      <c r="K696">
        <f>Table1[[#This Row],[EmployeeNumber]]</f>
        <v>969</v>
      </c>
      <c r="L696">
        <f>Table1[[#This Row],[DistanceFromHome]]</f>
        <v>1</v>
      </c>
      <c r="M696" t="str">
        <f>Table1[[#This Row],[OverTime]]</f>
        <v>No</v>
      </c>
      <c r="N696">
        <f>Table1[[#This Row],[WorkLifeBalance]]</f>
        <v>3</v>
      </c>
      <c r="O696" t="str" cm="1">
        <f t="array" ref="O696">_xlfn.IFS(A696&lt;=30,"18-30",A696&lt;=40,"31-40",A696&lt;=50,"41-50",A696&gt;50,"51+")</f>
        <v>31-40</v>
      </c>
      <c r="P696" t="str" cm="1">
        <f t="array" ref="P696">_xlfn.IFS(F696&lt;=45,"45 or below",F696&lt;= 60,"46-60",F696&lt;=75,"61-75",F696&lt;=90,"76-90",F696&gt;90,"91 or above")</f>
        <v>45 or below</v>
      </c>
      <c r="Q6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96" t="str" cm="1">
        <f t="array" ref="R6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97" spans="1:18" hidden="1" x14ac:dyDescent="0.2">
      <c r="A697">
        <f>Table1[[#This Row],[Age]]</f>
        <v>37</v>
      </c>
      <c r="B697">
        <f>IF(Table3[[#This Row],[Attrition]] = "Yes", 1,0)</f>
        <v>1</v>
      </c>
      <c r="C697" t="str">
        <f>Table1[[#This Row],[Attrition]]</f>
        <v>Yes</v>
      </c>
      <c r="D697" t="str">
        <f>Table1[[#This Row],[Department]]</f>
        <v>Sales</v>
      </c>
      <c r="E697">
        <f>Table1[[#This Row],[EnvironmentSatisfaction]]</f>
        <v>1</v>
      </c>
      <c r="F697">
        <f>Table1[[#This Row],[HourlyRate]]</f>
        <v>46</v>
      </c>
      <c r="G697" t="str">
        <f>Table1[[#This Row],[JobRole]]</f>
        <v>Sales Executive</v>
      </c>
      <c r="H697">
        <f>Table1[[#This Row],[JobSatisfaction]]</f>
        <v>3</v>
      </c>
      <c r="I697">
        <f>Table1[[#This Row],[YearsAtCompany]]</f>
        <v>14</v>
      </c>
      <c r="J697">
        <f>Table1[[#This Row],[YearsSinceLastPromotion]]</f>
        <v>11</v>
      </c>
      <c r="K697">
        <f>Table1[[#This Row],[EmployeeNumber]]</f>
        <v>970</v>
      </c>
      <c r="L697">
        <f>Table1[[#This Row],[DistanceFromHome]]</f>
        <v>1</v>
      </c>
      <c r="M697" t="str">
        <f>Table1[[#This Row],[OverTime]]</f>
        <v>No</v>
      </c>
      <c r="N697">
        <f>Table1[[#This Row],[WorkLifeBalance]]</f>
        <v>1</v>
      </c>
      <c r="O697" t="str" cm="1">
        <f t="array" ref="O697">_xlfn.IFS(A697&lt;=30,"18-30",A697&lt;=40,"31-40",A697&lt;=50,"41-50",A697&gt;50,"51+")</f>
        <v>31-40</v>
      </c>
      <c r="P697" t="str" cm="1">
        <f t="array" ref="P697">_xlfn.IFS(F697&lt;=45,"45 or below",F697&lt;= 60,"46-60",F697&lt;=75,"61-75",F697&lt;=90,"76-90",F697&gt;90,"91 or above")</f>
        <v>46-60</v>
      </c>
      <c r="Q69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697" t="str" cm="1">
        <f t="array" ref="R697" xml:space="preserve"> _xlfn.IFS(Table3[[#This Row],[Flight Risk Score]] = "NA","NA",Table3[[#This Row],[Flight Risk Score]] &gt;= 70,"High Risk",Table3[[#This Row],[Flight Risk Score]] &gt;= 50, "Medium Risk", Table3[[#This Row],[Flight Risk Score]] &gt;= 30,"Low Risk",Table3[[#This Row],[Flight Risk Score]] &lt; 30,"Very Low Risk")</f>
        <v>NA</v>
      </c>
    </row>
    <row r="698" spans="1:18" x14ac:dyDescent="0.2">
      <c r="A698">
        <f>Table1[[#This Row],[Age]]</f>
        <v>45</v>
      </c>
      <c r="B698">
        <f>IF(Table3[[#This Row],[Attrition]] = "Yes", 1,0)</f>
        <v>0</v>
      </c>
      <c r="C698" t="str">
        <f>Table1[[#This Row],[Attrition]]</f>
        <v>No</v>
      </c>
      <c r="D698" t="str">
        <f>Table1[[#This Row],[Department]]</f>
        <v>Research &amp; Development</v>
      </c>
      <c r="E698">
        <f>Table1[[#This Row],[EnvironmentSatisfaction]]</f>
        <v>3</v>
      </c>
      <c r="F698">
        <f>Table1[[#This Row],[HourlyRate]]</f>
        <v>57</v>
      </c>
      <c r="G698" t="str">
        <f>Table1[[#This Row],[JobRole]]</f>
        <v>Laboratory Technician</v>
      </c>
      <c r="H698">
        <f>Table1[[#This Row],[JobSatisfaction]]</f>
        <v>2</v>
      </c>
      <c r="I698">
        <f>Table1[[#This Row],[YearsAtCompany]]</f>
        <v>9</v>
      </c>
      <c r="J698">
        <f>Table1[[#This Row],[YearsSinceLastPromotion]]</f>
        <v>0</v>
      </c>
      <c r="K698">
        <f>Table1[[#This Row],[EmployeeNumber]]</f>
        <v>972</v>
      </c>
      <c r="L698">
        <f>Table1[[#This Row],[DistanceFromHome]]</f>
        <v>4</v>
      </c>
      <c r="M698" t="str">
        <f>Table1[[#This Row],[OverTime]]</f>
        <v>No</v>
      </c>
      <c r="N698">
        <f>Table1[[#This Row],[WorkLifeBalance]]</f>
        <v>2</v>
      </c>
      <c r="O698" t="str" cm="1">
        <f t="array" ref="O698">_xlfn.IFS(A698&lt;=30,"18-30",A698&lt;=40,"31-40",A698&lt;=50,"41-50",A698&gt;50,"51+")</f>
        <v>41-50</v>
      </c>
      <c r="P698" t="str" cm="1">
        <f t="array" ref="P698">_xlfn.IFS(F698&lt;=45,"45 or below",F698&lt;= 60,"46-60",F698&lt;=75,"61-75",F698&lt;=90,"76-90",F698&gt;90,"91 or above")</f>
        <v>46-60</v>
      </c>
      <c r="Q6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698" t="str" cm="1">
        <f t="array" ref="R69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699" spans="1:18" x14ac:dyDescent="0.2">
      <c r="A699">
        <f>Table1[[#This Row],[Age]]</f>
        <v>29</v>
      </c>
      <c r="B699">
        <f>IF(Table3[[#This Row],[Attrition]] = "Yes", 1,0)</f>
        <v>0</v>
      </c>
      <c r="C699" t="str">
        <f>Table1[[#This Row],[Attrition]]</f>
        <v>No</v>
      </c>
      <c r="D699" t="str">
        <f>Table1[[#This Row],[Department]]</f>
        <v>Sales</v>
      </c>
      <c r="E699">
        <f>Table1[[#This Row],[EnvironmentSatisfaction]]</f>
        <v>3</v>
      </c>
      <c r="F699">
        <f>Table1[[#This Row],[HourlyRate]]</f>
        <v>84</v>
      </c>
      <c r="G699" t="str">
        <f>Table1[[#This Row],[JobRole]]</f>
        <v>Sales Representative</v>
      </c>
      <c r="H699">
        <f>Table1[[#This Row],[JobSatisfaction]]</f>
        <v>4</v>
      </c>
      <c r="I699">
        <f>Table1[[#This Row],[YearsAtCompany]]</f>
        <v>3</v>
      </c>
      <c r="J699">
        <f>Table1[[#This Row],[YearsSinceLastPromotion]]</f>
        <v>0</v>
      </c>
      <c r="K699">
        <f>Table1[[#This Row],[EmployeeNumber]]</f>
        <v>974</v>
      </c>
      <c r="L699">
        <f>Table1[[#This Row],[DistanceFromHome]]</f>
        <v>20</v>
      </c>
      <c r="M699" t="str">
        <f>Table1[[#This Row],[OverTime]]</f>
        <v>No</v>
      </c>
      <c r="N699">
        <f>Table1[[#This Row],[WorkLifeBalance]]</f>
        <v>3</v>
      </c>
      <c r="O699" t="str" cm="1">
        <f t="array" ref="O699">_xlfn.IFS(A699&lt;=30,"18-30",A699&lt;=40,"31-40",A699&lt;=50,"41-50",A699&gt;50,"51+")</f>
        <v>18-30</v>
      </c>
      <c r="P699" t="str" cm="1">
        <f t="array" ref="P699">_xlfn.IFS(F699&lt;=45,"45 or below",F699&lt;= 60,"46-60",F699&lt;=75,"61-75",F699&lt;=90,"76-90",F699&gt;90,"91 or above")</f>
        <v>76-90</v>
      </c>
      <c r="Q6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699" t="str" cm="1">
        <f t="array" ref="R6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0" spans="1:18" x14ac:dyDescent="0.2">
      <c r="A700">
        <f>Table1[[#This Row],[Age]]</f>
        <v>35</v>
      </c>
      <c r="B700">
        <f>IF(Table3[[#This Row],[Attrition]] = "Yes", 1,0)</f>
        <v>0</v>
      </c>
      <c r="C700" t="str">
        <f>Table1[[#This Row],[Attrition]]</f>
        <v>No</v>
      </c>
      <c r="D700" t="str">
        <f>Table1[[#This Row],[Department]]</f>
        <v>Sales</v>
      </c>
      <c r="E700">
        <f>Table1[[#This Row],[EnvironmentSatisfaction]]</f>
        <v>3</v>
      </c>
      <c r="F700">
        <f>Table1[[#This Row],[HourlyRate]]</f>
        <v>86</v>
      </c>
      <c r="G700" t="str">
        <f>Table1[[#This Row],[JobRole]]</f>
        <v>Sales Executive</v>
      </c>
      <c r="H700">
        <f>Table1[[#This Row],[JobSatisfaction]]</f>
        <v>3</v>
      </c>
      <c r="I700">
        <f>Table1[[#This Row],[YearsAtCompany]]</f>
        <v>5</v>
      </c>
      <c r="J700">
        <f>Table1[[#This Row],[YearsSinceLastPromotion]]</f>
        <v>1</v>
      </c>
      <c r="K700">
        <f>Table1[[#This Row],[EmployeeNumber]]</f>
        <v>975</v>
      </c>
      <c r="L700">
        <f>Table1[[#This Row],[DistanceFromHome]]</f>
        <v>18</v>
      </c>
      <c r="M700" t="str">
        <f>Table1[[#This Row],[OverTime]]</f>
        <v>No</v>
      </c>
      <c r="N700">
        <f>Table1[[#This Row],[WorkLifeBalance]]</f>
        <v>3</v>
      </c>
      <c r="O700" t="str" cm="1">
        <f t="array" ref="O700">_xlfn.IFS(A700&lt;=30,"18-30",A700&lt;=40,"31-40",A700&lt;=50,"41-50",A700&gt;50,"51+")</f>
        <v>31-40</v>
      </c>
      <c r="P700" t="str" cm="1">
        <f t="array" ref="P700">_xlfn.IFS(F700&lt;=45,"45 or below",F700&lt;= 60,"46-60",F700&lt;=75,"61-75",F700&lt;=90,"76-90",F700&gt;90,"91 or above")</f>
        <v>76-90</v>
      </c>
      <c r="Q7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00" t="str" cm="1">
        <f t="array" ref="R7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1" spans="1:18" x14ac:dyDescent="0.2">
      <c r="A701">
        <f>Table1[[#This Row],[Age]]</f>
        <v>52</v>
      </c>
      <c r="B701">
        <f>IF(Table3[[#This Row],[Attrition]] = "Yes", 1,0)</f>
        <v>0</v>
      </c>
      <c r="C701" t="str">
        <f>Table1[[#This Row],[Attrition]]</f>
        <v>No</v>
      </c>
      <c r="D701" t="str">
        <f>Table1[[#This Row],[Department]]</f>
        <v>Research &amp; Development</v>
      </c>
      <c r="E701">
        <f>Table1[[#This Row],[EnvironmentSatisfaction]]</f>
        <v>4</v>
      </c>
      <c r="F701">
        <f>Table1[[#This Row],[HourlyRate]]</f>
        <v>70</v>
      </c>
      <c r="G701" t="str">
        <f>Table1[[#This Row],[JobRole]]</f>
        <v>Manager</v>
      </c>
      <c r="H701">
        <f>Table1[[#This Row],[JobSatisfaction]]</f>
        <v>4</v>
      </c>
      <c r="I701">
        <f>Table1[[#This Row],[YearsAtCompany]]</f>
        <v>9</v>
      </c>
      <c r="J701">
        <f>Table1[[#This Row],[YearsSinceLastPromotion]]</f>
        <v>7</v>
      </c>
      <c r="K701">
        <f>Table1[[#This Row],[EmployeeNumber]]</f>
        <v>976</v>
      </c>
      <c r="L701">
        <f>Table1[[#This Row],[DistanceFromHome]]</f>
        <v>1</v>
      </c>
      <c r="M701" t="str">
        <f>Table1[[#This Row],[OverTime]]</f>
        <v>No</v>
      </c>
      <c r="N701">
        <f>Table1[[#This Row],[WorkLifeBalance]]</f>
        <v>2</v>
      </c>
      <c r="O701" t="str" cm="1">
        <f t="array" ref="O701">_xlfn.IFS(A701&lt;=30,"18-30",A701&lt;=40,"31-40",A701&lt;=50,"41-50",A701&gt;50,"51+")</f>
        <v>51+</v>
      </c>
      <c r="P701" t="str" cm="1">
        <f t="array" ref="P701">_xlfn.IFS(F701&lt;=45,"45 or below",F701&lt;= 60,"46-60",F701&lt;=75,"61-75",F701&lt;=90,"76-90",F701&gt;90,"91 or above")</f>
        <v>61-75</v>
      </c>
      <c r="Q7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01" t="str" cm="1">
        <f t="array" ref="R7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2" spans="1:18" hidden="1" x14ac:dyDescent="0.2">
      <c r="A702">
        <f>Table1[[#This Row],[Age]]</f>
        <v>58</v>
      </c>
      <c r="B702">
        <f>IF(Table3[[#This Row],[Attrition]] = "Yes", 1,0)</f>
        <v>1</v>
      </c>
      <c r="C702" t="str">
        <f>Table1[[#This Row],[Attrition]]</f>
        <v>Yes</v>
      </c>
      <c r="D702" t="str">
        <f>Table1[[#This Row],[Department]]</f>
        <v>Research &amp; Development</v>
      </c>
      <c r="E702">
        <f>Table1[[#This Row],[EnvironmentSatisfaction]]</f>
        <v>4</v>
      </c>
      <c r="F702">
        <f>Table1[[#This Row],[HourlyRate]]</f>
        <v>51</v>
      </c>
      <c r="G702" t="str">
        <f>Table1[[#This Row],[JobRole]]</f>
        <v>Research Scientist</v>
      </c>
      <c r="H702">
        <f>Table1[[#This Row],[JobSatisfaction]]</f>
        <v>3</v>
      </c>
      <c r="I702">
        <f>Table1[[#This Row],[YearsAtCompany]]</f>
        <v>1</v>
      </c>
      <c r="J702">
        <f>Table1[[#This Row],[YearsSinceLastPromotion]]</f>
        <v>0</v>
      </c>
      <c r="K702">
        <f>Table1[[#This Row],[EmployeeNumber]]</f>
        <v>977</v>
      </c>
      <c r="L702">
        <f>Table1[[#This Row],[DistanceFromHome]]</f>
        <v>2</v>
      </c>
      <c r="M702" t="str">
        <f>Table1[[#This Row],[OverTime]]</f>
        <v>No</v>
      </c>
      <c r="N702">
        <f>Table1[[#This Row],[WorkLifeBalance]]</f>
        <v>3</v>
      </c>
      <c r="O702" t="str" cm="1">
        <f t="array" ref="O702">_xlfn.IFS(A702&lt;=30,"18-30",A702&lt;=40,"31-40",A702&lt;=50,"41-50",A702&gt;50,"51+")</f>
        <v>51+</v>
      </c>
      <c r="P702" t="str" cm="1">
        <f t="array" ref="P702">_xlfn.IFS(F702&lt;=45,"45 or below",F702&lt;= 60,"46-60",F702&lt;=75,"61-75",F702&lt;=90,"76-90",F702&gt;90,"91 or above")</f>
        <v>46-60</v>
      </c>
      <c r="Q70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02" t="str" cm="1">
        <f t="array" ref="R702" xml:space="preserve"> _xlfn.IFS(Table3[[#This Row],[Flight Risk Score]] = "NA","NA",Table3[[#This Row],[Flight Risk Score]] &gt;= 70,"High Risk",Table3[[#This Row],[Flight Risk Score]] &gt;= 50, "Medium Risk", Table3[[#This Row],[Flight Risk Score]] &gt;= 30,"Low Risk",Table3[[#This Row],[Flight Risk Score]] &lt; 30,"Very Low Risk")</f>
        <v>NA</v>
      </c>
    </row>
    <row r="703" spans="1:18" x14ac:dyDescent="0.2">
      <c r="A703">
        <f>Table1[[#This Row],[Age]]</f>
        <v>53</v>
      </c>
      <c r="B703">
        <f>IF(Table3[[#This Row],[Attrition]] = "Yes", 1,0)</f>
        <v>0</v>
      </c>
      <c r="C703" t="str">
        <f>Table1[[#This Row],[Attrition]]</f>
        <v>No</v>
      </c>
      <c r="D703" t="str">
        <f>Table1[[#This Row],[Department]]</f>
        <v>Sales</v>
      </c>
      <c r="E703">
        <f>Table1[[#This Row],[EnvironmentSatisfaction]]</f>
        <v>3</v>
      </c>
      <c r="F703">
        <f>Table1[[#This Row],[HourlyRate]]</f>
        <v>45</v>
      </c>
      <c r="G703" t="str">
        <f>Table1[[#This Row],[JobRole]]</f>
        <v>Manager</v>
      </c>
      <c r="H703">
        <f>Table1[[#This Row],[JobSatisfaction]]</f>
        <v>3</v>
      </c>
      <c r="I703">
        <f>Table1[[#This Row],[YearsAtCompany]]</f>
        <v>17</v>
      </c>
      <c r="J703">
        <f>Table1[[#This Row],[YearsSinceLastPromotion]]</f>
        <v>15</v>
      </c>
      <c r="K703">
        <f>Table1[[#This Row],[EmployeeNumber]]</f>
        <v>981</v>
      </c>
      <c r="L703">
        <f>Table1[[#This Row],[DistanceFromHome]]</f>
        <v>2</v>
      </c>
      <c r="M703" t="str">
        <f>Table1[[#This Row],[OverTime]]</f>
        <v>No</v>
      </c>
      <c r="N703">
        <f>Table1[[#This Row],[WorkLifeBalance]]</f>
        <v>4</v>
      </c>
      <c r="O703" t="str" cm="1">
        <f t="array" ref="O703">_xlfn.IFS(A703&lt;=30,"18-30",A703&lt;=40,"31-40",A703&lt;=50,"41-50",A703&gt;50,"51+")</f>
        <v>51+</v>
      </c>
      <c r="P703" t="str" cm="1">
        <f t="array" ref="P703">_xlfn.IFS(F703&lt;=45,"45 or below",F703&lt;= 60,"46-60",F703&lt;=75,"61-75",F703&lt;=90,"76-90",F703&gt;90,"91 or above")</f>
        <v>45 or below</v>
      </c>
      <c r="Q7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03" t="str" cm="1">
        <f t="array" ref="R7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4" spans="1:18" x14ac:dyDescent="0.2">
      <c r="A704">
        <f>Table1[[#This Row],[Age]]</f>
        <v>30</v>
      </c>
      <c r="B704">
        <f>IF(Table3[[#This Row],[Attrition]] = "Yes", 1,0)</f>
        <v>0</v>
      </c>
      <c r="C704" t="str">
        <f>Table1[[#This Row],[Attrition]]</f>
        <v>No</v>
      </c>
      <c r="D704" t="str">
        <f>Table1[[#This Row],[Department]]</f>
        <v>Sales</v>
      </c>
      <c r="E704">
        <f>Table1[[#This Row],[EnvironmentSatisfaction]]</f>
        <v>3</v>
      </c>
      <c r="F704">
        <f>Table1[[#This Row],[HourlyRate]]</f>
        <v>62</v>
      </c>
      <c r="G704" t="str">
        <f>Table1[[#This Row],[JobRole]]</f>
        <v>Sales Executive</v>
      </c>
      <c r="H704">
        <f>Table1[[#This Row],[JobSatisfaction]]</f>
        <v>3</v>
      </c>
      <c r="I704">
        <f>Table1[[#This Row],[YearsAtCompany]]</f>
        <v>8</v>
      </c>
      <c r="J704">
        <f>Table1[[#This Row],[YearsSinceLastPromotion]]</f>
        <v>7</v>
      </c>
      <c r="K704">
        <f>Table1[[#This Row],[EmployeeNumber]]</f>
        <v>982</v>
      </c>
      <c r="L704">
        <f>Table1[[#This Row],[DistanceFromHome]]</f>
        <v>8</v>
      </c>
      <c r="M704" t="str">
        <f>Table1[[#This Row],[OverTime]]</f>
        <v>No</v>
      </c>
      <c r="N704">
        <f>Table1[[#This Row],[WorkLifeBalance]]</f>
        <v>4</v>
      </c>
      <c r="O704" t="str" cm="1">
        <f t="array" ref="O704">_xlfn.IFS(A704&lt;=30,"18-30",A704&lt;=40,"31-40",A704&lt;=50,"41-50",A704&gt;50,"51+")</f>
        <v>18-30</v>
      </c>
      <c r="P704" t="str" cm="1">
        <f t="array" ref="P704">_xlfn.IFS(F704&lt;=45,"45 or below",F704&lt;= 60,"46-60",F704&lt;=75,"61-75",F704&lt;=90,"76-90",F704&gt;90,"91 or above")</f>
        <v>61-75</v>
      </c>
      <c r="Q7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04" t="str" cm="1">
        <f t="array" ref="R7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5" spans="1:18" x14ac:dyDescent="0.2">
      <c r="A705">
        <f>Table1[[#This Row],[Age]]</f>
        <v>38</v>
      </c>
      <c r="B705">
        <f>IF(Table3[[#This Row],[Attrition]] = "Yes", 1,0)</f>
        <v>0</v>
      </c>
      <c r="C705" t="str">
        <f>Table1[[#This Row],[Attrition]]</f>
        <v>No</v>
      </c>
      <c r="D705" t="str">
        <f>Table1[[#This Row],[Department]]</f>
        <v>Sales</v>
      </c>
      <c r="E705">
        <f>Table1[[#This Row],[EnvironmentSatisfaction]]</f>
        <v>3</v>
      </c>
      <c r="F705">
        <f>Table1[[#This Row],[HourlyRate]]</f>
        <v>85</v>
      </c>
      <c r="G705" t="str">
        <f>Table1[[#This Row],[JobRole]]</f>
        <v>Sales Executive</v>
      </c>
      <c r="H705">
        <f>Table1[[#This Row],[JobSatisfaction]]</f>
        <v>4</v>
      </c>
      <c r="I705">
        <f>Table1[[#This Row],[YearsAtCompany]]</f>
        <v>5</v>
      </c>
      <c r="J705">
        <f>Table1[[#This Row],[YearsSinceLastPromotion]]</f>
        <v>1</v>
      </c>
      <c r="K705">
        <f>Table1[[#This Row],[EmployeeNumber]]</f>
        <v>983</v>
      </c>
      <c r="L705">
        <f>Table1[[#This Row],[DistanceFromHome]]</f>
        <v>10</v>
      </c>
      <c r="M705" t="str">
        <f>Table1[[#This Row],[OverTime]]</f>
        <v>Yes</v>
      </c>
      <c r="N705">
        <f>Table1[[#This Row],[WorkLifeBalance]]</f>
        <v>3</v>
      </c>
      <c r="O705" t="str" cm="1">
        <f t="array" ref="O705">_xlfn.IFS(A705&lt;=30,"18-30",A705&lt;=40,"31-40",A705&lt;=50,"41-50",A705&gt;50,"51+")</f>
        <v>31-40</v>
      </c>
      <c r="P705" t="str" cm="1">
        <f t="array" ref="P705">_xlfn.IFS(F705&lt;=45,"45 or below",F705&lt;= 60,"46-60",F705&lt;=75,"61-75",F705&lt;=90,"76-90",F705&gt;90,"91 or above")</f>
        <v>76-90</v>
      </c>
      <c r="Q7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05" t="str" cm="1">
        <f t="array" ref="R705" xml:space="preserve"> _xlfn.IFS(Table3[[#This Row],[Flight Risk Score]] = "NA","NA",Table3[[#This Row],[Flight Risk Score]] &gt;= 70,"High Risk",Table3[[#This Row],[Flight Risk Score]] &gt;= 50, "Medium Risk", Table3[[#This Row],[Flight Risk Score]] &gt;= 30,"Low Risk",Table3[[#This Row],[Flight Risk Score]] &lt; 30,"Very Low Risk")</f>
        <v>Low Risk</v>
      </c>
    </row>
    <row r="706" spans="1:18" x14ac:dyDescent="0.2">
      <c r="A706">
        <f>Table1[[#This Row],[Age]]</f>
        <v>35</v>
      </c>
      <c r="B706">
        <f>IF(Table3[[#This Row],[Attrition]] = "Yes", 1,0)</f>
        <v>0</v>
      </c>
      <c r="C706" t="str">
        <f>Table1[[#This Row],[Attrition]]</f>
        <v>No</v>
      </c>
      <c r="D706" t="str">
        <f>Table1[[#This Row],[Department]]</f>
        <v>Sales</v>
      </c>
      <c r="E706">
        <f>Table1[[#This Row],[EnvironmentSatisfaction]]</f>
        <v>4</v>
      </c>
      <c r="F706">
        <f>Table1[[#This Row],[HourlyRate]]</f>
        <v>92</v>
      </c>
      <c r="G706" t="str">
        <f>Table1[[#This Row],[JobRole]]</f>
        <v>Sales Executive</v>
      </c>
      <c r="H706">
        <f>Table1[[#This Row],[JobSatisfaction]]</f>
        <v>4</v>
      </c>
      <c r="I706">
        <f>Table1[[#This Row],[YearsAtCompany]]</f>
        <v>10</v>
      </c>
      <c r="J706">
        <f>Table1[[#This Row],[YearsSinceLastPromotion]]</f>
        <v>0</v>
      </c>
      <c r="K706">
        <f>Table1[[#This Row],[EmployeeNumber]]</f>
        <v>984</v>
      </c>
      <c r="L706">
        <f>Table1[[#This Row],[DistanceFromHome]]</f>
        <v>3</v>
      </c>
      <c r="M706" t="str">
        <f>Table1[[#This Row],[OverTime]]</f>
        <v>No</v>
      </c>
      <c r="N706">
        <f>Table1[[#This Row],[WorkLifeBalance]]</f>
        <v>3</v>
      </c>
      <c r="O706" t="str" cm="1">
        <f t="array" ref="O706">_xlfn.IFS(A706&lt;=30,"18-30",A706&lt;=40,"31-40",A706&lt;=50,"41-50",A706&gt;50,"51+")</f>
        <v>31-40</v>
      </c>
      <c r="P706" t="str" cm="1">
        <f t="array" ref="P706">_xlfn.IFS(F706&lt;=45,"45 or below",F706&lt;= 60,"46-60",F706&lt;=75,"61-75",F706&lt;=90,"76-90",F706&gt;90,"91 or above")</f>
        <v>91 or above</v>
      </c>
      <c r="Q7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06" t="str" cm="1">
        <f t="array" ref="R7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7" spans="1:18" x14ac:dyDescent="0.2">
      <c r="A707">
        <f>Table1[[#This Row],[Age]]</f>
        <v>39</v>
      </c>
      <c r="B707">
        <f>IF(Table3[[#This Row],[Attrition]] = "Yes", 1,0)</f>
        <v>0</v>
      </c>
      <c r="C707" t="str">
        <f>Table1[[#This Row],[Attrition]]</f>
        <v>No</v>
      </c>
      <c r="D707" t="str">
        <f>Table1[[#This Row],[Department]]</f>
        <v>Sales</v>
      </c>
      <c r="E707">
        <f>Table1[[#This Row],[EnvironmentSatisfaction]]</f>
        <v>1</v>
      </c>
      <c r="F707">
        <f>Table1[[#This Row],[HourlyRate]]</f>
        <v>41</v>
      </c>
      <c r="G707" t="str">
        <f>Table1[[#This Row],[JobRole]]</f>
        <v>Sales Executive</v>
      </c>
      <c r="H707">
        <f>Table1[[#This Row],[JobSatisfaction]]</f>
        <v>3</v>
      </c>
      <c r="I707">
        <f>Table1[[#This Row],[YearsAtCompany]]</f>
        <v>8</v>
      </c>
      <c r="J707">
        <f>Table1[[#This Row],[YearsSinceLastPromotion]]</f>
        <v>0</v>
      </c>
      <c r="K707">
        <f>Table1[[#This Row],[EmployeeNumber]]</f>
        <v>985</v>
      </c>
      <c r="L707">
        <f>Table1[[#This Row],[DistanceFromHome]]</f>
        <v>2</v>
      </c>
      <c r="M707" t="str">
        <f>Table1[[#This Row],[OverTime]]</f>
        <v>No</v>
      </c>
      <c r="N707">
        <f>Table1[[#This Row],[WorkLifeBalance]]</f>
        <v>3</v>
      </c>
      <c r="O707" t="str" cm="1">
        <f t="array" ref="O707">_xlfn.IFS(A707&lt;=30,"18-30",A707&lt;=40,"31-40",A707&lt;=50,"41-50",A707&gt;50,"51+")</f>
        <v>31-40</v>
      </c>
      <c r="P707" t="str" cm="1">
        <f t="array" ref="P707">_xlfn.IFS(F707&lt;=45,"45 or below",F707&lt;= 60,"46-60",F707&lt;=75,"61-75",F707&lt;=90,"76-90",F707&gt;90,"91 or above")</f>
        <v>45 or below</v>
      </c>
      <c r="Q7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07" t="str" cm="1">
        <f t="array" ref="R70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08" spans="1:18" hidden="1" x14ac:dyDescent="0.2">
      <c r="A708">
        <f>Table1[[#This Row],[Age]]</f>
        <v>40</v>
      </c>
      <c r="B708">
        <f>IF(Table3[[#This Row],[Attrition]] = "Yes", 1,0)</f>
        <v>1</v>
      </c>
      <c r="C708" t="str">
        <f>Table1[[#This Row],[Attrition]]</f>
        <v>Yes</v>
      </c>
      <c r="D708" t="str">
        <f>Table1[[#This Row],[Department]]</f>
        <v>Sales</v>
      </c>
      <c r="E708">
        <f>Table1[[#This Row],[EnvironmentSatisfaction]]</f>
        <v>2</v>
      </c>
      <c r="F708">
        <f>Table1[[#This Row],[HourlyRate]]</f>
        <v>100</v>
      </c>
      <c r="G708" t="str">
        <f>Table1[[#This Row],[JobRole]]</f>
        <v>Sales Executive</v>
      </c>
      <c r="H708">
        <f>Table1[[#This Row],[JobSatisfaction]]</f>
        <v>2</v>
      </c>
      <c r="I708">
        <f>Table1[[#This Row],[YearsAtCompany]]</f>
        <v>1</v>
      </c>
      <c r="J708">
        <f>Table1[[#This Row],[YearsSinceLastPromotion]]</f>
        <v>0</v>
      </c>
      <c r="K708">
        <f>Table1[[#This Row],[EmployeeNumber]]</f>
        <v>986</v>
      </c>
      <c r="L708">
        <f>Table1[[#This Row],[DistanceFromHome]]</f>
        <v>24</v>
      </c>
      <c r="M708" t="str">
        <f>Table1[[#This Row],[OverTime]]</f>
        <v>Yes</v>
      </c>
      <c r="N708">
        <f>Table1[[#This Row],[WorkLifeBalance]]</f>
        <v>2</v>
      </c>
      <c r="O708" t="str" cm="1">
        <f t="array" ref="O708">_xlfn.IFS(A708&lt;=30,"18-30",A708&lt;=40,"31-40",A708&lt;=50,"41-50",A708&gt;50,"51+")</f>
        <v>31-40</v>
      </c>
      <c r="P708" t="str" cm="1">
        <f t="array" ref="P708">_xlfn.IFS(F708&lt;=45,"45 or below",F708&lt;= 60,"46-60",F708&lt;=75,"61-75",F708&lt;=90,"76-90",F708&gt;90,"91 or above")</f>
        <v>91 or above</v>
      </c>
      <c r="Q70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08" t="str" cm="1">
        <f t="array" ref="R708" xml:space="preserve"> _xlfn.IFS(Table3[[#This Row],[Flight Risk Score]] = "NA","NA",Table3[[#This Row],[Flight Risk Score]] &gt;= 70,"High Risk",Table3[[#This Row],[Flight Risk Score]] &gt;= 50, "Medium Risk", Table3[[#This Row],[Flight Risk Score]] &gt;= 30,"Low Risk",Table3[[#This Row],[Flight Risk Score]] &lt; 30,"Very Low Risk")</f>
        <v>NA</v>
      </c>
    </row>
    <row r="709" spans="1:18" x14ac:dyDescent="0.2">
      <c r="A709">
        <f>Table1[[#This Row],[Age]]</f>
        <v>47</v>
      </c>
      <c r="B709">
        <f>IF(Table3[[#This Row],[Attrition]] = "Yes", 1,0)</f>
        <v>0</v>
      </c>
      <c r="C709" t="str">
        <f>Table1[[#This Row],[Attrition]]</f>
        <v>No</v>
      </c>
      <c r="D709" t="str">
        <f>Table1[[#This Row],[Department]]</f>
        <v>Research &amp; Development</v>
      </c>
      <c r="E709">
        <f>Table1[[#This Row],[EnvironmentSatisfaction]]</f>
        <v>3</v>
      </c>
      <c r="F709">
        <f>Table1[[#This Row],[HourlyRate]]</f>
        <v>64</v>
      </c>
      <c r="G709" t="str">
        <f>Table1[[#This Row],[JobRole]]</f>
        <v>Manufacturing Director</v>
      </c>
      <c r="H709">
        <f>Table1[[#This Row],[JobSatisfaction]]</f>
        <v>3</v>
      </c>
      <c r="I709">
        <f>Table1[[#This Row],[YearsAtCompany]]</f>
        <v>19</v>
      </c>
      <c r="J709">
        <f>Table1[[#This Row],[YearsSinceLastPromotion]]</f>
        <v>2</v>
      </c>
      <c r="K709">
        <f>Table1[[#This Row],[EmployeeNumber]]</f>
        <v>987</v>
      </c>
      <c r="L709">
        <f>Table1[[#This Row],[DistanceFromHome]]</f>
        <v>16</v>
      </c>
      <c r="M709" t="str">
        <f>Table1[[#This Row],[OverTime]]</f>
        <v>Yes</v>
      </c>
      <c r="N709">
        <f>Table1[[#This Row],[WorkLifeBalance]]</f>
        <v>4</v>
      </c>
      <c r="O709" t="str" cm="1">
        <f t="array" ref="O709">_xlfn.IFS(A709&lt;=30,"18-30",A709&lt;=40,"31-40",A709&lt;=50,"41-50",A709&gt;50,"51+")</f>
        <v>41-50</v>
      </c>
      <c r="P709" t="str" cm="1">
        <f t="array" ref="P709">_xlfn.IFS(F709&lt;=45,"45 or below",F709&lt;= 60,"46-60",F709&lt;=75,"61-75",F709&lt;=90,"76-90",F709&gt;90,"91 or above")</f>
        <v>61-75</v>
      </c>
      <c r="Q7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09" t="str" cm="1">
        <f t="array" ref="R709" xml:space="preserve"> _xlfn.IFS(Table3[[#This Row],[Flight Risk Score]] = "NA","NA",Table3[[#This Row],[Flight Risk Score]] &gt;= 70,"High Risk",Table3[[#This Row],[Flight Risk Score]] &gt;= 50, "Medium Risk", Table3[[#This Row],[Flight Risk Score]] &gt;= 30,"Low Risk",Table3[[#This Row],[Flight Risk Score]] &lt; 30,"Very Low Risk")</f>
        <v>Low Risk</v>
      </c>
    </row>
    <row r="710" spans="1:18" x14ac:dyDescent="0.2">
      <c r="A710">
        <f>Table1[[#This Row],[Age]]</f>
        <v>36</v>
      </c>
      <c r="B710">
        <f>IF(Table3[[#This Row],[Attrition]] = "Yes", 1,0)</f>
        <v>0</v>
      </c>
      <c r="C710" t="str">
        <f>Table1[[#This Row],[Attrition]]</f>
        <v>No</v>
      </c>
      <c r="D710" t="str">
        <f>Table1[[#This Row],[Department]]</f>
        <v>Sales</v>
      </c>
      <c r="E710">
        <f>Table1[[#This Row],[EnvironmentSatisfaction]]</f>
        <v>1</v>
      </c>
      <c r="F710">
        <f>Table1[[#This Row],[HourlyRate]]</f>
        <v>84</v>
      </c>
      <c r="G710" t="str">
        <f>Table1[[#This Row],[JobRole]]</f>
        <v>Sales Executive</v>
      </c>
      <c r="H710">
        <f>Table1[[#This Row],[JobSatisfaction]]</f>
        <v>4</v>
      </c>
      <c r="I710">
        <f>Table1[[#This Row],[YearsAtCompany]]</f>
        <v>7</v>
      </c>
      <c r="J710">
        <f>Table1[[#This Row],[YearsSinceLastPromotion]]</f>
        <v>0</v>
      </c>
      <c r="K710">
        <f>Table1[[#This Row],[EmployeeNumber]]</f>
        <v>990</v>
      </c>
      <c r="L710">
        <f>Table1[[#This Row],[DistanceFromHome]]</f>
        <v>8</v>
      </c>
      <c r="M710" t="str">
        <f>Table1[[#This Row],[OverTime]]</f>
        <v>No</v>
      </c>
      <c r="N710">
        <f>Table1[[#This Row],[WorkLifeBalance]]</f>
        <v>3</v>
      </c>
      <c r="O710" t="str" cm="1">
        <f t="array" ref="O710">_xlfn.IFS(A710&lt;=30,"18-30",A710&lt;=40,"31-40",A710&lt;=50,"41-50",A710&gt;50,"51+")</f>
        <v>31-40</v>
      </c>
      <c r="P710" t="str" cm="1">
        <f t="array" ref="P710">_xlfn.IFS(F710&lt;=45,"45 or below",F710&lt;= 60,"46-60",F710&lt;=75,"61-75",F710&lt;=90,"76-90",F710&gt;90,"91 or above")</f>
        <v>76-90</v>
      </c>
      <c r="Q7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10" t="str" cm="1">
        <f t="array" ref="R7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11" spans="1:18" hidden="1" x14ac:dyDescent="0.2">
      <c r="A711">
        <f>Table1[[#This Row],[Age]]</f>
        <v>31</v>
      </c>
      <c r="B711">
        <f>IF(Table3[[#This Row],[Attrition]] = "Yes", 1,0)</f>
        <v>1</v>
      </c>
      <c r="C711" t="str">
        <f>Table1[[#This Row],[Attrition]]</f>
        <v>Yes</v>
      </c>
      <c r="D711" t="str">
        <f>Table1[[#This Row],[Department]]</f>
        <v>Research &amp; Development</v>
      </c>
      <c r="E711">
        <f>Table1[[#This Row],[EnvironmentSatisfaction]]</f>
        <v>3</v>
      </c>
      <c r="F711">
        <f>Table1[[#This Row],[HourlyRate]]</f>
        <v>46</v>
      </c>
      <c r="G711" t="str">
        <f>Table1[[#This Row],[JobRole]]</f>
        <v>Research Scientist</v>
      </c>
      <c r="H711">
        <f>Table1[[#This Row],[JobSatisfaction]]</f>
        <v>1</v>
      </c>
      <c r="I711">
        <f>Table1[[#This Row],[YearsAtCompany]]</f>
        <v>3</v>
      </c>
      <c r="J711">
        <f>Table1[[#This Row],[YearsSinceLastPromotion]]</f>
        <v>1</v>
      </c>
      <c r="K711">
        <f>Table1[[#This Row],[EmployeeNumber]]</f>
        <v>991</v>
      </c>
      <c r="L711">
        <f>Table1[[#This Row],[DistanceFromHome]]</f>
        <v>9</v>
      </c>
      <c r="M711" t="str">
        <f>Table1[[#This Row],[OverTime]]</f>
        <v>Yes</v>
      </c>
      <c r="N711">
        <f>Table1[[#This Row],[WorkLifeBalance]]</f>
        <v>3</v>
      </c>
      <c r="O711" t="str" cm="1">
        <f t="array" ref="O711">_xlfn.IFS(A711&lt;=30,"18-30",A711&lt;=40,"31-40",A711&lt;=50,"41-50",A711&gt;50,"51+")</f>
        <v>31-40</v>
      </c>
      <c r="P711" t="str" cm="1">
        <f t="array" ref="P711">_xlfn.IFS(F711&lt;=45,"45 or below",F711&lt;= 60,"46-60",F711&lt;=75,"61-75",F711&lt;=90,"76-90",F711&gt;90,"91 or above")</f>
        <v>46-60</v>
      </c>
      <c r="Q71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11" t="str" cm="1">
        <f t="array" ref="R711" xml:space="preserve"> _xlfn.IFS(Table3[[#This Row],[Flight Risk Score]] = "NA","NA",Table3[[#This Row],[Flight Risk Score]] &gt;= 70,"High Risk",Table3[[#This Row],[Flight Risk Score]] &gt;= 50, "Medium Risk", Table3[[#This Row],[Flight Risk Score]] &gt;= 30,"Low Risk",Table3[[#This Row],[Flight Risk Score]] &lt; 30,"Very Low Risk")</f>
        <v>NA</v>
      </c>
    </row>
    <row r="712" spans="1:18" x14ac:dyDescent="0.2">
      <c r="A712">
        <f>Table1[[#This Row],[Age]]</f>
        <v>33</v>
      </c>
      <c r="B712">
        <f>IF(Table3[[#This Row],[Attrition]] = "Yes", 1,0)</f>
        <v>0</v>
      </c>
      <c r="C712" t="str">
        <f>Table1[[#This Row],[Attrition]]</f>
        <v>No</v>
      </c>
      <c r="D712" t="str">
        <f>Table1[[#This Row],[Department]]</f>
        <v>Sales</v>
      </c>
      <c r="E712">
        <f>Table1[[#This Row],[EnvironmentSatisfaction]]</f>
        <v>4</v>
      </c>
      <c r="F712">
        <f>Table1[[#This Row],[HourlyRate]]</f>
        <v>38</v>
      </c>
      <c r="G712" t="str">
        <f>Table1[[#This Row],[JobRole]]</f>
        <v>Manager</v>
      </c>
      <c r="H712">
        <f>Table1[[#This Row],[JobSatisfaction]]</f>
        <v>3</v>
      </c>
      <c r="I712">
        <f>Table1[[#This Row],[YearsAtCompany]]</f>
        <v>10</v>
      </c>
      <c r="J712">
        <f>Table1[[#This Row],[YearsSinceLastPromotion]]</f>
        <v>6</v>
      </c>
      <c r="K712">
        <f>Table1[[#This Row],[EmployeeNumber]]</f>
        <v>992</v>
      </c>
      <c r="L712">
        <f>Table1[[#This Row],[DistanceFromHome]]</f>
        <v>17</v>
      </c>
      <c r="M712" t="str">
        <f>Table1[[#This Row],[OverTime]]</f>
        <v>No</v>
      </c>
      <c r="N712">
        <f>Table1[[#This Row],[WorkLifeBalance]]</f>
        <v>3</v>
      </c>
      <c r="O712" t="str" cm="1">
        <f t="array" ref="O712">_xlfn.IFS(A712&lt;=30,"18-30",A712&lt;=40,"31-40",A712&lt;=50,"41-50",A712&gt;50,"51+")</f>
        <v>31-40</v>
      </c>
      <c r="P712" t="str" cm="1">
        <f t="array" ref="P712">_xlfn.IFS(F712&lt;=45,"45 or below",F712&lt;= 60,"46-60",F712&lt;=75,"61-75",F712&lt;=90,"76-90",F712&gt;90,"91 or above")</f>
        <v>45 or below</v>
      </c>
      <c r="Q7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12" t="str" cm="1">
        <f t="array" ref="R71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13" spans="1:18" hidden="1" x14ac:dyDescent="0.2">
      <c r="A713">
        <f>Table1[[#This Row],[Age]]</f>
        <v>29</v>
      </c>
      <c r="B713">
        <f>IF(Table3[[#This Row],[Attrition]] = "Yes", 1,0)</f>
        <v>1</v>
      </c>
      <c r="C713" t="str">
        <f>Table1[[#This Row],[Attrition]]</f>
        <v>Yes</v>
      </c>
      <c r="D713" t="str">
        <f>Table1[[#This Row],[Department]]</f>
        <v>Research &amp; Development</v>
      </c>
      <c r="E713">
        <f>Table1[[#This Row],[EnvironmentSatisfaction]]</f>
        <v>4</v>
      </c>
      <c r="F713">
        <f>Table1[[#This Row],[HourlyRate]]</f>
        <v>92</v>
      </c>
      <c r="G713" t="str">
        <f>Table1[[#This Row],[JobRole]]</f>
        <v>Research Scientist</v>
      </c>
      <c r="H713">
        <f>Table1[[#This Row],[JobSatisfaction]]</f>
        <v>1</v>
      </c>
      <c r="I713">
        <f>Table1[[#This Row],[YearsAtCompany]]</f>
        <v>0</v>
      </c>
      <c r="J713">
        <f>Table1[[#This Row],[YearsSinceLastPromotion]]</f>
        <v>0</v>
      </c>
      <c r="K713">
        <f>Table1[[#This Row],[EmployeeNumber]]</f>
        <v>994</v>
      </c>
      <c r="L713">
        <f>Table1[[#This Row],[DistanceFromHome]]</f>
        <v>10</v>
      </c>
      <c r="M713" t="str">
        <f>Table1[[#This Row],[OverTime]]</f>
        <v>Yes</v>
      </c>
      <c r="N713">
        <f>Table1[[#This Row],[WorkLifeBalance]]</f>
        <v>3</v>
      </c>
      <c r="O713" t="str" cm="1">
        <f t="array" ref="O713">_xlfn.IFS(A713&lt;=30,"18-30",A713&lt;=40,"31-40",A713&lt;=50,"41-50",A713&gt;50,"51+")</f>
        <v>18-30</v>
      </c>
      <c r="P713" t="str" cm="1">
        <f t="array" ref="P713">_xlfn.IFS(F713&lt;=45,"45 or below",F713&lt;= 60,"46-60",F713&lt;=75,"61-75",F713&lt;=90,"76-90",F713&gt;90,"91 or above")</f>
        <v>91 or above</v>
      </c>
      <c r="Q71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13" t="str" cm="1">
        <f t="array" ref="R713" xml:space="preserve"> _xlfn.IFS(Table3[[#This Row],[Flight Risk Score]] = "NA","NA",Table3[[#This Row],[Flight Risk Score]] &gt;= 70,"High Risk",Table3[[#This Row],[Flight Risk Score]] &gt;= 50, "Medium Risk", Table3[[#This Row],[Flight Risk Score]] &gt;= 30,"Low Risk",Table3[[#This Row],[Flight Risk Score]] &lt; 30,"Very Low Risk")</f>
        <v>NA</v>
      </c>
    </row>
    <row r="714" spans="1:18" x14ac:dyDescent="0.2">
      <c r="A714">
        <f>Table1[[#This Row],[Age]]</f>
        <v>33</v>
      </c>
      <c r="B714">
        <f>IF(Table3[[#This Row],[Attrition]] = "Yes", 1,0)</f>
        <v>0</v>
      </c>
      <c r="C714" t="str">
        <f>Table1[[#This Row],[Attrition]]</f>
        <v>No</v>
      </c>
      <c r="D714" t="str">
        <f>Table1[[#This Row],[Department]]</f>
        <v>Research &amp; Development</v>
      </c>
      <c r="E714">
        <f>Table1[[#This Row],[EnvironmentSatisfaction]]</f>
        <v>2</v>
      </c>
      <c r="F714">
        <f>Table1[[#This Row],[HourlyRate]]</f>
        <v>53</v>
      </c>
      <c r="G714" t="str">
        <f>Table1[[#This Row],[JobRole]]</f>
        <v>Research Scientist</v>
      </c>
      <c r="H714">
        <f>Table1[[#This Row],[JobSatisfaction]]</f>
        <v>4</v>
      </c>
      <c r="I714">
        <f>Table1[[#This Row],[YearsAtCompany]]</f>
        <v>3</v>
      </c>
      <c r="J714">
        <f>Table1[[#This Row],[YearsSinceLastPromotion]]</f>
        <v>0</v>
      </c>
      <c r="K714">
        <f>Table1[[#This Row],[EmployeeNumber]]</f>
        <v>995</v>
      </c>
      <c r="L714">
        <f>Table1[[#This Row],[DistanceFromHome]]</f>
        <v>13</v>
      </c>
      <c r="M714" t="str">
        <f>Table1[[#This Row],[OverTime]]</f>
        <v>No</v>
      </c>
      <c r="N714">
        <f>Table1[[#This Row],[WorkLifeBalance]]</f>
        <v>3</v>
      </c>
      <c r="O714" t="str" cm="1">
        <f t="array" ref="O714">_xlfn.IFS(A714&lt;=30,"18-30",A714&lt;=40,"31-40",A714&lt;=50,"41-50",A714&gt;50,"51+")</f>
        <v>31-40</v>
      </c>
      <c r="P714" t="str" cm="1">
        <f t="array" ref="P714">_xlfn.IFS(F714&lt;=45,"45 or below",F714&lt;= 60,"46-60",F714&lt;=75,"61-75",F714&lt;=90,"76-90",F714&gt;90,"91 or above")</f>
        <v>46-60</v>
      </c>
      <c r="Q7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14" t="str" cm="1">
        <f t="array" ref="R7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15" spans="1:18" x14ac:dyDescent="0.2">
      <c r="A715">
        <f>Table1[[#This Row],[Age]]</f>
        <v>45</v>
      </c>
      <c r="B715">
        <f>IF(Table3[[#This Row],[Attrition]] = "Yes", 1,0)</f>
        <v>0</v>
      </c>
      <c r="C715" t="str">
        <f>Table1[[#This Row],[Attrition]]</f>
        <v>No</v>
      </c>
      <c r="D715" t="str">
        <f>Table1[[#This Row],[Department]]</f>
        <v>Research &amp; Development</v>
      </c>
      <c r="E715">
        <f>Table1[[#This Row],[EnvironmentSatisfaction]]</f>
        <v>4</v>
      </c>
      <c r="F715">
        <f>Table1[[#This Row],[HourlyRate]]</f>
        <v>91</v>
      </c>
      <c r="G715" t="str">
        <f>Table1[[#This Row],[JobRole]]</f>
        <v>Laboratory Technician</v>
      </c>
      <c r="H715">
        <f>Table1[[#This Row],[JobSatisfaction]]</f>
        <v>4</v>
      </c>
      <c r="I715">
        <f>Table1[[#This Row],[YearsAtCompany]]</f>
        <v>5</v>
      </c>
      <c r="J715">
        <f>Table1[[#This Row],[YearsSinceLastPromotion]]</f>
        <v>0</v>
      </c>
      <c r="K715">
        <f>Table1[[#This Row],[EmployeeNumber]]</f>
        <v>996</v>
      </c>
      <c r="L715">
        <f>Table1[[#This Row],[DistanceFromHome]]</f>
        <v>1</v>
      </c>
      <c r="M715" t="str">
        <f>Table1[[#This Row],[OverTime]]</f>
        <v>No</v>
      </c>
      <c r="N715">
        <f>Table1[[#This Row],[WorkLifeBalance]]</f>
        <v>3</v>
      </c>
      <c r="O715" t="str" cm="1">
        <f t="array" ref="O715">_xlfn.IFS(A715&lt;=30,"18-30",A715&lt;=40,"31-40",A715&lt;=50,"41-50",A715&gt;50,"51+")</f>
        <v>41-50</v>
      </c>
      <c r="P715" t="str" cm="1">
        <f t="array" ref="P715">_xlfn.IFS(F715&lt;=45,"45 or below",F715&lt;= 60,"46-60",F715&lt;=75,"61-75",F715&lt;=90,"76-90",F715&gt;90,"91 or above")</f>
        <v>91 or above</v>
      </c>
      <c r="Q7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15" t="str" cm="1">
        <f t="array" ref="R7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16" spans="1:18" x14ac:dyDescent="0.2">
      <c r="A716">
        <f>Table1[[#This Row],[Age]]</f>
        <v>50</v>
      </c>
      <c r="B716">
        <f>IF(Table3[[#This Row],[Attrition]] = "Yes", 1,0)</f>
        <v>0</v>
      </c>
      <c r="C716" t="str">
        <f>Table1[[#This Row],[Attrition]]</f>
        <v>No</v>
      </c>
      <c r="D716" t="str">
        <f>Table1[[#This Row],[Department]]</f>
        <v>Research &amp; Development</v>
      </c>
      <c r="E716">
        <f>Table1[[#This Row],[EnvironmentSatisfaction]]</f>
        <v>4</v>
      </c>
      <c r="F716">
        <f>Table1[[#This Row],[HourlyRate]]</f>
        <v>66</v>
      </c>
      <c r="G716" t="str">
        <f>Table1[[#This Row],[JobRole]]</f>
        <v>Research Director</v>
      </c>
      <c r="H716">
        <f>Table1[[#This Row],[JobSatisfaction]]</f>
        <v>4</v>
      </c>
      <c r="I716">
        <f>Table1[[#This Row],[YearsAtCompany]]</f>
        <v>5</v>
      </c>
      <c r="J716">
        <f>Table1[[#This Row],[YearsSinceLastPromotion]]</f>
        <v>1</v>
      </c>
      <c r="K716">
        <f>Table1[[#This Row],[EmployeeNumber]]</f>
        <v>997</v>
      </c>
      <c r="L716">
        <f>Table1[[#This Row],[DistanceFromHome]]</f>
        <v>1</v>
      </c>
      <c r="M716" t="str">
        <f>Table1[[#This Row],[OverTime]]</f>
        <v>No</v>
      </c>
      <c r="N716">
        <f>Table1[[#This Row],[WorkLifeBalance]]</f>
        <v>2</v>
      </c>
      <c r="O716" t="str" cm="1">
        <f t="array" ref="O716">_xlfn.IFS(A716&lt;=30,"18-30",A716&lt;=40,"31-40",A716&lt;=50,"41-50",A716&gt;50,"51+")</f>
        <v>41-50</v>
      </c>
      <c r="P716" t="str" cm="1">
        <f t="array" ref="P716">_xlfn.IFS(F716&lt;=45,"45 or below",F716&lt;= 60,"46-60",F716&lt;=75,"61-75",F716&lt;=90,"76-90",F716&gt;90,"91 or above")</f>
        <v>61-75</v>
      </c>
      <c r="Q7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16" t="str" cm="1">
        <f t="array" ref="R71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17" spans="1:18" x14ac:dyDescent="0.2">
      <c r="A717">
        <f>Table1[[#This Row],[Age]]</f>
        <v>33</v>
      </c>
      <c r="B717">
        <f>IF(Table3[[#This Row],[Attrition]] = "Yes", 1,0)</f>
        <v>0</v>
      </c>
      <c r="C717" t="str">
        <f>Table1[[#This Row],[Attrition]]</f>
        <v>No</v>
      </c>
      <c r="D717" t="str">
        <f>Table1[[#This Row],[Department]]</f>
        <v>Research &amp; Development</v>
      </c>
      <c r="E717">
        <f>Table1[[#This Row],[EnvironmentSatisfaction]]</f>
        <v>3</v>
      </c>
      <c r="F717">
        <f>Table1[[#This Row],[HourlyRate]]</f>
        <v>84</v>
      </c>
      <c r="G717" t="str">
        <f>Table1[[#This Row],[JobRole]]</f>
        <v>Healthcare Representative</v>
      </c>
      <c r="H717">
        <f>Table1[[#This Row],[JobSatisfaction]]</f>
        <v>2</v>
      </c>
      <c r="I717">
        <f>Table1[[#This Row],[YearsAtCompany]]</f>
        <v>6</v>
      </c>
      <c r="J717">
        <f>Table1[[#This Row],[YearsSinceLastPromotion]]</f>
        <v>1</v>
      </c>
      <c r="K717">
        <f>Table1[[#This Row],[EmployeeNumber]]</f>
        <v>998</v>
      </c>
      <c r="L717">
        <f>Table1[[#This Row],[DistanceFromHome]]</f>
        <v>1</v>
      </c>
      <c r="M717" t="str">
        <f>Table1[[#This Row],[OverTime]]</f>
        <v>Yes</v>
      </c>
      <c r="N717">
        <f>Table1[[#This Row],[WorkLifeBalance]]</f>
        <v>3</v>
      </c>
      <c r="O717" t="str" cm="1">
        <f t="array" ref="O717">_xlfn.IFS(A717&lt;=30,"18-30",A717&lt;=40,"31-40",A717&lt;=50,"41-50",A717&gt;50,"51+")</f>
        <v>31-40</v>
      </c>
      <c r="P717" t="str" cm="1">
        <f t="array" ref="P717">_xlfn.IFS(F717&lt;=45,"45 or below",F717&lt;= 60,"46-60",F717&lt;=75,"61-75",F717&lt;=90,"76-90",F717&gt;90,"91 or above")</f>
        <v>76-90</v>
      </c>
      <c r="Q7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17" t="str" cm="1">
        <f t="array" ref="R71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18" spans="1:18" x14ac:dyDescent="0.2">
      <c r="A718">
        <f>Table1[[#This Row],[Age]]</f>
        <v>41</v>
      </c>
      <c r="B718">
        <f>IF(Table3[[#This Row],[Attrition]] = "Yes", 1,0)</f>
        <v>0</v>
      </c>
      <c r="C718" t="str">
        <f>Table1[[#This Row],[Attrition]]</f>
        <v>No</v>
      </c>
      <c r="D718" t="str">
        <f>Table1[[#This Row],[Department]]</f>
        <v>Research &amp; Development</v>
      </c>
      <c r="E718">
        <f>Table1[[#This Row],[EnvironmentSatisfaction]]</f>
        <v>1</v>
      </c>
      <c r="F718">
        <f>Table1[[#This Row],[HourlyRate]]</f>
        <v>64</v>
      </c>
      <c r="G718" t="str">
        <f>Table1[[#This Row],[JobRole]]</f>
        <v>Research Director</v>
      </c>
      <c r="H718">
        <f>Table1[[#This Row],[JobSatisfaction]]</f>
        <v>3</v>
      </c>
      <c r="I718">
        <f>Table1[[#This Row],[YearsAtCompany]]</f>
        <v>18</v>
      </c>
      <c r="J718">
        <f>Table1[[#This Row],[YearsSinceLastPromotion]]</f>
        <v>0</v>
      </c>
      <c r="K718">
        <f>Table1[[#This Row],[EmployeeNumber]]</f>
        <v>999</v>
      </c>
      <c r="L718">
        <f>Table1[[#This Row],[DistanceFromHome]]</f>
        <v>9</v>
      </c>
      <c r="M718" t="str">
        <f>Table1[[#This Row],[OverTime]]</f>
        <v>No</v>
      </c>
      <c r="N718">
        <f>Table1[[#This Row],[WorkLifeBalance]]</f>
        <v>4</v>
      </c>
      <c r="O718" t="str" cm="1">
        <f t="array" ref="O718">_xlfn.IFS(A718&lt;=30,"18-30",A718&lt;=40,"31-40",A718&lt;=50,"41-50",A718&gt;50,"51+")</f>
        <v>41-50</v>
      </c>
      <c r="P718" t="str" cm="1">
        <f t="array" ref="P718">_xlfn.IFS(F718&lt;=45,"45 or below",F718&lt;= 60,"46-60",F718&lt;=75,"61-75",F718&lt;=90,"76-90",F718&gt;90,"91 or above")</f>
        <v>61-75</v>
      </c>
      <c r="Q7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18" t="str" cm="1">
        <f t="array" ref="R7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19" spans="1:18" x14ac:dyDescent="0.2">
      <c r="A719">
        <f>Table1[[#This Row],[Age]]</f>
        <v>27</v>
      </c>
      <c r="B719">
        <f>IF(Table3[[#This Row],[Attrition]] = "Yes", 1,0)</f>
        <v>0</v>
      </c>
      <c r="C719" t="str">
        <f>Table1[[#This Row],[Attrition]]</f>
        <v>No</v>
      </c>
      <c r="D719" t="str">
        <f>Table1[[#This Row],[Department]]</f>
        <v>Research &amp; Development</v>
      </c>
      <c r="E719">
        <f>Table1[[#This Row],[EnvironmentSatisfaction]]</f>
        <v>3</v>
      </c>
      <c r="F719">
        <f>Table1[[#This Row],[HourlyRate]]</f>
        <v>37</v>
      </c>
      <c r="G719" t="str">
        <f>Table1[[#This Row],[JobRole]]</f>
        <v>Laboratory Technician</v>
      </c>
      <c r="H719">
        <f>Table1[[#This Row],[JobSatisfaction]]</f>
        <v>2</v>
      </c>
      <c r="I719">
        <f>Table1[[#This Row],[YearsAtCompany]]</f>
        <v>2</v>
      </c>
      <c r="J719">
        <f>Table1[[#This Row],[YearsSinceLastPromotion]]</f>
        <v>2</v>
      </c>
      <c r="K719">
        <f>Table1[[#This Row],[EmployeeNumber]]</f>
        <v>1001</v>
      </c>
      <c r="L719">
        <f>Table1[[#This Row],[DistanceFromHome]]</f>
        <v>16</v>
      </c>
      <c r="M719" t="str">
        <f>Table1[[#This Row],[OverTime]]</f>
        <v>No</v>
      </c>
      <c r="N719">
        <f>Table1[[#This Row],[WorkLifeBalance]]</f>
        <v>3</v>
      </c>
      <c r="O719" t="str" cm="1">
        <f t="array" ref="O719">_xlfn.IFS(A719&lt;=30,"18-30",A719&lt;=40,"31-40",A719&lt;=50,"41-50",A719&gt;50,"51+")</f>
        <v>18-30</v>
      </c>
      <c r="P719" t="str" cm="1">
        <f t="array" ref="P719">_xlfn.IFS(F719&lt;=45,"45 or below",F719&lt;= 60,"46-60",F719&lt;=75,"61-75",F719&lt;=90,"76-90",F719&gt;90,"91 or above")</f>
        <v>45 or below</v>
      </c>
      <c r="Q7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19" t="str" cm="1">
        <f t="array" ref="R7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20" spans="1:18" x14ac:dyDescent="0.2">
      <c r="A720">
        <f>Table1[[#This Row],[Age]]</f>
        <v>45</v>
      </c>
      <c r="B720">
        <f>IF(Table3[[#This Row],[Attrition]] = "Yes", 1,0)</f>
        <v>0</v>
      </c>
      <c r="C720" t="str">
        <f>Table1[[#This Row],[Attrition]]</f>
        <v>No</v>
      </c>
      <c r="D720" t="str">
        <f>Table1[[#This Row],[Department]]</f>
        <v>Research &amp; Development</v>
      </c>
      <c r="E720">
        <f>Table1[[#This Row],[EnvironmentSatisfaction]]</f>
        <v>4</v>
      </c>
      <c r="F720">
        <f>Table1[[#This Row],[HourlyRate]]</f>
        <v>42</v>
      </c>
      <c r="G720" t="str">
        <f>Table1[[#This Row],[JobRole]]</f>
        <v>Laboratory Technician</v>
      </c>
      <c r="H720">
        <f>Table1[[#This Row],[JobSatisfaction]]</f>
        <v>1</v>
      </c>
      <c r="I720">
        <f>Table1[[#This Row],[YearsAtCompany]]</f>
        <v>9</v>
      </c>
      <c r="J720">
        <f>Table1[[#This Row],[YearsSinceLastPromotion]]</f>
        <v>0</v>
      </c>
      <c r="K720">
        <f>Table1[[#This Row],[EmployeeNumber]]</f>
        <v>1002</v>
      </c>
      <c r="L720">
        <f>Table1[[#This Row],[DistanceFromHome]]</f>
        <v>23</v>
      </c>
      <c r="M720" t="str">
        <f>Table1[[#This Row],[OverTime]]</f>
        <v>Yes</v>
      </c>
      <c r="N720">
        <f>Table1[[#This Row],[WorkLifeBalance]]</f>
        <v>3</v>
      </c>
      <c r="O720" t="str" cm="1">
        <f t="array" ref="O720">_xlfn.IFS(A720&lt;=30,"18-30",A720&lt;=40,"31-40",A720&lt;=50,"41-50",A720&gt;50,"51+")</f>
        <v>41-50</v>
      </c>
      <c r="P720" t="str" cm="1">
        <f t="array" ref="P720">_xlfn.IFS(F720&lt;=45,"45 or below",F720&lt;= 60,"46-60",F720&lt;=75,"61-75",F720&lt;=90,"76-90",F720&gt;90,"91 or above")</f>
        <v>45 or below</v>
      </c>
      <c r="Q7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20" t="str" cm="1">
        <f t="array" ref="R72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21" spans="1:18" x14ac:dyDescent="0.2">
      <c r="A721">
        <f>Table1[[#This Row],[Age]]</f>
        <v>47</v>
      </c>
      <c r="B721">
        <f>IF(Table3[[#This Row],[Attrition]] = "Yes", 1,0)</f>
        <v>0</v>
      </c>
      <c r="C721" t="str">
        <f>Table1[[#This Row],[Attrition]]</f>
        <v>No</v>
      </c>
      <c r="D721" t="str">
        <f>Table1[[#This Row],[Department]]</f>
        <v>Sales</v>
      </c>
      <c r="E721">
        <f>Table1[[#This Row],[EnvironmentSatisfaction]]</f>
        <v>4</v>
      </c>
      <c r="F721">
        <f>Table1[[#This Row],[HourlyRate]]</f>
        <v>83</v>
      </c>
      <c r="G721" t="str">
        <f>Table1[[#This Row],[JobRole]]</f>
        <v>Sales Executive</v>
      </c>
      <c r="H721">
        <f>Table1[[#This Row],[JobSatisfaction]]</f>
        <v>4</v>
      </c>
      <c r="I721">
        <f>Table1[[#This Row],[YearsAtCompany]]</f>
        <v>9</v>
      </c>
      <c r="J721">
        <f>Table1[[#This Row],[YearsSinceLastPromotion]]</f>
        <v>0</v>
      </c>
      <c r="K721">
        <f>Table1[[#This Row],[EmployeeNumber]]</f>
        <v>1003</v>
      </c>
      <c r="L721">
        <f>Table1[[#This Row],[DistanceFromHome]]</f>
        <v>4</v>
      </c>
      <c r="M721" t="str">
        <f>Table1[[#This Row],[OverTime]]</f>
        <v>Yes</v>
      </c>
      <c r="N721">
        <f>Table1[[#This Row],[WorkLifeBalance]]</f>
        <v>3</v>
      </c>
      <c r="O721" t="str" cm="1">
        <f t="array" ref="O721">_xlfn.IFS(A721&lt;=30,"18-30",A721&lt;=40,"31-40",A721&lt;=50,"41-50",A721&gt;50,"51+")</f>
        <v>41-50</v>
      </c>
      <c r="P721" t="str" cm="1">
        <f t="array" ref="P721">_xlfn.IFS(F721&lt;=45,"45 or below",F721&lt;= 60,"46-60",F721&lt;=75,"61-75",F721&lt;=90,"76-90",F721&gt;90,"91 or above")</f>
        <v>76-90</v>
      </c>
      <c r="Q7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21" t="str" cm="1">
        <f t="array" ref="R721" xml:space="preserve"> _xlfn.IFS(Table3[[#This Row],[Flight Risk Score]] = "NA","NA",Table3[[#This Row],[Flight Risk Score]] &gt;= 70,"High Risk",Table3[[#This Row],[Flight Risk Score]] &gt;= 50, "Medium Risk", Table3[[#This Row],[Flight Risk Score]] &gt;= 30,"Low Risk",Table3[[#This Row],[Flight Risk Score]] &lt; 30,"Very Low Risk")</f>
        <v>Low Risk</v>
      </c>
    </row>
    <row r="722" spans="1:18" hidden="1" x14ac:dyDescent="0.2">
      <c r="A722">
        <f>Table1[[#This Row],[Age]]</f>
        <v>30</v>
      </c>
      <c r="B722">
        <f>IF(Table3[[#This Row],[Attrition]] = "Yes", 1,0)</f>
        <v>1</v>
      </c>
      <c r="C722" t="str">
        <f>Table1[[#This Row],[Attrition]]</f>
        <v>Yes</v>
      </c>
      <c r="D722" t="str">
        <f>Table1[[#This Row],[Department]]</f>
        <v>Research &amp; Development</v>
      </c>
      <c r="E722">
        <f>Table1[[#This Row],[EnvironmentSatisfaction]]</f>
        <v>1</v>
      </c>
      <c r="F722">
        <f>Table1[[#This Row],[HourlyRate]]</f>
        <v>48</v>
      </c>
      <c r="G722" t="str">
        <f>Table1[[#This Row],[JobRole]]</f>
        <v>Research Scientist</v>
      </c>
      <c r="H722">
        <f>Table1[[#This Row],[JobSatisfaction]]</f>
        <v>3</v>
      </c>
      <c r="I722">
        <f>Table1[[#This Row],[YearsAtCompany]]</f>
        <v>5</v>
      </c>
      <c r="J722">
        <f>Table1[[#This Row],[YearsSinceLastPromotion]]</f>
        <v>0</v>
      </c>
      <c r="K722">
        <f>Table1[[#This Row],[EmployeeNumber]]</f>
        <v>1004</v>
      </c>
      <c r="L722">
        <f>Table1[[#This Row],[DistanceFromHome]]</f>
        <v>22</v>
      </c>
      <c r="M722" t="str">
        <f>Table1[[#This Row],[OverTime]]</f>
        <v>Yes</v>
      </c>
      <c r="N722">
        <f>Table1[[#This Row],[WorkLifeBalance]]</f>
        <v>3</v>
      </c>
      <c r="O722" t="str" cm="1">
        <f t="array" ref="O722">_xlfn.IFS(A722&lt;=30,"18-30",A722&lt;=40,"31-40",A722&lt;=50,"41-50",A722&gt;50,"51+")</f>
        <v>18-30</v>
      </c>
      <c r="P722" t="str" cm="1">
        <f t="array" ref="P722">_xlfn.IFS(F722&lt;=45,"45 or below",F722&lt;= 60,"46-60",F722&lt;=75,"61-75",F722&lt;=90,"76-90",F722&gt;90,"91 or above")</f>
        <v>46-60</v>
      </c>
      <c r="Q72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22" t="str" cm="1">
        <f t="array" ref="R722" xml:space="preserve"> _xlfn.IFS(Table3[[#This Row],[Flight Risk Score]] = "NA","NA",Table3[[#This Row],[Flight Risk Score]] &gt;= 70,"High Risk",Table3[[#This Row],[Flight Risk Score]] &gt;= 50, "Medium Risk", Table3[[#This Row],[Flight Risk Score]] &gt;= 30,"Low Risk",Table3[[#This Row],[Flight Risk Score]] &lt; 30,"Very Low Risk")</f>
        <v>NA</v>
      </c>
    </row>
    <row r="723" spans="1:18" x14ac:dyDescent="0.2">
      <c r="A723">
        <f>Table1[[#This Row],[Age]]</f>
        <v>50</v>
      </c>
      <c r="B723">
        <f>IF(Table3[[#This Row],[Attrition]] = "Yes", 1,0)</f>
        <v>0</v>
      </c>
      <c r="C723" t="str">
        <f>Table1[[#This Row],[Attrition]]</f>
        <v>No</v>
      </c>
      <c r="D723" t="str">
        <f>Table1[[#This Row],[Department]]</f>
        <v>Research &amp; Development</v>
      </c>
      <c r="E723">
        <f>Table1[[#This Row],[EnvironmentSatisfaction]]</f>
        <v>4</v>
      </c>
      <c r="F723">
        <f>Table1[[#This Row],[HourlyRate]]</f>
        <v>95</v>
      </c>
      <c r="G723" t="str">
        <f>Table1[[#This Row],[JobRole]]</f>
        <v>Manufacturing Director</v>
      </c>
      <c r="H723">
        <f>Table1[[#This Row],[JobSatisfaction]]</f>
        <v>3</v>
      </c>
      <c r="I723">
        <f>Table1[[#This Row],[YearsAtCompany]]</f>
        <v>12</v>
      </c>
      <c r="J723">
        <f>Table1[[#This Row],[YearsSinceLastPromotion]]</f>
        <v>1</v>
      </c>
      <c r="K723">
        <f>Table1[[#This Row],[EmployeeNumber]]</f>
        <v>1005</v>
      </c>
      <c r="L723">
        <f>Table1[[#This Row],[DistanceFromHome]]</f>
        <v>24</v>
      </c>
      <c r="M723" t="str">
        <f>Table1[[#This Row],[OverTime]]</f>
        <v>Yes</v>
      </c>
      <c r="N723">
        <f>Table1[[#This Row],[WorkLifeBalance]]</f>
        <v>3</v>
      </c>
      <c r="O723" t="str" cm="1">
        <f t="array" ref="O723">_xlfn.IFS(A723&lt;=30,"18-30",A723&lt;=40,"31-40",A723&lt;=50,"41-50",A723&gt;50,"51+")</f>
        <v>41-50</v>
      </c>
      <c r="P723" t="str" cm="1">
        <f t="array" ref="P723">_xlfn.IFS(F723&lt;=45,"45 or below",F723&lt;= 60,"46-60",F723&lt;=75,"61-75",F723&lt;=90,"76-90",F723&gt;90,"91 or above")</f>
        <v>91 or above</v>
      </c>
      <c r="Q7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23" t="str" cm="1">
        <f t="array" ref="R723" xml:space="preserve"> _xlfn.IFS(Table3[[#This Row],[Flight Risk Score]] = "NA","NA",Table3[[#This Row],[Flight Risk Score]] &gt;= 70,"High Risk",Table3[[#This Row],[Flight Risk Score]] &gt;= 50, "Medium Risk", Table3[[#This Row],[Flight Risk Score]] &gt;= 30,"Low Risk",Table3[[#This Row],[Flight Risk Score]] &lt; 30,"Very Low Risk")</f>
        <v>Low Risk</v>
      </c>
    </row>
    <row r="724" spans="1:18" x14ac:dyDescent="0.2">
      <c r="A724">
        <f>Table1[[#This Row],[Age]]</f>
        <v>38</v>
      </c>
      <c r="B724">
        <f>IF(Table3[[#This Row],[Attrition]] = "Yes", 1,0)</f>
        <v>0</v>
      </c>
      <c r="C724" t="str">
        <f>Table1[[#This Row],[Attrition]]</f>
        <v>No</v>
      </c>
      <c r="D724" t="str">
        <f>Table1[[#This Row],[Department]]</f>
        <v>Research &amp; Development</v>
      </c>
      <c r="E724">
        <f>Table1[[#This Row],[EnvironmentSatisfaction]]</f>
        <v>3</v>
      </c>
      <c r="F724">
        <f>Table1[[#This Row],[HourlyRate]]</f>
        <v>66</v>
      </c>
      <c r="G724" t="str">
        <f>Table1[[#This Row],[JobRole]]</f>
        <v>Research Scientist</v>
      </c>
      <c r="H724">
        <f>Table1[[#This Row],[JobSatisfaction]]</f>
        <v>3</v>
      </c>
      <c r="I724">
        <f>Table1[[#This Row],[YearsAtCompany]]</f>
        <v>2</v>
      </c>
      <c r="J724">
        <f>Table1[[#This Row],[YearsSinceLastPromotion]]</f>
        <v>0</v>
      </c>
      <c r="K724">
        <f>Table1[[#This Row],[EmployeeNumber]]</f>
        <v>1006</v>
      </c>
      <c r="L724">
        <f>Table1[[#This Row],[DistanceFromHome]]</f>
        <v>10</v>
      </c>
      <c r="M724" t="str">
        <f>Table1[[#This Row],[OverTime]]</f>
        <v>No</v>
      </c>
      <c r="N724">
        <f>Table1[[#This Row],[WorkLifeBalance]]</f>
        <v>2</v>
      </c>
      <c r="O724" t="str" cm="1">
        <f t="array" ref="O724">_xlfn.IFS(A724&lt;=30,"18-30",A724&lt;=40,"31-40",A724&lt;=50,"41-50",A724&gt;50,"51+")</f>
        <v>31-40</v>
      </c>
      <c r="P724" t="str" cm="1">
        <f t="array" ref="P724">_xlfn.IFS(F724&lt;=45,"45 or below",F724&lt;= 60,"46-60",F724&lt;=75,"61-75",F724&lt;=90,"76-90",F724&gt;90,"91 or above")</f>
        <v>61-75</v>
      </c>
      <c r="Q7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24" t="str" cm="1">
        <f t="array" ref="R7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25" spans="1:18" x14ac:dyDescent="0.2">
      <c r="A725">
        <f>Table1[[#This Row],[Age]]</f>
        <v>46</v>
      </c>
      <c r="B725">
        <f>IF(Table3[[#This Row],[Attrition]] = "Yes", 1,0)</f>
        <v>0</v>
      </c>
      <c r="C725" t="str">
        <f>Table1[[#This Row],[Attrition]]</f>
        <v>No</v>
      </c>
      <c r="D725" t="str">
        <f>Table1[[#This Row],[Department]]</f>
        <v>Research &amp; Development</v>
      </c>
      <c r="E725">
        <f>Table1[[#This Row],[EnvironmentSatisfaction]]</f>
        <v>4</v>
      </c>
      <c r="F725">
        <f>Table1[[#This Row],[HourlyRate]]</f>
        <v>75</v>
      </c>
      <c r="G725" t="str">
        <f>Table1[[#This Row],[JobRole]]</f>
        <v>Manufacturing Director</v>
      </c>
      <c r="H725">
        <f>Table1[[#This Row],[JobSatisfaction]]</f>
        <v>3</v>
      </c>
      <c r="I725">
        <f>Table1[[#This Row],[YearsAtCompany]]</f>
        <v>8</v>
      </c>
      <c r="J725">
        <f>Table1[[#This Row],[YearsSinceLastPromotion]]</f>
        <v>0</v>
      </c>
      <c r="K725">
        <f>Table1[[#This Row],[EmployeeNumber]]</f>
        <v>1007</v>
      </c>
      <c r="L725">
        <f>Table1[[#This Row],[DistanceFromHome]]</f>
        <v>7</v>
      </c>
      <c r="M725" t="str">
        <f>Table1[[#This Row],[OverTime]]</f>
        <v>No</v>
      </c>
      <c r="N725">
        <f>Table1[[#This Row],[WorkLifeBalance]]</f>
        <v>3</v>
      </c>
      <c r="O725" t="str" cm="1">
        <f t="array" ref="O725">_xlfn.IFS(A725&lt;=30,"18-30",A725&lt;=40,"31-40",A725&lt;=50,"41-50",A725&gt;50,"51+")</f>
        <v>41-50</v>
      </c>
      <c r="P725" t="str" cm="1">
        <f t="array" ref="P725">_xlfn.IFS(F725&lt;=45,"45 or below",F725&lt;= 60,"46-60",F725&lt;=75,"61-75",F725&lt;=90,"76-90",F725&gt;90,"91 or above")</f>
        <v>61-75</v>
      </c>
      <c r="Q7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25" t="str" cm="1">
        <f t="array" ref="R7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26" spans="1:18" x14ac:dyDescent="0.2">
      <c r="A726">
        <f>Table1[[#This Row],[Age]]</f>
        <v>24</v>
      </c>
      <c r="B726">
        <f>IF(Table3[[#This Row],[Attrition]] = "Yes", 1,0)</f>
        <v>0</v>
      </c>
      <c r="C726" t="str">
        <f>Table1[[#This Row],[Attrition]]</f>
        <v>No</v>
      </c>
      <c r="D726" t="str">
        <f>Table1[[#This Row],[Department]]</f>
        <v>Research &amp; Development</v>
      </c>
      <c r="E726">
        <f>Table1[[#This Row],[EnvironmentSatisfaction]]</f>
        <v>4</v>
      </c>
      <c r="F726">
        <f>Table1[[#This Row],[HourlyRate]]</f>
        <v>41</v>
      </c>
      <c r="G726" t="str">
        <f>Table1[[#This Row],[JobRole]]</f>
        <v>Manufacturing Director</v>
      </c>
      <c r="H726">
        <f>Table1[[#This Row],[JobSatisfaction]]</f>
        <v>3</v>
      </c>
      <c r="I726">
        <f>Table1[[#This Row],[YearsAtCompany]]</f>
        <v>4</v>
      </c>
      <c r="J726">
        <f>Table1[[#This Row],[YearsSinceLastPromotion]]</f>
        <v>3</v>
      </c>
      <c r="K726">
        <f>Table1[[#This Row],[EmployeeNumber]]</f>
        <v>1009</v>
      </c>
      <c r="L726">
        <f>Table1[[#This Row],[DistanceFromHome]]</f>
        <v>17</v>
      </c>
      <c r="M726" t="str">
        <f>Table1[[#This Row],[OverTime]]</f>
        <v>No</v>
      </c>
      <c r="N726">
        <f>Table1[[#This Row],[WorkLifeBalance]]</f>
        <v>3</v>
      </c>
      <c r="O726" t="str" cm="1">
        <f t="array" ref="O726">_xlfn.IFS(A726&lt;=30,"18-30",A726&lt;=40,"31-40",A726&lt;=50,"41-50",A726&gt;50,"51+")</f>
        <v>18-30</v>
      </c>
      <c r="P726" t="str" cm="1">
        <f t="array" ref="P726">_xlfn.IFS(F726&lt;=45,"45 or below",F726&lt;= 60,"46-60",F726&lt;=75,"61-75",F726&lt;=90,"76-90",F726&gt;90,"91 or above")</f>
        <v>45 or below</v>
      </c>
      <c r="Q7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26" t="str" cm="1">
        <f t="array" ref="R7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27" spans="1:18" hidden="1" x14ac:dyDescent="0.2">
      <c r="A727">
        <f>Table1[[#This Row],[Age]]</f>
        <v>35</v>
      </c>
      <c r="B727">
        <f>IF(Table3[[#This Row],[Attrition]] = "Yes", 1,0)</f>
        <v>1</v>
      </c>
      <c r="C727" t="str">
        <f>Table1[[#This Row],[Attrition]]</f>
        <v>Yes</v>
      </c>
      <c r="D727" t="str">
        <f>Table1[[#This Row],[Department]]</f>
        <v>Research &amp; Development</v>
      </c>
      <c r="E727">
        <f>Table1[[#This Row],[EnvironmentSatisfaction]]</f>
        <v>3</v>
      </c>
      <c r="F727">
        <f>Table1[[#This Row],[HourlyRate]]</f>
        <v>39</v>
      </c>
      <c r="G727" t="str">
        <f>Table1[[#This Row],[JobRole]]</f>
        <v>Laboratory Technician</v>
      </c>
      <c r="H727">
        <f>Table1[[#This Row],[JobSatisfaction]]</f>
        <v>2</v>
      </c>
      <c r="I727">
        <f>Table1[[#This Row],[YearsAtCompany]]</f>
        <v>4</v>
      </c>
      <c r="J727">
        <f>Table1[[#This Row],[YearsSinceLastPromotion]]</f>
        <v>0</v>
      </c>
      <c r="K727">
        <f>Table1[[#This Row],[EmployeeNumber]]</f>
        <v>1010</v>
      </c>
      <c r="L727">
        <f>Table1[[#This Row],[DistanceFromHome]]</f>
        <v>14</v>
      </c>
      <c r="M727" t="str">
        <f>Table1[[#This Row],[OverTime]]</f>
        <v>Yes</v>
      </c>
      <c r="N727">
        <f>Table1[[#This Row],[WorkLifeBalance]]</f>
        <v>1</v>
      </c>
      <c r="O727" t="str" cm="1">
        <f t="array" ref="O727">_xlfn.IFS(A727&lt;=30,"18-30",A727&lt;=40,"31-40",A727&lt;=50,"41-50",A727&gt;50,"51+")</f>
        <v>31-40</v>
      </c>
      <c r="P727" t="str" cm="1">
        <f t="array" ref="P727">_xlfn.IFS(F727&lt;=45,"45 or below",F727&lt;= 60,"46-60",F727&lt;=75,"61-75",F727&lt;=90,"76-90",F727&gt;90,"91 or above")</f>
        <v>45 or below</v>
      </c>
      <c r="Q72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27" t="str" cm="1">
        <f t="array" ref="R727" xml:space="preserve"> _xlfn.IFS(Table3[[#This Row],[Flight Risk Score]] = "NA","NA",Table3[[#This Row],[Flight Risk Score]] &gt;= 70,"High Risk",Table3[[#This Row],[Flight Risk Score]] &gt;= 50, "Medium Risk", Table3[[#This Row],[Flight Risk Score]] &gt;= 30,"Low Risk",Table3[[#This Row],[Flight Risk Score]] &lt; 30,"Very Low Risk")</f>
        <v>NA</v>
      </c>
    </row>
    <row r="728" spans="1:18" x14ac:dyDescent="0.2">
      <c r="A728">
        <f>Table1[[#This Row],[Age]]</f>
        <v>31</v>
      </c>
      <c r="B728">
        <f>IF(Table3[[#This Row],[Attrition]] = "Yes", 1,0)</f>
        <v>0</v>
      </c>
      <c r="C728" t="str">
        <f>Table1[[#This Row],[Attrition]]</f>
        <v>No</v>
      </c>
      <c r="D728" t="str">
        <f>Table1[[#This Row],[Department]]</f>
        <v>Research &amp; Development</v>
      </c>
      <c r="E728">
        <f>Table1[[#This Row],[EnvironmentSatisfaction]]</f>
        <v>3</v>
      </c>
      <c r="F728">
        <f>Table1[[#This Row],[HourlyRate]]</f>
        <v>96</v>
      </c>
      <c r="G728" t="str">
        <f>Table1[[#This Row],[JobRole]]</f>
        <v>Manufacturing Director</v>
      </c>
      <c r="H728">
        <f>Table1[[#This Row],[JobSatisfaction]]</f>
        <v>1</v>
      </c>
      <c r="I728">
        <f>Table1[[#This Row],[YearsAtCompany]]</f>
        <v>4</v>
      </c>
      <c r="J728">
        <f>Table1[[#This Row],[YearsSinceLastPromotion]]</f>
        <v>0</v>
      </c>
      <c r="K728">
        <f>Table1[[#This Row],[EmployeeNumber]]</f>
        <v>1011</v>
      </c>
      <c r="L728">
        <f>Table1[[#This Row],[DistanceFromHome]]</f>
        <v>1</v>
      </c>
      <c r="M728" t="str">
        <f>Table1[[#This Row],[OverTime]]</f>
        <v>No</v>
      </c>
      <c r="N728">
        <f>Table1[[#This Row],[WorkLifeBalance]]</f>
        <v>3</v>
      </c>
      <c r="O728" t="str" cm="1">
        <f t="array" ref="O728">_xlfn.IFS(A728&lt;=30,"18-30",A728&lt;=40,"31-40",A728&lt;=50,"41-50",A728&gt;50,"51+")</f>
        <v>31-40</v>
      </c>
      <c r="P728" t="str" cm="1">
        <f t="array" ref="P728">_xlfn.IFS(F728&lt;=45,"45 or below",F728&lt;= 60,"46-60",F728&lt;=75,"61-75",F728&lt;=90,"76-90",F728&gt;90,"91 or above")</f>
        <v>91 or above</v>
      </c>
      <c r="Q7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28" t="str" cm="1">
        <f t="array" ref="R7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29" spans="1:18" x14ac:dyDescent="0.2">
      <c r="A729">
        <f>Table1[[#This Row],[Age]]</f>
        <v>18</v>
      </c>
      <c r="B729">
        <f>IF(Table3[[#This Row],[Attrition]] = "Yes", 1,0)</f>
        <v>0</v>
      </c>
      <c r="C729" t="str">
        <f>Table1[[#This Row],[Attrition]]</f>
        <v>No</v>
      </c>
      <c r="D729" t="str">
        <f>Table1[[#This Row],[Department]]</f>
        <v>Research &amp; Development</v>
      </c>
      <c r="E729">
        <f>Table1[[#This Row],[EnvironmentSatisfaction]]</f>
        <v>2</v>
      </c>
      <c r="F729">
        <f>Table1[[#This Row],[HourlyRate]]</f>
        <v>73</v>
      </c>
      <c r="G729" t="str">
        <f>Table1[[#This Row],[JobRole]]</f>
        <v>Research Scientist</v>
      </c>
      <c r="H729">
        <f>Table1[[#This Row],[JobSatisfaction]]</f>
        <v>4</v>
      </c>
      <c r="I729">
        <f>Table1[[#This Row],[YearsAtCompany]]</f>
        <v>0</v>
      </c>
      <c r="J729">
        <f>Table1[[#This Row],[YearsSinceLastPromotion]]</f>
        <v>0</v>
      </c>
      <c r="K729">
        <f>Table1[[#This Row],[EmployeeNumber]]</f>
        <v>1012</v>
      </c>
      <c r="L729">
        <f>Table1[[#This Row],[DistanceFromHome]]</f>
        <v>5</v>
      </c>
      <c r="M729" t="str">
        <f>Table1[[#This Row],[OverTime]]</f>
        <v>No</v>
      </c>
      <c r="N729">
        <f>Table1[[#This Row],[WorkLifeBalance]]</f>
        <v>3</v>
      </c>
      <c r="O729" t="str" cm="1">
        <f t="array" ref="O729">_xlfn.IFS(A729&lt;=30,"18-30",A729&lt;=40,"31-40",A729&lt;=50,"41-50",A729&gt;50,"51+")</f>
        <v>18-30</v>
      </c>
      <c r="P729" t="str" cm="1">
        <f t="array" ref="P729">_xlfn.IFS(F729&lt;=45,"45 or below",F729&lt;= 60,"46-60",F729&lt;=75,"61-75",F729&lt;=90,"76-90",F729&gt;90,"91 or above")</f>
        <v>61-75</v>
      </c>
      <c r="Q7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29" t="str" cm="1">
        <f t="array" ref="R7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30" spans="1:18" x14ac:dyDescent="0.2">
      <c r="A730">
        <f>Table1[[#This Row],[Age]]</f>
        <v>54</v>
      </c>
      <c r="B730">
        <f>IF(Table3[[#This Row],[Attrition]] = "Yes", 1,0)</f>
        <v>0</v>
      </c>
      <c r="C730" t="str">
        <f>Table1[[#This Row],[Attrition]]</f>
        <v>No</v>
      </c>
      <c r="D730" t="str">
        <f>Table1[[#This Row],[Department]]</f>
        <v>Research &amp; Development</v>
      </c>
      <c r="E730">
        <f>Table1[[#This Row],[EnvironmentSatisfaction]]</f>
        <v>3</v>
      </c>
      <c r="F730">
        <f>Table1[[#This Row],[HourlyRate]]</f>
        <v>56</v>
      </c>
      <c r="G730" t="str">
        <f>Table1[[#This Row],[JobRole]]</f>
        <v>Manufacturing Director</v>
      </c>
      <c r="H730">
        <f>Table1[[#This Row],[JobSatisfaction]]</f>
        <v>3</v>
      </c>
      <c r="I730">
        <f>Table1[[#This Row],[YearsAtCompany]]</f>
        <v>10</v>
      </c>
      <c r="J730">
        <f>Table1[[#This Row],[YearsSinceLastPromotion]]</f>
        <v>0</v>
      </c>
      <c r="K730">
        <f>Table1[[#This Row],[EmployeeNumber]]</f>
        <v>1013</v>
      </c>
      <c r="L730">
        <f>Table1[[#This Row],[DistanceFromHome]]</f>
        <v>17</v>
      </c>
      <c r="M730" t="str">
        <f>Table1[[#This Row],[OverTime]]</f>
        <v>No</v>
      </c>
      <c r="N730">
        <f>Table1[[#This Row],[WorkLifeBalance]]</f>
        <v>3</v>
      </c>
      <c r="O730" t="str" cm="1">
        <f t="array" ref="O730">_xlfn.IFS(A730&lt;=30,"18-30",A730&lt;=40,"31-40",A730&lt;=50,"41-50",A730&gt;50,"51+")</f>
        <v>51+</v>
      </c>
      <c r="P730" t="str" cm="1">
        <f t="array" ref="P730">_xlfn.IFS(F730&lt;=45,"45 or below",F730&lt;= 60,"46-60",F730&lt;=75,"61-75",F730&lt;=90,"76-90",F730&gt;90,"91 or above")</f>
        <v>46-60</v>
      </c>
      <c r="Q7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30" t="str" cm="1">
        <f t="array" ref="R7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31" spans="1:18" x14ac:dyDescent="0.2">
      <c r="A731">
        <f>Table1[[#This Row],[Age]]</f>
        <v>35</v>
      </c>
      <c r="B731">
        <f>IF(Table3[[#This Row],[Attrition]] = "Yes", 1,0)</f>
        <v>0</v>
      </c>
      <c r="C731" t="str">
        <f>Table1[[#This Row],[Attrition]]</f>
        <v>No</v>
      </c>
      <c r="D731" t="str">
        <f>Table1[[#This Row],[Department]]</f>
        <v>Research &amp; Development</v>
      </c>
      <c r="E731">
        <f>Table1[[#This Row],[EnvironmentSatisfaction]]</f>
        <v>3</v>
      </c>
      <c r="F731">
        <f>Table1[[#This Row],[HourlyRate]]</f>
        <v>57</v>
      </c>
      <c r="G731" t="str">
        <f>Table1[[#This Row],[JobRole]]</f>
        <v>Healthcare Representative</v>
      </c>
      <c r="H731">
        <f>Table1[[#This Row],[JobSatisfaction]]</f>
        <v>3</v>
      </c>
      <c r="I731">
        <f>Table1[[#This Row],[YearsAtCompany]]</f>
        <v>16</v>
      </c>
      <c r="J731">
        <f>Table1[[#This Row],[YearsSinceLastPromotion]]</f>
        <v>10</v>
      </c>
      <c r="K731">
        <f>Table1[[#This Row],[EmployeeNumber]]</f>
        <v>1014</v>
      </c>
      <c r="L731">
        <f>Table1[[#This Row],[DistanceFromHome]]</f>
        <v>25</v>
      </c>
      <c r="M731" t="str">
        <f>Table1[[#This Row],[OverTime]]</f>
        <v>Yes</v>
      </c>
      <c r="N731">
        <f>Table1[[#This Row],[WorkLifeBalance]]</f>
        <v>2</v>
      </c>
      <c r="O731" t="str" cm="1">
        <f t="array" ref="O731">_xlfn.IFS(A731&lt;=30,"18-30",A731&lt;=40,"31-40",A731&lt;=50,"41-50",A731&gt;50,"51+")</f>
        <v>31-40</v>
      </c>
      <c r="P731" t="str" cm="1">
        <f t="array" ref="P731">_xlfn.IFS(F731&lt;=45,"45 or below",F731&lt;= 60,"46-60",F731&lt;=75,"61-75",F731&lt;=90,"76-90",F731&gt;90,"91 or above")</f>
        <v>46-60</v>
      </c>
      <c r="Q7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31" t="str" cm="1">
        <f t="array" ref="R731" xml:space="preserve"> _xlfn.IFS(Table3[[#This Row],[Flight Risk Score]] = "NA","NA",Table3[[#This Row],[Flight Risk Score]] &gt;= 70,"High Risk",Table3[[#This Row],[Flight Risk Score]] &gt;= 50, "Medium Risk", Table3[[#This Row],[Flight Risk Score]] &gt;= 30,"Low Risk",Table3[[#This Row],[Flight Risk Score]] &lt; 30,"Very Low Risk")</f>
        <v>Low Risk</v>
      </c>
    </row>
    <row r="732" spans="1:18" x14ac:dyDescent="0.2">
      <c r="A732">
        <f>Table1[[#This Row],[Age]]</f>
        <v>30</v>
      </c>
      <c r="B732">
        <f>IF(Table3[[#This Row],[Attrition]] = "Yes", 1,0)</f>
        <v>0</v>
      </c>
      <c r="C732" t="str">
        <f>Table1[[#This Row],[Attrition]]</f>
        <v>No</v>
      </c>
      <c r="D732" t="str">
        <f>Table1[[#This Row],[Department]]</f>
        <v>Research &amp; Development</v>
      </c>
      <c r="E732">
        <f>Table1[[#This Row],[EnvironmentSatisfaction]]</f>
        <v>2</v>
      </c>
      <c r="F732">
        <f>Table1[[#This Row],[HourlyRate]]</f>
        <v>73</v>
      </c>
      <c r="G732" t="str">
        <f>Table1[[#This Row],[JobRole]]</f>
        <v>Research Director</v>
      </c>
      <c r="H732">
        <f>Table1[[#This Row],[JobSatisfaction]]</f>
        <v>1</v>
      </c>
      <c r="I732">
        <f>Table1[[#This Row],[YearsAtCompany]]</f>
        <v>8</v>
      </c>
      <c r="J732">
        <f>Table1[[#This Row],[YearsSinceLastPromotion]]</f>
        <v>1</v>
      </c>
      <c r="K732">
        <f>Table1[[#This Row],[EmployeeNumber]]</f>
        <v>1015</v>
      </c>
      <c r="L732">
        <f>Table1[[#This Row],[DistanceFromHome]]</f>
        <v>8</v>
      </c>
      <c r="M732" t="str">
        <f>Table1[[#This Row],[OverTime]]</f>
        <v>Yes</v>
      </c>
      <c r="N732">
        <f>Table1[[#This Row],[WorkLifeBalance]]</f>
        <v>2</v>
      </c>
      <c r="O732" t="str" cm="1">
        <f t="array" ref="O732">_xlfn.IFS(A732&lt;=30,"18-30",A732&lt;=40,"31-40",A732&lt;=50,"41-50",A732&gt;50,"51+")</f>
        <v>18-30</v>
      </c>
      <c r="P732" t="str" cm="1">
        <f t="array" ref="P732">_xlfn.IFS(F732&lt;=45,"45 or below",F732&lt;= 60,"46-60",F732&lt;=75,"61-75",F732&lt;=90,"76-90",F732&gt;90,"91 or above")</f>
        <v>61-75</v>
      </c>
      <c r="Q7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732" t="str" cm="1">
        <f t="array" ref="R73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33" spans="1:18" hidden="1" x14ac:dyDescent="0.2">
      <c r="A733">
        <f>Table1[[#This Row],[Age]]</f>
        <v>20</v>
      </c>
      <c r="B733">
        <f>IF(Table3[[#This Row],[Attrition]] = "Yes", 1,0)</f>
        <v>1</v>
      </c>
      <c r="C733" t="str">
        <f>Table1[[#This Row],[Attrition]]</f>
        <v>Yes</v>
      </c>
      <c r="D733" t="str">
        <f>Table1[[#This Row],[Department]]</f>
        <v>Research &amp; Development</v>
      </c>
      <c r="E733">
        <f>Table1[[#This Row],[EnvironmentSatisfaction]]</f>
        <v>4</v>
      </c>
      <c r="F733">
        <f>Table1[[#This Row],[HourlyRate]]</f>
        <v>98</v>
      </c>
      <c r="G733" t="str">
        <f>Table1[[#This Row],[JobRole]]</f>
        <v>Research Scientist</v>
      </c>
      <c r="H733">
        <f>Table1[[#This Row],[JobSatisfaction]]</f>
        <v>1</v>
      </c>
      <c r="I733">
        <f>Table1[[#This Row],[YearsAtCompany]]</f>
        <v>1</v>
      </c>
      <c r="J733">
        <f>Table1[[#This Row],[YearsSinceLastPromotion]]</f>
        <v>0</v>
      </c>
      <c r="K733">
        <f>Table1[[#This Row],[EmployeeNumber]]</f>
        <v>1016</v>
      </c>
      <c r="L733">
        <f>Table1[[#This Row],[DistanceFromHome]]</f>
        <v>11</v>
      </c>
      <c r="M733" t="str">
        <f>Table1[[#This Row],[OverTime]]</f>
        <v>Yes</v>
      </c>
      <c r="N733">
        <f>Table1[[#This Row],[WorkLifeBalance]]</f>
        <v>3</v>
      </c>
      <c r="O733" t="str" cm="1">
        <f t="array" ref="O733">_xlfn.IFS(A733&lt;=30,"18-30",A733&lt;=40,"31-40",A733&lt;=50,"41-50",A733&gt;50,"51+")</f>
        <v>18-30</v>
      </c>
      <c r="P733" t="str" cm="1">
        <f t="array" ref="P733">_xlfn.IFS(F733&lt;=45,"45 or below",F733&lt;= 60,"46-60",F733&lt;=75,"61-75",F733&lt;=90,"76-90",F733&gt;90,"91 or above")</f>
        <v>91 or above</v>
      </c>
      <c r="Q73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33" t="str" cm="1">
        <f t="array" ref="R733" xml:space="preserve"> _xlfn.IFS(Table3[[#This Row],[Flight Risk Score]] = "NA","NA",Table3[[#This Row],[Flight Risk Score]] &gt;= 70,"High Risk",Table3[[#This Row],[Flight Risk Score]] &gt;= 50, "Medium Risk", Table3[[#This Row],[Flight Risk Score]] &gt;= 30,"Low Risk",Table3[[#This Row],[Flight Risk Score]] &lt; 30,"Very Low Risk")</f>
        <v>NA</v>
      </c>
    </row>
    <row r="734" spans="1:18" hidden="1" x14ac:dyDescent="0.2">
      <c r="A734">
        <f>Table1[[#This Row],[Age]]</f>
        <v>30</v>
      </c>
      <c r="B734">
        <f>IF(Table3[[#This Row],[Attrition]] = "Yes", 1,0)</f>
        <v>1</v>
      </c>
      <c r="C734" t="str">
        <f>Table1[[#This Row],[Attrition]]</f>
        <v>Yes</v>
      </c>
      <c r="D734" t="str">
        <f>Table1[[#This Row],[Department]]</f>
        <v>Research &amp; Development</v>
      </c>
      <c r="E734">
        <f>Table1[[#This Row],[EnvironmentSatisfaction]]</f>
        <v>2</v>
      </c>
      <c r="F734">
        <f>Table1[[#This Row],[HourlyRate]]</f>
        <v>60</v>
      </c>
      <c r="G734" t="str">
        <f>Table1[[#This Row],[JobRole]]</f>
        <v>Laboratory Technician</v>
      </c>
      <c r="H734">
        <f>Table1[[#This Row],[JobSatisfaction]]</f>
        <v>2</v>
      </c>
      <c r="I734">
        <f>Table1[[#This Row],[YearsAtCompany]]</f>
        <v>3</v>
      </c>
      <c r="J734">
        <f>Table1[[#This Row],[YearsSinceLastPromotion]]</f>
        <v>1</v>
      </c>
      <c r="K734">
        <f>Table1[[#This Row],[EmployeeNumber]]</f>
        <v>1017</v>
      </c>
      <c r="L734">
        <f>Table1[[#This Row],[DistanceFromHome]]</f>
        <v>5</v>
      </c>
      <c r="M734" t="str">
        <f>Table1[[#This Row],[OverTime]]</f>
        <v>No</v>
      </c>
      <c r="N734">
        <f>Table1[[#This Row],[WorkLifeBalance]]</f>
        <v>3</v>
      </c>
      <c r="O734" t="str" cm="1">
        <f t="array" ref="O734">_xlfn.IFS(A734&lt;=30,"18-30",A734&lt;=40,"31-40",A734&lt;=50,"41-50",A734&gt;50,"51+")</f>
        <v>18-30</v>
      </c>
      <c r="P734" t="str" cm="1">
        <f t="array" ref="P734">_xlfn.IFS(F734&lt;=45,"45 or below",F734&lt;= 60,"46-60",F734&lt;=75,"61-75",F734&lt;=90,"76-90",F734&gt;90,"91 or above")</f>
        <v>46-60</v>
      </c>
      <c r="Q73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34" t="str" cm="1">
        <f t="array" ref="R734" xml:space="preserve"> _xlfn.IFS(Table3[[#This Row],[Flight Risk Score]] = "NA","NA",Table3[[#This Row],[Flight Risk Score]] &gt;= 70,"High Risk",Table3[[#This Row],[Flight Risk Score]] &gt;= 50, "Medium Risk", Table3[[#This Row],[Flight Risk Score]] &gt;= 30,"Low Risk",Table3[[#This Row],[Flight Risk Score]] &lt; 30,"Very Low Risk")</f>
        <v>NA</v>
      </c>
    </row>
    <row r="735" spans="1:18" x14ac:dyDescent="0.2">
      <c r="A735">
        <f>Table1[[#This Row],[Age]]</f>
        <v>26</v>
      </c>
      <c r="B735">
        <f>IF(Table3[[#This Row],[Attrition]] = "Yes", 1,0)</f>
        <v>0</v>
      </c>
      <c r="C735" t="str">
        <f>Table1[[#This Row],[Attrition]]</f>
        <v>No</v>
      </c>
      <c r="D735" t="str">
        <f>Table1[[#This Row],[Department]]</f>
        <v>Research &amp; Development</v>
      </c>
      <c r="E735">
        <f>Table1[[#This Row],[EnvironmentSatisfaction]]</f>
        <v>4</v>
      </c>
      <c r="F735">
        <f>Table1[[#This Row],[HourlyRate]]</f>
        <v>32</v>
      </c>
      <c r="G735" t="str">
        <f>Table1[[#This Row],[JobRole]]</f>
        <v>Manufacturing Director</v>
      </c>
      <c r="H735">
        <f>Table1[[#This Row],[JobSatisfaction]]</f>
        <v>4</v>
      </c>
      <c r="I735">
        <f>Table1[[#This Row],[YearsAtCompany]]</f>
        <v>8</v>
      </c>
      <c r="J735">
        <f>Table1[[#This Row],[YearsSinceLastPromotion]]</f>
        <v>1</v>
      </c>
      <c r="K735">
        <f>Table1[[#This Row],[EmployeeNumber]]</f>
        <v>1018</v>
      </c>
      <c r="L735">
        <f>Table1[[#This Row],[DistanceFromHome]]</f>
        <v>2</v>
      </c>
      <c r="M735" t="str">
        <f>Table1[[#This Row],[OverTime]]</f>
        <v>No</v>
      </c>
      <c r="N735">
        <f>Table1[[#This Row],[WorkLifeBalance]]</f>
        <v>3</v>
      </c>
      <c r="O735" t="str" cm="1">
        <f t="array" ref="O735">_xlfn.IFS(A735&lt;=30,"18-30",A735&lt;=40,"31-40",A735&lt;=50,"41-50",A735&gt;50,"51+")</f>
        <v>18-30</v>
      </c>
      <c r="P735" t="str" cm="1">
        <f t="array" ref="P735">_xlfn.IFS(F735&lt;=45,"45 or below",F735&lt;= 60,"46-60",F735&lt;=75,"61-75",F735&lt;=90,"76-90",F735&gt;90,"91 or above")</f>
        <v>45 or below</v>
      </c>
      <c r="Q7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35" t="str" cm="1">
        <f t="array" ref="R7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36" spans="1:18" x14ac:dyDescent="0.2">
      <c r="A736">
        <f>Table1[[#This Row],[Age]]</f>
        <v>22</v>
      </c>
      <c r="B736">
        <f>IF(Table3[[#This Row],[Attrition]] = "Yes", 1,0)</f>
        <v>0</v>
      </c>
      <c r="C736" t="str">
        <f>Table1[[#This Row],[Attrition]]</f>
        <v>No</v>
      </c>
      <c r="D736" t="str">
        <f>Table1[[#This Row],[Department]]</f>
        <v>Research &amp; Development</v>
      </c>
      <c r="E736">
        <f>Table1[[#This Row],[EnvironmentSatisfaction]]</f>
        <v>2</v>
      </c>
      <c r="F736">
        <f>Table1[[#This Row],[HourlyRate]]</f>
        <v>94</v>
      </c>
      <c r="G736" t="str">
        <f>Table1[[#This Row],[JobRole]]</f>
        <v>Laboratory Technician</v>
      </c>
      <c r="H736">
        <f>Table1[[#This Row],[JobSatisfaction]]</f>
        <v>1</v>
      </c>
      <c r="I736">
        <f>Table1[[#This Row],[YearsAtCompany]]</f>
        <v>4</v>
      </c>
      <c r="J736">
        <f>Table1[[#This Row],[YearsSinceLastPromotion]]</f>
        <v>1</v>
      </c>
      <c r="K736">
        <f>Table1[[#This Row],[EmployeeNumber]]</f>
        <v>1019</v>
      </c>
      <c r="L736">
        <f>Table1[[#This Row],[DistanceFromHome]]</f>
        <v>8</v>
      </c>
      <c r="M736" t="str">
        <f>Table1[[#This Row],[OverTime]]</f>
        <v>No</v>
      </c>
      <c r="N736">
        <f>Table1[[#This Row],[WorkLifeBalance]]</f>
        <v>2</v>
      </c>
      <c r="O736" t="str" cm="1">
        <f t="array" ref="O736">_xlfn.IFS(A736&lt;=30,"18-30",A736&lt;=40,"31-40",A736&lt;=50,"41-50",A736&gt;50,"51+")</f>
        <v>18-30</v>
      </c>
      <c r="P736" t="str" cm="1">
        <f t="array" ref="P736">_xlfn.IFS(F736&lt;=45,"45 or below",F736&lt;= 60,"46-60",F736&lt;=75,"61-75",F736&lt;=90,"76-90",F736&gt;90,"91 or above")</f>
        <v>91 or above</v>
      </c>
      <c r="Q7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736" t="str" cm="1">
        <f t="array" ref="R736" xml:space="preserve"> _xlfn.IFS(Table3[[#This Row],[Flight Risk Score]] = "NA","NA",Table3[[#This Row],[Flight Risk Score]] &gt;= 70,"High Risk",Table3[[#This Row],[Flight Risk Score]] &gt;= 50, "Medium Risk", Table3[[#This Row],[Flight Risk Score]] &gt;= 30,"Low Risk",Table3[[#This Row],[Flight Risk Score]] &lt; 30,"Very Low Risk")</f>
        <v>Low Risk</v>
      </c>
    </row>
    <row r="737" spans="1:18" x14ac:dyDescent="0.2">
      <c r="A737">
        <f>Table1[[#This Row],[Age]]</f>
        <v>48</v>
      </c>
      <c r="B737">
        <f>IF(Table3[[#This Row],[Attrition]] = "Yes", 1,0)</f>
        <v>0</v>
      </c>
      <c r="C737" t="str">
        <f>Table1[[#This Row],[Attrition]]</f>
        <v>No</v>
      </c>
      <c r="D737" t="str">
        <f>Table1[[#This Row],[Department]]</f>
        <v>Research &amp; Development</v>
      </c>
      <c r="E737">
        <f>Table1[[#This Row],[EnvironmentSatisfaction]]</f>
        <v>1</v>
      </c>
      <c r="F737">
        <f>Table1[[#This Row],[HourlyRate]]</f>
        <v>97</v>
      </c>
      <c r="G737" t="str">
        <f>Table1[[#This Row],[JobRole]]</f>
        <v>Healthcare Representative</v>
      </c>
      <c r="H737">
        <f>Table1[[#This Row],[JobSatisfaction]]</f>
        <v>3</v>
      </c>
      <c r="I737">
        <f>Table1[[#This Row],[YearsAtCompany]]</f>
        <v>2</v>
      </c>
      <c r="J737">
        <f>Table1[[#This Row],[YearsSinceLastPromotion]]</f>
        <v>2</v>
      </c>
      <c r="K737">
        <f>Table1[[#This Row],[EmployeeNumber]]</f>
        <v>1022</v>
      </c>
      <c r="L737">
        <f>Table1[[#This Row],[DistanceFromHome]]</f>
        <v>6</v>
      </c>
      <c r="M737" t="str">
        <f>Table1[[#This Row],[OverTime]]</f>
        <v>No</v>
      </c>
      <c r="N737">
        <f>Table1[[#This Row],[WorkLifeBalance]]</f>
        <v>3</v>
      </c>
      <c r="O737" t="str" cm="1">
        <f t="array" ref="O737">_xlfn.IFS(A737&lt;=30,"18-30",A737&lt;=40,"31-40",A737&lt;=50,"41-50",A737&gt;50,"51+")</f>
        <v>41-50</v>
      </c>
      <c r="P737" t="str" cm="1">
        <f t="array" ref="P737">_xlfn.IFS(F737&lt;=45,"45 or below",F737&lt;= 60,"46-60",F737&lt;=75,"61-75",F737&lt;=90,"76-90",F737&gt;90,"91 or above")</f>
        <v>91 or above</v>
      </c>
      <c r="Q7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37" t="str" cm="1">
        <f t="array" ref="R73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38" spans="1:18" x14ac:dyDescent="0.2">
      <c r="A738">
        <f>Table1[[#This Row],[Age]]</f>
        <v>48</v>
      </c>
      <c r="B738">
        <f>IF(Table3[[#This Row],[Attrition]] = "Yes", 1,0)</f>
        <v>0</v>
      </c>
      <c r="C738" t="str">
        <f>Table1[[#This Row],[Attrition]]</f>
        <v>No</v>
      </c>
      <c r="D738" t="str">
        <f>Table1[[#This Row],[Department]]</f>
        <v>Research &amp; Development</v>
      </c>
      <c r="E738">
        <f>Table1[[#This Row],[EnvironmentSatisfaction]]</f>
        <v>3</v>
      </c>
      <c r="F738">
        <f>Table1[[#This Row],[HourlyRate]]</f>
        <v>78</v>
      </c>
      <c r="G738" t="str">
        <f>Table1[[#This Row],[JobRole]]</f>
        <v>Healthcare Representative</v>
      </c>
      <c r="H738">
        <f>Table1[[#This Row],[JobSatisfaction]]</f>
        <v>3</v>
      </c>
      <c r="I738">
        <f>Table1[[#This Row],[YearsAtCompany]]</f>
        <v>15</v>
      </c>
      <c r="J738">
        <f>Table1[[#This Row],[YearsSinceLastPromotion]]</f>
        <v>4</v>
      </c>
      <c r="K738">
        <f>Table1[[#This Row],[EmployeeNumber]]</f>
        <v>1024</v>
      </c>
      <c r="L738">
        <f>Table1[[#This Row],[DistanceFromHome]]</f>
        <v>4</v>
      </c>
      <c r="M738" t="str">
        <f>Table1[[#This Row],[OverTime]]</f>
        <v>No</v>
      </c>
      <c r="N738">
        <f>Table1[[#This Row],[WorkLifeBalance]]</f>
        <v>3</v>
      </c>
      <c r="O738" t="str" cm="1">
        <f t="array" ref="O738">_xlfn.IFS(A738&lt;=30,"18-30",A738&lt;=40,"31-40",A738&lt;=50,"41-50",A738&gt;50,"51+")</f>
        <v>41-50</v>
      </c>
      <c r="P738" t="str" cm="1">
        <f t="array" ref="P738">_xlfn.IFS(F738&lt;=45,"45 or below",F738&lt;= 60,"46-60",F738&lt;=75,"61-75",F738&lt;=90,"76-90",F738&gt;90,"91 or above")</f>
        <v>76-90</v>
      </c>
      <c r="Q73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38" t="str" cm="1">
        <f t="array" ref="R73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39" spans="1:18" x14ac:dyDescent="0.2">
      <c r="A739">
        <f>Table1[[#This Row],[Age]]</f>
        <v>41</v>
      </c>
      <c r="B739">
        <f>IF(Table3[[#This Row],[Attrition]] = "Yes", 1,0)</f>
        <v>0</v>
      </c>
      <c r="C739" t="str">
        <f>Table1[[#This Row],[Attrition]]</f>
        <v>No</v>
      </c>
      <c r="D739" t="str">
        <f>Table1[[#This Row],[Department]]</f>
        <v>Research &amp; Development</v>
      </c>
      <c r="E739">
        <f>Table1[[#This Row],[EnvironmentSatisfaction]]</f>
        <v>4</v>
      </c>
      <c r="F739">
        <f>Table1[[#This Row],[HourlyRate]]</f>
        <v>42</v>
      </c>
      <c r="G739" t="str">
        <f>Table1[[#This Row],[JobRole]]</f>
        <v>Manufacturing Director</v>
      </c>
      <c r="H739">
        <f>Table1[[#This Row],[JobSatisfaction]]</f>
        <v>3</v>
      </c>
      <c r="I739">
        <f>Table1[[#This Row],[YearsAtCompany]]</f>
        <v>2</v>
      </c>
      <c r="J739">
        <f>Table1[[#This Row],[YearsSinceLastPromotion]]</f>
        <v>2</v>
      </c>
      <c r="K739">
        <f>Table1[[#This Row],[EmployeeNumber]]</f>
        <v>1025</v>
      </c>
      <c r="L739">
        <f>Table1[[#This Row],[DistanceFromHome]]</f>
        <v>7</v>
      </c>
      <c r="M739" t="str">
        <f>Table1[[#This Row],[OverTime]]</f>
        <v>No</v>
      </c>
      <c r="N739">
        <f>Table1[[#This Row],[WorkLifeBalance]]</f>
        <v>3</v>
      </c>
      <c r="O739" t="str" cm="1">
        <f t="array" ref="O739">_xlfn.IFS(A739&lt;=30,"18-30",A739&lt;=40,"31-40",A739&lt;=50,"41-50",A739&gt;50,"51+")</f>
        <v>41-50</v>
      </c>
      <c r="P739" t="str" cm="1">
        <f t="array" ref="P739">_xlfn.IFS(F739&lt;=45,"45 or below",F739&lt;= 60,"46-60",F739&lt;=75,"61-75",F739&lt;=90,"76-90",F739&gt;90,"91 or above")</f>
        <v>45 or below</v>
      </c>
      <c r="Q7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39" t="str" cm="1">
        <f t="array" ref="R7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0" spans="1:18" x14ac:dyDescent="0.2">
      <c r="A740">
        <f>Table1[[#This Row],[Age]]</f>
        <v>39</v>
      </c>
      <c r="B740">
        <f>IF(Table3[[#This Row],[Attrition]] = "Yes", 1,0)</f>
        <v>0</v>
      </c>
      <c r="C740" t="str">
        <f>Table1[[#This Row],[Attrition]]</f>
        <v>No</v>
      </c>
      <c r="D740" t="str">
        <f>Table1[[#This Row],[Department]]</f>
        <v>Research &amp; Development</v>
      </c>
      <c r="E740">
        <f>Table1[[#This Row],[EnvironmentSatisfaction]]</f>
        <v>4</v>
      </c>
      <c r="F740">
        <f>Table1[[#This Row],[HourlyRate]]</f>
        <v>65</v>
      </c>
      <c r="G740" t="str">
        <f>Table1[[#This Row],[JobRole]]</f>
        <v>Manufacturing Director</v>
      </c>
      <c r="H740">
        <f>Table1[[#This Row],[JobSatisfaction]]</f>
        <v>4</v>
      </c>
      <c r="I740">
        <f>Table1[[#This Row],[YearsAtCompany]]</f>
        <v>21</v>
      </c>
      <c r="J740">
        <f>Table1[[#This Row],[YearsSinceLastPromotion]]</f>
        <v>11</v>
      </c>
      <c r="K740">
        <f>Table1[[#This Row],[EmployeeNumber]]</f>
        <v>1026</v>
      </c>
      <c r="L740">
        <f>Table1[[#This Row],[DistanceFromHome]]</f>
        <v>1</v>
      </c>
      <c r="M740" t="str">
        <f>Table1[[#This Row],[OverTime]]</f>
        <v>No</v>
      </c>
      <c r="N740">
        <f>Table1[[#This Row],[WorkLifeBalance]]</f>
        <v>3</v>
      </c>
      <c r="O740" t="str" cm="1">
        <f t="array" ref="O740">_xlfn.IFS(A740&lt;=30,"18-30",A740&lt;=40,"31-40",A740&lt;=50,"41-50",A740&gt;50,"51+")</f>
        <v>31-40</v>
      </c>
      <c r="P740" t="str" cm="1">
        <f t="array" ref="P740">_xlfn.IFS(F740&lt;=45,"45 or below",F740&lt;= 60,"46-60",F740&lt;=75,"61-75",F740&lt;=90,"76-90",F740&gt;90,"91 or above")</f>
        <v>61-75</v>
      </c>
      <c r="Q7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40" t="str" cm="1">
        <f t="array" ref="R7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1" spans="1:18" x14ac:dyDescent="0.2">
      <c r="A741">
        <f>Table1[[#This Row],[Age]]</f>
        <v>27</v>
      </c>
      <c r="B741">
        <f>IF(Table3[[#This Row],[Attrition]] = "Yes", 1,0)</f>
        <v>0</v>
      </c>
      <c r="C741" t="str">
        <f>Table1[[#This Row],[Attrition]]</f>
        <v>No</v>
      </c>
      <c r="D741" t="str">
        <f>Table1[[#This Row],[Department]]</f>
        <v>Research &amp; Development</v>
      </c>
      <c r="E741">
        <f>Table1[[#This Row],[EnvironmentSatisfaction]]</f>
        <v>1</v>
      </c>
      <c r="F741">
        <f>Table1[[#This Row],[HourlyRate]]</f>
        <v>47</v>
      </c>
      <c r="G741" t="str">
        <f>Table1[[#This Row],[JobRole]]</f>
        <v>Manufacturing Director</v>
      </c>
      <c r="H741">
        <f>Table1[[#This Row],[JobSatisfaction]]</f>
        <v>4</v>
      </c>
      <c r="I741">
        <f>Table1[[#This Row],[YearsAtCompany]]</f>
        <v>3</v>
      </c>
      <c r="J741">
        <f>Table1[[#This Row],[YearsSinceLastPromotion]]</f>
        <v>2</v>
      </c>
      <c r="K741">
        <f>Table1[[#This Row],[EmployeeNumber]]</f>
        <v>1027</v>
      </c>
      <c r="L741">
        <f>Table1[[#This Row],[DistanceFromHome]]</f>
        <v>2</v>
      </c>
      <c r="M741" t="str">
        <f>Table1[[#This Row],[OverTime]]</f>
        <v>No</v>
      </c>
      <c r="N741">
        <f>Table1[[#This Row],[WorkLifeBalance]]</f>
        <v>3</v>
      </c>
      <c r="O741" t="str" cm="1">
        <f t="array" ref="O741">_xlfn.IFS(A741&lt;=30,"18-30",A741&lt;=40,"31-40",A741&lt;=50,"41-50",A741&gt;50,"51+")</f>
        <v>18-30</v>
      </c>
      <c r="P741" t="str" cm="1">
        <f t="array" ref="P741">_xlfn.IFS(F741&lt;=45,"45 or below",F741&lt;= 60,"46-60",F741&lt;=75,"61-75",F741&lt;=90,"76-90",F741&gt;90,"91 or above")</f>
        <v>46-60</v>
      </c>
      <c r="Q7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41" t="str" cm="1">
        <f t="array" ref="R7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2" spans="1:18" x14ac:dyDescent="0.2">
      <c r="A742">
        <f>Table1[[#This Row],[Age]]</f>
        <v>35</v>
      </c>
      <c r="B742">
        <f>IF(Table3[[#This Row],[Attrition]] = "Yes", 1,0)</f>
        <v>0</v>
      </c>
      <c r="C742" t="str">
        <f>Table1[[#This Row],[Attrition]]</f>
        <v>No</v>
      </c>
      <c r="D742" t="str">
        <f>Table1[[#This Row],[Department]]</f>
        <v>Research &amp; Development</v>
      </c>
      <c r="E742">
        <f>Table1[[#This Row],[EnvironmentSatisfaction]]</f>
        <v>2</v>
      </c>
      <c r="F742">
        <f>Table1[[#This Row],[HourlyRate]]</f>
        <v>45</v>
      </c>
      <c r="G742" t="str">
        <f>Table1[[#This Row],[JobRole]]</f>
        <v>Laboratory Technician</v>
      </c>
      <c r="H742">
        <f>Table1[[#This Row],[JobSatisfaction]]</f>
        <v>4</v>
      </c>
      <c r="I742">
        <f>Table1[[#This Row],[YearsAtCompany]]</f>
        <v>3</v>
      </c>
      <c r="J742">
        <f>Table1[[#This Row],[YearsSinceLastPromotion]]</f>
        <v>1</v>
      </c>
      <c r="K742">
        <f>Table1[[#This Row],[EmployeeNumber]]</f>
        <v>1028</v>
      </c>
      <c r="L742">
        <f>Table1[[#This Row],[DistanceFromHome]]</f>
        <v>10</v>
      </c>
      <c r="M742" t="str">
        <f>Table1[[#This Row],[OverTime]]</f>
        <v>No</v>
      </c>
      <c r="N742">
        <f>Table1[[#This Row],[WorkLifeBalance]]</f>
        <v>2</v>
      </c>
      <c r="O742" t="str" cm="1">
        <f t="array" ref="O742">_xlfn.IFS(A742&lt;=30,"18-30",A742&lt;=40,"31-40",A742&lt;=50,"41-50",A742&gt;50,"51+")</f>
        <v>31-40</v>
      </c>
      <c r="P742" t="str" cm="1">
        <f t="array" ref="P742">_xlfn.IFS(F742&lt;=45,"45 or below",F742&lt;= 60,"46-60",F742&lt;=75,"61-75",F742&lt;=90,"76-90",F742&gt;90,"91 or above")</f>
        <v>45 or below</v>
      </c>
      <c r="Q7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42" t="str" cm="1">
        <f t="array" ref="R7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3" spans="1:18" x14ac:dyDescent="0.2">
      <c r="A743">
        <f>Table1[[#This Row],[Age]]</f>
        <v>42</v>
      </c>
      <c r="B743">
        <f>IF(Table3[[#This Row],[Attrition]] = "Yes", 1,0)</f>
        <v>0</v>
      </c>
      <c r="C743" t="str">
        <f>Table1[[#This Row],[Attrition]]</f>
        <v>No</v>
      </c>
      <c r="D743" t="str">
        <f>Table1[[#This Row],[Department]]</f>
        <v>Sales</v>
      </c>
      <c r="E743">
        <f>Table1[[#This Row],[EnvironmentSatisfaction]]</f>
        <v>4</v>
      </c>
      <c r="F743">
        <f>Table1[[#This Row],[HourlyRate]]</f>
        <v>90</v>
      </c>
      <c r="G743" t="str">
        <f>Table1[[#This Row],[JobRole]]</f>
        <v>Manager</v>
      </c>
      <c r="H743">
        <f>Table1[[#This Row],[JobSatisfaction]]</f>
        <v>3</v>
      </c>
      <c r="I743">
        <f>Table1[[#This Row],[YearsAtCompany]]</f>
        <v>1</v>
      </c>
      <c r="J743">
        <f>Table1[[#This Row],[YearsSinceLastPromotion]]</f>
        <v>0</v>
      </c>
      <c r="K743">
        <f>Table1[[#This Row],[EmployeeNumber]]</f>
        <v>1029</v>
      </c>
      <c r="L743">
        <f>Table1[[#This Row],[DistanceFromHome]]</f>
        <v>5</v>
      </c>
      <c r="M743" t="str">
        <f>Table1[[#This Row],[OverTime]]</f>
        <v>No</v>
      </c>
      <c r="N743">
        <f>Table1[[#This Row],[WorkLifeBalance]]</f>
        <v>4</v>
      </c>
      <c r="O743" t="str" cm="1">
        <f t="array" ref="O743">_xlfn.IFS(A743&lt;=30,"18-30",A743&lt;=40,"31-40",A743&lt;=50,"41-50",A743&gt;50,"51+")</f>
        <v>41-50</v>
      </c>
      <c r="P743" t="str" cm="1">
        <f t="array" ref="P743">_xlfn.IFS(F743&lt;=45,"45 or below",F743&lt;= 60,"46-60",F743&lt;=75,"61-75",F743&lt;=90,"76-90",F743&gt;90,"91 or above")</f>
        <v>76-90</v>
      </c>
      <c r="Q7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43" t="str" cm="1">
        <f t="array" ref="R7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4" spans="1:18" x14ac:dyDescent="0.2">
      <c r="A744">
        <f>Table1[[#This Row],[Age]]</f>
        <v>50</v>
      </c>
      <c r="B744">
        <f>IF(Table3[[#This Row],[Attrition]] = "Yes", 1,0)</f>
        <v>0</v>
      </c>
      <c r="C744" t="str">
        <f>Table1[[#This Row],[Attrition]]</f>
        <v>No</v>
      </c>
      <c r="D744" t="str">
        <f>Table1[[#This Row],[Department]]</f>
        <v>Research &amp; Development</v>
      </c>
      <c r="E744">
        <f>Table1[[#This Row],[EnvironmentSatisfaction]]</f>
        <v>1</v>
      </c>
      <c r="F744">
        <f>Table1[[#This Row],[HourlyRate]]</f>
        <v>64</v>
      </c>
      <c r="G744" t="str">
        <f>Table1[[#This Row],[JobRole]]</f>
        <v>Laboratory Technician</v>
      </c>
      <c r="H744">
        <f>Table1[[#This Row],[JobSatisfaction]]</f>
        <v>4</v>
      </c>
      <c r="I744">
        <f>Table1[[#This Row],[YearsAtCompany]]</f>
        <v>1</v>
      </c>
      <c r="J744">
        <f>Table1[[#This Row],[YearsSinceLastPromotion]]</f>
        <v>0</v>
      </c>
      <c r="K744">
        <f>Table1[[#This Row],[EmployeeNumber]]</f>
        <v>1030</v>
      </c>
      <c r="L744">
        <f>Table1[[#This Row],[DistanceFromHome]]</f>
        <v>9</v>
      </c>
      <c r="M744" t="str">
        <f>Table1[[#This Row],[OverTime]]</f>
        <v>No</v>
      </c>
      <c r="N744">
        <f>Table1[[#This Row],[WorkLifeBalance]]</f>
        <v>3</v>
      </c>
      <c r="O744" t="str" cm="1">
        <f t="array" ref="O744">_xlfn.IFS(A744&lt;=30,"18-30",A744&lt;=40,"31-40",A744&lt;=50,"41-50",A744&gt;50,"51+")</f>
        <v>41-50</v>
      </c>
      <c r="P744" t="str" cm="1">
        <f t="array" ref="P744">_xlfn.IFS(F744&lt;=45,"45 or below",F744&lt;= 60,"46-60",F744&lt;=75,"61-75",F744&lt;=90,"76-90",F744&gt;90,"91 or above")</f>
        <v>61-75</v>
      </c>
      <c r="Q7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44" t="str" cm="1">
        <f t="array" ref="R74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5" spans="1:18" x14ac:dyDescent="0.2">
      <c r="A745">
        <f>Table1[[#This Row],[Age]]</f>
        <v>59</v>
      </c>
      <c r="B745">
        <f>IF(Table3[[#This Row],[Attrition]] = "Yes", 1,0)</f>
        <v>0</v>
      </c>
      <c r="C745" t="str">
        <f>Table1[[#This Row],[Attrition]]</f>
        <v>No</v>
      </c>
      <c r="D745" t="str">
        <f>Table1[[#This Row],[Department]]</f>
        <v>Research &amp; Development</v>
      </c>
      <c r="E745">
        <f>Table1[[#This Row],[EnvironmentSatisfaction]]</f>
        <v>3</v>
      </c>
      <c r="F745">
        <f>Table1[[#This Row],[HourlyRate]]</f>
        <v>69</v>
      </c>
      <c r="G745" t="str">
        <f>Table1[[#This Row],[JobRole]]</f>
        <v>Manufacturing Director</v>
      </c>
      <c r="H745">
        <f>Table1[[#This Row],[JobSatisfaction]]</f>
        <v>4</v>
      </c>
      <c r="I745">
        <f>Table1[[#This Row],[YearsAtCompany]]</f>
        <v>5</v>
      </c>
      <c r="J745">
        <f>Table1[[#This Row],[YearsSinceLastPromotion]]</f>
        <v>4</v>
      </c>
      <c r="K745">
        <f>Table1[[#This Row],[EmployeeNumber]]</f>
        <v>1032</v>
      </c>
      <c r="L745">
        <f>Table1[[#This Row],[DistanceFromHome]]</f>
        <v>2</v>
      </c>
      <c r="M745" t="str">
        <f>Table1[[#This Row],[OverTime]]</f>
        <v>Yes</v>
      </c>
      <c r="N745">
        <f>Table1[[#This Row],[WorkLifeBalance]]</f>
        <v>3</v>
      </c>
      <c r="O745" t="str" cm="1">
        <f t="array" ref="O745">_xlfn.IFS(A745&lt;=30,"18-30",A745&lt;=40,"31-40",A745&lt;=50,"41-50",A745&gt;50,"51+")</f>
        <v>51+</v>
      </c>
      <c r="P745" t="str" cm="1">
        <f t="array" ref="P745">_xlfn.IFS(F745&lt;=45,"45 or below",F745&lt;= 60,"46-60",F745&lt;=75,"61-75",F745&lt;=90,"76-90",F745&gt;90,"91 or above")</f>
        <v>61-75</v>
      </c>
      <c r="Q7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45" t="str" cm="1">
        <f t="array" ref="R745" xml:space="preserve"> _xlfn.IFS(Table3[[#This Row],[Flight Risk Score]] = "NA","NA",Table3[[#This Row],[Flight Risk Score]] &gt;= 70,"High Risk",Table3[[#This Row],[Flight Risk Score]] &gt;= 50, "Medium Risk", Table3[[#This Row],[Flight Risk Score]] &gt;= 30,"Low Risk",Table3[[#This Row],[Flight Risk Score]] &lt; 30,"Very Low Risk")</f>
        <v>Low Risk</v>
      </c>
    </row>
    <row r="746" spans="1:18" hidden="1" x14ac:dyDescent="0.2">
      <c r="A746">
        <f>Table1[[#This Row],[Age]]</f>
        <v>37</v>
      </c>
      <c r="B746">
        <f>IF(Table3[[#This Row],[Attrition]] = "Yes", 1,0)</f>
        <v>1</v>
      </c>
      <c r="C746" t="str">
        <f>Table1[[#This Row],[Attrition]]</f>
        <v>Yes</v>
      </c>
      <c r="D746" t="str">
        <f>Table1[[#This Row],[Department]]</f>
        <v>Research &amp; Development</v>
      </c>
      <c r="E746">
        <f>Table1[[#This Row],[EnvironmentSatisfaction]]</f>
        <v>1</v>
      </c>
      <c r="F746">
        <f>Table1[[#This Row],[HourlyRate]]</f>
        <v>61</v>
      </c>
      <c r="G746" t="str">
        <f>Table1[[#This Row],[JobRole]]</f>
        <v>Healthcare Representative</v>
      </c>
      <c r="H746">
        <f>Table1[[#This Row],[JobSatisfaction]]</f>
        <v>2</v>
      </c>
      <c r="I746">
        <f>Table1[[#This Row],[YearsAtCompany]]</f>
        <v>1</v>
      </c>
      <c r="J746">
        <f>Table1[[#This Row],[YearsSinceLastPromotion]]</f>
        <v>0</v>
      </c>
      <c r="K746">
        <f>Table1[[#This Row],[EmployeeNumber]]</f>
        <v>1033</v>
      </c>
      <c r="L746">
        <f>Table1[[#This Row],[DistanceFromHome]]</f>
        <v>11</v>
      </c>
      <c r="M746" t="str">
        <f>Table1[[#This Row],[OverTime]]</f>
        <v>No</v>
      </c>
      <c r="N746">
        <f>Table1[[#This Row],[WorkLifeBalance]]</f>
        <v>1</v>
      </c>
      <c r="O746" t="str" cm="1">
        <f t="array" ref="O746">_xlfn.IFS(A746&lt;=30,"18-30",A746&lt;=40,"31-40",A746&lt;=50,"41-50",A746&gt;50,"51+")</f>
        <v>31-40</v>
      </c>
      <c r="P746" t="str" cm="1">
        <f t="array" ref="P746">_xlfn.IFS(F746&lt;=45,"45 or below",F746&lt;= 60,"46-60",F746&lt;=75,"61-75",F746&lt;=90,"76-90",F746&gt;90,"91 or above")</f>
        <v>61-75</v>
      </c>
      <c r="Q74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46" t="str" cm="1">
        <f t="array" ref="R746" xml:space="preserve"> _xlfn.IFS(Table3[[#This Row],[Flight Risk Score]] = "NA","NA",Table3[[#This Row],[Flight Risk Score]] &gt;= 70,"High Risk",Table3[[#This Row],[Flight Risk Score]] &gt;= 50, "Medium Risk", Table3[[#This Row],[Flight Risk Score]] &gt;= 30,"Low Risk",Table3[[#This Row],[Flight Risk Score]] &lt; 30,"Very Low Risk")</f>
        <v>NA</v>
      </c>
    </row>
    <row r="747" spans="1:18" x14ac:dyDescent="0.2">
      <c r="A747">
        <f>Table1[[#This Row],[Age]]</f>
        <v>55</v>
      </c>
      <c r="B747">
        <f>IF(Table3[[#This Row],[Attrition]] = "Yes", 1,0)</f>
        <v>0</v>
      </c>
      <c r="C747" t="str">
        <f>Table1[[#This Row],[Attrition]]</f>
        <v>No</v>
      </c>
      <c r="D747" t="str">
        <f>Table1[[#This Row],[Department]]</f>
        <v>Research &amp; Development</v>
      </c>
      <c r="E747">
        <f>Table1[[#This Row],[EnvironmentSatisfaction]]</f>
        <v>3</v>
      </c>
      <c r="F747">
        <f>Table1[[#This Row],[HourlyRate]]</f>
        <v>62</v>
      </c>
      <c r="G747" t="str">
        <f>Table1[[#This Row],[JobRole]]</f>
        <v>Healthcare Representative</v>
      </c>
      <c r="H747">
        <f>Table1[[#This Row],[JobSatisfaction]]</f>
        <v>2</v>
      </c>
      <c r="I747">
        <f>Table1[[#This Row],[YearsAtCompany]]</f>
        <v>8</v>
      </c>
      <c r="J747">
        <f>Table1[[#This Row],[YearsSinceLastPromotion]]</f>
        <v>6</v>
      </c>
      <c r="K747">
        <f>Table1[[#This Row],[EmployeeNumber]]</f>
        <v>1034</v>
      </c>
      <c r="L747">
        <f>Table1[[#This Row],[DistanceFromHome]]</f>
        <v>18</v>
      </c>
      <c r="M747" t="str">
        <f>Table1[[#This Row],[OverTime]]</f>
        <v>Yes</v>
      </c>
      <c r="N747">
        <f>Table1[[#This Row],[WorkLifeBalance]]</f>
        <v>3</v>
      </c>
      <c r="O747" t="str" cm="1">
        <f t="array" ref="O747">_xlfn.IFS(A747&lt;=30,"18-30",A747&lt;=40,"31-40",A747&lt;=50,"41-50",A747&gt;50,"51+")</f>
        <v>51+</v>
      </c>
      <c r="P747" t="str" cm="1">
        <f t="array" ref="P747">_xlfn.IFS(F747&lt;=45,"45 or below",F747&lt;= 60,"46-60",F747&lt;=75,"61-75",F747&lt;=90,"76-90",F747&gt;90,"91 or above")</f>
        <v>61-75</v>
      </c>
      <c r="Q7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47" t="str" cm="1">
        <f t="array" ref="R74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48" spans="1:18" x14ac:dyDescent="0.2">
      <c r="A748">
        <f>Table1[[#This Row],[Age]]</f>
        <v>41</v>
      </c>
      <c r="B748">
        <f>IF(Table3[[#This Row],[Attrition]] = "Yes", 1,0)</f>
        <v>0</v>
      </c>
      <c r="C748" t="str">
        <f>Table1[[#This Row],[Attrition]]</f>
        <v>No</v>
      </c>
      <c r="D748" t="str">
        <f>Table1[[#This Row],[Department]]</f>
        <v>Research &amp; Development</v>
      </c>
      <c r="E748">
        <f>Table1[[#This Row],[EnvironmentSatisfaction]]</f>
        <v>2</v>
      </c>
      <c r="F748">
        <f>Table1[[#This Row],[HourlyRate]]</f>
        <v>55</v>
      </c>
      <c r="G748" t="str">
        <f>Table1[[#This Row],[JobRole]]</f>
        <v>Research Director</v>
      </c>
      <c r="H748">
        <f>Table1[[#This Row],[JobSatisfaction]]</f>
        <v>3</v>
      </c>
      <c r="I748">
        <f>Table1[[#This Row],[YearsAtCompany]]</f>
        <v>21</v>
      </c>
      <c r="J748">
        <f>Table1[[#This Row],[YearsSinceLastPromotion]]</f>
        <v>5</v>
      </c>
      <c r="K748">
        <f>Table1[[#This Row],[EmployeeNumber]]</f>
        <v>1035</v>
      </c>
      <c r="L748">
        <f>Table1[[#This Row],[DistanceFromHome]]</f>
        <v>7</v>
      </c>
      <c r="M748" t="str">
        <f>Table1[[#This Row],[OverTime]]</f>
        <v>No</v>
      </c>
      <c r="N748">
        <f>Table1[[#This Row],[WorkLifeBalance]]</f>
        <v>3</v>
      </c>
      <c r="O748" t="str" cm="1">
        <f t="array" ref="O748">_xlfn.IFS(A748&lt;=30,"18-30",A748&lt;=40,"31-40",A748&lt;=50,"41-50",A748&gt;50,"51+")</f>
        <v>41-50</v>
      </c>
      <c r="P748" t="str" cm="1">
        <f t="array" ref="P748">_xlfn.IFS(F748&lt;=45,"45 or below",F748&lt;= 60,"46-60",F748&lt;=75,"61-75",F748&lt;=90,"76-90",F748&gt;90,"91 or above")</f>
        <v>46-60</v>
      </c>
      <c r="Q7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48" t="str" cm="1">
        <f t="array" ref="R7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49" spans="1:18" x14ac:dyDescent="0.2">
      <c r="A749">
        <f>Table1[[#This Row],[Age]]</f>
        <v>38</v>
      </c>
      <c r="B749">
        <f>IF(Table3[[#This Row],[Attrition]] = "Yes", 1,0)</f>
        <v>0</v>
      </c>
      <c r="C749" t="str">
        <f>Table1[[#This Row],[Attrition]]</f>
        <v>No</v>
      </c>
      <c r="D749" t="str">
        <f>Table1[[#This Row],[Department]]</f>
        <v>Sales</v>
      </c>
      <c r="E749">
        <f>Table1[[#This Row],[EnvironmentSatisfaction]]</f>
        <v>2</v>
      </c>
      <c r="F749">
        <f>Table1[[#This Row],[HourlyRate]]</f>
        <v>42</v>
      </c>
      <c r="G749" t="str">
        <f>Table1[[#This Row],[JobRole]]</f>
        <v>Sales Executive</v>
      </c>
      <c r="H749">
        <f>Table1[[#This Row],[JobSatisfaction]]</f>
        <v>4</v>
      </c>
      <c r="I749">
        <f>Table1[[#This Row],[YearsAtCompany]]</f>
        <v>1</v>
      </c>
      <c r="J749">
        <f>Table1[[#This Row],[YearsSinceLastPromotion]]</f>
        <v>0</v>
      </c>
      <c r="K749">
        <f>Table1[[#This Row],[EmployeeNumber]]</f>
        <v>1036</v>
      </c>
      <c r="L749">
        <f>Table1[[#This Row],[DistanceFromHome]]</f>
        <v>3</v>
      </c>
      <c r="M749" t="str">
        <f>Table1[[#This Row],[OverTime]]</f>
        <v>Yes</v>
      </c>
      <c r="N749">
        <f>Table1[[#This Row],[WorkLifeBalance]]</f>
        <v>3</v>
      </c>
      <c r="O749" t="str" cm="1">
        <f t="array" ref="O749">_xlfn.IFS(A749&lt;=30,"18-30",A749&lt;=40,"31-40",A749&lt;=50,"41-50",A749&gt;50,"51+")</f>
        <v>31-40</v>
      </c>
      <c r="P749" t="str" cm="1">
        <f t="array" ref="P749">_xlfn.IFS(F749&lt;=45,"45 or below",F749&lt;= 60,"46-60",F749&lt;=75,"61-75",F749&lt;=90,"76-90",F749&gt;90,"91 or above")</f>
        <v>45 or below</v>
      </c>
      <c r="Q7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49" t="str" cm="1">
        <f t="array" ref="R74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50" spans="1:18" hidden="1" x14ac:dyDescent="0.2">
      <c r="A750">
        <f>Table1[[#This Row],[Age]]</f>
        <v>26</v>
      </c>
      <c r="B750">
        <f>IF(Table3[[#This Row],[Attrition]] = "Yes", 1,0)</f>
        <v>1</v>
      </c>
      <c r="C750" t="str">
        <f>Table1[[#This Row],[Attrition]]</f>
        <v>Yes</v>
      </c>
      <c r="D750" t="str">
        <f>Table1[[#This Row],[Department]]</f>
        <v>Sales</v>
      </c>
      <c r="E750">
        <f>Table1[[#This Row],[EnvironmentSatisfaction]]</f>
        <v>2</v>
      </c>
      <c r="F750">
        <f>Table1[[#This Row],[HourlyRate]]</f>
        <v>79</v>
      </c>
      <c r="G750" t="str">
        <f>Table1[[#This Row],[JobRole]]</f>
        <v>Sales Executive</v>
      </c>
      <c r="H750">
        <f>Table1[[#This Row],[JobSatisfaction]]</f>
        <v>1</v>
      </c>
      <c r="I750">
        <f>Table1[[#This Row],[YearsAtCompany]]</f>
        <v>2</v>
      </c>
      <c r="J750">
        <f>Table1[[#This Row],[YearsSinceLastPromotion]]</f>
        <v>2</v>
      </c>
      <c r="K750">
        <f>Table1[[#This Row],[EmployeeNumber]]</f>
        <v>1037</v>
      </c>
      <c r="L750">
        <f>Table1[[#This Row],[DistanceFromHome]]</f>
        <v>29</v>
      </c>
      <c r="M750" t="str">
        <f>Table1[[#This Row],[OverTime]]</f>
        <v>No</v>
      </c>
      <c r="N750">
        <f>Table1[[#This Row],[WorkLifeBalance]]</f>
        <v>3</v>
      </c>
      <c r="O750" t="str" cm="1">
        <f t="array" ref="O750">_xlfn.IFS(A750&lt;=30,"18-30",A750&lt;=40,"31-40",A750&lt;=50,"41-50",A750&gt;50,"51+")</f>
        <v>18-30</v>
      </c>
      <c r="P750" t="str" cm="1">
        <f t="array" ref="P750">_xlfn.IFS(F750&lt;=45,"45 or below",F750&lt;= 60,"46-60",F750&lt;=75,"61-75",F750&lt;=90,"76-90",F750&gt;90,"91 or above")</f>
        <v>76-90</v>
      </c>
      <c r="Q75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50" t="str" cm="1">
        <f t="array" ref="R750" xml:space="preserve"> _xlfn.IFS(Table3[[#This Row],[Flight Risk Score]] = "NA","NA",Table3[[#This Row],[Flight Risk Score]] &gt;= 70,"High Risk",Table3[[#This Row],[Flight Risk Score]] &gt;= 50, "Medium Risk", Table3[[#This Row],[Flight Risk Score]] &gt;= 30,"Low Risk",Table3[[#This Row],[Flight Risk Score]] &lt; 30,"Very Low Risk")</f>
        <v>NA</v>
      </c>
    </row>
    <row r="751" spans="1:18" hidden="1" x14ac:dyDescent="0.2">
      <c r="A751">
        <f>Table1[[#This Row],[Age]]</f>
        <v>52</v>
      </c>
      <c r="B751">
        <f>IF(Table3[[#This Row],[Attrition]] = "Yes", 1,0)</f>
        <v>1</v>
      </c>
      <c r="C751" t="str">
        <f>Table1[[#This Row],[Attrition]]</f>
        <v>Yes</v>
      </c>
      <c r="D751" t="str">
        <f>Table1[[#This Row],[Department]]</f>
        <v>Sales</v>
      </c>
      <c r="E751">
        <f>Table1[[#This Row],[EnvironmentSatisfaction]]</f>
        <v>1</v>
      </c>
      <c r="F751">
        <f>Table1[[#This Row],[HourlyRate]]</f>
        <v>57</v>
      </c>
      <c r="G751" t="str">
        <f>Table1[[#This Row],[JobRole]]</f>
        <v>Manager</v>
      </c>
      <c r="H751">
        <f>Table1[[#This Row],[JobSatisfaction]]</f>
        <v>4</v>
      </c>
      <c r="I751">
        <f>Table1[[#This Row],[YearsAtCompany]]</f>
        <v>32</v>
      </c>
      <c r="J751">
        <f>Table1[[#This Row],[YearsSinceLastPromotion]]</f>
        <v>6</v>
      </c>
      <c r="K751">
        <f>Table1[[#This Row],[EmployeeNumber]]</f>
        <v>1038</v>
      </c>
      <c r="L751">
        <f>Table1[[#This Row],[DistanceFromHome]]</f>
        <v>2</v>
      </c>
      <c r="M751" t="str">
        <f>Table1[[#This Row],[OverTime]]</f>
        <v>No</v>
      </c>
      <c r="N751">
        <f>Table1[[#This Row],[WorkLifeBalance]]</f>
        <v>3</v>
      </c>
      <c r="O751" t="str" cm="1">
        <f t="array" ref="O751">_xlfn.IFS(A751&lt;=30,"18-30",A751&lt;=40,"31-40",A751&lt;=50,"41-50",A751&gt;50,"51+")</f>
        <v>51+</v>
      </c>
      <c r="P751" t="str" cm="1">
        <f t="array" ref="P751">_xlfn.IFS(F751&lt;=45,"45 or below",F751&lt;= 60,"46-60",F751&lt;=75,"61-75",F751&lt;=90,"76-90",F751&gt;90,"91 or above")</f>
        <v>46-60</v>
      </c>
      <c r="Q75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51" t="str" cm="1">
        <f t="array" ref="R751" xml:space="preserve"> _xlfn.IFS(Table3[[#This Row],[Flight Risk Score]] = "NA","NA",Table3[[#This Row],[Flight Risk Score]] &gt;= 70,"High Risk",Table3[[#This Row],[Flight Risk Score]] &gt;= 50, "Medium Risk", Table3[[#This Row],[Flight Risk Score]] &gt;= 30,"Low Risk",Table3[[#This Row],[Flight Risk Score]] &lt; 30,"Very Low Risk")</f>
        <v>NA</v>
      </c>
    </row>
    <row r="752" spans="1:18" x14ac:dyDescent="0.2">
      <c r="A752">
        <f>Table1[[#This Row],[Age]]</f>
        <v>44</v>
      </c>
      <c r="B752">
        <f>IF(Table3[[#This Row],[Attrition]] = "Yes", 1,0)</f>
        <v>0</v>
      </c>
      <c r="C752" t="str">
        <f>Table1[[#This Row],[Attrition]]</f>
        <v>No</v>
      </c>
      <c r="D752" t="str">
        <f>Table1[[#This Row],[Department]]</f>
        <v>Sales</v>
      </c>
      <c r="E752">
        <f>Table1[[#This Row],[EnvironmentSatisfaction]]</f>
        <v>4</v>
      </c>
      <c r="F752">
        <f>Table1[[#This Row],[HourlyRate]]</f>
        <v>53</v>
      </c>
      <c r="G752" t="str">
        <f>Table1[[#This Row],[JobRole]]</f>
        <v>Sales Executive</v>
      </c>
      <c r="H752">
        <f>Table1[[#This Row],[JobSatisfaction]]</f>
        <v>4</v>
      </c>
      <c r="I752">
        <f>Table1[[#This Row],[YearsAtCompany]]</f>
        <v>12</v>
      </c>
      <c r="J752">
        <f>Table1[[#This Row],[YearsSinceLastPromotion]]</f>
        <v>11</v>
      </c>
      <c r="K752">
        <f>Table1[[#This Row],[EmployeeNumber]]</f>
        <v>1039</v>
      </c>
      <c r="L752">
        <f>Table1[[#This Row],[DistanceFromHome]]</f>
        <v>28</v>
      </c>
      <c r="M752" t="str">
        <f>Table1[[#This Row],[OverTime]]</f>
        <v>Yes</v>
      </c>
      <c r="N752">
        <f>Table1[[#This Row],[WorkLifeBalance]]</f>
        <v>3</v>
      </c>
      <c r="O752" t="str" cm="1">
        <f t="array" ref="O752">_xlfn.IFS(A752&lt;=30,"18-30",A752&lt;=40,"31-40",A752&lt;=50,"41-50",A752&gt;50,"51+")</f>
        <v>41-50</v>
      </c>
      <c r="P752" t="str" cm="1">
        <f t="array" ref="P752">_xlfn.IFS(F752&lt;=45,"45 or below",F752&lt;= 60,"46-60",F752&lt;=75,"61-75",F752&lt;=90,"76-90",F752&gt;90,"91 or above")</f>
        <v>46-60</v>
      </c>
      <c r="Q7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52" t="str" cm="1">
        <f t="array" ref="R7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753" spans="1:18" x14ac:dyDescent="0.2">
      <c r="A753">
        <f>Table1[[#This Row],[Age]]</f>
        <v>50</v>
      </c>
      <c r="B753">
        <f>IF(Table3[[#This Row],[Attrition]] = "Yes", 1,0)</f>
        <v>0</v>
      </c>
      <c r="C753" t="str">
        <f>Table1[[#This Row],[Attrition]]</f>
        <v>No</v>
      </c>
      <c r="D753" t="str">
        <f>Table1[[#This Row],[Department]]</f>
        <v>Sales</v>
      </c>
      <c r="E753">
        <f>Table1[[#This Row],[EnvironmentSatisfaction]]</f>
        <v>4</v>
      </c>
      <c r="F753">
        <f>Table1[[#This Row],[HourlyRate]]</f>
        <v>95</v>
      </c>
      <c r="G753" t="str">
        <f>Table1[[#This Row],[JobRole]]</f>
        <v>Sales Executive</v>
      </c>
      <c r="H753">
        <f>Table1[[#This Row],[JobSatisfaction]]</f>
        <v>3</v>
      </c>
      <c r="I753">
        <f>Table1[[#This Row],[YearsAtCompany]]</f>
        <v>18</v>
      </c>
      <c r="J753">
        <f>Table1[[#This Row],[YearsSinceLastPromotion]]</f>
        <v>0</v>
      </c>
      <c r="K753">
        <f>Table1[[#This Row],[EmployeeNumber]]</f>
        <v>1040</v>
      </c>
      <c r="L753">
        <f>Table1[[#This Row],[DistanceFromHome]]</f>
        <v>1</v>
      </c>
      <c r="M753" t="str">
        <f>Table1[[#This Row],[OverTime]]</f>
        <v>No</v>
      </c>
      <c r="N753">
        <f>Table1[[#This Row],[WorkLifeBalance]]</f>
        <v>3</v>
      </c>
      <c r="O753" t="str" cm="1">
        <f t="array" ref="O753">_xlfn.IFS(A753&lt;=30,"18-30",A753&lt;=40,"31-40",A753&lt;=50,"41-50",A753&gt;50,"51+")</f>
        <v>41-50</v>
      </c>
      <c r="P753" t="str" cm="1">
        <f t="array" ref="P753">_xlfn.IFS(F753&lt;=45,"45 or below",F753&lt;= 60,"46-60",F753&lt;=75,"61-75",F753&lt;=90,"76-90",F753&gt;90,"91 or above")</f>
        <v>91 or above</v>
      </c>
      <c r="Q7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53" t="str" cm="1">
        <f t="array" ref="R7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54" spans="1:18" hidden="1" x14ac:dyDescent="0.2">
      <c r="A754">
        <f>Table1[[#This Row],[Age]]</f>
        <v>36</v>
      </c>
      <c r="B754">
        <f>IF(Table3[[#This Row],[Attrition]] = "Yes", 1,0)</f>
        <v>1</v>
      </c>
      <c r="C754" t="str">
        <f>Table1[[#This Row],[Attrition]]</f>
        <v>Yes</v>
      </c>
      <c r="D754" t="str">
        <f>Table1[[#This Row],[Department]]</f>
        <v>Research &amp; Development</v>
      </c>
      <c r="E754">
        <f>Table1[[#This Row],[EnvironmentSatisfaction]]</f>
        <v>3</v>
      </c>
      <c r="F754">
        <f>Table1[[#This Row],[HourlyRate]]</f>
        <v>43</v>
      </c>
      <c r="G754" t="str">
        <f>Table1[[#This Row],[JobRole]]</f>
        <v>Laboratory Technician</v>
      </c>
      <c r="H754">
        <f>Table1[[#This Row],[JobSatisfaction]]</f>
        <v>1</v>
      </c>
      <c r="I754">
        <f>Table1[[#This Row],[YearsAtCompany]]</f>
        <v>17</v>
      </c>
      <c r="J754">
        <f>Table1[[#This Row],[YearsSinceLastPromotion]]</f>
        <v>15</v>
      </c>
      <c r="K754">
        <f>Table1[[#This Row],[EmployeeNumber]]</f>
        <v>1042</v>
      </c>
      <c r="L754">
        <f>Table1[[#This Row],[DistanceFromHome]]</f>
        <v>16</v>
      </c>
      <c r="M754" t="str">
        <f>Table1[[#This Row],[OverTime]]</f>
        <v>No</v>
      </c>
      <c r="N754">
        <f>Table1[[#This Row],[WorkLifeBalance]]</f>
        <v>3</v>
      </c>
      <c r="O754" t="str" cm="1">
        <f t="array" ref="O754">_xlfn.IFS(A754&lt;=30,"18-30",A754&lt;=40,"31-40",A754&lt;=50,"41-50",A754&gt;50,"51+")</f>
        <v>31-40</v>
      </c>
      <c r="P754" t="str" cm="1">
        <f t="array" ref="P754">_xlfn.IFS(F754&lt;=45,"45 or below",F754&lt;= 60,"46-60",F754&lt;=75,"61-75",F754&lt;=90,"76-90",F754&gt;90,"91 or above")</f>
        <v>45 or below</v>
      </c>
      <c r="Q75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54" t="str" cm="1">
        <f t="array" ref="R754" xml:space="preserve"> _xlfn.IFS(Table3[[#This Row],[Flight Risk Score]] = "NA","NA",Table3[[#This Row],[Flight Risk Score]] &gt;= 70,"High Risk",Table3[[#This Row],[Flight Risk Score]] &gt;= 50, "Medium Risk", Table3[[#This Row],[Flight Risk Score]] &gt;= 30,"Low Risk",Table3[[#This Row],[Flight Risk Score]] &lt; 30,"Very Low Risk")</f>
        <v>NA</v>
      </c>
    </row>
    <row r="755" spans="1:18" x14ac:dyDescent="0.2">
      <c r="A755">
        <f>Table1[[#This Row],[Age]]</f>
        <v>39</v>
      </c>
      <c r="B755">
        <f>IF(Table3[[#This Row],[Attrition]] = "Yes", 1,0)</f>
        <v>0</v>
      </c>
      <c r="C755" t="str">
        <f>Table1[[#This Row],[Attrition]]</f>
        <v>No</v>
      </c>
      <c r="D755" t="str">
        <f>Table1[[#This Row],[Department]]</f>
        <v>Research &amp; Development</v>
      </c>
      <c r="E755">
        <f>Table1[[#This Row],[EnvironmentSatisfaction]]</f>
        <v>4</v>
      </c>
      <c r="F755">
        <f>Table1[[#This Row],[HourlyRate]]</f>
        <v>82</v>
      </c>
      <c r="G755" t="str">
        <f>Table1[[#This Row],[JobRole]]</f>
        <v>Manufacturing Director</v>
      </c>
      <c r="H755">
        <f>Table1[[#This Row],[JobSatisfaction]]</f>
        <v>1</v>
      </c>
      <c r="I755">
        <f>Table1[[#This Row],[YearsAtCompany]]</f>
        <v>21</v>
      </c>
      <c r="J755">
        <f>Table1[[#This Row],[YearsSinceLastPromotion]]</f>
        <v>2</v>
      </c>
      <c r="K755">
        <f>Table1[[#This Row],[EmployeeNumber]]</f>
        <v>1043</v>
      </c>
      <c r="L755">
        <f>Table1[[#This Row],[DistanceFromHome]]</f>
        <v>22</v>
      </c>
      <c r="M755" t="str">
        <f>Table1[[#This Row],[OverTime]]</f>
        <v>Yes</v>
      </c>
      <c r="N755">
        <f>Table1[[#This Row],[WorkLifeBalance]]</f>
        <v>3</v>
      </c>
      <c r="O755" t="str" cm="1">
        <f t="array" ref="O755">_xlfn.IFS(A755&lt;=30,"18-30",A755&lt;=40,"31-40",A755&lt;=50,"41-50",A755&gt;50,"51+")</f>
        <v>31-40</v>
      </c>
      <c r="P755" t="str" cm="1">
        <f t="array" ref="P755">_xlfn.IFS(F755&lt;=45,"45 or below",F755&lt;= 60,"46-60",F755&lt;=75,"61-75",F755&lt;=90,"76-90",F755&gt;90,"91 or above")</f>
        <v>76-90</v>
      </c>
      <c r="Q7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55" t="str" cm="1">
        <f t="array" ref="R75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56" spans="1:18" x14ac:dyDescent="0.2">
      <c r="A756">
        <f>Table1[[#This Row],[Age]]</f>
        <v>33</v>
      </c>
      <c r="B756">
        <f>IF(Table3[[#This Row],[Attrition]] = "Yes", 1,0)</f>
        <v>0</v>
      </c>
      <c r="C756" t="str">
        <f>Table1[[#This Row],[Attrition]]</f>
        <v>No</v>
      </c>
      <c r="D756" t="str">
        <f>Table1[[#This Row],[Department]]</f>
        <v>Sales</v>
      </c>
      <c r="E756">
        <f>Table1[[#This Row],[EnvironmentSatisfaction]]</f>
        <v>2</v>
      </c>
      <c r="F756">
        <f>Table1[[#This Row],[HourlyRate]]</f>
        <v>88</v>
      </c>
      <c r="G756" t="str">
        <f>Table1[[#This Row],[JobRole]]</f>
        <v>Sales Representative</v>
      </c>
      <c r="H756">
        <f>Table1[[#This Row],[JobSatisfaction]]</f>
        <v>4</v>
      </c>
      <c r="I756">
        <f>Table1[[#This Row],[YearsAtCompany]]</f>
        <v>2</v>
      </c>
      <c r="J756">
        <f>Table1[[#This Row],[YearsSinceLastPromotion]]</f>
        <v>2</v>
      </c>
      <c r="K756">
        <f>Table1[[#This Row],[EmployeeNumber]]</f>
        <v>1044</v>
      </c>
      <c r="L756">
        <f>Table1[[#This Row],[DistanceFromHome]]</f>
        <v>8</v>
      </c>
      <c r="M756" t="str">
        <f>Table1[[#This Row],[OverTime]]</f>
        <v>No</v>
      </c>
      <c r="N756">
        <f>Table1[[#This Row],[WorkLifeBalance]]</f>
        <v>2</v>
      </c>
      <c r="O756" t="str" cm="1">
        <f t="array" ref="O756">_xlfn.IFS(A756&lt;=30,"18-30",A756&lt;=40,"31-40",A756&lt;=50,"41-50",A756&gt;50,"51+")</f>
        <v>31-40</v>
      </c>
      <c r="P756" t="str" cm="1">
        <f t="array" ref="P756">_xlfn.IFS(F756&lt;=45,"45 or below",F756&lt;= 60,"46-60",F756&lt;=75,"61-75",F756&lt;=90,"76-90",F756&gt;90,"91 or above")</f>
        <v>76-90</v>
      </c>
      <c r="Q7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56" t="str" cm="1">
        <f t="array" ref="R7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57" spans="1:18" x14ac:dyDescent="0.2">
      <c r="A757">
        <f>Table1[[#This Row],[Age]]</f>
        <v>45</v>
      </c>
      <c r="B757">
        <f>IF(Table3[[#This Row],[Attrition]] = "Yes", 1,0)</f>
        <v>0</v>
      </c>
      <c r="C757" t="str">
        <f>Table1[[#This Row],[Attrition]]</f>
        <v>No</v>
      </c>
      <c r="D757" t="str">
        <f>Table1[[#This Row],[Department]]</f>
        <v>Sales</v>
      </c>
      <c r="E757">
        <f>Table1[[#This Row],[EnvironmentSatisfaction]]</f>
        <v>4</v>
      </c>
      <c r="F757">
        <f>Table1[[#This Row],[HourlyRate]]</f>
        <v>90</v>
      </c>
      <c r="G757" t="str">
        <f>Table1[[#This Row],[JobRole]]</f>
        <v>Manager</v>
      </c>
      <c r="H757">
        <f>Table1[[#This Row],[JobSatisfaction]]</f>
        <v>4</v>
      </c>
      <c r="I757">
        <f>Table1[[#This Row],[YearsAtCompany]]</f>
        <v>9</v>
      </c>
      <c r="J757">
        <f>Table1[[#This Row],[YearsSinceLastPromotion]]</f>
        <v>1</v>
      </c>
      <c r="K757">
        <f>Table1[[#This Row],[EmployeeNumber]]</f>
        <v>1045</v>
      </c>
      <c r="L757">
        <f>Table1[[#This Row],[DistanceFromHome]]</f>
        <v>11</v>
      </c>
      <c r="M757" t="str">
        <f>Table1[[#This Row],[OverTime]]</f>
        <v>No</v>
      </c>
      <c r="N757">
        <f>Table1[[#This Row],[WorkLifeBalance]]</f>
        <v>4</v>
      </c>
      <c r="O757" t="str" cm="1">
        <f t="array" ref="O757">_xlfn.IFS(A757&lt;=30,"18-30",A757&lt;=40,"31-40",A757&lt;=50,"41-50",A757&gt;50,"51+")</f>
        <v>41-50</v>
      </c>
      <c r="P757" t="str" cm="1">
        <f t="array" ref="P757">_xlfn.IFS(F757&lt;=45,"45 or below",F757&lt;= 60,"46-60",F757&lt;=75,"61-75",F757&lt;=90,"76-90",F757&gt;90,"91 or above")</f>
        <v>76-90</v>
      </c>
      <c r="Q7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57" t="str" cm="1">
        <f t="array" ref="R7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58" spans="1:18" x14ac:dyDescent="0.2">
      <c r="A758">
        <f>Table1[[#This Row],[Age]]</f>
        <v>32</v>
      </c>
      <c r="B758">
        <f>IF(Table3[[#This Row],[Attrition]] = "Yes", 1,0)</f>
        <v>0</v>
      </c>
      <c r="C758" t="str">
        <f>Table1[[#This Row],[Attrition]]</f>
        <v>No</v>
      </c>
      <c r="D758" t="str">
        <f>Table1[[#This Row],[Department]]</f>
        <v>Research &amp; Development</v>
      </c>
      <c r="E758">
        <f>Table1[[#This Row],[EnvironmentSatisfaction]]</f>
        <v>4</v>
      </c>
      <c r="F758">
        <f>Table1[[#This Row],[HourlyRate]]</f>
        <v>69</v>
      </c>
      <c r="G758" t="str">
        <f>Table1[[#This Row],[JobRole]]</f>
        <v>Laboratory Technician</v>
      </c>
      <c r="H758">
        <f>Table1[[#This Row],[JobSatisfaction]]</f>
        <v>3</v>
      </c>
      <c r="I758">
        <f>Table1[[#This Row],[YearsAtCompany]]</f>
        <v>8</v>
      </c>
      <c r="J758">
        <f>Table1[[#This Row],[YearsSinceLastPromotion]]</f>
        <v>7</v>
      </c>
      <c r="K758">
        <f>Table1[[#This Row],[EmployeeNumber]]</f>
        <v>1046</v>
      </c>
      <c r="L758">
        <f>Table1[[#This Row],[DistanceFromHome]]</f>
        <v>29</v>
      </c>
      <c r="M758" t="str">
        <f>Table1[[#This Row],[OverTime]]</f>
        <v>No</v>
      </c>
      <c r="N758">
        <f>Table1[[#This Row],[WorkLifeBalance]]</f>
        <v>3</v>
      </c>
      <c r="O758" t="str" cm="1">
        <f t="array" ref="O758">_xlfn.IFS(A758&lt;=30,"18-30",A758&lt;=40,"31-40",A758&lt;=50,"41-50",A758&gt;50,"51+")</f>
        <v>31-40</v>
      </c>
      <c r="P758" t="str" cm="1">
        <f t="array" ref="P758">_xlfn.IFS(F758&lt;=45,"45 or below",F758&lt;= 60,"46-60",F758&lt;=75,"61-75",F758&lt;=90,"76-90",F758&gt;90,"91 or above")</f>
        <v>61-75</v>
      </c>
      <c r="Q7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58" t="str" cm="1">
        <f t="array" ref="R7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59" spans="1:18" x14ac:dyDescent="0.2">
      <c r="A759">
        <f>Table1[[#This Row],[Age]]</f>
        <v>34</v>
      </c>
      <c r="B759">
        <f>IF(Table3[[#This Row],[Attrition]] = "Yes", 1,0)</f>
        <v>0</v>
      </c>
      <c r="C759" t="str">
        <f>Table1[[#This Row],[Attrition]]</f>
        <v>No</v>
      </c>
      <c r="D759" t="str">
        <f>Table1[[#This Row],[Department]]</f>
        <v>Sales</v>
      </c>
      <c r="E759">
        <f>Table1[[#This Row],[EnvironmentSatisfaction]]</f>
        <v>2</v>
      </c>
      <c r="F759">
        <f>Table1[[#This Row],[HourlyRate]]</f>
        <v>75</v>
      </c>
      <c r="G759" t="str">
        <f>Table1[[#This Row],[JobRole]]</f>
        <v>Sales Executive</v>
      </c>
      <c r="H759">
        <f>Table1[[#This Row],[JobSatisfaction]]</f>
        <v>4</v>
      </c>
      <c r="I759">
        <f>Table1[[#This Row],[YearsAtCompany]]</f>
        <v>15</v>
      </c>
      <c r="J759">
        <f>Table1[[#This Row],[YearsSinceLastPromotion]]</f>
        <v>0</v>
      </c>
      <c r="K759">
        <f>Table1[[#This Row],[EmployeeNumber]]</f>
        <v>1047</v>
      </c>
      <c r="L759">
        <f>Table1[[#This Row],[DistanceFromHome]]</f>
        <v>1</v>
      </c>
      <c r="M759" t="str">
        <f>Table1[[#This Row],[OverTime]]</f>
        <v>No</v>
      </c>
      <c r="N759">
        <f>Table1[[#This Row],[WorkLifeBalance]]</f>
        <v>2</v>
      </c>
      <c r="O759" t="str" cm="1">
        <f t="array" ref="O759">_xlfn.IFS(A759&lt;=30,"18-30",A759&lt;=40,"31-40",A759&lt;=50,"41-50",A759&gt;50,"51+")</f>
        <v>31-40</v>
      </c>
      <c r="P759" t="str" cm="1">
        <f t="array" ref="P759">_xlfn.IFS(F759&lt;=45,"45 or below",F759&lt;= 60,"46-60",F759&lt;=75,"61-75",F759&lt;=90,"76-90",F759&gt;90,"91 or above")</f>
        <v>61-75</v>
      </c>
      <c r="Q7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59" t="str" cm="1">
        <f t="array" ref="R7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60" spans="1:18" x14ac:dyDescent="0.2">
      <c r="A760">
        <f>Table1[[#This Row],[Age]]</f>
        <v>59</v>
      </c>
      <c r="B760">
        <f>IF(Table3[[#This Row],[Attrition]] = "Yes", 1,0)</f>
        <v>0</v>
      </c>
      <c r="C760" t="str">
        <f>Table1[[#This Row],[Attrition]]</f>
        <v>No</v>
      </c>
      <c r="D760" t="str">
        <f>Table1[[#This Row],[Department]]</f>
        <v>Sales</v>
      </c>
      <c r="E760">
        <f>Table1[[#This Row],[EnvironmentSatisfaction]]</f>
        <v>2</v>
      </c>
      <c r="F760">
        <f>Table1[[#This Row],[HourlyRate]]</f>
        <v>66</v>
      </c>
      <c r="G760" t="str">
        <f>Table1[[#This Row],[JobRole]]</f>
        <v>Manager</v>
      </c>
      <c r="H760">
        <f>Table1[[#This Row],[JobSatisfaction]]</f>
        <v>4</v>
      </c>
      <c r="I760">
        <f>Table1[[#This Row],[YearsAtCompany]]</f>
        <v>6</v>
      </c>
      <c r="J760">
        <f>Table1[[#This Row],[YearsSinceLastPromotion]]</f>
        <v>0</v>
      </c>
      <c r="K760">
        <f>Table1[[#This Row],[EmployeeNumber]]</f>
        <v>1048</v>
      </c>
      <c r="L760">
        <f>Table1[[#This Row],[DistanceFromHome]]</f>
        <v>1</v>
      </c>
      <c r="M760" t="str">
        <f>Table1[[#This Row],[OverTime]]</f>
        <v>Yes</v>
      </c>
      <c r="N760">
        <f>Table1[[#This Row],[WorkLifeBalance]]</f>
        <v>1</v>
      </c>
      <c r="O760" t="str" cm="1">
        <f t="array" ref="O760">_xlfn.IFS(A760&lt;=30,"18-30",A760&lt;=40,"31-40",A760&lt;=50,"41-50",A760&gt;50,"51+")</f>
        <v>51+</v>
      </c>
      <c r="P760" t="str" cm="1">
        <f t="array" ref="P760">_xlfn.IFS(F760&lt;=45,"45 or below",F760&lt;= 60,"46-60",F760&lt;=75,"61-75",F760&lt;=90,"76-90",F760&gt;90,"91 or above")</f>
        <v>61-75</v>
      </c>
      <c r="Q7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85</v>
      </c>
      <c r="R760" t="str" cm="1">
        <f t="array" ref="R760" xml:space="preserve"> _xlfn.IFS(Table3[[#This Row],[Flight Risk Score]] = "NA","NA",Table3[[#This Row],[Flight Risk Score]] &gt;= 70,"High Risk",Table3[[#This Row],[Flight Risk Score]] &gt;= 50, "Medium Risk", Table3[[#This Row],[Flight Risk Score]] &gt;= 30,"Low Risk",Table3[[#This Row],[Flight Risk Score]] &lt; 30,"Very Low Risk")</f>
        <v>High Risk</v>
      </c>
    </row>
    <row r="761" spans="1:18" x14ac:dyDescent="0.2">
      <c r="A761">
        <f>Table1[[#This Row],[Age]]</f>
        <v>45</v>
      </c>
      <c r="B761">
        <f>IF(Table3[[#This Row],[Attrition]] = "Yes", 1,0)</f>
        <v>0</v>
      </c>
      <c r="C761" t="str">
        <f>Table1[[#This Row],[Attrition]]</f>
        <v>No</v>
      </c>
      <c r="D761" t="str">
        <f>Table1[[#This Row],[Department]]</f>
        <v>Human Resources</v>
      </c>
      <c r="E761">
        <f>Table1[[#This Row],[EnvironmentSatisfaction]]</f>
        <v>2</v>
      </c>
      <c r="F761">
        <f>Table1[[#This Row],[HourlyRate]]</f>
        <v>36</v>
      </c>
      <c r="G761" t="str">
        <f>Table1[[#This Row],[JobRole]]</f>
        <v>Human Resources</v>
      </c>
      <c r="H761">
        <f>Table1[[#This Row],[JobSatisfaction]]</f>
        <v>2</v>
      </c>
      <c r="I761">
        <f>Table1[[#This Row],[YearsAtCompany]]</f>
        <v>6</v>
      </c>
      <c r="J761">
        <f>Table1[[#This Row],[YearsSinceLastPromotion]]</f>
        <v>0</v>
      </c>
      <c r="K761">
        <f>Table1[[#This Row],[EmployeeNumber]]</f>
        <v>1049</v>
      </c>
      <c r="L761">
        <f>Table1[[#This Row],[DistanceFromHome]]</f>
        <v>24</v>
      </c>
      <c r="M761" t="str">
        <f>Table1[[#This Row],[OverTime]]</f>
        <v>No</v>
      </c>
      <c r="N761">
        <f>Table1[[#This Row],[WorkLifeBalance]]</f>
        <v>3</v>
      </c>
      <c r="O761" t="str" cm="1">
        <f t="array" ref="O761">_xlfn.IFS(A761&lt;=30,"18-30",A761&lt;=40,"31-40",A761&lt;=50,"41-50",A761&gt;50,"51+")</f>
        <v>41-50</v>
      </c>
      <c r="P761" t="str" cm="1">
        <f t="array" ref="P761">_xlfn.IFS(F761&lt;=45,"45 or below",F761&lt;= 60,"46-60",F761&lt;=75,"61-75",F761&lt;=90,"76-90",F761&gt;90,"91 or above")</f>
        <v>45 or below</v>
      </c>
      <c r="Q7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761" t="str" cm="1">
        <f t="array" ref="R761" xml:space="preserve"> _xlfn.IFS(Table3[[#This Row],[Flight Risk Score]] = "NA","NA",Table3[[#This Row],[Flight Risk Score]] &gt;= 70,"High Risk",Table3[[#This Row],[Flight Risk Score]] &gt;= 50, "Medium Risk", Table3[[#This Row],[Flight Risk Score]] &gt;= 30,"Low Risk",Table3[[#This Row],[Flight Risk Score]] &lt; 30,"Very Low Risk")</f>
        <v>Low Risk</v>
      </c>
    </row>
    <row r="762" spans="1:18" x14ac:dyDescent="0.2">
      <c r="A762">
        <f>Table1[[#This Row],[Age]]</f>
        <v>53</v>
      </c>
      <c r="B762">
        <f>IF(Table3[[#This Row],[Attrition]] = "Yes", 1,0)</f>
        <v>0</v>
      </c>
      <c r="C762" t="str">
        <f>Table1[[#This Row],[Attrition]]</f>
        <v>No</v>
      </c>
      <c r="D762" t="str">
        <f>Table1[[#This Row],[Department]]</f>
        <v>Sales</v>
      </c>
      <c r="E762">
        <f>Table1[[#This Row],[EnvironmentSatisfaction]]</f>
        <v>3</v>
      </c>
      <c r="F762">
        <f>Table1[[#This Row],[HourlyRate]]</f>
        <v>38</v>
      </c>
      <c r="G762" t="str">
        <f>Table1[[#This Row],[JobRole]]</f>
        <v>Sales Executive</v>
      </c>
      <c r="H762">
        <f>Table1[[#This Row],[JobSatisfaction]]</f>
        <v>2</v>
      </c>
      <c r="I762">
        <f>Table1[[#This Row],[YearsAtCompany]]</f>
        <v>15</v>
      </c>
      <c r="J762">
        <f>Table1[[#This Row],[YearsSinceLastPromotion]]</f>
        <v>6</v>
      </c>
      <c r="K762">
        <f>Table1[[#This Row],[EmployeeNumber]]</f>
        <v>1050</v>
      </c>
      <c r="L762">
        <f>Table1[[#This Row],[DistanceFromHome]]</f>
        <v>2</v>
      </c>
      <c r="M762" t="str">
        <f>Table1[[#This Row],[OverTime]]</f>
        <v>No</v>
      </c>
      <c r="N762">
        <f>Table1[[#This Row],[WorkLifeBalance]]</f>
        <v>3</v>
      </c>
      <c r="O762" t="str" cm="1">
        <f t="array" ref="O762">_xlfn.IFS(A762&lt;=30,"18-30",A762&lt;=40,"31-40",A762&lt;=50,"41-50",A762&gt;50,"51+")</f>
        <v>51+</v>
      </c>
      <c r="P762" t="str" cm="1">
        <f t="array" ref="P762">_xlfn.IFS(F762&lt;=45,"45 or below",F762&lt;= 60,"46-60",F762&lt;=75,"61-75",F762&lt;=90,"76-90",F762&gt;90,"91 or above")</f>
        <v>45 or below</v>
      </c>
      <c r="Q7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62" t="str" cm="1">
        <f t="array" ref="R7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63" spans="1:18" hidden="1" x14ac:dyDescent="0.2">
      <c r="A763">
        <f>Table1[[#This Row],[Age]]</f>
        <v>36</v>
      </c>
      <c r="B763">
        <f>IF(Table3[[#This Row],[Attrition]] = "Yes", 1,0)</f>
        <v>1</v>
      </c>
      <c r="C763" t="str">
        <f>Table1[[#This Row],[Attrition]]</f>
        <v>Yes</v>
      </c>
      <c r="D763" t="str">
        <f>Table1[[#This Row],[Department]]</f>
        <v>Research &amp; Development</v>
      </c>
      <c r="E763">
        <f>Table1[[#This Row],[EnvironmentSatisfaction]]</f>
        <v>1</v>
      </c>
      <c r="F763">
        <f>Table1[[#This Row],[HourlyRate]]</f>
        <v>81</v>
      </c>
      <c r="G763" t="str">
        <f>Table1[[#This Row],[JobRole]]</f>
        <v>Laboratory Technician</v>
      </c>
      <c r="H763">
        <f>Table1[[#This Row],[JobSatisfaction]]</f>
        <v>3</v>
      </c>
      <c r="I763">
        <f>Table1[[#This Row],[YearsAtCompany]]</f>
        <v>1</v>
      </c>
      <c r="J763">
        <f>Table1[[#This Row],[YearsSinceLastPromotion]]</f>
        <v>0</v>
      </c>
      <c r="K763">
        <f>Table1[[#This Row],[EmployeeNumber]]</f>
        <v>1052</v>
      </c>
      <c r="L763">
        <f>Table1[[#This Row],[DistanceFromHome]]</f>
        <v>15</v>
      </c>
      <c r="M763" t="str">
        <f>Table1[[#This Row],[OverTime]]</f>
        <v>No</v>
      </c>
      <c r="N763">
        <f>Table1[[#This Row],[WorkLifeBalance]]</f>
        <v>2</v>
      </c>
      <c r="O763" t="str" cm="1">
        <f t="array" ref="O763">_xlfn.IFS(A763&lt;=30,"18-30",A763&lt;=40,"31-40",A763&lt;=50,"41-50",A763&gt;50,"51+")</f>
        <v>31-40</v>
      </c>
      <c r="P763" t="str" cm="1">
        <f t="array" ref="P763">_xlfn.IFS(F763&lt;=45,"45 or below",F763&lt;= 60,"46-60",F763&lt;=75,"61-75",F763&lt;=90,"76-90",F763&gt;90,"91 or above")</f>
        <v>76-90</v>
      </c>
      <c r="Q76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63" t="str" cm="1">
        <f t="array" ref="R763" xml:space="preserve"> _xlfn.IFS(Table3[[#This Row],[Flight Risk Score]] = "NA","NA",Table3[[#This Row],[Flight Risk Score]] &gt;= 70,"High Risk",Table3[[#This Row],[Flight Risk Score]] &gt;= 50, "Medium Risk", Table3[[#This Row],[Flight Risk Score]] &gt;= 30,"Low Risk",Table3[[#This Row],[Flight Risk Score]] &lt; 30,"Very Low Risk")</f>
        <v>NA</v>
      </c>
    </row>
    <row r="764" spans="1:18" hidden="1" x14ac:dyDescent="0.2">
      <c r="A764">
        <f>Table1[[#This Row],[Age]]</f>
        <v>26</v>
      </c>
      <c r="B764">
        <f>IF(Table3[[#This Row],[Attrition]] = "Yes", 1,0)</f>
        <v>1</v>
      </c>
      <c r="C764" t="str">
        <f>Table1[[#This Row],[Attrition]]</f>
        <v>Yes</v>
      </c>
      <c r="D764" t="str">
        <f>Table1[[#This Row],[Department]]</f>
        <v>Research &amp; Development</v>
      </c>
      <c r="E764">
        <f>Table1[[#This Row],[EnvironmentSatisfaction]]</f>
        <v>1</v>
      </c>
      <c r="F764">
        <f>Table1[[#This Row],[HourlyRate]]</f>
        <v>57</v>
      </c>
      <c r="G764" t="str">
        <f>Table1[[#This Row],[JobRole]]</f>
        <v>Research Scientist</v>
      </c>
      <c r="H764">
        <f>Table1[[#This Row],[JobSatisfaction]]</f>
        <v>1</v>
      </c>
      <c r="I764">
        <f>Table1[[#This Row],[YearsAtCompany]]</f>
        <v>3</v>
      </c>
      <c r="J764">
        <f>Table1[[#This Row],[YearsSinceLastPromotion]]</f>
        <v>1</v>
      </c>
      <c r="K764">
        <f>Table1[[#This Row],[EmployeeNumber]]</f>
        <v>1053</v>
      </c>
      <c r="L764">
        <f>Table1[[#This Row],[DistanceFromHome]]</f>
        <v>2</v>
      </c>
      <c r="M764" t="str">
        <f>Table1[[#This Row],[OverTime]]</f>
        <v>Yes</v>
      </c>
      <c r="N764">
        <f>Table1[[#This Row],[WorkLifeBalance]]</f>
        <v>3</v>
      </c>
      <c r="O764" t="str" cm="1">
        <f t="array" ref="O764">_xlfn.IFS(A764&lt;=30,"18-30",A764&lt;=40,"31-40",A764&lt;=50,"41-50",A764&gt;50,"51+")</f>
        <v>18-30</v>
      </c>
      <c r="P764" t="str" cm="1">
        <f t="array" ref="P764">_xlfn.IFS(F764&lt;=45,"45 or below",F764&lt;= 60,"46-60",F764&lt;=75,"61-75",F764&lt;=90,"76-90",F764&gt;90,"91 or above")</f>
        <v>46-60</v>
      </c>
      <c r="Q76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64" t="str" cm="1">
        <f t="array" ref="R764" xml:space="preserve"> _xlfn.IFS(Table3[[#This Row],[Flight Risk Score]] = "NA","NA",Table3[[#This Row],[Flight Risk Score]] &gt;= 70,"High Risk",Table3[[#This Row],[Flight Risk Score]] &gt;= 50, "Medium Risk", Table3[[#This Row],[Flight Risk Score]] &gt;= 30,"Low Risk",Table3[[#This Row],[Flight Risk Score]] &lt; 30,"Very Low Risk")</f>
        <v>NA</v>
      </c>
    </row>
    <row r="765" spans="1:18" x14ac:dyDescent="0.2">
      <c r="A765">
        <f>Table1[[#This Row],[Age]]</f>
        <v>34</v>
      </c>
      <c r="B765">
        <f>IF(Table3[[#This Row],[Attrition]] = "Yes", 1,0)</f>
        <v>0</v>
      </c>
      <c r="C765" t="str">
        <f>Table1[[#This Row],[Attrition]]</f>
        <v>No</v>
      </c>
      <c r="D765" t="str">
        <f>Table1[[#This Row],[Department]]</f>
        <v>Sales</v>
      </c>
      <c r="E765">
        <f>Table1[[#This Row],[EnvironmentSatisfaction]]</f>
        <v>3</v>
      </c>
      <c r="F765">
        <f>Table1[[#This Row],[HourlyRate]]</f>
        <v>87</v>
      </c>
      <c r="G765" t="str">
        <f>Table1[[#This Row],[JobRole]]</f>
        <v>Sales Representative</v>
      </c>
      <c r="H765">
        <f>Table1[[#This Row],[JobSatisfaction]]</f>
        <v>3</v>
      </c>
      <c r="I765">
        <f>Table1[[#This Row],[YearsAtCompany]]</f>
        <v>1</v>
      </c>
      <c r="J765">
        <f>Table1[[#This Row],[YearsSinceLastPromotion]]</f>
        <v>0</v>
      </c>
      <c r="K765">
        <f>Table1[[#This Row],[EmployeeNumber]]</f>
        <v>1055</v>
      </c>
      <c r="L765">
        <f>Table1[[#This Row],[DistanceFromHome]]</f>
        <v>10</v>
      </c>
      <c r="M765" t="str">
        <f>Table1[[#This Row],[OverTime]]</f>
        <v>Yes</v>
      </c>
      <c r="N765">
        <f>Table1[[#This Row],[WorkLifeBalance]]</f>
        <v>3</v>
      </c>
      <c r="O765" t="str" cm="1">
        <f t="array" ref="O765">_xlfn.IFS(A765&lt;=30,"18-30",A765&lt;=40,"31-40",A765&lt;=50,"41-50",A765&gt;50,"51+")</f>
        <v>31-40</v>
      </c>
      <c r="P765" t="str" cm="1">
        <f t="array" ref="P765">_xlfn.IFS(F765&lt;=45,"45 or below",F765&lt;= 60,"46-60",F765&lt;=75,"61-75",F765&lt;=90,"76-90",F765&gt;90,"91 or above")</f>
        <v>76-90</v>
      </c>
      <c r="Q7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65" t="str" cm="1">
        <f t="array" ref="R765" xml:space="preserve"> _xlfn.IFS(Table3[[#This Row],[Flight Risk Score]] = "NA","NA",Table3[[#This Row],[Flight Risk Score]] &gt;= 70,"High Risk",Table3[[#This Row],[Flight Risk Score]] &gt;= 50, "Medium Risk", Table3[[#This Row],[Flight Risk Score]] &gt;= 30,"Low Risk",Table3[[#This Row],[Flight Risk Score]] &lt; 30,"Very Low Risk")</f>
        <v>Low Risk</v>
      </c>
    </row>
    <row r="766" spans="1:18" x14ac:dyDescent="0.2">
      <c r="A766">
        <f>Table1[[#This Row],[Age]]</f>
        <v>28</v>
      </c>
      <c r="B766">
        <f>IF(Table3[[#This Row],[Attrition]] = "Yes", 1,0)</f>
        <v>0</v>
      </c>
      <c r="C766" t="str">
        <f>Table1[[#This Row],[Attrition]]</f>
        <v>No</v>
      </c>
      <c r="D766" t="str">
        <f>Table1[[#This Row],[Department]]</f>
        <v>Sales</v>
      </c>
      <c r="E766">
        <f>Table1[[#This Row],[EnvironmentSatisfaction]]</f>
        <v>4</v>
      </c>
      <c r="F766">
        <f>Table1[[#This Row],[HourlyRate]]</f>
        <v>74</v>
      </c>
      <c r="G766" t="str">
        <f>Table1[[#This Row],[JobRole]]</f>
        <v>Sales Representative</v>
      </c>
      <c r="H766">
        <f>Table1[[#This Row],[JobSatisfaction]]</f>
        <v>2</v>
      </c>
      <c r="I766">
        <f>Table1[[#This Row],[YearsAtCompany]]</f>
        <v>1</v>
      </c>
      <c r="J766">
        <f>Table1[[#This Row],[YearsSinceLastPromotion]]</f>
        <v>0</v>
      </c>
      <c r="K766">
        <f>Table1[[#This Row],[EmployeeNumber]]</f>
        <v>1056</v>
      </c>
      <c r="L766">
        <f>Table1[[#This Row],[DistanceFromHome]]</f>
        <v>10</v>
      </c>
      <c r="M766" t="str">
        <f>Table1[[#This Row],[OverTime]]</f>
        <v>No</v>
      </c>
      <c r="N766">
        <f>Table1[[#This Row],[WorkLifeBalance]]</f>
        <v>3</v>
      </c>
      <c r="O766" t="str" cm="1">
        <f t="array" ref="O766">_xlfn.IFS(A766&lt;=30,"18-30",A766&lt;=40,"31-40",A766&lt;=50,"41-50",A766&gt;50,"51+")</f>
        <v>18-30</v>
      </c>
      <c r="P766" t="str" cm="1">
        <f t="array" ref="P766">_xlfn.IFS(F766&lt;=45,"45 or below",F766&lt;= 60,"46-60",F766&lt;=75,"61-75",F766&lt;=90,"76-90",F766&gt;90,"91 or above")</f>
        <v>61-75</v>
      </c>
      <c r="Q7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66" t="str" cm="1">
        <f t="array" ref="R7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67" spans="1:18" x14ac:dyDescent="0.2">
      <c r="A767">
        <f>Table1[[#This Row],[Age]]</f>
        <v>38</v>
      </c>
      <c r="B767">
        <f>IF(Table3[[#This Row],[Attrition]] = "Yes", 1,0)</f>
        <v>0</v>
      </c>
      <c r="C767" t="str">
        <f>Table1[[#This Row],[Attrition]]</f>
        <v>No</v>
      </c>
      <c r="D767" t="str">
        <f>Table1[[#This Row],[Department]]</f>
        <v>Research &amp; Development</v>
      </c>
      <c r="E767">
        <f>Table1[[#This Row],[EnvironmentSatisfaction]]</f>
        <v>3</v>
      </c>
      <c r="F767">
        <f>Table1[[#This Row],[HourlyRate]]</f>
        <v>44</v>
      </c>
      <c r="G767" t="str">
        <f>Table1[[#This Row],[JobRole]]</f>
        <v>Research Scientist</v>
      </c>
      <c r="H767">
        <f>Table1[[#This Row],[JobSatisfaction]]</f>
        <v>3</v>
      </c>
      <c r="I767">
        <f>Table1[[#This Row],[YearsAtCompany]]</f>
        <v>2</v>
      </c>
      <c r="J767">
        <f>Table1[[#This Row],[YearsSinceLastPromotion]]</f>
        <v>2</v>
      </c>
      <c r="K767">
        <f>Table1[[#This Row],[EmployeeNumber]]</f>
        <v>1060</v>
      </c>
      <c r="L767">
        <f>Table1[[#This Row],[DistanceFromHome]]</f>
        <v>3</v>
      </c>
      <c r="M767" t="str">
        <f>Table1[[#This Row],[OverTime]]</f>
        <v>No</v>
      </c>
      <c r="N767">
        <f>Table1[[#This Row],[WorkLifeBalance]]</f>
        <v>3</v>
      </c>
      <c r="O767" t="str" cm="1">
        <f t="array" ref="O767">_xlfn.IFS(A767&lt;=30,"18-30",A767&lt;=40,"31-40",A767&lt;=50,"41-50",A767&gt;50,"51+")</f>
        <v>31-40</v>
      </c>
      <c r="P767" t="str" cm="1">
        <f t="array" ref="P767">_xlfn.IFS(F767&lt;=45,"45 or below",F767&lt;= 60,"46-60",F767&lt;=75,"61-75",F767&lt;=90,"76-90",F767&gt;90,"91 or above")</f>
        <v>45 or below</v>
      </c>
      <c r="Q7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67" t="str" cm="1">
        <f t="array" ref="R7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68" spans="1:18" x14ac:dyDescent="0.2">
      <c r="A768">
        <f>Table1[[#This Row],[Age]]</f>
        <v>50</v>
      </c>
      <c r="B768">
        <f>IF(Table3[[#This Row],[Attrition]] = "Yes", 1,0)</f>
        <v>0</v>
      </c>
      <c r="C768" t="str">
        <f>Table1[[#This Row],[Attrition]]</f>
        <v>No</v>
      </c>
      <c r="D768" t="str">
        <f>Table1[[#This Row],[Department]]</f>
        <v>Research &amp; Development</v>
      </c>
      <c r="E768">
        <f>Table1[[#This Row],[EnvironmentSatisfaction]]</f>
        <v>2</v>
      </c>
      <c r="F768">
        <f>Table1[[#This Row],[HourlyRate]]</f>
        <v>62</v>
      </c>
      <c r="G768" t="str">
        <f>Table1[[#This Row],[JobRole]]</f>
        <v>Research Director</v>
      </c>
      <c r="H768">
        <f>Table1[[#This Row],[JobSatisfaction]]</f>
        <v>3</v>
      </c>
      <c r="I768">
        <f>Table1[[#This Row],[YearsAtCompany]]</f>
        <v>8</v>
      </c>
      <c r="J768">
        <f>Table1[[#This Row],[YearsSinceLastPromotion]]</f>
        <v>7</v>
      </c>
      <c r="K768">
        <f>Table1[[#This Row],[EmployeeNumber]]</f>
        <v>1061</v>
      </c>
      <c r="L768">
        <f>Table1[[#This Row],[DistanceFromHome]]</f>
        <v>2</v>
      </c>
      <c r="M768" t="str">
        <f>Table1[[#This Row],[OverTime]]</f>
        <v>Yes</v>
      </c>
      <c r="N768">
        <f>Table1[[#This Row],[WorkLifeBalance]]</f>
        <v>2</v>
      </c>
      <c r="O768" t="str" cm="1">
        <f t="array" ref="O768">_xlfn.IFS(A768&lt;=30,"18-30",A768&lt;=40,"31-40",A768&lt;=50,"41-50",A768&gt;50,"51+")</f>
        <v>41-50</v>
      </c>
      <c r="P768" t="str" cm="1">
        <f t="array" ref="P768">_xlfn.IFS(F768&lt;=45,"45 or below",F768&lt;= 60,"46-60",F768&lt;=75,"61-75",F768&lt;=90,"76-90",F768&gt;90,"91 or above")</f>
        <v>61-75</v>
      </c>
      <c r="Q7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68" t="str" cm="1">
        <f t="array" ref="R76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69" spans="1:18" x14ac:dyDescent="0.2">
      <c r="A769">
        <f>Table1[[#This Row],[Age]]</f>
        <v>37</v>
      </c>
      <c r="B769">
        <f>IF(Table3[[#This Row],[Attrition]] = "Yes", 1,0)</f>
        <v>0</v>
      </c>
      <c r="C769" t="str">
        <f>Table1[[#This Row],[Attrition]]</f>
        <v>No</v>
      </c>
      <c r="D769" t="str">
        <f>Table1[[#This Row],[Department]]</f>
        <v>Research &amp; Development</v>
      </c>
      <c r="E769">
        <f>Table1[[#This Row],[EnvironmentSatisfaction]]</f>
        <v>4</v>
      </c>
      <c r="F769">
        <f>Table1[[#This Row],[HourlyRate]]</f>
        <v>35</v>
      </c>
      <c r="G769" t="str">
        <f>Table1[[#This Row],[JobRole]]</f>
        <v>Healthcare Representative</v>
      </c>
      <c r="H769">
        <f>Table1[[#This Row],[JobSatisfaction]]</f>
        <v>2</v>
      </c>
      <c r="I769">
        <f>Table1[[#This Row],[YearsAtCompany]]</f>
        <v>4</v>
      </c>
      <c r="J769">
        <f>Table1[[#This Row],[YearsSinceLastPromotion]]</f>
        <v>0</v>
      </c>
      <c r="K769">
        <f>Table1[[#This Row],[EmployeeNumber]]</f>
        <v>1062</v>
      </c>
      <c r="L769">
        <f>Table1[[#This Row],[DistanceFromHome]]</f>
        <v>3</v>
      </c>
      <c r="M769" t="str">
        <f>Table1[[#This Row],[OverTime]]</f>
        <v>No</v>
      </c>
      <c r="N769">
        <f>Table1[[#This Row],[WorkLifeBalance]]</f>
        <v>2</v>
      </c>
      <c r="O769" t="str" cm="1">
        <f t="array" ref="O769">_xlfn.IFS(A769&lt;=30,"18-30",A769&lt;=40,"31-40",A769&lt;=50,"41-50",A769&gt;50,"51+")</f>
        <v>31-40</v>
      </c>
      <c r="P769" t="str" cm="1">
        <f t="array" ref="P769">_xlfn.IFS(F769&lt;=45,"45 or below",F769&lt;= 60,"46-60",F769&lt;=75,"61-75",F769&lt;=90,"76-90",F769&gt;90,"91 or above")</f>
        <v>45 or below</v>
      </c>
      <c r="Q7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69" t="str" cm="1">
        <f t="array" ref="R76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0" spans="1:18" x14ac:dyDescent="0.2">
      <c r="A770">
        <f>Table1[[#This Row],[Age]]</f>
        <v>40</v>
      </c>
      <c r="B770">
        <f>IF(Table3[[#This Row],[Attrition]] = "Yes", 1,0)</f>
        <v>0</v>
      </c>
      <c r="C770" t="str">
        <f>Table1[[#This Row],[Attrition]]</f>
        <v>No</v>
      </c>
      <c r="D770" t="str">
        <f>Table1[[#This Row],[Department]]</f>
        <v>Sales</v>
      </c>
      <c r="E770">
        <f>Table1[[#This Row],[EnvironmentSatisfaction]]</f>
        <v>3</v>
      </c>
      <c r="F770">
        <f>Table1[[#This Row],[HourlyRate]]</f>
        <v>74</v>
      </c>
      <c r="G770" t="str">
        <f>Table1[[#This Row],[JobRole]]</f>
        <v>Sales Executive</v>
      </c>
      <c r="H770">
        <f>Table1[[#This Row],[JobSatisfaction]]</f>
        <v>1</v>
      </c>
      <c r="I770">
        <f>Table1[[#This Row],[YearsAtCompany]]</f>
        <v>7</v>
      </c>
      <c r="J770">
        <f>Table1[[#This Row],[YearsSinceLastPromotion]]</f>
        <v>7</v>
      </c>
      <c r="K770">
        <f>Table1[[#This Row],[EmployeeNumber]]</f>
        <v>1066</v>
      </c>
      <c r="L770">
        <f>Table1[[#This Row],[DistanceFromHome]]</f>
        <v>26</v>
      </c>
      <c r="M770" t="str">
        <f>Table1[[#This Row],[OverTime]]</f>
        <v>No</v>
      </c>
      <c r="N770">
        <f>Table1[[#This Row],[WorkLifeBalance]]</f>
        <v>2</v>
      </c>
      <c r="O770" t="str" cm="1">
        <f t="array" ref="O770">_xlfn.IFS(A770&lt;=30,"18-30",A770&lt;=40,"31-40",A770&lt;=50,"41-50",A770&gt;50,"51+")</f>
        <v>31-40</v>
      </c>
      <c r="P770" t="str" cm="1">
        <f t="array" ref="P770">_xlfn.IFS(F770&lt;=45,"45 or below",F770&lt;= 60,"46-60",F770&lt;=75,"61-75",F770&lt;=90,"76-90",F770&gt;90,"91 or above")</f>
        <v>61-75</v>
      </c>
      <c r="Q7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70" t="str" cm="1">
        <f t="array" ref="R77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1" spans="1:18" x14ac:dyDescent="0.2">
      <c r="A771">
        <f>Table1[[#This Row],[Age]]</f>
        <v>26</v>
      </c>
      <c r="B771">
        <f>IF(Table3[[#This Row],[Attrition]] = "Yes", 1,0)</f>
        <v>0</v>
      </c>
      <c r="C771" t="str">
        <f>Table1[[#This Row],[Attrition]]</f>
        <v>No</v>
      </c>
      <c r="D771" t="str">
        <f>Table1[[#This Row],[Department]]</f>
        <v>Research &amp; Development</v>
      </c>
      <c r="E771">
        <f>Table1[[#This Row],[EnvironmentSatisfaction]]</f>
        <v>1</v>
      </c>
      <c r="F771">
        <f>Table1[[#This Row],[HourlyRate]]</f>
        <v>66</v>
      </c>
      <c r="G771" t="str">
        <f>Table1[[#This Row],[JobRole]]</f>
        <v>Research Scientist</v>
      </c>
      <c r="H771">
        <f>Table1[[#This Row],[JobSatisfaction]]</f>
        <v>3</v>
      </c>
      <c r="I771">
        <f>Table1[[#This Row],[YearsAtCompany]]</f>
        <v>5</v>
      </c>
      <c r="J771">
        <f>Table1[[#This Row],[YearsSinceLastPromotion]]</f>
        <v>1</v>
      </c>
      <c r="K771">
        <f>Table1[[#This Row],[EmployeeNumber]]</f>
        <v>1068</v>
      </c>
      <c r="L771">
        <f>Table1[[#This Row],[DistanceFromHome]]</f>
        <v>1</v>
      </c>
      <c r="M771" t="str">
        <f>Table1[[#This Row],[OverTime]]</f>
        <v>No</v>
      </c>
      <c r="N771">
        <f>Table1[[#This Row],[WorkLifeBalance]]</f>
        <v>3</v>
      </c>
      <c r="O771" t="str" cm="1">
        <f t="array" ref="O771">_xlfn.IFS(A771&lt;=30,"18-30",A771&lt;=40,"31-40",A771&lt;=50,"41-50",A771&gt;50,"51+")</f>
        <v>18-30</v>
      </c>
      <c r="P771" t="str" cm="1">
        <f t="array" ref="P771">_xlfn.IFS(F771&lt;=45,"45 or below",F771&lt;= 60,"46-60",F771&lt;=75,"61-75",F771&lt;=90,"76-90",F771&gt;90,"91 or above")</f>
        <v>61-75</v>
      </c>
      <c r="Q7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71" t="str" cm="1">
        <f t="array" ref="R7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2" spans="1:18" x14ac:dyDescent="0.2">
      <c r="A772">
        <f>Table1[[#This Row],[Age]]</f>
        <v>46</v>
      </c>
      <c r="B772">
        <f>IF(Table3[[#This Row],[Attrition]] = "Yes", 1,0)</f>
        <v>0</v>
      </c>
      <c r="C772" t="str">
        <f>Table1[[#This Row],[Attrition]]</f>
        <v>No</v>
      </c>
      <c r="D772" t="str">
        <f>Table1[[#This Row],[Department]]</f>
        <v>Research &amp; Development</v>
      </c>
      <c r="E772">
        <f>Table1[[#This Row],[EnvironmentSatisfaction]]</f>
        <v>4</v>
      </c>
      <c r="F772">
        <f>Table1[[#This Row],[HourlyRate]]</f>
        <v>40</v>
      </c>
      <c r="G772" t="str">
        <f>Table1[[#This Row],[JobRole]]</f>
        <v>Research Director</v>
      </c>
      <c r="H772">
        <f>Table1[[#This Row],[JobSatisfaction]]</f>
        <v>4</v>
      </c>
      <c r="I772">
        <f>Table1[[#This Row],[YearsAtCompany]]</f>
        <v>2</v>
      </c>
      <c r="J772">
        <f>Table1[[#This Row],[YearsSinceLastPromotion]]</f>
        <v>2</v>
      </c>
      <c r="K772">
        <f>Table1[[#This Row],[EmployeeNumber]]</f>
        <v>1069</v>
      </c>
      <c r="L772">
        <f>Table1[[#This Row],[DistanceFromHome]]</f>
        <v>1</v>
      </c>
      <c r="M772" t="str">
        <f>Table1[[#This Row],[OverTime]]</f>
        <v>No</v>
      </c>
      <c r="N772">
        <f>Table1[[#This Row],[WorkLifeBalance]]</f>
        <v>3</v>
      </c>
      <c r="O772" t="str" cm="1">
        <f t="array" ref="O772">_xlfn.IFS(A772&lt;=30,"18-30",A772&lt;=40,"31-40",A772&lt;=50,"41-50",A772&gt;50,"51+")</f>
        <v>41-50</v>
      </c>
      <c r="P772" t="str" cm="1">
        <f t="array" ref="P772">_xlfn.IFS(F772&lt;=45,"45 or below",F772&lt;= 60,"46-60",F772&lt;=75,"61-75",F772&lt;=90,"76-90",F772&gt;90,"91 or above")</f>
        <v>45 or below</v>
      </c>
      <c r="Q7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72" t="str" cm="1">
        <f t="array" ref="R7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3" spans="1:18" x14ac:dyDescent="0.2">
      <c r="A773">
        <f>Table1[[#This Row],[Age]]</f>
        <v>54</v>
      </c>
      <c r="B773">
        <f>IF(Table3[[#This Row],[Attrition]] = "Yes", 1,0)</f>
        <v>0</v>
      </c>
      <c r="C773" t="str">
        <f>Table1[[#This Row],[Attrition]]</f>
        <v>No</v>
      </c>
      <c r="D773" t="str">
        <f>Table1[[#This Row],[Department]]</f>
        <v>Sales</v>
      </c>
      <c r="E773">
        <f>Table1[[#This Row],[EnvironmentSatisfaction]]</f>
        <v>3</v>
      </c>
      <c r="F773">
        <f>Table1[[#This Row],[HourlyRate]]</f>
        <v>41</v>
      </c>
      <c r="G773" t="str">
        <f>Table1[[#This Row],[JobRole]]</f>
        <v>Sales Executive</v>
      </c>
      <c r="H773">
        <f>Table1[[#This Row],[JobSatisfaction]]</f>
        <v>3</v>
      </c>
      <c r="I773">
        <f>Table1[[#This Row],[YearsAtCompany]]</f>
        <v>9</v>
      </c>
      <c r="J773">
        <f>Table1[[#This Row],[YearsSinceLastPromotion]]</f>
        <v>7</v>
      </c>
      <c r="K773">
        <f>Table1[[#This Row],[EmployeeNumber]]</f>
        <v>1070</v>
      </c>
      <c r="L773">
        <f>Table1[[#This Row],[DistanceFromHome]]</f>
        <v>2</v>
      </c>
      <c r="M773" t="str">
        <f>Table1[[#This Row],[OverTime]]</f>
        <v>No</v>
      </c>
      <c r="N773">
        <f>Table1[[#This Row],[WorkLifeBalance]]</f>
        <v>3</v>
      </c>
      <c r="O773" t="str" cm="1">
        <f t="array" ref="O773">_xlfn.IFS(A773&lt;=30,"18-30",A773&lt;=40,"31-40",A773&lt;=50,"41-50",A773&gt;50,"51+")</f>
        <v>51+</v>
      </c>
      <c r="P773" t="str" cm="1">
        <f t="array" ref="P773">_xlfn.IFS(F773&lt;=45,"45 or below",F773&lt;= 60,"46-60",F773&lt;=75,"61-75",F773&lt;=90,"76-90",F773&gt;90,"91 or above")</f>
        <v>45 or below</v>
      </c>
      <c r="Q7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73" t="str" cm="1">
        <f t="array" ref="R7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4" spans="1:18" x14ac:dyDescent="0.2">
      <c r="A774">
        <f>Table1[[#This Row],[Age]]</f>
        <v>56</v>
      </c>
      <c r="B774">
        <f>IF(Table3[[#This Row],[Attrition]] = "Yes", 1,0)</f>
        <v>0</v>
      </c>
      <c r="C774" t="str">
        <f>Table1[[#This Row],[Attrition]]</f>
        <v>No</v>
      </c>
      <c r="D774" t="str">
        <f>Table1[[#This Row],[Department]]</f>
        <v>Research &amp; Development</v>
      </c>
      <c r="E774">
        <f>Table1[[#This Row],[EnvironmentSatisfaction]]</f>
        <v>1</v>
      </c>
      <c r="F774">
        <f>Table1[[#This Row],[HourlyRate]]</f>
        <v>63</v>
      </c>
      <c r="G774" t="str">
        <f>Table1[[#This Row],[JobRole]]</f>
        <v>Research Scientist</v>
      </c>
      <c r="H774">
        <f>Table1[[#This Row],[JobSatisfaction]]</f>
        <v>3</v>
      </c>
      <c r="I774">
        <f>Table1[[#This Row],[YearsAtCompany]]</f>
        <v>5</v>
      </c>
      <c r="J774">
        <f>Table1[[#This Row],[YearsSinceLastPromotion]]</f>
        <v>0</v>
      </c>
      <c r="K774">
        <f>Table1[[#This Row],[EmployeeNumber]]</f>
        <v>1071</v>
      </c>
      <c r="L774">
        <f>Table1[[#This Row],[DistanceFromHome]]</f>
        <v>9</v>
      </c>
      <c r="M774" t="str">
        <f>Table1[[#This Row],[OverTime]]</f>
        <v>No</v>
      </c>
      <c r="N774">
        <f>Table1[[#This Row],[WorkLifeBalance]]</f>
        <v>3</v>
      </c>
      <c r="O774" t="str" cm="1">
        <f t="array" ref="O774">_xlfn.IFS(A774&lt;=30,"18-30",A774&lt;=40,"31-40",A774&lt;=50,"41-50",A774&gt;50,"51+")</f>
        <v>51+</v>
      </c>
      <c r="P774" t="str" cm="1">
        <f t="array" ref="P774">_xlfn.IFS(F774&lt;=45,"45 or below",F774&lt;= 60,"46-60",F774&lt;=75,"61-75",F774&lt;=90,"76-90",F774&gt;90,"91 or above")</f>
        <v>61-75</v>
      </c>
      <c r="Q7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74" t="str" cm="1">
        <f t="array" ref="R7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5" spans="1:18" x14ac:dyDescent="0.2">
      <c r="A775">
        <f>Table1[[#This Row],[Age]]</f>
        <v>36</v>
      </c>
      <c r="B775">
        <f>IF(Table3[[#This Row],[Attrition]] = "Yes", 1,0)</f>
        <v>0</v>
      </c>
      <c r="C775" t="str">
        <f>Table1[[#This Row],[Attrition]]</f>
        <v>No</v>
      </c>
      <c r="D775" t="str">
        <f>Table1[[#This Row],[Department]]</f>
        <v>Research &amp; Development</v>
      </c>
      <c r="E775">
        <f>Table1[[#This Row],[EnvironmentSatisfaction]]</f>
        <v>4</v>
      </c>
      <c r="F775">
        <f>Table1[[#This Row],[HourlyRate]]</f>
        <v>51</v>
      </c>
      <c r="G775" t="str">
        <f>Table1[[#This Row],[JobRole]]</f>
        <v>Manufacturing Director</v>
      </c>
      <c r="H775">
        <f>Table1[[#This Row],[JobSatisfaction]]</f>
        <v>4</v>
      </c>
      <c r="I775">
        <f>Table1[[#This Row],[YearsAtCompany]]</f>
        <v>14</v>
      </c>
      <c r="J775">
        <f>Table1[[#This Row],[YearsSinceLastPromotion]]</f>
        <v>7</v>
      </c>
      <c r="K775">
        <f>Table1[[#This Row],[EmployeeNumber]]</f>
        <v>1073</v>
      </c>
      <c r="L775">
        <f>Table1[[#This Row],[DistanceFromHome]]</f>
        <v>12</v>
      </c>
      <c r="M775" t="str">
        <f>Table1[[#This Row],[OverTime]]</f>
        <v>No</v>
      </c>
      <c r="N775">
        <f>Table1[[#This Row],[WorkLifeBalance]]</f>
        <v>2</v>
      </c>
      <c r="O775" t="str" cm="1">
        <f t="array" ref="O775">_xlfn.IFS(A775&lt;=30,"18-30",A775&lt;=40,"31-40",A775&lt;=50,"41-50",A775&gt;50,"51+")</f>
        <v>31-40</v>
      </c>
      <c r="P775" t="str" cm="1">
        <f t="array" ref="P775">_xlfn.IFS(F775&lt;=45,"45 or below",F775&lt;= 60,"46-60",F775&lt;=75,"61-75",F775&lt;=90,"76-90",F775&gt;90,"91 or above")</f>
        <v>46-60</v>
      </c>
      <c r="Q7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75" t="str" cm="1">
        <f t="array" ref="R7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6" spans="1:18" x14ac:dyDescent="0.2">
      <c r="A776">
        <f>Table1[[#This Row],[Age]]</f>
        <v>55</v>
      </c>
      <c r="B776">
        <f>IF(Table3[[#This Row],[Attrition]] = "Yes", 1,0)</f>
        <v>0</v>
      </c>
      <c r="C776" t="str">
        <f>Table1[[#This Row],[Attrition]]</f>
        <v>No</v>
      </c>
      <c r="D776" t="str">
        <f>Table1[[#This Row],[Department]]</f>
        <v>Research &amp; Development</v>
      </c>
      <c r="E776">
        <f>Table1[[#This Row],[EnvironmentSatisfaction]]</f>
        <v>3</v>
      </c>
      <c r="F776">
        <f>Table1[[#This Row],[HourlyRate]]</f>
        <v>40</v>
      </c>
      <c r="G776" t="str">
        <f>Table1[[#This Row],[JobRole]]</f>
        <v>Manager</v>
      </c>
      <c r="H776">
        <f>Table1[[#This Row],[JobSatisfaction]]</f>
        <v>1</v>
      </c>
      <c r="I776">
        <f>Table1[[#This Row],[YearsAtCompany]]</f>
        <v>9</v>
      </c>
      <c r="J776">
        <f>Table1[[#This Row],[YearsSinceLastPromotion]]</f>
        <v>6</v>
      </c>
      <c r="K776">
        <f>Table1[[#This Row],[EmployeeNumber]]</f>
        <v>1074</v>
      </c>
      <c r="L776">
        <f>Table1[[#This Row],[DistanceFromHome]]</f>
        <v>2</v>
      </c>
      <c r="M776" t="str">
        <f>Table1[[#This Row],[OverTime]]</f>
        <v>No</v>
      </c>
      <c r="N776">
        <f>Table1[[#This Row],[WorkLifeBalance]]</f>
        <v>4</v>
      </c>
      <c r="O776" t="str" cm="1">
        <f t="array" ref="O776">_xlfn.IFS(A776&lt;=30,"18-30",A776&lt;=40,"31-40",A776&lt;=50,"41-50",A776&gt;50,"51+")</f>
        <v>51+</v>
      </c>
      <c r="P776" t="str" cm="1">
        <f t="array" ref="P776">_xlfn.IFS(F776&lt;=45,"45 or below",F776&lt;= 60,"46-60",F776&lt;=75,"61-75",F776&lt;=90,"76-90",F776&gt;90,"91 or above")</f>
        <v>45 or below</v>
      </c>
      <c r="Q7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76" t="str" cm="1">
        <f t="array" ref="R7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7" spans="1:18" x14ac:dyDescent="0.2">
      <c r="A777">
        <f>Table1[[#This Row],[Age]]</f>
        <v>43</v>
      </c>
      <c r="B777">
        <f>IF(Table3[[#This Row],[Attrition]] = "Yes", 1,0)</f>
        <v>0</v>
      </c>
      <c r="C777" t="str">
        <f>Table1[[#This Row],[Attrition]]</f>
        <v>No</v>
      </c>
      <c r="D777" t="str">
        <f>Table1[[#This Row],[Department]]</f>
        <v>Sales</v>
      </c>
      <c r="E777">
        <f>Table1[[#This Row],[EnvironmentSatisfaction]]</f>
        <v>3</v>
      </c>
      <c r="F777">
        <f>Table1[[#This Row],[HourlyRate]]</f>
        <v>79</v>
      </c>
      <c r="G777" t="str">
        <f>Table1[[#This Row],[JobRole]]</f>
        <v>Sales Executive</v>
      </c>
      <c r="H777">
        <f>Table1[[#This Row],[JobSatisfaction]]</f>
        <v>4</v>
      </c>
      <c r="I777">
        <f>Table1[[#This Row],[YearsAtCompany]]</f>
        <v>1</v>
      </c>
      <c r="J777">
        <f>Table1[[#This Row],[YearsSinceLastPromotion]]</f>
        <v>0</v>
      </c>
      <c r="K777">
        <f>Table1[[#This Row],[EmployeeNumber]]</f>
        <v>1076</v>
      </c>
      <c r="L777">
        <f>Table1[[#This Row],[DistanceFromHome]]</f>
        <v>25</v>
      </c>
      <c r="M777" t="str">
        <f>Table1[[#This Row],[OverTime]]</f>
        <v>No</v>
      </c>
      <c r="N777">
        <f>Table1[[#This Row],[WorkLifeBalance]]</f>
        <v>3</v>
      </c>
      <c r="O777" t="str" cm="1">
        <f t="array" ref="O777">_xlfn.IFS(A777&lt;=30,"18-30",A777&lt;=40,"31-40",A777&lt;=50,"41-50",A777&gt;50,"51+")</f>
        <v>41-50</v>
      </c>
      <c r="P777" t="str" cm="1">
        <f t="array" ref="P777">_xlfn.IFS(F777&lt;=45,"45 or below",F777&lt;= 60,"46-60",F777&lt;=75,"61-75",F777&lt;=90,"76-90",F777&gt;90,"91 or above")</f>
        <v>76-90</v>
      </c>
      <c r="Q7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77" t="str" cm="1">
        <f t="array" ref="R7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78" spans="1:18" hidden="1" x14ac:dyDescent="0.2">
      <c r="A778">
        <f>Table1[[#This Row],[Age]]</f>
        <v>20</v>
      </c>
      <c r="B778">
        <f>IF(Table3[[#This Row],[Attrition]] = "Yes", 1,0)</f>
        <v>1</v>
      </c>
      <c r="C778" t="str">
        <f>Table1[[#This Row],[Attrition]]</f>
        <v>Yes</v>
      </c>
      <c r="D778" t="str">
        <f>Table1[[#This Row],[Department]]</f>
        <v>Sales</v>
      </c>
      <c r="E778">
        <f>Table1[[#This Row],[EnvironmentSatisfaction]]</f>
        <v>4</v>
      </c>
      <c r="F778">
        <f>Table1[[#This Row],[HourlyRate]]</f>
        <v>54</v>
      </c>
      <c r="G778" t="str">
        <f>Table1[[#This Row],[JobRole]]</f>
        <v>Sales Representative</v>
      </c>
      <c r="H778">
        <f>Table1[[#This Row],[JobSatisfaction]]</f>
        <v>4</v>
      </c>
      <c r="I778">
        <f>Table1[[#This Row],[YearsAtCompany]]</f>
        <v>2</v>
      </c>
      <c r="J778">
        <f>Table1[[#This Row],[YearsSinceLastPromotion]]</f>
        <v>0</v>
      </c>
      <c r="K778">
        <f>Table1[[#This Row],[EmployeeNumber]]</f>
        <v>1077</v>
      </c>
      <c r="L778">
        <f>Table1[[#This Row],[DistanceFromHome]]</f>
        <v>9</v>
      </c>
      <c r="M778" t="str">
        <f>Table1[[#This Row],[OverTime]]</f>
        <v>Yes</v>
      </c>
      <c r="N778">
        <f>Table1[[#This Row],[WorkLifeBalance]]</f>
        <v>3</v>
      </c>
      <c r="O778" t="str" cm="1">
        <f t="array" ref="O778">_xlfn.IFS(A778&lt;=30,"18-30",A778&lt;=40,"31-40",A778&lt;=50,"41-50",A778&gt;50,"51+")</f>
        <v>18-30</v>
      </c>
      <c r="P778" t="str" cm="1">
        <f t="array" ref="P778">_xlfn.IFS(F778&lt;=45,"45 or below",F778&lt;= 60,"46-60",F778&lt;=75,"61-75",F778&lt;=90,"76-90",F778&gt;90,"91 or above")</f>
        <v>46-60</v>
      </c>
      <c r="Q77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78" t="str" cm="1">
        <f t="array" ref="R778" xml:space="preserve"> _xlfn.IFS(Table3[[#This Row],[Flight Risk Score]] = "NA","NA",Table3[[#This Row],[Flight Risk Score]] &gt;= 70,"High Risk",Table3[[#This Row],[Flight Risk Score]] &gt;= 50, "Medium Risk", Table3[[#This Row],[Flight Risk Score]] &gt;= 30,"Low Risk",Table3[[#This Row],[Flight Risk Score]] &lt; 30,"Very Low Risk")</f>
        <v>NA</v>
      </c>
    </row>
    <row r="779" spans="1:18" hidden="1" x14ac:dyDescent="0.2">
      <c r="A779">
        <f>Table1[[#This Row],[Age]]</f>
        <v>21</v>
      </c>
      <c r="B779">
        <f>IF(Table3[[#This Row],[Attrition]] = "Yes", 1,0)</f>
        <v>1</v>
      </c>
      <c r="C779" t="str">
        <f>Table1[[#This Row],[Attrition]]</f>
        <v>Yes</v>
      </c>
      <c r="D779" t="str">
        <f>Table1[[#This Row],[Department]]</f>
        <v>Research &amp; Development</v>
      </c>
      <c r="E779">
        <f>Table1[[#This Row],[EnvironmentSatisfaction]]</f>
        <v>3</v>
      </c>
      <c r="F779">
        <f>Table1[[#This Row],[HourlyRate]]</f>
        <v>36</v>
      </c>
      <c r="G779" t="str">
        <f>Table1[[#This Row],[JobRole]]</f>
        <v>Laboratory Technician</v>
      </c>
      <c r="H779">
        <f>Table1[[#This Row],[JobSatisfaction]]</f>
        <v>1</v>
      </c>
      <c r="I779">
        <f>Table1[[#This Row],[YearsAtCompany]]</f>
        <v>1</v>
      </c>
      <c r="J779">
        <f>Table1[[#This Row],[YearsSinceLastPromotion]]</f>
        <v>1</v>
      </c>
      <c r="K779">
        <f>Table1[[#This Row],[EmployeeNumber]]</f>
        <v>1079</v>
      </c>
      <c r="L779">
        <f>Table1[[#This Row],[DistanceFromHome]]</f>
        <v>10</v>
      </c>
      <c r="M779" t="str">
        <f>Table1[[#This Row],[OverTime]]</f>
        <v>No</v>
      </c>
      <c r="N779">
        <f>Table1[[#This Row],[WorkLifeBalance]]</f>
        <v>2</v>
      </c>
      <c r="O779" t="str" cm="1">
        <f t="array" ref="O779">_xlfn.IFS(A779&lt;=30,"18-30",A779&lt;=40,"31-40",A779&lt;=50,"41-50",A779&gt;50,"51+")</f>
        <v>18-30</v>
      </c>
      <c r="P779" t="str" cm="1">
        <f t="array" ref="P779">_xlfn.IFS(F779&lt;=45,"45 or below",F779&lt;= 60,"46-60",F779&lt;=75,"61-75",F779&lt;=90,"76-90",F779&gt;90,"91 or above")</f>
        <v>45 or below</v>
      </c>
      <c r="Q77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79" t="str" cm="1">
        <f t="array" ref="R779" xml:space="preserve"> _xlfn.IFS(Table3[[#This Row],[Flight Risk Score]] = "NA","NA",Table3[[#This Row],[Flight Risk Score]] &gt;= 70,"High Risk",Table3[[#This Row],[Flight Risk Score]] &gt;= 50, "Medium Risk", Table3[[#This Row],[Flight Risk Score]] &gt;= 30,"Low Risk",Table3[[#This Row],[Flight Risk Score]] &lt; 30,"Very Low Risk")</f>
        <v>NA</v>
      </c>
    </row>
    <row r="780" spans="1:18" x14ac:dyDescent="0.2">
      <c r="A780">
        <f>Table1[[#This Row],[Age]]</f>
        <v>46</v>
      </c>
      <c r="B780">
        <f>IF(Table3[[#This Row],[Attrition]] = "Yes", 1,0)</f>
        <v>0</v>
      </c>
      <c r="C780" t="str">
        <f>Table1[[#This Row],[Attrition]]</f>
        <v>No</v>
      </c>
      <c r="D780" t="str">
        <f>Table1[[#This Row],[Department]]</f>
        <v>Research &amp; Development</v>
      </c>
      <c r="E780">
        <f>Table1[[#This Row],[EnvironmentSatisfaction]]</f>
        <v>4</v>
      </c>
      <c r="F780">
        <f>Table1[[#This Row],[HourlyRate]]</f>
        <v>74</v>
      </c>
      <c r="G780" t="str">
        <f>Table1[[#This Row],[JobRole]]</f>
        <v>Research Scientist</v>
      </c>
      <c r="H780">
        <f>Table1[[#This Row],[JobSatisfaction]]</f>
        <v>1</v>
      </c>
      <c r="I780">
        <f>Table1[[#This Row],[YearsAtCompany]]</f>
        <v>16</v>
      </c>
      <c r="J780">
        <f>Table1[[#This Row],[YearsSinceLastPromotion]]</f>
        <v>1</v>
      </c>
      <c r="K780">
        <f>Table1[[#This Row],[EmployeeNumber]]</f>
        <v>1080</v>
      </c>
      <c r="L780">
        <f>Table1[[#This Row],[DistanceFromHome]]</f>
        <v>8</v>
      </c>
      <c r="M780" t="str">
        <f>Table1[[#This Row],[OverTime]]</f>
        <v>Yes</v>
      </c>
      <c r="N780">
        <f>Table1[[#This Row],[WorkLifeBalance]]</f>
        <v>3</v>
      </c>
      <c r="O780" t="str" cm="1">
        <f t="array" ref="O780">_xlfn.IFS(A780&lt;=30,"18-30",A780&lt;=40,"31-40",A780&lt;=50,"41-50",A780&gt;50,"51+")</f>
        <v>41-50</v>
      </c>
      <c r="P780" t="str" cm="1">
        <f t="array" ref="P780">_xlfn.IFS(F780&lt;=45,"45 or below",F780&lt;= 60,"46-60",F780&lt;=75,"61-75",F780&lt;=90,"76-90",F780&gt;90,"91 or above")</f>
        <v>61-75</v>
      </c>
      <c r="Q7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780" t="str" cm="1">
        <f t="array" ref="R78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781" spans="1:18" hidden="1" x14ac:dyDescent="0.2">
      <c r="A781">
        <f>Table1[[#This Row],[Age]]</f>
        <v>51</v>
      </c>
      <c r="B781">
        <f>IF(Table3[[#This Row],[Attrition]] = "Yes", 1,0)</f>
        <v>1</v>
      </c>
      <c r="C781" t="str">
        <f>Table1[[#This Row],[Attrition]]</f>
        <v>Yes</v>
      </c>
      <c r="D781" t="str">
        <f>Table1[[#This Row],[Department]]</f>
        <v>Research &amp; Development</v>
      </c>
      <c r="E781">
        <f>Table1[[#This Row],[EnvironmentSatisfaction]]</f>
        <v>1</v>
      </c>
      <c r="F781">
        <f>Table1[[#This Row],[HourlyRate]]</f>
        <v>34</v>
      </c>
      <c r="G781" t="str">
        <f>Table1[[#This Row],[JobRole]]</f>
        <v>Research Scientist</v>
      </c>
      <c r="H781">
        <f>Table1[[#This Row],[JobSatisfaction]]</f>
        <v>3</v>
      </c>
      <c r="I781">
        <f>Table1[[#This Row],[YearsAtCompany]]</f>
        <v>10</v>
      </c>
      <c r="J781">
        <f>Table1[[#This Row],[YearsSinceLastPromotion]]</f>
        <v>2</v>
      </c>
      <c r="K781">
        <f>Table1[[#This Row],[EmployeeNumber]]</f>
        <v>1081</v>
      </c>
      <c r="L781">
        <f>Table1[[#This Row],[DistanceFromHome]]</f>
        <v>4</v>
      </c>
      <c r="M781" t="str">
        <f>Table1[[#This Row],[OverTime]]</f>
        <v>Yes</v>
      </c>
      <c r="N781">
        <f>Table1[[#This Row],[WorkLifeBalance]]</f>
        <v>4</v>
      </c>
      <c r="O781" t="str" cm="1">
        <f t="array" ref="O781">_xlfn.IFS(A781&lt;=30,"18-30",A781&lt;=40,"31-40",A781&lt;=50,"41-50",A781&gt;50,"51+")</f>
        <v>51+</v>
      </c>
      <c r="P781" t="str" cm="1">
        <f t="array" ref="P781">_xlfn.IFS(F781&lt;=45,"45 or below",F781&lt;= 60,"46-60",F781&lt;=75,"61-75",F781&lt;=90,"76-90",F781&gt;90,"91 or above")</f>
        <v>45 or below</v>
      </c>
      <c r="Q78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81" t="str" cm="1">
        <f t="array" ref="R781" xml:space="preserve"> _xlfn.IFS(Table3[[#This Row],[Flight Risk Score]] = "NA","NA",Table3[[#This Row],[Flight Risk Score]] &gt;= 70,"High Risk",Table3[[#This Row],[Flight Risk Score]] &gt;= 50, "Medium Risk", Table3[[#This Row],[Flight Risk Score]] &gt;= 30,"Low Risk",Table3[[#This Row],[Flight Risk Score]] &lt; 30,"Very Low Risk")</f>
        <v>NA</v>
      </c>
    </row>
    <row r="782" spans="1:18" hidden="1" x14ac:dyDescent="0.2">
      <c r="A782">
        <f>Table1[[#This Row],[Age]]</f>
        <v>28</v>
      </c>
      <c r="B782">
        <f>IF(Table3[[#This Row],[Attrition]] = "Yes", 1,0)</f>
        <v>1</v>
      </c>
      <c r="C782" t="str">
        <f>Table1[[#This Row],[Attrition]]</f>
        <v>Yes</v>
      </c>
      <c r="D782" t="str">
        <f>Table1[[#This Row],[Department]]</f>
        <v>Research &amp; Development</v>
      </c>
      <c r="E782">
        <f>Table1[[#This Row],[EnvironmentSatisfaction]]</f>
        <v>2</v>
      </c>
      <c r="F782">
        <f>Table1[[#This Row],[HourlyRate]]</f>
        <v>72</v>
      </c>
      <c r="G782" t="str">
        <f>Table1[[#This Row],[JobRole]]</f>
        <v>Healthcare Representative</v>
      </c>
      <c r="H782">
        <f>Table1[[#This Row],[JobSatisfaction]]</f>
        <v>1</v>
      </c>
      <c r="I782">
        <f>Table1[[#This Row],[YearsAtCompany]]</f>
        <v>10</v>
      </c>
      <c r="J782">
        <f>Table1[[#This Row],[YearsSinceLastPromotion]]</f>
        <v>1</v>
      </c>
      <c r="K782">
        <f>Table1[[#This Row],[EmployeeNumber]]</f>
        <v>1082</v>
      </c>
      <c r="L782">
        <f>Table1[[#This Row],[DistanceFromHome]]</f>
        <v>24</v>
      </c>
      <c r="M782" t="str">
        <f>Table1[[#This Row],[OverTime]]</f>
        <v>No</v>
      </c>
      <c r="N782">
        <f>Table1[[#This Row],[WorkLifeBalance]]</f>
        <v>2</v>
      </c>
      <c r="O782" t="str" cm="1">
        <f t="array" ref="O782">_xlfn.IFS(A782&lt;=30,"18-30",A782&lt;=40,"31-40",A782&lt;=50,"41-50",A782&gt;50,"51+")</f>
        <v>18-30</v>
      </c>
      <c r="P782" t="str" cm="1">
        <f t="array" ref="P782">_xlfn.IFS(F782&lt;=45,"45 or below",F782&lt;= 60,"46-60",F782&lt;=75,"61-75",F782&lt;=90,"76-90",F782&gt;90,"91 or above")</f>
        <v>61-75</v>
      </c>
      <c r="Q78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82" t="str" cm="1">
        <f t="array" ref="R782" xml:space="preserve"> _xlfn.IFS(Table3[[#This Row],[Flight Risk Score]] = "NA","NA",Table3[[#This Row],[Flight Risk Score]] &gt;= 70,"High Risk",Table3[[#This Row],[Flight Risk Score]] &gt;= 50, "Medium Risk", Table3[[#This Row],[Flight Risk Score]] &gt;= 30,"Low Risk",Table3[[#This Row],[Flight Risk Score]] &lt; 30,"Very Low Risk")</f>
        <v>NA</v>
      </c>
    </row>
    <row r="783" spans="1:18" x14ac:dyDescent="0.2">
      <c r="A783">
        <f>Table1[[#This Row],[Age]]</f>
        <v>26</v>
      </c>
      <c r="B783">
        <f>IF(Table3[[#This Row],[Attrition]] = "Yes", 1,0)</f>
        <v>0</v>
      </c>
      <c r="C783" t="str">
        <f>Table1[[#This Row],[Attrition]]</f>
        <v>No</v>
      </c>
      <c r="D783" t="str">
        <f>Table1[[#This Row],[Department]]</f>
        <v>Research &amp; Development</v>
      </c>
      <c r="E783">
        <f>Table1[[#This Row],[EnvironmentSatisfaction]]</f>
        <v>1</v>
      </c>
      <c r="F783">
        <f>Table1[[#This Row],[HourlyRate]]</f>
        <v>59</v>
      </c>
      <c r="G783" t="str">
        <f>Table1[[#This Row],[JobRole]]</f>
        <v>Laboratory Technician</v>
      </c>
      <c r="H783">
        <f>Table1[[#This Row],[JobSatisfaction]]</f>
        <v>1</v>
      </c>
      <c r="I783">
        <f>Table1[[#This Row],[YearsAtCompany]]</f>
        <v>5</v>
      </c>
      <c r="J783">
        <f>Table1[[#This Row],[YearsSinceLastPromotion]]</f>
        <v>1</v>
      </c>
      <c r="K783">
        <f>Table1[[#This Row],[EmployeeNumber]]</f>
        <v>1083</v>
      </c>
      <c r="L783">
        <f>Table1[[#This Row],[DistanceFromHome]]</f>
        <v>1</v>
      </c>
      <c r="M783" t="str">
        <f>Table1[[#This Row],[OverTime]]</f>
        <v>No</v>
      </c>
      <c r="N783">
        <f>Table1[[#This Row],[WorkLifeBalance]]</f>
        <v>3</v>
      </c>
      <c r="O783" t="str" cm="1">
        <f t="array" ref="O783">_xlfn.IFS(A783&lt;=30,"18-30",A783&lt;=40,"31-40",A783&lt;=50,"41-50",A783&gt;50,"51+")</f>
        <v>18-30</v>
      </c>
      <c r="P783" t="str" cm="1">
        <f t="array" ref="P783">_xlfn.IFS(F783&lt;=45,"45 or below",F783&lt;= 60,"46-60",F783&lt;=75,"61-75",F783&lt;=90,"76-90",F783&gt;90,"91 or above")</f>
        <v>46-60</v>
      </c>
      <c r="Q7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783" t="str" cm="1">
        <f t="array" ref="R783" xml:space="preserve"> _xlfn.IFS(Table3[[#This Row],[Flight Risk Score]] = "NA","NA",Table3[[#This Row],[Flight Risk Score]] &gt;= 70,"High Risk",Table3[[#This Row],[Flight Risk Score]] &gt;= 50, "Medium Risk", Table3[[#This Row],[Flight Risk Score]] &gt;= 30,"Low Risk",Table3[[#This Row],[Flight Risk Score]] &lt; 30,"Very Low Risk")</f>
        <v>Low Risk</v>
      </c>
    </row>
    <row r="784" spans="1:18" x14ac:dyDescent="0.2">
      <c r="A784">
        <f>Table1[[#This Row],[Age]]</f>
        <v>30</v>
      </c>
      <c r="B784">
        <f>IF(Table3[[#This Row],[Attrition]] = "Yes", 1,0)</f>
        <v>0</v>
      </c>
      <c r="C784" t="str">
        <f>Table1[[#This Row],[Attrition]]</f>
        <v>No</v>
      </c>
      <c r="D784" t="str">
        <f>Table1[[#This Row],[Department]]</f>
        <v>Research &amp; Development</v>
      </c>
      <c r="E784">
        <f>Table1[[#This Row],[EnvironmentSatisfaction]]</f>
        <v>3</v>
      </c>
      <c r="F784">
        <f>Table1[[#This Row],[HourlyRate]]</f>
        <v>85</v>
      </c>
      <c r="G784" t="str">
        <f>Table1[[#This Row],[JobRole]]</f>
        <v>Manufacturing Director</v>
      </c>
      <c r="H784">
        <f>Table1[[#This Row],[JobSatisfaction]]</f>
        <v>1</v>
      </c>
      <c r="I784">
        <f>Table1[[#This Row],[YearsAtCompany]]</f>
        <v>6</v>
      </c>
      <c r="J784">
        <f>Table1[[#This Row],[YearsSinceLastPromotion]]</f>
        <v>0</v>
      </c>
      <c r="K784">
        <f>Table1[[#This Row],[EmployeeNumber]]</f>
        <v>1084</v>
      </c>
      <c r="L784">
        <f>Table1[[#This Row],[DistanceFromHome]]</f>
        <v>20</v>
      </c>
      <c r="M784" t="str">
        <f>Table1[[#This Row],[OverTime]]</f>
        <v>No</v>
      </c>
      <c r="N784">
        <f>Table1[[#This Row],[WorkLifeBalance]]</f>
        <v>2</v>
      </c>
      <c r="O784" t="str" cm="1">
        <f t="array" ref="O784">_xlfn.IFS(A784&lt;=30,"18-30",A784&lt;=40,"31-40",A784&lt;=50,"41-50",A784&gt;50,"51+")</f>
        <v>18-30</v>
      </c>
      <c r="P784" t="str" cm="1">
        <f t="array" ref="P784">_xlfn.IFS(F784&lt;=45,"45 or below",F784&lt;= 60,"46-60",F784&lt;=75,"61-75",F784&lt;=90,"76-90",F784&gt;90,"91 or above")</f>
        <v>76-90</v>
      </c>
      <c r="Q7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84" t="str" cm="1">
        <f t="array" ref="R7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85" spans="1:18" x14ac:dyDescent="0.2">
      <c r="A785">
        <f>Table1[[#This Row],[Age]]</f>
        <v>41</v>
      </c>
      <c r="B785">
        <f>IF(Table3[[#This Row],[Attrition]] = "Yes", 1,0)</f>
        <v>0</v>
      </c>
      <c r="C785" t="str">
        <f>Table1[[#This Row],[Attrition]]</f>
        <v>No</v>
      </c>
      <c r="D785" t="str">
        <f>Table1[[#This Row],[Department]]</f>
        <v>Research &amp; Development</v>
      </c>
      <c r="E785">
        <f>Table1[[#This Row],[EnvironmentSatisfaction]]</f>
        <v>2</v>
      </c>
      <c r="F785">
        <f>Table1[[#This Row],[HourlyRate]]</f>
        <v>43</v>
      </c>
      <c r="G785" t="str">
        <f>Table1[[#This Row],[JobRole]]</f>
        <v>Research Scientist</v>
      </c>
      <c r="H785">
        <f>Table1[[#This Row],[JobSatisfaction]]</f>
        <v>3</v>
      </c>
      <c r="I785">
        <f>Table1[[#This Row],[YearsAtCompany]]</f>
        <v>10</v>
      </c>
      <c r="J785">
        <f>Table1[[#This Row],[YearsSinceLastPromotion]]</f>
        <v>0</v>
      </c>
      <c r="K785">
        <f>Table1[[#This Row],[EmployeeNumber]]</f>
        <v>1085</v>
      </c>
      <c r="L785">
        <f>Table1[[#This Row],[DistanceFromHome]]</f>
        <v>7</v>
      </c>
      <c r="M785" t="str">
        <f>Table1[[#This Row],[OverTime]]</f>
        <v>No</v>
      </c>
      <c r="N785">
        <f>Table1[[#This Row],[WorkLifeBalance]]</f>
        <v>3</v>
      </c>
      <c r="O785" t="str" cm="1">
        <f t="array" ref="O785">_xlfn.IFS(A785&lt;=30,"18-30",A785&lt;=40,"31-40",A785&lt;=50,"41-50",A785&gt;50,"51+")</f>
        <v>41-50</v>
      </c>
      <c r="P785" t="str" cm="1">
        <f t="array" ref="P785">_xlfn.IFS(F785&lt;=45,"45 or below",F785&lt;= 60,"46-60",F785&lt;=75,"61-75",F785&lt;=90,"76-90",F785&gt;90,"91 or above")</f>
        <v>45 or below</v>
      </c>
      <c r="Q7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85" t="str" cm="1">
        <f t="array" ref="R7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86" spans="1:18" x14ac:dyDescent="0.2">
      <c r="A786">
        <f>Table1[[#This Row],[Age]]</f>
        <v>38</v>
      </c>
      <c r="B786">
        <f>IF(Table3[[#This Row],[Attrition]] = "Yes", 1,0)</f>
        <v>0</v>
      </c>
      <c r="C786" t="str">
        <f>Table1[[#This Row],[Attrition]]</f>
        <v>No</v>
      </c>
      <c r="D786" t="str">
        <f>Table1[[#This Row],[Department]]</f>
        <v>Research &amp; Development</v>
      </c>
      <c r="E786">
        <f>Table1[[#This Row],[EnvironmentSatisfaction]]</f>
        <v>3</v>
      </c>
      <c r="F786">
        <f>Table1[[#This Row],[HourlyRate]]</f>
        <v>65</v>
      </c>
      <c r="G786" t="str">
        <f>Table1[[#This Row],[JobRole]]</f>
        <v>Healthcare Representative</v>
      </c>
      <c r="H786">
        <f>Table1[[#This Row],[JobSatisfaction]]</f>
        <v>3</v>
      </c>
      <c r="I786">
        <f>Table1[[#This Row],[YearsAtCompany]]</f>
        <v>19</v>
      </c>
      <c r="J786">
        <f>Table1[[#This Row],[YearsSinceLastPromotion]]</f>
        <v>1</v>
      </c>
      <c r="K786">
        <f>Table1[[#This Row],[EmployeeNumber]]</f>
        <v>1088</v>
      </c>
      <c r="L786">
        <f>Table1[[#This Row],[DistanceFromHome]]</f>
        <v>17</v>
      </c>
      <c r="M786" t="str">
        <f>Table1[[#This Row],[OverTime]]</f>
        <v>No</v>
      </c>
      <c r="N786">
        <f>Table1[[#This Row],[WorkLifeBalance]]</f>
        <v>2</v>
      </c>
      <c r="O786" t="str" cm="1">
        <f t="array" ref="O786">_xlfn.IFS(A786&lt;=30,"18-30",A786&lt;=40,"31-40",A786&lt;=50,"41-50",A786&gt;50,"51+")</f>
        <v>31-40</v>
      </c>
      <c r="P786" t="str" cm="1">
        <f t="array" ref="P786">_xlfn.IFS(F786&lt;=45,"45 or below",F786&lt;= 60,"46-60",F786&lt;=75,"61-75",F786&lt;=90,"76-90",F786&gt;90,"91 or above")</f>
        <v>61-75</v>
      </c>
      <c r="Q7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86" t="str" cm="1">
        <f t="array" ref="R7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87" spans="1:18" x14ac:dyDescent="0.2">
      <c r="A787">
        <f>Table1[[#This Row],[Age]]</f>
        <v>40</v>
      </c>
      <c r="B787">
        <f>IF(Table3[[#This Row],[Attrition]] = "Yes", 1,0)</f>
        <v>0</v>
      </c>
      <c r="C787" t="str">
        <f>Table1[[#This Row],[Attrition]]</f>
        <v>No</v>
      </c>
      <c r="D787" t="str">
        <f>Table1[[#This Row],[Department]]</f>
        <v>Research &amp; Development</v>
      </c>
      <c r="E787">
        <f>Table1[[#This Row],[EnvironmentSatisfaction]]</f>
        <v>1</v>
      </c>
      <c r="F787">
        <f>Table1[[#This Row],[HourlyRate]]</f>
        <v>61</v>
      </c>
      <c r="G787" t="str">
        <f>Table1[[#This Row],[JobRole]]</f>
        <v>Healthcare Representative</v>
      </c>
      <c r="H787">
        <f>Table1[[#This Row],[JobSatisfaction]]</f>
        <v>4</v>
      </c>
      <c r="I787">
        <f>Table1[[#This Row],[YearsAtCompany]]</f>
        <v>11</v>
      </c>
      <c r="J787">
        <f>Table1[[#This Row],[YearsSinceLastPromotion]]</f>
        <v>11</v>
      </c>
      <c r="K787">
        <f>Table1[[#This Row],[EmployeeNumber]]</f>
        <v>1092</v>
      </c>
      <c r="L787">
        <f>Table1[[#This Row],[DistanceFromHome]]</f>
        <v>20</v>
      </c>
      <c r="M787" t="str">
        <f>Table1[[#This Row],[OverTime]]</f>
        <v>No</v>
      </c>
      <c r="N787">
        <f>Table1[[#This Row],[WorkLifeBalance]]</f>
        <v>3</v>
      </c>
      <c r="O787" t="str" cm="1">
        <f t="array" ref="O787">_xlfn.IFS(A787&lt;=30,"18-30",A787&lt;=40,"31-40",A787&lt;=50,"41-50",A787&gt;50,"51+")</f>
        <v>31-40</v>
      </c>
      <c r="P787" t="str" cm="1">
        <f t="array" ref="P787">_xlfn.IFS(F787&lt;=45,"45 or below",F787&lt;= 60,"46-60",F787&lt;=75,"61-75",F787&lt;=90,"76-90",F787&gt;90,"91 or above")</f>
        <v>61-75</v>
      </c>
      <c r="Q7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87" t="str" cm="1">
        <f t="array" ref="R7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88" spans="1:18" x14ac:dyDescent="0.2">
      <c r="A788">
        <f>Table1[[#This Row],[Age]]</f>
        <v>27</v>
      </c>
      <c r="B788">
        <f>IF(Table3[[#This Row],[Attrition]] = "Yes", 1,0)</f>
        <v>0</v>
      </c>
      <c r="C788" t="str">
        <f>Table1[[#This Row],[Attrition]]</f>
        <v>No</v>
      </c>
      <c r="D788" t="str">
        <f>Table1[[#This Row],[Department]]</f>
        <v>Research &amp; Development</v>
      </c>
      <c r="E788">
        <f>Table1[[#This Row],[EnvironmentSatisfaction]]</f>
        <v>1</v>
      </c>
      <c r="F788">
        <f>Table1[[#This Row],[HourlyRate]]</f>
        <v>87</v>
      </c>
      <c r="G788" t="str">
        <f>Table1[[#This Row],[JobRole]]</f>
        <v>Laboratory Technician</v>
      </c>
      <c r="H788">
        <f>Table1[[#This Row],[JobSatisfaction]]</f>
        <v>3</v>
      </c>
      <c r="I788">
        <f>Table1[[#This Row],[YearsAtCompany]]</f>
        <v>3</v>
      </c>
      <c r="J788">
        <f>Table1[[#This Row],[YearsSinceLastPromotion]]</f>
        <v>1</v>
      </c>
      <c r="K788">
        <f>Table1[[#This Row],[EmployeeNumber]]</f>
        <v>1094</v>
      </c>
      <c r="L788">
        <f>Table1[[#This Row],[DistanceFromHome]]</f>
        <v>8</v>
      </c>
      <c r="M788" t="str">
        <f>Table1[[#This Row],[OverTime]]</f>
        <v>No</v>
      </c>
      <c r="N788">
        <f>Table1[[#This Row],[WorkLifeBalance]]</f>
        <v>3</v>
      </c>
      <c r="O788" t="str" cm="1">
        <f t="array" ref="O788">_xlfn.IFS(A788&lt;=30,"18-30",A788&lt;=40,"31-40",A788&lt;=50,"41-50",A788&gt;50,"51+")</f>
        <v>18-30</v>
      </c>
      <c r="P788" t="str" cm="1">
        <f t="array" ref="P788">_xlfn.IFS(F788&lt;=45,"45 or below",F788&lt;= 60,"46-60",F788&lt;=75,"61-75",F788&lt;=90,"76-90",F788&gt;90,"91 or above")</f>
        <v>76-90</v>
      </c>
      <c r="Q7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88" t="str" cm="1">
        <f t="array" ref="R7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89" spans="1:18" x14ac:dyDescent="0.2">
      <c r="A789">
        <f>Table1[[#This Row],[Age]]</f>
        <v>55</v>
      </c>
      <c r="B789">
        <f>IF(Table3[[#This Row],[Attrition]] = "Yes", 1,0)</f>
        <v>0</v>
      </c>
      <c r="C789" t="str">
        <f>Table1[[#This Row],[Attrition]]</f>
        <v>No</v>
      </c>
      <c r="D789" t="str">
        <f>Table1[[#This Row],[Department]]</f>
        <v>Research &amp; Development</v>
      </c>
      <c r="E789">
        <f>Table1[[#This Row],[EnvironmentSatisfaction]]</f>
        <v>4</v>
      </c>
      <c r="F789">
        <f>Table1[[#This Row],[HourlyRate]]</f>
        <v>65</v>
      </c>
      <c r="G789" t="str">
        <f>Table1[[#This Row],[JobRole]]</f>
        <v>Manufacturing Director</v>
      </c>
      <c r="H789">
        <f>Table1[[#This Row],[JobSatisfaction]]</f>
        <v>2</v>
      </c>
      <c r="I789">
        <f>Table1[[#This Row],[YearsAtCompany]]</f>
        <v>3</v>
      </c>
      <c r="J789">
        <f>Table1[[#This Row],[YearsSinceLastPromotion]]</f>
        <v>1</v>
      </c>
      <c r="K789">
        <f>Table1[[#This Row],[EmployeeNumber]]</f>
        <v>1096</v>
      </c>
      <c r="L789">
        <f>Table1[[#This Row],[DistanceFromHome]]</f>
        <v>2</v>
      </c>
      <c r="M789" t="str">
        <f>Table1[[#This Row],[OverTime]]</f>
        <v>No</v>
      </c>
      <c r="N789">
        <f>Table1[[#This Row],[WorkLifeBalance]]</f>
        <v>3</v>
      </c>
      <c r="O789" t="str" cm="1">
        <f t="array" ref="O789">_xlfn.IFS(A789&lt;=30,"18-30",A789&lt;=40,"31-40",A789&lt;=50,"41-50",A789&gt;50,"51+")</f>
        <v>51+</v>
      </c>
      <c r="P789" t="str" cm="1">
        <f t="array" ref="P789">_xlfn.IFS(F789&lt;=45,"45 or below",F789&lt;= 60,"46-60",F789&lt;=75,"61-75",F789&lt;=90,"76-90",F789&gt;90,"91 or above")</f>
        <v>61-75</v>
      </c>
      <c r="Q7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89" t="str" cm="1">
        <f t="array" ref="R7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90" spans="1:18" x14ac:dyDescent="0.2">
      <c r="A790">
        <f>Table1[[#This Row],[Age]]</f>
        <v>28</v>
      </c>
      <c r="B790">
        <f>IF(Table3[[#This Row],[Attrition]] = "Yes", 1,0)</f>
        <v>0</v>
      </c>
      <c r="C790" t="str">
        <f>Table1[[#This Row],[Attrition]]</f>
        <v>No</v>
      </c>
      <c r="D790" t="str">
        <f>Table1[[#This Row],[Department]]</f>
        <v>Research &amp; Development</v>
      </c>
      <c r="E790">
        <f>Table1[[#This Row],[EnvironmentSatisfaction]]</f>
        <v>3</v>
      </c>
      <c r="F790">
        <f>Table1[[#This Row],[HourlyRate]]</f>
        <v>59</v>
      </c>
      <c r="G790" t="str">
        <f>Table1[[#This Row],[JobRole]]</f>
        <v>Research Scientist</v>
      </c>
      <c r="H790">
        <f>Table1[[#This Row],[JobSatisfaction]]</f>
        <v>3</v>
      </c>
      <c r="I790">
        <f>Table1[[#This Row],[YearsAtCompany]]</f>
        <v>8</v>
      </c>
      <c r="J790">
        <f>Table1[[#This Row],[YearsSinceLastPromotion]]</f>
        <v>1</v>
      </c>
      <c r="K790">
        <f>Table1[[#This Row],[EmployeeNumber]]</f>
        <v>1097</v>
      </c>
      <c r="L790">
        <f>Table1[[#This Row],[DistanceFromHome]]</f>
        <v>10</v>
      </c>
      <c r="M790" t="str">
        <f>Table1[[#This Row],[OverTime]]</f>
        <v>No</v>
      </c>
      <c r="N790">
        <f>Table1[[#This Row],[WorkLifeBalance]]</f>
        <v>4</v>
      </c>
      <c r="O790" t="str" cm="1">
        <f t="array" ref="O790">_xlfn.IFS(A790&lt;=30,"18-30",A790&lt;=40,"31-40",A790&lt;=50,"41-50",A790&gt;50,"51+")</f>
        <v>18-30</v>
      </c>
      <c r="P790" t="str" cm="1">
        <f t="array" ref="P790">_xlfn.IFS(F790&lt;=45,"45 or below",F790&lt;= 60,"46-60",F790&lt;=75,"61-75",F790&lt;=90,"76-90",F790&gt;90,"91 or above")</f>
        <v>46-60</v>
      </c>
      <c r="Q7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90" t="str" cm="1">
        <f t="array" ref="R7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91" spans="1:18" hidden="1" x14ac:dyDescent="0.2">
      <c r="A791">
        <f>Table1[[#This Row],[Age]]</f>
        <v>44</v>
      </c>
      <c r="B791">
        <f>IF(Table3[[#This Row],[Attrition]] = "Yes", 1,0)</f>
        <v>1</v>
      </c>
      <c r="C791" t="str">
        <f>Table1[[#This Row],[Attrition]]</f>
        <v>Yes</v>
      </c>
      <c r="D791" t="str">
        <f>Table1[[#This Row],[Department]]</f>
        <v>Human Resources</v>
      </c>
      <c r="E791">
        <f>Table1[[#This Row],[EnvironmentSatisfaction]]</f>
        <v>2</v>
      </c>
      <c r="F791">
        <f>Table1[[#This Row],[HourlyRate]]</f>
        <v>91</v>
      </c>
      <c r="G791" t="str">
        <f>Table1[[#This Row],[JobRole]]</f>
        <v>Human Resources</v>
      </c>
      <c r="H791">
        <f>Table1[[#This Row],[JobSatisfaction]]</f>
        <v>1</v>
      </c>
      <c r="I791">
        <f>Table1[[#This Row],[YearsAtCompany]]</f>
        <v>20</v>
      </c>
      <c r="J791">
        <f>Table1[[#This Row],[YearsSinceLastPromotion]]</f>
        <v>3</v>
      </c>
      <c r="K791">
        <f>Table1[[#This Row],[EmployeeNumber]]</f>
        <v>1098</v>
      </c>
      <c r="L791">
        <f>Table1[[#This Row],[DistanceFromHome]]</f>
        <v>1</v>
      </c>
      <c r="M791" t="str">
        <f>Table1[[#This Row],[OverTime]]</f>
        <v>No</v>
      </c>
      <c r="N791">
        <f>Table1[[#This Row],[WorkLifeBalance]]</f>
        <v>3</v>
      </c>
      <c r="O791" t="str" cm="1">
        <f t="array" ref="O791">_xlfn.IFS(A791&lt;=30,"18-30",A791&lt;=40,"31-40",A791&lt;=50,"41-50",A791&gt;50,"51+")</f>
        <v>41-50</v>
      </c>
      <c r="P791" t="str" cm="1">
        <f t="array" ref="P791">_xlfn.IFS(F791&lt;=45,"45 or below",F791&lt;= 60,"46-60",F791&lt;=75,"61-75",F791&lt;=90,"76-90",F791&gt;90,"91 or above")</f>
        <v>91 or above</v>
      </c>
      <c r="Q79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91" t="str" cm="1">
        <f t="array" ref="R791" xml:space="preserve"> _xlfn.IFS(Table3[[#This Row],[Flight Risk Score]] = "NA","NA",Table3[[#This Row],[Flight Risk Score]] &gt;= 70,"High Risk",Table3[[#This Row],[Flight Risk Score]] &gt;= 50, "Medium Risk", Table3[[#This Row],[Flight Risk Score]] &gt;= 30,"Low Risk",Table3[[#This Row],[Flight Risk Score]] &lt; 30,"Very Low Risk")</f>
        <v>NA</v>
      </c>
    </row>
    <row r="792" spans="1:18" x14ac:dyDescent="0.2">
      <c r="A792">
        <f>Table1[[#This Row],[Age]]</f>
        <v>33</v>
      </c>
      <c r="B792">
        <f>IF(Table3[[#This Row],[Attrition]] = "Yes", 1,0)</f>
        <v>0</v>
      </c>
      <c r="C792" t="str">
        <f>Table1[[#This Row],[Attrition]]</f>
        <v>No</v>
      </c>
      <c r="D792" t="str">
        <f>Table1[[#This Row],[Department]]</f>
        <v>Research &amp; Development</v>
      </c>
      <c r="E792">
        <f>Table1[[#This Row],[EnvironmentSatisfaction]]</f>
        <v>4</v>
      </c>
      <c r="F792">
        <f>Table1[[#This Row],[HourlyRate]]</f>
        <v>34</v>
      </c>
      <c r="G792" t="str">
        <f>Table1[[#This Row],[JobRole]]</f>
        <v>Healthcare Representative</v>
      </c>
      <c r="H792">
        <f>Table1[[#This Row],[JobSatisfaction]]</f>
        <v>4</v>
      </c>
      <c r="I792">
        <f>Table1[[#This Row],[YearsAtCompany]]</f>
        <v>3</v>
      </c>
      <c r="J792">
        <f>Table1[[#This Row],[YearsSinceLastPromotion]]</f>
        <v>1</v>
      </c>
      <c r="K792">
        <f>Table1[[#This Row],[EmployeeNumber]]</f>
        <v>1099</v>
      </c>
      <c r="L792">
        <f>Table1[[#This Row],[DistanceFromHome]]</f>
        <v>5</v>
      </c>
      <c r="M792" t="str">
        <f>Table1[[#This Row],[OverTime]]</f>
        <v>No</v>
      </c>
      <c r="N792">
        <f>Table1[[#This Row],[WorkLifeBalance]]</f>
        <v>3</v>
      </c>
      <c r="O792" t="str" cm="1">
        <f t="array" ref="O792">_xlfn.IFS(A792&lt;=30,"18-30",A792&lt;=40,"31-40",A792&lt;=50,"41-50",A792&gt;50,"51+")</f>
        <v>31-40</v>
      </c>
      <c r="P792" t="str" cm="1">
        <f t="array" ref="P792">_xlfn.IFS(F792&lt;=45,"45 or below",F792&lt;= 60,"46-60",F792&lt;=75,"61-75",F792&lt;=90,"76-90",F792&gt;90,"91 or above")</f>
        <v>45 or below</v>
      </c>
      <c r="Q7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792" t="str" cm="1">
        <f t="array" ref="R7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93" spans="1:18" hidden="1" x14ac:dyDescent="0.2">
      <c r="A793">
        <f>Table1[[#This Row],[Age]]</f>
        <v>35</v>
      </c>
      <c r="B793">
        <f>IF(Table3[[#This Row],[Attrition]] = "Yes", 1,0)</f>
        <v>1</v>
      </c>
      <c r="C793" t="str">
        <f>Table1[[#This Row],[Attrition]]</f>
        <v>Yes</v>
      </c>
      <c r="D793" t="str">
        <f>Table1[[#This Row],[Department]]</f>
        <v>Sales</v>
      </c>
      <c r="E793">
        <f>Table1[[#This Row],[EnvironmentSatisfaction]]</f>
        <v>4</v>
      </c>
      <c r="F793">
        <f>Table1[[#This Row],[HourlyRate]]</f>
        <v>86</v>
      </c>
      <c r="G793" t="str">
        <f>Table1[[#This Row],[JobRole]]</f>
        <v>Sales Executive</v>
      </c>
      <c r="H793">
        <f>Table1[[#This Row],[JobSatisfaction]]</f>
        <v>1</v>
      </c>
      <c r="I793">
        <f>Table1[[#This Row],[YearsAtCompany]]</f>
        <v>8</v>
      </c>
      <c r="J793">
        <f>Table1[[#This Row],[YearsSinceLastPromotion]]</f>
        <v>4</v>
      </c>
      <c r="K793">
        <f>Table1[[#This Row],[EmployeeNumber]]</f>
        <v>1100</v>
      </c>
      <c r="L793">
        <f>Table1[[#This Row],[DistanceFromHome]]</f>
        <v>4</v>
      </c>
      <c r="M793" t="str">
        <f>Table1[[#This Row],[OverTime]]</f>
        <v>Yes</v>
      </c>
      <c r="N793">
        <f>Table1[[#This Row],[WorkLifeBalance]]</f>
        <v>3</v>
      </c>
      <c r="O793" t="str" cm="1">
        <f t="array" ref="O793">_xlfn.IFS(A793&lt;=30,"18-30",A793&lt;=40,"31-40",A793&lt;=50,"41-50",A793&gt;50,"51+")</f>
        <v>31-40</v>
      </c>
      <c r="P793" t="str" cm="1">
        <f t="array" ref="P793">_xlfn.IFS(F793&lt;=45,"45 or below",F793&lt;= 60,"46-60",F793&lt;=75,"61-75",F793&lt;=90,"76-90",F793&gt;90,"91 or above")</f>
        <v>76-90</v>
      </c>
      <c r="Q79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93" t="str" cm="1">
        <f t="array" ref="R793" xml:space="preserve"> _xlfn.IFS(Table3[[#This Row],[Flight Risk Score]] = "NA","NA",Table3[[#This Row],[Flight Risk Score]] &gt;= 70,"High Risk",Table3[[#This Row],[Flight Risk Score]] &gt;= 50, "Medium Risk", Table3[[#This Row],[Flight Risk Score]] &gt;= 30,"Low Risk",Table3[[#This Row],[Flight Risk Score]] &lt; 30,"Very Low Risk")</f>
        <v>NA</v>
      </c>
    </row>
    <row r="794" spans="1:18" hidden="1" x14ac:dyDescent="0.2">
      <c r="A794">
        <f>Table1[[#This Row],[Age]]</f>
        <v>33</v>
      </c>
      <c r="B794">
        <f>IF(Table3[[#This Row],[Attrition]] = "Yes", 1,0)</f>
        <v>1</v>
      </c>
      <c r="C794" t="str">
        <f>Table1[[#This Row],[Attrition]]</f>
        <v>Yes</v>
      </c>
      <c r="D794" t="str">
        <f>Table1[[#This Row],[Department]]</f>
        <v>Research &amp; Development</v>
      </c>
      <c r="E794">
        <f>Table1[[#This Row],[EnvironmentSatisfaction]]</f>
        <v>1</v>
      </c>
      <c r="F794">
        <f>Table1[[#This Row],[HourlyRate]]</f>
        <v>54</v>
      </c>
      <c r="G794" t="str">
        <f>Table1[[#This Row],[JobRole]]</f>
        <v>Research Scientist</v>
      </c>
      <c r="H794">
        <f>Table1[[#This Row],[JobSatisfaction]]</f>
        <v>3</v>
      </c>
      <c r="I794">
        <f>Table1[[#This Row],[YearsAtCompany]]</f>
        <v>13</v>
      </c>
      <c r="J794">
        <f>Table1[[#This Row],[YearsSinceLastPromotion]]</f>
        <v>3</v>
      </c>
      <c r="K794">
        <f>Table1[[#This Row],[EmployeeNumber]]</f>
        <v>1101</v>
      </c>
      <c r="L794">
        <f>Table1[[#This Row],[DistanceFromHome]]</f>
        <v>29</v>
      </c>
      <c r="M794" t="str">
        <f>Table1[[#This Row],[OverTime]]</f>
        <v>No</v>
      </c>
      <c r="N794">
        <f>Table1[[#This Row],[WorkLifeBalance]]</f>
        <v>3</v>
      </c>
      <c r="O794" t="str" cm="1">
        <f t="array" ref="O794">_xlfn.IFS(A794&lt;=30,"18-30",A794&lt;=40,"31-40",A794&lt;=50,"41-50",A794&gt;50,"51+")</f>
        <v>31-40</v>
      </c>
      <c r="P794" t="str" cm="1">
        <f t="array" ref="P794">_xlfn.IFS(F794&lt;=45,"45 or below",F794&lt;= 60,"46-60",F794&lt;=75,"61-75",F794&lt;=90,"76-90",F794&gt;90,"91 or above")</f>
        <v>46-60</v>
      </c>
      <c r="Q79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94" t="str" cm="1">
        <f t="array" ref="R794" xml:space="preserve"> _xlfn.IFS(Table3[[#This Row],[Flight Risk Score]] = "NA","NA",Table3[[#This Row],[Flight Risk Score]] &gt;= 70,"High Risk",Table3[[#This Row],[Flight Risk Score]] &gt;= 50, "Medium Risk", Table3[[#This Row],[Flight Risk Score]] &gt;= 30,"Low Risk",Table3[[#This Row],[Flight Risk Score]] &lt; 30,"Very Low Risk")</f>
        <v>NA</v>
      </c>
    </row>
    <row r="795" spans="1:18" x14ac:dyDescent="0.2">
      <c r="A795">
        <f>Table1[[#This Row],[Age]]</f>
        <v>28</v>
      </c>
      <c r="B795">
        <f>IF(Table3[[#This Row],[Attrition]] = "Yes", 1,0)</f>
        <v>0</v>
      </c>
      <c r="C795" t="str">
        <f>Table1[[#This Row],[Attrition]]</f>
        <v>No</v>
      </c>
      <c r="D795" t="str">
        <f>Table1[[#This Row],[Department]]</f>
        <v>Research &amp; Development</v>
      </c>
      <c r="E795">
        <f>Table1[[#This Row],[EnvironmentSatisfaction]]</f>
        <v>1</v>
      </c>
      <c r="F795">
        <f>Table1[[#This Row],[HourlyRate]]</f>
        <v>50</v>
      </c>
      <c r="G795" t="str">
        <f>Table1[[#This Row],[JobRole]]</f>
        <v>Laboratory Technician</v>
      </c>
      <c r="H795">
        <f>Table1[[#This Row],[JobSatisfaction]]</f>
        <v>3</v>
      </c>
      <c r="I795">
        <f>Table1[[#This Row],[YearsAtCompany]]</f>
        <v>4</v>
      </c>
      <c r="J795">
        <f>Table1[[#This Row],[YearsSinceLastPromotion]]</f>
        <v>2</v>
      </c>
      <c r="K795">
        <f>Table1[[#This Row],[EmployeeNumber]]</f>
        <v>1102</v>
      </c>
      <c r="L795">
        <f>Table1[[#This Row],[DistanceFromHome]]</f>
        <v>15</v>
      </c>
      <c r="M795" t="str">
        <f>Table1[[#This Row],[OverTime]]</f>
        <v>No</v>
      </c>
      <c r="N795">
        <f>Table1[[#This Row],[WorkLifeBalance]]</f>
        <v>2</v>
      </c>
      <c r="O795" t="str" cm="1">
        <f t="array" ref="O795">_xlfn.IFS(A795&lt;=30,"18-30",A795&lt;=40,"31-40",A795&lt;=50,"41-50",A795&gt;50,"51+")</f>
        <v>18-30</v>
      </c>
      <c r="P795" t="str" cm="1">
        <f t="array" ref="P795">_xlfn.IFS(F795&lt;=45,"45 or below",F795&lt;= 60,"46-60",F795&lt;=75,"61-75",F795&lt;=90,"76-90",F795&gt;90,"91 or above")</f>
        <v>46-60</v>
      </c>
      <c r="Q7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95" t="str" cm="1">
        <f t="array" ref="R7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96" spans="1:18" x14ac:dyDescent="0.2">
      <c r="A796">
        <f>Table1[[#This Row],[Age]]</f>
        <v>34</v>
      </c>
      <c r="B796">
        <f>IF(Table3[[#This Row],[Attrition]] = "Yes", 1,0)</f>
        <v>0</v>
      </c>
      <c r="C796" t="str">
        <f>Table1[[#This Row],[Attrition]]</f>
        <v>No</v>
      </c>
      <c r="D796" t="str">
        <f>Table1[[#This Row],[Department]]</f>
        <v>Research &amp; Development</v>
      </c>
      <c r="E796">
        <f>Table1[[#This Row],[EnvironmentSatisfaction]]</f>
        <v>1</v>
      </c>
      <c r="F796">
        <f>Table1[[#This Row],[HourlyRate]]</f>
        <v>45</v>
      </c>
      <c r="G796" t="str">
        <f>Table1[[#This Row],[JobRole]]</f>
        <v>Healthcare Representative</v>
      </c>
      <c r="H796">
        <f>Table1[[#This Row],[JobSatisfaction]]</f>
        <v>4</v>
      </c>
      <c r="I796">
        <f>Table1[[#This Row],[YearsAtCompany]]</f>
        <v>6</v>
      </c>
      <c r="J796">
        <f>Table1[[#This Row],[YearsSinceLastPromotion]]</f>
        <v>0</v>
      </c>
      <c r="K796">
        <f>Table1[[#This Row],[EmployeeNumber]]</f>
        <v>1103</v>
      </c>
      <c r="L796">
        <f>Table1[[#This Row],[DistanceFromHome]]</f>
        <v>3</v>
      </c>
      <c r="M796" t="str">
        <f>Table1[[#This Row],[OverTime]]</f>
        <v>No</v>
      </c>
      <c r="N796">
        <f>Table1[[#This Row],[WorkLifeBalance]]</f>
        <v>2</v>
      </c>
      <c r="O796" t="str" cm="1">
        <f t="array" ref="O796">_xlfn.IFS(A796&lt;=30,"18-30",A796&lt;=40,"31-40",A796&lt;=50,"41-50",A796&gt;50,"51+")</f>
        <v>31-40</v>
      </c>
      <c r="P796" t="str" cm="1">
        <f t="array" ref="P796">_xlfn.IFS(F796&lt;=45,"45 or below",F796&lt;= 60,"46-60",F796&lt;=75,"61-75",F796&lt;=90,"76-90",F796&gt;90,"91 or above")</f>
        <v>45 or below</v>
      </c>
      <c r="Q7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796" t="str" cm="1">
        <f t="array" ref="R7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797" spans="1:18" x14ac:dyDescent="0.2">
      <c r="A797">
        <f>Table1[[#This Row],[Age]]</f>
        <v>37</v>
      </c>
      <c r="B797">
        <f>IF(Table3[[#This Row],[Attrition]] = "Yes", 1,0)</f>
        <v>0</v>
      </c>
      <c r="C797" t="str">
        <f>Table1[[#This Row],[Attrition]]</f>
        <v>No</v>
      </c>
      <c r="D797" t="str">
        <f>Table1[[#This Row],[Department]]</f>
        <v>Sales</v>
      </c>
      <c r="E797">
        <f>Table1[[#This Row],[EnvironmentSatisfaction]]</f>
        <v>4</v>
      </c>
      <c r="F797">
        <f>Table1[[#This Row],[HourlyRate]]</f>
        <v>88</v>
      </c>
      <c r="G797" t="str">
        <f>Table1[[#This Row],[JobRole]]</f>
        <v>Sales Executive</v>
      </c>
      <c r="H797">
        <f>Table1[[#This Row],[JobSatisfaction]]</f>
        <v>4</v>
      </c>
      <c r="I797">
        <f>Table1[[#This Row],[YearsAtCompany]]</f>
        <v>1</v>
      </c>
      <c r="J797">
        <f>Table1[[#This Row],[YearsSinceLastPromotion]]</f>
        <v>0</v>
      </c>
      <c r="K797">
        <f>Table1[[#This Row],[EmployeeNumber]]</f>
        <v>1105</v>
      </c>
      <c r="L797">
        <f>Table1[[#This Row],[DistanceFromHome]]</f>
        <v>10</v>
      </c>
      <c r="M797" t="str">
        <f>Table1[[#This Row],[OverTime]]</f>
        <v>Yes</v>
      </c>
      <c r="N797">
        <f>Table1[[#This Row],[WorkLifeBalance]]</f>
        <v>3</v>
      </c>
      <c r="O797" t="str" cm="1">
        <f t="array" ref="O797">_xlfn.IFS(A797&lt;=30,"18-30",A797&lt;=40,"31-40",A797&lt;=50,"41-50",A797&gt;50,"51+")</f>
        <v>31-40</v>
      </c>
      <c r="P797" t="str" cm="1">
        <f t="array" ref="P797">_xlfn.IFS(F797&lt;=45,"45 or below",F797&lt;= 60,"46-60",F797&lt;=75,"61-75",F797&lt;=90,"76-90",F797&gt;90,"91 or above")</f>
        <v>76-90</v>
      </c>
      <c r="Q7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797" t="str" cm="1">
        <f t="array" ref="R797" xml:space="preserve"> _xlfn.IFS(Table3[[#This Row],[Flight Risk Score]] = "NA","NA",Table3[[#This Row],[Flight Risk Score]] &gt;= 70,"High Risk",Table3[[#This Row],[Flight Risk Score]] &gt;= 50, "Medium Risk", Table3[[#This Row],[Flight Risk Score]] &gt;= 30,"Low Risk",Table3[[#This Row],[Flight Risk Score]] &lt; 30,"Very Low Risk")</f>
        <v>Low Risk</v>
      </c>
    </row>
    <row r="798" spans="1:18" hidden="1" x14ac:dyDescent="0.2">
      <c r="A798">
        <f>Table1[[#This Row],[Age]]</f>
        <v>25</v>
      </c>
      <c r="B798">
        <f>IF(Table3[[#This Row],[Attrition]] = "Yes", 1,0)</f>
        <v>1</v>
      </c>
      <c r="C798" t="str">
        <f>Table1[[#This Row],[Attrition]]</f>
        <v>Yes</v>
      </c>
      <c r="D798" t="str">
        <f>Table1[[#This Row],[Department]]</f>
        <v>Research &amp; Development</v>
      </c>
      <c r="E798">
        <f>Table1[[#This Row],[EnvironmentSatisfaction]]</f>
        <v>4</v>
      </c>
      <c r="F798">
        <f>Table1[[#This Row],[HourlyRate]]</f>
        <v>32</v>
      </c>
      <c r="G798" t="str">
        <f>Table1[[#This Row],[JobRole]]</f>
        <v>Laboratory Technician</v>
      </c>
      <c r="H798">
        <f>Table1[[#This Row],[JobSatisfaction]]</f>
        <v>4</v>
      </c>
      <c r="I798">
        <f>Table1[[#This Row],[YearsAtCompany]]</f>
        <v>7</v>
      </c>
      <c r="J798">
        <f>Table1[[#This Row],[YearsSinceLastPromotion]]</f>
        <v>5</v>
      </c>
      <c r="K798">
        <f>Table1[[#This Row],[EmployeeNumber]]</f>
        <v>1106</v>
      </c>
      <c r="L798">
        <f>Table1[[#This Row],[DistanceFromHome]]</f>
        <v>4</v>
      </c>
      <c r="M798" t="str">
        <f>Table1[[#This Row],[OverTime]]</f>
        <v>Yes</v>
      </c>
      <c r="N798">
        <f>Table1[[#This Row],[WorkLifeBalance]]</f>
        <v>4</v>
      </c>
      <c r="O798" t="str" cm="1">
        <f t="array" ref="O798">_xlfn.IFS(A798&lt;=30,"18-30",A798&lt;=40,"31-40",A798&lt;=50,"41-50",A798&gt;50,"51+")</f>
        <v>18-30</v>
      </c>
      <c r="P798" t="str" cm="1">
        <f t="array" ref="P798">_xlfn.IFS(F798&lt;=45,"45 or below",F798&lt;= 60,"46-60",F798&lt;=75,"61-75",F798&lt;=90,"76-90",F798&gt;90,"91 or above")</f>
        <v>45 or below</v>
      </c>
      <c r="Q79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98" t="str" cm="1">
        <f t="array" ref="R798" xml:space="preserve"> _xlfn.IFS(Table3[[#This Row],[Flight Risk Score]] = "NA","NA",Table3[[#This Row],[Flight Risk Score]] &gt;= 70,"High Risk",Table3[[#This Row],[Flight Risk Score]] &gt;= 50, "Medium Risk", Table3[[#This Row],[Flight Risk Score]] &gt;= 30,"Low Risk",Table3[[#This Row],[Flight Risk Score]] &lt; 30,"Very Low Risk")</f>
        <v>NA</v>
      </c>
    </row>
    <row r="799" spans="1:18" hidden="1" x14ac:dyDescent="0.2">
      <c r="A799">
        <f>Table1[[#This Row],[Age]]</f>
        <v>26</v>
      </c>
      <c r="B799">
        <f>IF(Table3[[#This Row],[Attrition]] = "Yes", 1,0)</f>
        <v>1</v>
      </c>
      <c r="C799" t="str">
        <f>Table1[[#This Row],[Attrition]]</f>
        <v>Yes</v>
      </c>
      <c r="D799" t="str">
        <f>Table1[[#This Row],[Department]]</f>
        <v>Research &amp; Development</v>
      </c>
      <c r="E799">
        <f>Table1[[#This Row],[EnvironmentSatisfaction]]</f>
        <v>1</v>
      </c>
      <c r="F799">
        <f>Table1[[#This Row],[HourlyRate]]</f>
        <v>37</v>
      </c>
      <c r="G799" t="str">
        <f>Table1[[#This Row],[JobRole]]</f>
        <v>Laboratory Technician</v>
      </c>
      <c r="H799">
        <f>Table1[[#This Row],[JobSatisfaction]]</f>
        <v>3</v>
      </c>
      <c r="I799">
        <f>Table1[[#This Row],[YearsAtCompany]]</f>
        <v>1</v>
      </c>
      <c r="J799">
        <f>Table1[[#This Row],[YearsSinceLastPromotion]]</f>
        <v>0</v>
      </c>
      <c r="K799">
        <f>Table1[[#This Row],[EmployeeNumber]]</f>
        <v>1107</v>
      </c>
      <c r="L799">
        <f>Table1[[#This Row],[DistanceFromHome]]</f>
        <v>21</v>
      </c>
      <c r="M799" t="str">
        <f>Table1[[#This Row],[OverTime]]</f>
        <v>No</v>
      </c>
      <c r="N799">
        <f>Table1[[#This Row],[WorkLifeBalance]]</f>
        <v>2</v>
      </c>
      <c r="O799" t="str" cm="1">
        <f t="array" ref="O799">_xlfn.IFS(A799&lt;=30,"18-30",A799&lt;=40,"31-40",A799&lt;=50,"41-50",A799&gt;50,"51+")</f>
        <v>18-30</v>
      </c>
      <c r="P799" t="str" cm="1">
        <f t="array" ref="P799">_xlfn.IFS(F799&lt;=45,"45 or below",F799&lt;= 60,"46-60",F799&lt;=75,"61-75",F799&lt;=90,"76-90",F799&gt;90,"91 or above")</f>
        <v>45 or below</v>
      </c>
      <c r="Q79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799" t="str" cm="1">
        <f t="array" ref="R799" xml:space="preserve"> _xlfn.IFS(Table3[[#This Row],[Flight Risk Score]] = "NA","NA",Table3[[#This Row],[Flight Risk Score]] &gt;= 70,"High Risk",Table3[[#This Row],[Flight Risk Score]] &gt;= 50, "Medium Risk", Table3[[#This Row],[Flight Risk Score]] &gt;= 30,"Low Risk",Table3[[#This Row],[Flight Risk Score]] &lt; 30,"Very Low Risk")</f>
        <v>NA</v>
      </c>
    </row>
    <row r="800" spans="1:18" hidden="1" x14ac:dyDescent="0.2">
      <c r="A800">
        <f>Table1[[#This Row],[Age]]</f>
        <v>33</v>
      </c>
      <c r="B800">
        <f>IF(Table3[[#This Row],[Attrition]] = "Yes", 1,0)</f>
        <v>1</v>
      </c>
      <c r="C800" t="str">
        <f>Table1[[#This Row],[Attrition]]</f>
        <v>Yes</v>
      </c>
      <c r="D800" t="str">
        <f>Table1[[#This Row],[Department]]</f>
        <v>Research &amp; Development</v>
      </c>
      <c r="E800">
        <f>Table1[[#This Row],[EnvironmentSatisfaction]]</f>
        <v>1</v>
      </c>
      <c r="F800">
        <f>Table1[[#This Row],[HourlyRate]]</f>
        <v>55</v>
      </c>
      <c r="G800" t="str">
        <f>Table1[[#This Row],[JobRole]]</f>
        <v>Research Scientist</v>
      </c>
      <c r="H800">
        <f>Table1[[#This Row],[JobSatisfaction]]</f>
        <v>2</v>
      </c>
      <c r="I800">
        <f>Table1[[#This Row],[YearsAtCompany]]</f>
        <v>2</v>
      </c>
      <c r="J800">
        <f>Table1[[#This Row],[YearsSinceLastPromotion]]</f>
        <v>2</v>
      </c>
      <c r="K800">
        <f>Table1[[#This Row],[EmployeeNumber]]</f>
        <v>1108</v>
      </c>
      <c r="L800">
        <f>Table1[[#This Row],[DistanceFromHome]]</f>
        <v>25</v>
      </c>
      <c r="M800" t="str">
        <f>Table1[[#This Row],[OverTime]]</f>
        <v>Yes</v>
      </c>
      <c r="N800">
        <f>Table1[[#This Row],[WorkLifeBalance]]</f>
        <v>3</v>
      </c>
      <c r="O800" t="str" cm="1">
        <f t="array" ref="O800">_xlfn.IFS(A800&lt;=30,"18-30",A800&lt;=40,"31-40",A800&lt;=50,"41-50",A800&gt;50,"51+")</f>
        <v>31-40</v>
      </c>
      <c r="P800" t="str" cm="1">
        <f t="array" ref="P800">_xlfn.IFS(F800&lt;=45,"45 or below",F800&lt;= 60,"46-60",F800&lt;=75,"61-75",F800&lt;=90,"76-90",F800&gt;90,"91 or above")</f>
        <v>46-60</v>
      </c>
      <c r="Q80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00" t="str" cm="1">
        <f t="array" ref="R800" xml:space="preserve"> _xlfn.IFS(Table3[[#This Row],[Flight Risk Score]] = "NA","NA",Table3[[#This Row],[Flight Risk Score]] &gt;= 70,"High Risk",Table3[[#This Row],[Flight Risk Score]] &gt;= 50, "Medium Risk", Table3[[#This Row],[Flight Risk Score]] &gt;= 30,"Low Risk",Table3[[#This Row],[Flight Risk Score]] &lt; 30,"Very Low Risk")</f>
        <v>NA</v>
      </c>
    </row>
    <row r="801" spans="1:18" x14ac:dyDescent="0.2">
      <c r="A801">
        <f>Table1[[#This Row],[Age]]</f>
        <v>42</v>
      </c>
      <c r="B801">
        <f>IF(Table3[[#This Row],[Attrition]] = "Yes", 1,0)</f>
        <v>0</v>
      </c>
      <c r="C801" t="str">
        <f>Table1[[#This Row],[Attrition]]</f>
        <v>No</v>
      </c>
      <c r="D801" t="str">
        <f>Table1[[#This Row],[Department]]</f>
        <v>Research &amp; Development</v>
      </c>
      <c r="E801">
        <f>Table1[[#This Row],[EnvironmentSatisfaction]]</f>
        <v>4</v>
      </c>
      <c r="F801">
        <f>Table1[[#This Row],[HourlyRate]]</f>
        <v>35</v>
      </c>
      <c r="G801" t="str">
        <f>Table1[[#This Row],[JobRole]]</f>
        <v>Manager</v>
      </c>
      <c r="H801">
        <f>Table1[[#This Row],[JobSatisfaction]]</f>
        <v>1</v>
      </c>
      <c r="I801">
        <f>Table1[[#This Row],[YearsAtCompany]]</f>
        <v>22</v>
      </c>
      <c r="J801">
        <f>Table1[[#This Row],[YearsSinceLastPromotion]]</f>
        <v>13</v>
      </c>
      <c r="K801">
        <f>Table1[[#This Row],[EmployeeNumber]]</f>
        <v>1109</v>
      </c>
      <c r="L801">
        <f>Table1[[#This Row],[DistanceFromHome]]</f>
        <v>2</v>
      </c>
      <c r="M801" t="str">
        <f>Table1[[#This Row],[OverTime]]</f>
        <v>No</v>
      </c>
      <c r="N801">
        <f>Table1[[#This Row],[WorkLifeBalance]]</f>
        <v>3</v>
      </c>
      <c r="O801" t="str" cm="1">
        <f t="array" ref="O801">_xlfn.IFS(A801&lt;=30,"18-30",A801&lt;=40,"31-40",A801&lt;=50,"41-50",A801&gt;50,"51+")</f>
        <v>41-50</v>
      </c>
      <c r="P801" t="str" cm="1">
        <f t="array" ref="P801">_xlfn.IFS(F801&lt;=45,"45 or below",F801&lt;= 60,"46-60",F801&lt;=75,"61-75",F801&lt;=90,"76-90",F801&gt;90,"91 or above")</f>
        <v>45 or below</v>
      </c>
      <c r="Q8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01" t="str" cm="1">
        <f t="array" ref="R8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02" spans="1:18" hidden="1" x14ac:dyDescent="0.2">
      <c r="A802">
        <f>Table1[[#This Row],[Age]]</f>
        <v>28</v>
      </c>
      <c r="B802">
        <f>IF(Table3[[#This Row],[Attrition]] = "Yes", 1,0)</f>
        <v>1</v>
      </c>
      <c r="C802" t="str">
        <f>Table1[[#This Row],[Attrition]]</f>
        <v>Yes</v>
      </c>
      <c r="D802" t="str">
        <f>Table1[[#This Row],[Department]]</f>
        <v>Research &amp; Development</v>
      </c>
      <c r="E802">
        <f>Table1[[#This Row],[EnvironmentSatisfaction]]</f>
        <v>1</v>
      </c>
      <c r="F802">
        <f>Table1[[#This Row],[HourlyRate]]</f>
        <v>45</v>
      </c>
      <c r="G802" t="str">
        <f>Table1[[#This Row],[JobRole]]</f>
        <v>Laboratory Technician</v>
      </c>
      <c r="H802">
        <f>Table1[[#This Row],[JobSatisfaction]]</f>
        <v>2</v>
      </c>
      <c r="I802">
        <f>Table1[[#This Row],[YearsAtCompany]]</f>
        <v>1</v>
      </c>
      <c r="J802">
        <f>Table1[[#This Row],[YearsSinceLastPromotion]]</f>
        <v>0</v>
      </c>
      <c r="K802">
        <f>Table1[[#This Row],[EmployeeNumber]]</f>
        <v>1111</v>
      </c>
      <c r="L802">
        <f>Table1[[#This Row],[DistanceFromHome]]</f>
        <v>1</v>
      </c>
      <c r="M802" t="str">
        <f>Table1[[#This Row],[OverTime]]</f>
        <v>No</v>
      </c>
      <c r="N802">
        <f>Table1[[#This Row],[WorkLifeBalance]]</f>
        <v>3</v>
      </c>
      <c r="O802" t="str" cm="1">
        <f t="array" ref="O802">_xlfn.IFS(A802&lt;=30,"18-30",A802&lt;=40,"31-40",A802&lt;=50,"41-50",A802&gt;50,"51+")</f>
        <v>18-30</v>
      </c>
      <c r="P802" t="str" cm="1">
        <f t="array" ref="P802">_xlfn.IFS(F802&lt;=45,"45 or below",F802&lt;= 60,"46-60",F802&lt;=75,"61-75",F802&lt;=90,"76-90",F802&gt;90,"91 or above")</f>
        <v>45 or below</v>
      </c>
      <c r="Q80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02" t="str" cm="1">
        <f t="array" ref="R802" xml:space="preserve"> _xlfn.IFS(Table3[[#This Row],[Flight Risk Score]] = "NA","NA",Table3[[#This Row],[Flight Risk Score]] &gt;= 70,"High Risk",Table3[[#This Row],[Flight Risk Score]] &gt;= 50, "Medium Risk", Table3[[#This Row],[Flight Risk Score]] &gt;= 30,"Low Risk",Table3[[#This Row],[Flight Risk Score]] &lt; 30,"Very Low Risk")</f>
        <v>NA</v>
      </c>
    </row>
    <row r="803" spans="1:18" hidden="1" x14ac:dyDescent="0.2">
      <c r="A803">
        <f>Table1[[#This Row],[Age]]</f>
        <v>50</v>
      </c>
      <c r="B803">
        <f>IF(Table3[[#This Row],[Attrition]] = "Yes", 1,0)</f>
        <v>1</v>
      </c>
      <c r="C803" t="str">
        <f>Table1[[#This Row],[Attrition]]</f>
        <v>Yes</v>
      </c>
      <c r="D803" t="str">
        <f>Table1[[#This Row],[Department]]</f>
        <v>Sales</v>
      </c>
      <c r="E803">
        <f>Table1[[#This Row],[EnvironmentSatisfaction]]</f>
        <v>4</v>
      </c>
      <c r="F803">
        <f>Table1[[#This Row],[HourlyRate]]</f>
        <v>81</v>
      </c>
      <c r="G803" t="str">
        <f>Table1[[#This Row],[JobRole]]</f>
        <v>Sales Executive</v>
      </c>
      <c r="H803">
        <f>Table1[[#This Row],[JobSatisfaction]]</f>
        <v>3</v>
      </c>
      <c r="I803">
        <f>Table1[[#This Row],[YearsAtCompany]]</f>
        <v>0</v>
      </c>
      <c r="J803">
        <f>Table1[[#This Row],[YearsSinceLastPromotion]]</f>
        <v>0</v>
      </c>
      <c r="K803">
        <f>Table1[[#This Row],[EmployeeNumber]]</f>
        <v>1113</v>
      </c>
      <c r="L803">
        <f>Table1[[#This Row],[DistanceFromHome]]</f>
        <v>1</v>
      </c>
      <c r="M803" t="str">
        <f>Table1[[#This Row],[OverTime]]</f>
        <v>Yes</v>
      </c>
      <c r="N803">
        <f>Table1[[#This Row],[WorkLifeBalance]]</f>
        <v>3</v>
      </c>
      <c r="O803" t="str" cm="1">
        <f t="array" ref="O803">_xlfn.IFS(A803&lt;=30,"18-30",A803&lt;=40,"31-40",A803&lt;=50,"41-50",A803&gt;50,"51+")</f>
        <v>41-50</v>
      </c>
      <c r="P803" t="str" cm="1">
        <f t="array" ref="P803">_xlfn.IFS(F803&lt;=45,"45 or below",F803&lt;= 60,"46-60",F803&lt;=75,"61-75",F803&lt;=90,"76-90",F803&gt;90,"91 or above")</f>
        <v>76-90</v>
      </c>
      <c r="Q80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03" t="str" cm="1">
        <f t="array" ref="R803" xml:space="preserve"> _xlfn.IFS(Table3[[#This Row],[Flight Risk Score]] = "NA","NA",Table3[[#This Row],[Flight Risk Score]] &gt;= 70,"High Risk",Table3[[#This Row],[Flight Risk Score]] &gt;= 50, "Medium Risk", Table3[[#This Row],[Flight Risk Score]] &gt;= 30,"Low Risk",Table3[[#This Row],[Flight Risk Score]] &lt; 30,"Very Low Risk")</f>
        <v>NA</v>
      </c>
    </row>
    <row r="804" spans="1:18" x14ac:dyDescent="0.2">
      <c r="A804">
        <f>Table1[[#This Row],[Age]]</f>
        <v>33</v>
      </c>
      <c r="B804">
        <f>IF(Table3[[#This Row],[Attrition]] = "Yes", 1,0)</f>
        <v>0</v>
      </c>
      <c r="C804" t="str">
        <f>Table1[[#This Row],[Attrition]]</f>
        <v>No</v>
      </c>
      <c r="D804" t="str">
        <f>Table1[[#This Row],[Department]]</f>
        <v>Sales</v>
      </c>
      <c r="E804">
        <f>Table1[[#This Row],[EnvironmentSatisfaction]]</f>
        <v>4</v>
      </c>
      <c r="F804">
        <f>Table1[[#This Row],[HourlyRate]]</f>
        <v>30</v>
      </c>
      <c r="G804" t="str">
        <f>Table1[[#This Row],[JobRole]]</f>
        <v>Sales Executive</v>
      </c>
      <c r="H804">
        <f>Table1[[#This Row],[JobSatisfaction]]</f>
        <v>2</v>
      </c>
      <c r="I804">
        <f>Table1[[#This Row],[YearsAtCompany]]</f>
        <v>3</v>
      </c>
      <c r="J804">
        <f>Table1[[#This Row],[YearsSinceLastPromotion]]</f>
        <v>0</v>
      </c>
      <c r="K804">
        <f>Table1[[#This Row],[EmployeeNumber]]</f>
        <v>1114</v>
      </c>
      <c r="L804">
        <f>Table1[[#This Row],[DistanceFromHome]]</f>
        <v>7</v>
      </c>
      <c r="M804" t="str">
        <f>Table1[[#This Row],[OverTime]]</f>
        <v>No</v>
      </c>
      <c r="N804">
        <f>Table1[[#This Row],[WorkLifeBalance]]</f>
        <v>3</v>
      </c>
      <c r="O804" t="str" cm="1">
        <f t="array" ref="O804">_xlfn.IFS(A804&lt;=30,"18-30",A804&lt;=40,"31-40",A804&lt;=50,"41-50",A804&gt;50,"51+")</f>
        <v>31-40</v>
      </c>
      <c r="P804" t="str" cm="1">
        <f t="array" ref="P804">_xlfn.IFS(F804&lt;=45,"45 or below",F804&lt;= 60,"46-60",F804&lt;=75,"61-75",F804&lt;=90,"76-90",F804&gt;90,"91 or above")</f>
        <v>45 or below</v>
      </c>
      <c r="Q8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04" t="str" cm="1">
        <f t="array" ref="R8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05" spans="1:18" x14ac:dyDescent="0.2">
      <c r="A805">
        <f>Table1[[#This Row],[Age]]</f>
        <v>34</v>
      </c>
      <c r="B805">
        <f>IF(Table3[[#This Row],[Attrition]] = "Yes", 1,0)</f>
        <v>0</v>
      </c>
      <c r="C805" t="str">
        <f>Table1[[#This Row],[Attrition]]</f>
        <v>No</v>
      </c>
      <c r="D805" t="str">
        <f>Table1[[#This Row],[Department]]</f>
        <v>Research &amp; Development</v>
      </c>
      <c r="E805">
        <f>Table1[[#This Row],[EnvironmentSatisfaction]]</f>
        <v>3</v>
      </c>
      <c r="F805">
        <f>Table1[[#This Row],[HourlyRate]]</f>
        <v>40</v>
      </c>
      <c r="G805" t="str">
        <f>Table1[[#This Row],[JobRole]]</f>
        <v>Research Scientist</v>
      </c>
      <c r="H805">
        <f>Table1[[#This Row],[JobSatisfaction]]</f>
        <v>4</v>
      </c>
      <c r="I805">
        <f>Table1[[#This Row],[YearsAtCompany]]</f>
        <v>0</v>
      </c>
      <c r="J805">
        <f>Table1[[#This Row],[YearsSinceLastPromotion]]</f>
        <v>0</v>
      </c>
      <c r="K805">
        <f>Table1[[#This Row],[EmployeeNumber]]</f>
        <v>1115</v>
      </c>
      <c r="L805">
        <f>Table1[[#This Row],[DistanceFromHome]]</f>
        <v>3</v>
      </c>
      <c r="M805" t="str">
        <f>Table1[[#This Row],[OverTime]]</f>
        <v>No</v>
      </c>
      <c r="N805">
        <f>Table1[[#This Row],[WorkLifeBalance]]</f>
        <v>3</v>
      </c>
      <c r="O805" t="str" cm="1">
        <f t="array" ref="O805">_xlfn.IFS(A805&lt;=30,"18-30",A805&lt;=40,"31-40",A805&lt;=50,"41-50",A805&gt;50,"51+")</f>
        <v>31-40</v>
      </c>
      <c r="P805" t="str" cm="1">
        <f t="array" ref="P805">_xlfn.IFS(F805&lt;=45,"45 or below",F805&lt;= 60,"46-60",F805&lt;=75,"61-75",F805&lt;=90,"76-90",F805&gt;90,"91 or above")</f>
        <v>45 or below</v>
      </c>
      <c r="Q8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05" t="str" cm="1">
        <f t="array" ref="R8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06" spans="1:18" x14ac:dyDescent="0.2">
      <c r="A806">
        <f>Table1[[#This Row],[Age]]</f>
        <v>48</v>
      </c>
      <c r="B806">
        <f>IF(Table3[[#This Row],[Attrition]] = "Yes", 1,0)</f>
        <v>0</v>
      </c>
      <c r="C806" t="str">
        <f>Table1[[#This Row],[Attrition]]</f>
        <v>No</v>
      </c>
      <c r="D806" t="str">
        <f>Table1[[#This Row],[Department]]</f>
        <v>Research &amp; Development</v>
      </c>
      <c r="E806">
        <f>Table1[[#This Row],[EnvironmentSatisfaction]]</f>
        <v>1</v>
      </c>
      <c r="F806">
        <f>Table1[[#This Row],[HourlyRate]]</f>
        <v>35</v>
      </c>
      <c r="G806" t="str">
        <f>Table1[[#This Row],[JobRole]]</f>
        <v>Manager</v>
      </c>
      <c r="H806">
        <f>Table1[[#This Row],[JobSatisfaction]]</f>
        <v>4</v>
      </c>
      <c r="I806">
        <f>Table1[[#This Row],[YearsAtCompany]]</f>
        <v>5</v>
      </c>
      <c r="J806">
        <f>Table1[[#This Row],[YearsSinceLastPromotion]]</f>
        <v>2</v>
      </c>
      <c r="K806">
        <f>Table1[[#This Row],[EmployeeNumber]]</f>
        <v>1116</v>
      </c>
      <c r="L806">
        <f>Table1[[#This Row],[DistanceFromHome]]</f>
        <v>1</v>
      </c>
      <c r="M806" t="str">
        <f>Table1[[#This Row],[OverTime]]</f>
        <v>No</v>
      </c>
      <c r="N806">
        <f>Table1[[#This Row],[WorkLifeBalance]]</f>
        <v>2</v>
      </c>
      <c r="O806" t="str" cm="1">
        <f t="array" ref="O806">_xlfn.IFS(A806&lt;=30,"18-30",A806&lt;=40,"31-40",A806&lt;=50,"41-50",A806&gt;50,"51+")</f>
        <v>41-50</v>
      </c>
      <c r="P806" t="str" cm="1">
        <f t="array" ref="P806">_xlfn.IFS(F806&lt;=45,"45 or below",F806&lt;= 60,"46-60",F806&lt;=75,"61-75",F806&lt;=90,"76-90",F806&gt;90,"91 or above")</f>
        <v>45 or below</v>
      </c>
      <c r="Q8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06" t="str" cm="1">
        <f t="array" ref="R8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07" spans="1:18" x14ac:dyDescent="0.2">
      <c r="A807">
        <f>Table1[[#This Row],[Age]]</f>
        <v>45</v>
      </c>
      <c r="B807">
        <f>IF(Table3[[#This Row],[Attrition]] = "Yes", 1,0)</f>
        <v>0</v>
      </c>
      <c r="C807" t="str">
        <f>Table1[[#This Row],[Attrition]]</f>
        <v>No</v>
      </c>
      <c r="D807" t="str">
        <f>Table1[[#This Row],[Department]]</f>
        <v>Sales</v>
      </c>
      <c r="E807">
        <f>Table1[[#This Row],[EnvironmentSatisfaction]]</f>
        <v>2</v>
      </c>
      <c r="F807">
        <f>Table1[[#This Row],[HourlyRate]]</f>
        <v>65</v>
      </c>
      <c r="G807" t="str">
        <f>Table1[[#This Row],[JobRole]]</f>
        <v>Sales Executive</v>
      </c>
      <c r="H807">
        <f>Table1[[#This Row],[JobSatisfaction]]</f>
        <v>3</v>
      </c>
      <c r="I807">
        <f>Table1[[#This Row],[YearsAtCompany]]</f>
        <v>15</v>
      </c>
      <c r="J807">
        <f>Table1[[#This Row],[YearsSinceLastPromotion]]</f>
        <v>4</v>
      </c>
      <c r="K807">
        <f>Table1[[#This Row],[EmployeeNumber]]</f>
        <v>1117</v>
      </c>
      <c r="L807">
        <f>Table1[[#This Row],[DistanceFromHome]]</f>
        <v>9</v>
      </c>
      <c r="M807" t="str">
        <f>Table1[[#This Row],[OverTime]]</f>
        <v>No</v>
      </c>
      <c r="N807">
        <f>Table1[[#This Row],[WorkLifeBalance]]</f>
        <v>3</v>
      </c>
      <c r="O807" t="str" cm="1">
        <f t="array" ref="O807">_xlfn.IFS(A807&lt;=30,"18-30",A807&lt;=40,"31-40",A807&lt;=50,"41-50",A807&gt;50,"51+")</f>
        <v>41-50</v>
      </c>
      <c r="P807" t="str" cm="1">
        <f t="array" ref="P807">_xlfn.IFS(F807&lt;=45,"45 or below",F807&lt;= 60,"46-60",F807&lt;=75,"61-75",F807&lt;=90,"76-90",F807&gt;90,"91 or above")</f>
        <v>61-75</v>
      </c>
      <c r="Q8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07" t="str" cm="1">
        <f t="array" ref="R80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08" spans="1:18" x14ac:dyDescent="0.2">
      <c r="A808">
        <f>Table1[[#This Row],[Age]]</f>
        <v>52</v>
      </c>
      <c r="B808">
        <f>IF(Table3[[#This Row],[Attrition]] = "Yes", 1,0)</f>
        <v>0</v>
      </c>
      <c r="C808" t="str">
        <f>Table1[[#This Row],[Attrition]]</f>
        <v>No</v>
      </c>
      <c r="D808" t="str">
        <f>Table1[[#This Row],[Department]]</f>
        <v>Research &amp; Development</v>
      </c>
      <c r="E808">
        <f>Table1[[#This Row],[EnvironmentSatisfaction]]</f>
        <v>2</v>
      </c>
      <c r="F808">
        <f>Table1[[#This Row],[HourlyRate]]</f>
        <v>87</v>
      </c>
      <c r="G808" t="str">
        <f>Table1[[#This Row],[JobRole]]</f>
        <v>Healthcare Representative</v>
      </c>
      <c r="H808">
        <f>Table1[[#This Row],[JobSatisfaction]]</f>
        <v>2</v>
      </c>
      <c r="I808">
        <f>Table1[[#This Row],[YearsAtCompany]]</f>
        <v>8</v>
      </c>
      <c r="J808">
        <f>Table1[[#This Row],[YearsSinceLastPromotion]]</f>
        <v>4</v>
      </c>
      <c r="K808">
        <f>Table1[[#This Row],[EmployeeNumber]]</f>
        <v>1118</v>
      </c>
      <c r="L808">
        <f>Table1[[#This Row],[DistanceFromHome]]</f>
        <v>7</v>
      </c>
      <c r="M808" t="str">
        <f>Table1[[#This Row],[OverTime]]</f>
        <v>No</v>
      </c>
      <c r="N808">
        <f>Table1[[#This Row],[WorkLifeBalance]]</f>
        <v>3</v>
      </c>
      <c r="O808" t="str" cm="1">
        <f t="array" ref="O808">_xlfn.IFS(A808&lt;=30,"18-30",A808&lt;=40,"31-40",A808&lt;=50,"41-50",A808&gt;50,"51+")</f>
        <v>51+</v>
      </c>
      <c r="P808" t="str" cm="1">
        <f t="array" ref="P808">_xlfn.IFS(F808&lt;=45,"45 or below",F808&lt;= 60,"46-60",F808&lt;=75,"61-75",F808&lt;=90,"76-90",F808&gt;90,"91 or above")</f>
        <v>76-90</v>
      </c>
      <c r="Q8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808" t="str" cm="1">
        <f t="array" ref="R808" xml:space="preserve"> _xlfn.IFS(Table3[[#This Row],[Flight Risk Score]] = "NA","NA",Table3[[#This Row],[Flight Risk Score]] &gt;= 70,"High Risk",Table3[[#This Row],[Flight Risk Score]] &gt;= 50, "Medium Risk", Table3[[#This Row],[Flight Risk Score]] &gt;= 30,"Low Risk",Table3[[#This Row],[Flight Risk Score]] &lt; 30,"Very Low Risk")</f>
        <v>Low Risk</v>
      </c>
    </row>
    <row r="809" spans="1:18" x14ac:dyDescent="0.2">
      <c r="A809">
        <f>Table1[[#This Row],[Age]]</f>
        <v>38</v>
      </c>
      <c r="B809">
        <f>IF(Table3[[#This Row],[Attrition]] = "Yes", 1,0)</f>
        <v>0</v>
      </c>
      <c r="C809" t="str">
        <f>Table1[[#This Row],[Attrition]]</f>
        <v>No</v>
      </c>
      <c r="D809" t="str">
        <f>Table1[[#This Row],[Department]]</f>
        <v>Sales</v>
      </c>
      <c r="E809">
        <f>Table1[[#This Row],[EnvironmentSatisfaction]]</f>
        <v>3</v>
      </c>
      <c r="F809">
        <f>Table1[[#This Row],[HourlyRate]]</f>
        <v>73</v>
      </c>
      <c r="G809" t="str">
        <f>Table1[[#This Row],[JobRole]]</f>
        <v>Sales Executive</v>
      </c>
      <c r="H809">
        <f>Table1[[#This Row],[JobSatisfaction]]</f>
        <v>3</v>
      </c>
      <c r="I809">
        <f>Table1[[#This Row],[YearsAtCompany]]</f>
        <v>8</v>
      </c>
      <c r="J809">
        <f>Table1[[#This Row],[YearsSinceLastPromotion]]</f>
        <v>2</v>
      </c>
      <c r="K809">
        <f>Table1[[#This Row],[EmployeeNumber]]</f>
        <v>1119</v>
      </c>
      <c r="L809">
        <f>Table1[[#This Row],[DistanceFromHome]]</f>
        <v>10</v>
      </c>
      <c r="M809" t="str">
        <f>Table1[[#This Row],[OverTime]]</f>
        <v>Yes</v>
      </c>
      <c r="N809">
        <f>Table1[[#This Row],[WorkLifeBalance]]</f>
        <v>3</v>
      </c>
      <c r="O809" t="str" cm="1">
        <f t="array" ref="O809">_xlfn.IFS(A809&lt;=30,"18-30",A809&lt;=40,"31-40",A809&lt;=50,"41-50",A809&gt;50,"51+")</f>
        <v>31-40</v>
      </c>
      <c r="P809" t="str" cm="1">
        <f t="array" ref="P809">_xlfn.IFS(F809&lt;=45,"45 or below",F809&lt;= 60,"46-60",F809&lt;=75,"61-75",F809&lt;=90,"76-90",F809&gt;90,"91 or above")</f>
        <v>61-75</v>
      </c>
      <c r="Q8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09" t="str" cm="1">
        <f t="array" ref="R809" xml:space="preserve"> _xlfn.IFS(Table3[[#This Row],[Flight Risk Score]] = "NA","NA",Table3[[#This Row],[Flight Risk Score]] &gt;= 70,"High Risk",Table3[[#This Row],[Flight Risk Score]] &gt;= 50, "Medium Risk", Table3[[#This Row],[Flight Risk Score]] &gt;= 30,"Low Risk",Table3[[#This Row],[Flight Risk Score]] &lt; 30,"Very Low Risk")</f>
        <v>Low Risk</v>
      </c>
    </row>
    <row r="810" spans="1:18" x14ac:dyDescent="0.2">
      <c r="A810">
        <f>Table1[[#This Row],[Age]]</f>
        <v>29</v>
      </c>
      <c r="B810">
        <f>IF(Table3[[#This Row],[Attrition]] = "Yes", 1,0)</f>
        <v>0</v>
      </c>
      <c r="C810" t="str">
        <f>Table1[[#This Row],[Attrition]]</f>
        <v>No</v>
      </c>
      <c r="D810" t="str">
        <f>Table1[[#This Row],[Department]]</f>
        <v>Research &amp; Development</v>
      </c>
      <c r="E810">
        <f>Table1[[#This Row],[EnvironmentSatisfaction]]</f>
        <v>3</v>
      </c>
      <c r="F810">
        <f>Table1[[#This Row],[HourlyRate]]</f>
        <v>93</v>
      </c>
      <c r="G810" t="str">
        <f>Table1[[#This Row],[JobRole]]</f>
        <v>Research Scientist</v>
      </c>
      <c r="H810">
        <f>Table1[[#This Row],[JobSatisfaction]]</f>
        <v>4</v>
      </c>
      <c r="I810">
        <f>Table1[[#This Row],[YearsAtCompany]]</f>
        <v>7</v>
      </c>
      <c r="J810">
        <f>Table1[[#This Row],[YearsSinceLastPromotion]]</f>
        <v>1</v>
      </c>
      <c r="K810">
        <f>Table1[[#This Row],[EmployeeNumber]]</f>
        <v>1120</v>
      </c>
      <c r="L810">
        <f>Table1[[#This Row],[DistanceFromHome]]</f>
        <v>28</v>
      </c>
      <c r="M810" t="str">
        <f>Table1[[#This Row],[OverTime]]</f>
        <v>No</v>
      </c>
      <c r="N810">
        <f>Table1[[#This Row],[WorkLifeBalance]]</f>
        <v>3</v>
      </c>
      <c r="O810" t="str" cm="1">
        <f t="array" ref="O810">_xlfn.IFS(A810&lt;=30,"18-30",A810&lt;=40,"31-40",A810&lt;=50,"41-50",A810&gt;50,"51+")</f>
        <v>18-30</v>
      </c>
      <c r="P810" t="str" cm="1">
        <f t="array" ref="P810">_xlfn.IFS(F810&lt;=45,"45 or below",F810&lt;= 60,"46-60",F810&lt;=75,"61-75",F810&lt;=90,"76-90",F810&gt;90,"91 or above")</f>
        <v>91 or above</v>
      </c>
      <c r="Q8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10" t="str" cm="1">
        <f t="array" ref="R8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1" spans="1:18" x14ac:dyDescent="0.2">
      <c r="A811">
        <f>Table1[[#This Row],[Age]]</f>
        <v>28</v>
      </c>
      <c r="B811">
        <f>IF(Table3[[#This Row],[Attrition]] = "Yes", 1,0)</f>
        <v>0</v>
      </c>
      <c r="C811" t="str">
        <f>Table1[[#This Row],[Attrition]]</f>
        <v>No</v>
      </c>
      <c r="D811" t="str">
        <f>Table1[[#This Row],[Department]]</f>
        <v>Research &amp; Development</v>
      </c>
      <c r="E811">
        <f>Table1[[#This Row],[EnvironmentSatisfaction]]</f>
        <v>4</v>
      </c>
      <c r="F811">
        <f>Table1[[#This Row],[HourlyRate]]</f>
        <v>93</v>
      </c>
      <c r="G811" t="str">
        <f>Table1[[#This Row],[JobRole]]</f>
        <v>Manufacturing Director</v>
      </c>
      <c r="H811">
        <f>Table1[[#This Row],[JobSatisfaction]]</f>
        <v>2</v>
      </c>
      <c r="I811">
        <f>Table1[[#This Row],[YearsAtCompany]]</f>
        <v>9</v>
      </c>
      <c r="J811">
        <f>Table1[[#This Row],[YearsSinceLastPromotion]]</f>
        <v>1</v>
      </c>
      <c r="K811">
        <f>Table1[[#This Row],[EmployeeNumber]]</f>
        <v>1121</v>
      </c>
      <c r="L811">
        <f>Table1[[#This Row],[DistanceFromHome]]</f>
        <v>3</v>
      </c>
      <c r="M811" t="str">
        <f>Table1[[#This Row],[OverTime]]</f>
        <v>No</v>
      </c>
      <c r="N811">
        <f>Table1[[#This Row],[WorkLifeBalance]]</f>
        <v>2</v>
      </c>
      <c r="O811" t="str" cm="1">
        <f t="array" ref="O811">_xlfn.IFS(A811&lt;=30,"18-30",A811&lt;=40,"31-40",A811&lt;=50,"41-50",A811&gt;50,"51+")</f>
        <v>18-30</v>
      </c>
      <c r="P811" t="str" cm="1">
        <f t="array" ref="P811">_xlfn.IFS(F811&lt;=45,"45 or below",F811&lt;= 60,"46-60",F811&lt;=75,"61-75",F811&lt;=90,"76-90",F811&gt;90,"91 or above")</f>
        <v>91 or above</v>
      </c>
      <c r="Q8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11" t="str" cm="1">
        <f t="array" ref="R8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2" spans="1:18" x14ac:dyDescent="0.2">
      <c r="A812">
        <f>Table1[[#This Row],[Age]]</f>
        <v>46</v>
      </c>
      <c r="B812">
        <f>IF(Table3[[#This Row],[Attrition]] = "Yes", 1,0)</f>
        <v>0</v>
      </c>
      <c r="C812" t="str">
        <f>Table1[[#This Row],[Attrition]]</f>
        <v>No</v>
      </c>
      <c r="D812" t="str">
        <f>Table1[[#This Row],[Department]]</f>
        <v>Sales</v>
      </c>
      <c r="E812">
        <f>Table1[[#This Row],[EnvironmentSatisfaction]]</f>
        <v>1</v>
      </c>
      <c r="F812">
        <f>Table1[[#This Row],[HourlyRate]]</f>
        <v>52</v>
      </c>
      <c r="G812" t="str">
        <f>Table1[[#This Row],[JobRole]]</f>
        <v>Manager</v>
      </c>
      <c r="H812">
        <f>Table1[[#This Row],[JobSatisfaction]]</f>
        <v>3</v>
      </c>
      <c r="I812">
        <f>Table1[[#This Row],[YearsAtCompany]]</f>
        <v>12</v>
      </c>
      <c r="J812">
        <f>Table1[[#This Row],[YearsSinceLastPromotion]]</f>
        <v>4</v>
      </c>
      <c r="K812">
        <f>Table1[[#This Row],[EmployeeNumber]]</f>
        <v>1124</v>
      </c>
      <c r="L812">
        <f>Table1[[#This Row],[DistanceFromHome]]</f>
        <v>3</v>
      </c>
      <c r="M812" t="str">
        <f>Table1[[#This Row],[OverTime]]</f>
        <v>No</v>
      </c>
      <c r="N812">
        <f>Table1[[#This Row],[WorkLifeBalance]]</f>
        <v>3</v>
      </c>
      <c r="O812" t="str" cm="1">
        <f t="array" ref="O812">_xlfn.IFS(A812&lt;=30,"18-30",A812&lt;=40,"31-40",A812&lt;=50,"41-50",A812&gt;50,"51+")</f>
        <v>41-50</v>
      </c>
      <c r="P812" t="str" cm="1">
        <f t="array" ref="P812">_xlfn.IFS(F812&lt;=45,"45 or below",F812&lt;= 60,"46-60",F812&lt;=75,"61-75",F812&lt;=90,"76-90",F812&gt;90,"91 or above")</f>
        <v>46-60</v>
      </c>
      <c r="Q8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12" t="str" cm="1">
        <f t="array" ref="R81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3" spans="1:18" x14ac:dyDescent="0.2">
      <c r="A813">
        <f>Table1[[#This Row],[Age]]</f>
        <v>38</v>
      </c>
      <c r="B813">
        <f>IF(Table3[[#This Row],[Attrition]] = "Yes", 1,0)</f>
        <v>0</v>
      </c>
      <c r="C813" t="str">
        <f>Table1[[#This Row],[Attrition]]</f>
        <v>No</v>
      </c>
      <c r="D813" t="str">
        <f>Table1[[#This Row],[Department]]</f>
        <v>Sales</v>
      </c>
      <c r="E813">
        <f>Table1[[#This Row],[EnvironmentSatisfaction]]</f>
        <v>4</v>
      </c>
      <c r="F813">
        <f>Table1[[#This Row],[HourlyRate]]</f>
        <v>32</v>
      </c>
      <c r="G813" t="str">
        <f>Table1[[#This Row],[JobRole]]</f>
        <v>Sales Executive</v>
      </c>
      <c r="H813">
        <f>Table1[[#This Row],[JobSatisfaction]]</f>
        <v>2</v>
      </c>
      <c r="I813">
        <f>Table1[[#This Row],[YearsAtCompany]]</f>
        <v>1</v>
      </c>
      <c r="J813">
        <f>Table1[[#This Row],[YearsSinceLastPromotion]]</f>
        <v>0</v>
      </c>
      <c r="K813">
        <f>Table1[[#This Row],[EmployeeNumber]]</f>
        <v>1125</v>
      </c>
      <c r="L813">
        <f>Table1[[#This Row],[DistanceFromHome]]</f>
        <v>2</v>
      </c>
      <c r="M813" t="str">
        <f>Table1[[#This Row],[OverTime]]</f>
        <v>No</v>
      </c>
      <c r="N813">
        <f>Table1[[#This Row],[WorkLifeBalance]]</f>
        <v>3</v>
      </c>
      <c r="O813" t="str" cm="1">
        <f t="array" ref="O813">_xlfn.IFS(A813&lt;=30,"18-30",A813&lt;=40,"31-40",A813&lt;=50,"41-50",A813&gt;50,"51+")</f>
        <v>31-40</v>
      </c>
      <c r="P813" t="str" cm="1">
        <f t="array" ref="P813">_xlfn.IFS(F813&lt;=45,"45 or below",F813&lt;= 60,"46-60",F813&lt;=75,"61-75",F813&lt;=90,"76-90",F813&gt;90,"91 or above")</f>
        <v>45 or below</v>
      </c>
      <c r="Q8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13" t="str" cm="1">
        <f t="array" ref="R81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4" spans="1:18" x14ac:dyDescent="0.2">
      <c r="A814">
        <f>Table1[[#This Row],[Age]]</f>
        <v>43</v>
      </c>
      <c r="B814">
        <f>IF(Table3[[#This Row],[Attrition]] = "Yes", 1,0)</f>
        <v>0</v>
      </c>
      <c r="C814" t="str">
        <f>Table1[[#This Row],[Attrition]]</f>
        <v>No</v>
      </c>
      <c r="D814" t="str">
        <f>Table1[[#This Row],[Department]]</f>
        <v>Research &amp; Development</v>
      </c>
      <c r="E814">
        <f>Table1[[#This Row],[EnvironmentSatisfaction]]</f>
        <v>3</v>
      </c>
      <c r="F814">
        <f>Table1[[#This Row],[HourlyRate]]</f>
        <v>83</v>
      </c>
      <c r="G814" t="str">
        <f>Table1[[#This Row],[JobRole]]</f>
        <v>Manufacturing Director</v>
      </c>
      <c r="H814">
        <f>Table1[[#This Row],[JobSatisfaction]]</f>
        <v>1</v>
      </c>
      <c r="I814">
        <f>Table1[[#This Row],[YearsAtCompany]]</f>
        <v>8</v>
      </c>
      <c r="J814">
        <f>Table1[[#This Row],[YearsSinceLastPromotion]]</f>
        <v>0</v>
      </c>
      <c r="K814">
        <f>Table1[[#This Row],[EmployeeNumber]]</f>
        <v>1126</v>
      </c>
      <c r="L814">
        <f>Table1[[#This Row],[DistanceFromHome]]</f>
        <v>27</v>
      </c>
      <c r="M814" t="str">
        <f>Table1[[#This Row],[OverTime]]</f>
        <v>No</v>
      </c>
      <c r="N814">
        <f>Table1[[#This Row],[WorkLifeBalance]]</f>
        <v>3</v>
      </c>
      <c r="O814" t="str" cm="1">
        <f t="array" ref="O814">_xlfn.IFS(A814&lt;=30,"18-30",A814&lt;=40,"31-40",A814&lt;=50,"41-50",A814&gt;50,"51+")</f>
        <v>41-50</v>
      </c>
      <c r="P814" t="str" cm="1">
        <f t="array" ref="P814">_xlfn.IFS(F814&lt;=45,"45 or below",F814&lt;= 60,"46-60",F814&lt;=75,"61-75",F814&lt;=90,"76-90",F814&gt;90,"91 or above")</f>
        <v>76-90</v>
      </c>
      <c r="Q8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14" t="str" cm="1">
        <f t="array" ref="R8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5" spans="1:18" hidden="1" x14ac:dyDescent="0.2">
      <c r="A815">
        <f>Table1[[#This Row],[Age]]</f>
        <v>39</v>
      </c>
      <c r="B815">
        <f>IF(Table3[[#This Row],[Attrition]] = "Yes", 1,0)</f>
        <v>1</v>
      </c>
      <c r="C815" t="str">
        <f>Table1[[#This Row],[Attrition]]</f>
        <v>Yes</v>
      </c>
      <c r="D815" t="str">
        <f>Table1[[#This Row],[Department]]</f>
        <v>Research &amp; Development</v>
      </c>
      <c r="E815">
        <f>Table1[[#This Row],[EnvironmentSatisfaction]]</f>
        <v>1</v>
      </c>
      <c r="F815">
        <f>Table1[[#This Row],[HourlyRate]]</f>
        <v>84</v>
      </c>
      <c r="G815" t="str">
        <f>Table1[[#This Row],[JobRole]]</f>
        <v>Healthcare Representative</v>
      </c>
      <c r="H815">
        <f>Table1[[#This Row],[JobSatisfaction]]</f>
        <v>4</v>
      </c>
      <c r="I815">
        <f>Table1[[#This Row],[YearsAtCompany]]</f>
        <v>18</v>
      </c>
      <c r="J815">
        <f>Table1[[#This Row],[YearsSinceLastPromotion]]</f>
        <v>11</v>
      </c>
      <c r="K815">
        <f>Table1[[#This Row],[EmployeeNumber]]</f>
        <v>1127</v>
      </c>
      <c r="L815">
        <f>Table1[[#This Row],[DistanceFromHome]]</f>
        <v>2</v>
      </c>
      <c r="M815" t="str">
        <f>Table1[[#This Row],[OverTime]]</f>
        <v>No</v>
      </c>
      <c r="N815">
        <f>Table1[[#This Row],[WorkLifeBalance]]</f>
        <v>3</v>
      </c>
      <c r="O815" t="str" cm="1">
        <f t="array" ref="O815">_xlfn.IFS(A815&lt;=30,"18-30",A815&lt;=40,"31-40",A815&lt;=50,"41-50",A815&gt;50,"51+")</f>
        <v>31-40</v>
      </c>
      <c r="P815" t="str" cm="1">
        <f t="array" ref="P815">_xlfn.IFS(F815&lt;=45,"45 or below",F815&lt;= 60,"46-60",F815&lt;=75,"61-75",F815&lt;=90,"76-90",F815&gt;90,"91 or above")</f>
        <v>76-90</v>
      </c>
      <c r="Q81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15" t="str" cm="1">
        <f t="array" ref="R815" xml:space="preserve"> _xlfn.IFS(Table3[[#This Row],[Flight Risk Score]] = "NA","NA",Table3[[#This Row],[Flight Risk Score]] &gt;= 70,"High Risk",Table3[[#This Row],[Flight Risk Score]] &gt;= 50, "Medium Risk", Table3[[#This Row],[Flight Risk Score]] &gt;= 30,"Low Risk",Table3[[#This Row],[Flight Risk Score]] &lt; 30,"Very Low Risk")</f>
        <v>NA</v>
      </c>
    </row>
    <row r="816" spans="1:18" x14ac:dyDescent="0.2">
      <c r="A816">
        <f>Table1[[#This Row],[Age]]</f>
        <v>40</v>
      </c>
      <c r="B816">
        <f>IF(Table3[[#This Row],[Attrition]] = "Yes", 1,0)</f>
        <v>0</v>
      </c>
      <c r="C816" t="str">
        <f>Table1[[#This Row],[Attrition]]</f>
        <v>No</v>
      </c>
      <c r="D816" t="str">
        <f>Table1[[#This Row],[Department]]</f>
        <v>Research &amp; Development</v>
      </c>
      <c r="E816">
        <f>Table1[[#This Row],[EnvironmentSatisfaction]]</f>
        <v>3</v>
      </c>
      <c r="F816">
        <f>Table1[[#This Row],[HourlyRate]]</f>
        <v>44</v>
      </c>
      <c r="G816" t="str">
        <f>Table1[[#This Row],[JobRole]]</f>
        <v>Research Director</v>
      </c>
      <c r="H816">
        <f>Table1[[#This Row],[JobSatisfaction]]</f>
        <v>3</v>
      </c>
      <c r="I816">
        <f>Table1[[#This Row],[YearsAtCompany]]</f>
        <v>20</v>
      </c>
      <c r="J816">
        <f>Table1[[#This Row],[YearsSinceLastPromotion]]</f>
        <v>4</v>
      </c>
      <c r="K816">
        <f>Table1[[#This Row],[EmployeeNumber]]</f>
        <v>1128</v>
      </c>
      <c r="L816">
        <f>Table1[[#This Row],[DistanceFromHome]]</f>
        <v>14</v>
      </c>
      <c r="M816" t="str">
        <f>Table1[[#This Row],[OverTime]]</f>
        <v>No</v>
      </c>
      <c r="N816">
        <f>Table1[[#This Row],[WorkLifeBalance]]</f>
        <v>4</v>
      </c>
      <c r="O816" t="str" cm="1">
        <f t="array" ref="O816">_xlfn.IFS(A816&lt;=30,"18-30",A816&lt;=40,"31-40",A816&lt;=50,"41-50",A816&gt;50,"51+")</f>
        <v>31-40</v>
      </c>
      <c r="P816" t="str" cm="1">
        <f t="array" ref="P816">_xlfn.IFS(F816&lt;=45,"45 or below",F816&lt;= 60,"46-60",F816&lt;=75,"61-75",F816&lt;=90,"76-90",F816&gt;90,"91 or above")</f>
        <v>45 or below</v>
      </c>
      <c r="Q8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16" t="str" cm="1">
        <f t="array" ref="R81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7" spans="1:18" x14ac:dyDescent="0.2">
      <c r="A817">
        <f>Table1[[#This Row],[Age]]</f>
        <v>21</v>
      </c>
      <c r="B817">
        <f>IF(Table3[[#This Row],[Attrition]] = "Yes", 1,0)</f>
        <v>0</v>
      </c>
      <c r="C817" t="str">
        <f>Table1[[#This Row],[Attrition]]</f>
        <v>No</v>
      </c>
      <c r="D817" t="str">
        <f>Table1[[#This Row],[Department]]</f>
        <v>Research &amp; Development</v>
      </c>
      <c r="E817">
        <f>Table1[[#This Row],[EnvironmentSatisfaction]]</f>
        <v>4</v>
      </c>
      <c r="F817">
        <f>Table1[[#This Row],[HourlyRate]]</f>
        <v>70</v>
      </c>
      <c r="G817" t="str">
        <f>Table1[[#This Row],[JobRole]]</f>
        <v>Research Scientist</v>
      </c>
      <c r="H817">
        <f>Table1[[#This Row],[JobSatisfaction]]</f>
        <v>2</v>
      </c>
      <c r="I817">
        <f>Table1[[#This Row],[YearsAtCompany]]</f>
        <v>2</v>
      </c>
      <c r="J817">
        <f>Table1[[#This Row],[YearsSinceLastPromotion]]</f>
        <v>2</v>
      </c>
      <c r="K817">
        <f>Table1[[#This Row],[EmployeeNumber]]</f>
        <v>1131</v>
      </c>
      <c r="L817">
        <f>Table1[[#This Row],[DistanceFromHome]]</f>
        <v>1</v>
      </c>
      <c r="M817" t="str">
        <f>Table1[[#This Row],[OverTime]]</f>
        <v>Yes</v>
      </c>
      <c r="N817">
        <f>Table1[[#This Row],[WorkLifeBalance]]</f>
        <v>4</v>
      </c>
      <c r="O817" t="str" cm="1">
        <f t="array" ref="O817">_xlfn.IFS(A817&lt;=30,"18-30",A817&lt;=40,"31-40",A817&lt;=50,"41-50",A817&gt;50,"51+")</f>
        <v>18-30</v>
      </c>
      <c r="P817" t="str" cm="1">
        <f t="array" ref="P817">_xlfn.IFS(F817&lt;=45,"45 or below",F817&lt;= 60,"46-60",F817&lt;=75,"61-75",F817&lt;=90,"76-90",F817&gt;90,"91 or above")</f>
        <v>61-75</v>
      </c>
      <c r="Q8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17" t="str" cm="1">
        <f t="array" ref="R81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18" spans="1:18" x14ac:dyDescent="0.2">
      <c r="A818">
        <f>Table1[[#This Row],[Age]]</f>
        <v>39</v>
      </c>
      <c r="B818">
        <f>IF(Table3[[#This Row],[Attrition]] = "Yes", 1,0)</f>
        <v>0</v>
      </c>
      <c r="C818" t="str">
        <f>Table1[[#This Row],[Attrition]]</f>
        <v>No</v>
      </c>
      <c r="D818" t="str">
        <f>Table1[[#This Row],[Department]]</f>
        <v>Research &amp; Development</v>
      </c>
      <c r="E818">
        <f>Table1[[#This Row],[EnvironmentSatisfaction]]</f>
        <v>3</v>
      </c>
      <c r="F818">
        <f>Table1[[#This Row],[HourlyRate]]</f>
        <v>70</v>
      </c>
      <c r="G818" t="str">
        <f>Table1[[#This Row],[JobRole]]</f>
        <v>Laboratory Technician</v>
      </c>
      <c r="H818">
        <f>Table1[[#This Row],[JobSatisfaction]]</f>
        <v>2</v>
      </c>
      <c r="I818">
        <f>Table1[[#This Row],[YearsAtCompany]]</f>
        <v>5</v>
      </c>
      <c r="J818">
        <f>Table1[[#This Row],[YearsSinceLastPromotion]]</f>
        <v>0</v>
      </c>
      <c r="K818">
        <f>Table1[[#This Row],[EmployeeNumber]]</f>
        <v>1132</v>
      </c>
      <c r="L818">
        <f>Table1[[#This Row],[DistanceFromHome]]</f>
        <v>9</v>
      </c>
      <c r="M818" t="str">
        <f>Table1[[#This Row],[OverTime]]</f>
        <v>No</v>
      </c>
      <c r="N818">
        <f>Table1[[#This Row],[WorkLifeBalance]]</f>
        <v>2</v>
      </c>
      <c r="O818" t="str" cm="1">
        <f t="array" ref="O818">_xlfn.IFS(A818&lt;=30,"18-30",A818&lt;=40,"31-40",A818&lt;=50,"41-50",A818&gt;50,"51+")</f>
        <v>31-40</v>
      </c>
      <c r="P818" t="str" cm="1">
        <f t="array" ref="P818">_xlfn.IFS(F818&lt;=45,"45 or below",F818&lt;= 60,"46-60",F818&lt;=75,"61-75",F818&lt;=90,"76-90",F818&gt;90,"91 or above")</f>
        <v>61-75</v>
      </c>
      <c r="Q8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18" t="str" cm="1">
        <f t="array" ref="R8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19" spans="1:18" x14ac:dyDescent="0.2">
      <c r="A819">
        <f>Table1[[#This Row],[Age]]</f>
        <v>36</v>
      </c>
      <c r="B819">
        <f>IF(Table3[[#This Row],[Attrition]] = "Yes", 1,0)</f>
        <v>0</v>
      </c>
      <c r="C819" t="str">
        <f>Table1[[#This Row],[Attrition]]</f>
        <v>No</v>
      </c>
      <c r="D819" t="str">
        <f>Table1[[#This Row],[Department]]</f>
        <v>Research &amp; Development</v>
      </c>
      <c r="E819">
        <f>Table1[[#This Row],[EnvironmentSatisfaction]]</f>
        <v>1</v>
      </c>
      <c r="F819">
        <f>Table1[[#This Row],[HourlyRate]]</f>
        <v>78</v>
      </c>
      <c r="G819" t="str">
        <f>Table1[[#This Row],[JobRole]]</f>
        <v>Manufacturing Director</v>
      </c>
      <c r="H819">
        <f>Table1[[#This Row],[JobSatisfaction]]</f>
        <v>4</v>
      </c>
      <c r="I819">
        <f>Table1[[#This Row],[YearsAtCompany]]</f>
        <v>11</v>
      </c>
      <c r="J819">
        <f>Table1[[#This Row],[YearsSinceLastPromotion]]</f>
        <v>0</v>
      </c>
      <c r="K819">
        <f>Table1[[#This Row],[EmployeeNumber]]</f>
        <v>1133</v>
      </c>
      <c r="L819">
        <f>Table1[[#This Row],[DistanceFromHome]]</f>
        <v>18</v>
      </c>
      <c r="M819" t="str">
        <f>Table1[[#This Row],[OverTime]]</f>
        <v>No</v>
      </c>
      <c r="N819">
        <f>Table1[[#This Row],[WorkLifeBalance]]</f>
        <v>3</v>
      </c>
      <c r="O819" t="str" cm="1">
        <f t="array" ref="O819">_xlfn.IFS(A819&lt;=30,"18-30",A819&lt;=40,"31-40",A819&lt;=50,"41-50",A819&gt;50,"51+")</f>
        <v>31-40</v>
      </c>
      <c r="P819" t="str" cm="1">
        <f t="array" ref="P819">_xlfn.IFS(F819&lt;=45,"45 or below",F819&lt;= 60,"46-60",F819&lt;=75,"61-75",F819&lt;=90,"76-90",F819&gt;90,"91 or above")</f>
        <v>76-90</v>
      </c>
      <c r="Q8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19" t="str" cm="1">
        <f t="array" ref="R8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0" spans="1:18" x14ac:dyDescent="0.2">
      <c r="A820">
        <f>Table1[[#This Row],[Age]]</f>
        <v>31</v>
      </c>
      <c r="B820">
        <f>IF(Table3[[#This Row],[Attrition]] = "Yes", 1,0)</f>
        <v>0</v>
      </c>
      <c r="C820" t="str">
        <f>Table1[[#This Row],[Attrition]]</f>
        <v>No</v>
      </c>
      <c r="D820" t="str">
        <f>Table1[[#This Row],[Department]]</f>
        <v>Sales</v>
      </c>
      <c r="E820">
        <f>Table1[[#This Row],[EnvironmentSatisfaction]]</f>
        <v>3</v>
      </c>
      <c r="F820">
        <f>Table1[[#This Row],[HourlyRate]]</f>
        <v>67</v>
      </c>
      <c r="G820" t="str">
        <f>Table1[[#This Row],[JobRole]]</f>
        <v>Sales Representative</v>
      </c>
      <c r="H820">
        <f>Table1[[#This Row],[JobSatisfaction]]</f>
        <v>4</v>
      </c>
      <c r="I820">
        <f>Table1[[#This Row],[YearsAtCompany]]</f>
        <v>2</v>
      </c>
      <c r="J820">
        <f>Table1[[#This Row],[YearsSinceLastPromotion]]</f>
        <v>2</v>
      </c>
      <c r="K820">
        <f>Table1[[#This Row],[EmployeeNumber]]</f>
        <v>1135</v>
      </c>
      <c r="L820">
        <f>Table1[[#This Row],[DistanceFromHome]]</f>
        <v>20</v>
      </c>
      <c r="M820" t="str">
        <f>Table1[[#This Row],[OverTime]]</f>
        <v>No</v>
      </c>
      <c r="N820">
        <f>Table1[[#This Row],[WorkLifeBalance]]</f>
        <v>3</v>
      </c>
      <c r="O820" t="str" cm="1">
        <f t="array" ref="O820">_xlfn.IFS(A820&lt;=30,"18-30",A820&lt;=40,"31-40",A820&lt;=50,"41-50",A820&gt;50,"51+")</f>
        <v>31-40</v>
      </c>
      <c r="P820" t="str" cm="1">
        <f t="array" ref="P820">_xlfn.IFS(F820&lt;=45,"45 or below",F820&lt;= 60,"46-60",F820&lt;=75,"61-75",F820&lt;=90,"76-90",F820&gt;90,"91 or above")</f>
        <v>61-75</v>
      </c>
      <c r="Q8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20" t="str" cm="1">
        <f t="array" ref="R8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1" spans="1:18" x14ac:dyDescent="0.2">
      <c r="A821">
        <f>Table1[[#This Row],[Age]]</f>
        <v>28</v>
      </c>
      <c r="B821">
        <f>IF(Table3[[#This Row],[Attrition]] = "Yes", 1,0)</f>
        <v>0</v>
      </c>
      <c r="C821" t="str">
        <f>Table1[[#This Row],[Attrition]]</f>
        <v>No</v>
      </c>
      <c r="D821" t="str">
        <f>Table1[[#This Row],[Department]]</f>
        <v>Research &amp; Development</v>
      </c>
      <c r="E821">
        <f>Table1[[#This Row],[EnvironmentSatisfaction]]</f>
        <v>1</v>
      </c>
      <c r="F821">
        <f>Table1[[#This Row],[HourlyRate]]</f>
        <v>67</v>
      </c>
      <c r="G821" t="str">
        <f>Table1[[#This Row],[JobRole]]</f>
        <v>Research Scientist</v>
      </c>
      <c r="H821">
        <f>Table1[[#This Row],[JobSatisfaction]]</f>
        <v>2</v>
      </c>
      <c r="I821">
        <f>Table1[[#This Row],[YearsAtCompany]]</f>
        <v>5</v>
      </c>
      <c r="J821">
        <f>Table1[[#This Row],[YearsSinceLastPromotion]]</f>
        <v>0</v>
      </c>
      <c r="K821">
        <f>Table1[[#This Row],[EmployeeNumber]]</f>
        <v>1136</v>
      </c>
      <c r="L821">
        <f>Table1[[#This Row],[DistanceFromHome]]</f>
        <v>2</v>
      </c>
      <c r="M821" t="str">
        <f>Table1[[#This Row],[OverTime]]</f>
        <v>No</v>
      </c>
      <c r="N821">
        <f>Table1[[#This Row],[WorkLifeBalance]]</f>
        <v>1</v>
      </c>
      <c r="O821" t="str" cm="1">
        <f t="array" ref="O821">_xlfn.IFS(A821&lt;=30,"18-30",A821&lt;=40,"31-40",A821&lt;=50,"41-50",A821&gt;50,"51+")</f>
        <v>18-30</v>
      </c>
      <c r="P821" t="str" cm="1">
        <f t="array" ref="P821">_xlfn.IFS(F821&lt;=45,"45 or below",F821&lt;= 60,"46-60",F821&lt;=75,"61-75",F821&lt;=90,"76-90",F821&gt;90,"91 or above")</f>
        <v>61-75</v>
      </c>
      <c r="Q8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821" t="str" cm="1">
        <f t="array" ref="R82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22" spans="1:18" x14ac:dyDescent="0.2">
      <c r="A822">
        <f>Table1[[#This Row],[Age]]</f>
        <v>35</v>
      </c>
      <c r="B822">
        <f>IF(Table3[[#This Row],[Attrition]] = "Yes", 1,0)</f>
        <v>0</v>
      </c>
      <c r="C822" t="str">
        <f>Table1[[#This Row],[Attrition]]</f>
        <v>No</v>
      </c>
      <c r="D822" t="str">
        <f>Table1[[#This Row],[Department]]</f>
        <v>Sales</v>
      </c>
      <c r="E822">
        <f>Table1[[#This Row],[EnvironmentSatisfaction]]</f>
        <v>4</v>
      </c>
      <c r="F822">
        <f>Table1[[#This Row],[HourlyRate]]</f>
        <v>54</v>
      </c>
      <c r="G822" t="str">
        <f>Table1[[#This Row],[JobRole]]</f>
        <v>Sales Executive</v>
      </c>
      <c r="H822">
        <f>Table1[[#This Row],[JobSatisfaction]]</f>
        <v>4</v>
      </c>
      <c r="I822">
        <f>Table1[[#This Row],[YearsAtCompany]]</f>
        <v>5</v>
      </c>
      <c r="J822">
        <f>Table1[[#This Row],[YearsSinceLastPromotion]]</f>
        <v>0</v>
      </c>
      <c r="K822">
        <f>Table1[[#This Row],[EmployeeNumber]]</f>
        <v>1137</v>
      </c>
      <c r="L822">
        <f>Table1[[#This Row],[DistanceFromHome]]</f>
        <v>11</v>
      </c>
      <c r="M822" t="str">
        <f>Table1[[#This Row],[OverTime]]</f>
        <v>No</v>
      </c>
      <c r="N822">
        <f>Table1[[#This Row],[WorkLifeBalance]]</f>
        <v>3</v>
      </c>
      <c r="O822" t="str" cm="1">
        <f t="array" ref="O822">_xlfn.IFS(A822&lt;=30,"18-30",A822&lt;=40,"31-40",A822&lt;=50,"41-50",A822&gt;50,"51+")</f>
        <v>31-40</v>
      </c>
      <c r="P822" t="str" cm="1">
        <f t="array" ref="P822">_xlfn.IFS(F822&lt;=45,"45 or below",F822&lt;= 60,"46-60",F822&lt;=75,"61-75",F822&lt;=90,"76-90",F822&gt;90,"91 or above")</f>
        <v>46-60</v>
      </c>
      <c r="Q8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22" t="str" cm="1">
        <f t="array" ref="R8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3" spans="1:18" x14ac:dyDescent="0.2">
      <c r="A823">
        <f>Table1[[#This Row],[Age]]</f>
        <v>49</v>
      </c>
      <c r="B823">
        <f>IF(Table3[[#This Row],[Attrition]] = "Yes", 1,0)</f>
        <v>0</v>
      </c>
      <c r="C823" t="str">
        <f>Table1[[#This Row],[Attrition]]</f>
        <v>No</v>
      </c>
      <c r="D823" t="str">
        <f>Table1[[#This Row],[Department]]</f>
        <v>Sales</v>
      </c>
      <c r="E823">
        <f>Table1[[#This Row],[EnvironmentSatisfaction]]</f>
        <v>4</v>
      </c>
      <c r="F823">
        <f>Table1[[#This Row],[HourlyRate]]</f>
        <v>56</v>
      </c>
      <c r="G823" t="str">
        <f>Table1[[#This Row],[JobRole]]</f>
        <v>Sales Executive</v>
      </c>
      <c r="H823">
        <f>Table1[[#This Row],[JobSatisfaction]]</f>
        <v>2</v>
      </c>
      <c r="I823">
        <f>Table1[[#This Row],[YearsAtCompany]]</f>
        <v>9</v>
      </c>
      <c r="J823">
        <f>Table1[[#This Row],[YearsSinceLastPromotion]]</f>
        <v>2</v>
      </c>
      <c r="K823">
        <f>Table1[[#This Row],[EmployeeNumber]]</f>
        <v>1138</v>
      </c>
      <c r="L823">
        <f>Table1[[#This Row],[DistanceFromHome]]</f>
        <v>8</v>
      </c>
      <c r="M823" t="str">
        <f>Table1[[#This Row],[OverTime]]</f>
        <v>No</v>
      </c>
      <c r="N823">
        <f>Table1[[#This Row],[WorkLifeBalance]]</f>
        <v>3</v>
      </c>
      <c r="O823" t="str" cm="1">
        <f t="array" ref="O823">_xlfn.IFS(A823&lt;=30,"18-30",A823&lt;=40,"31-40",A823&lt;=50,"41-50",A823&gt;50,"51+")</f>
        <v>41-50</v>
      </c>
      <c r="P823" t="str" cm="1">
        <f t="array" ref="P823">_xlfn.IFS(F823&lt;=45,"45 or below",F823&lt;= 60,"46-60",F823&lt;=75,"61-75",F823&lt;=90,"76-90",F823&gt;90,"91 or above")</f>
        <v>46-60</v>
      </c>
      <c r="Q8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23" t="str" cm="1">
        <f t="array" ref="R8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4" spans="1:18" x14ac:dyDescent="0.2">
      <c r="A824">
        <f>Table1[[#This Row],[Age]]</f>
        <v>34</v>
      </c>
      <c r="B824">
        <f>IF(Table3[[#This Row],[Attrition]] = "Yes", 1,0)</f>
        <v>0</v>
      </c>
      <c r="C824" t="str">
        <f>Table1[[#This Row],[Attrition]]</f>
        <v>No</v>
      </c>
      <c r="D824" t="str">
        <f>Table1[[#This Row],[Department]]</f>
        <v>Research &amp; Development</v>
      </c>
      <c r="E824">
        <f>Table1[[#This Row],[EnvironmentSatisfaction]]</f>
        <v>4</v>
      </c>
      <c r="F824">
        <f>Table1[[#This Row],[HourlyRate]]</f>
        <v>95</v>
      </c>
      <c r="G824" t="str">
        <f>Table1[[#This Row],[JobRole]]</f>
        <v>Manufacturing Director</v>
      </c>
      <c r="H824">
        <f>Table1[[#This Row],[JobSatisfaction]]</f>
        <v>3</v>
      </c>
      <c r="I824">
        <f>Table1[[#This Row],[YearsAtCompany]]</f>
        <v>3</v>
      </c>
      <c r="J824">
        <f>Table1[[#This Row],[YearsSinceLastPromotion]]</f>
        <v>0</v>
      </c>
      <c r="K824">
        <f>Table1[[#This Row],[EmployeeNumber]]</f>
        <v>1140</v>
      </c>
      <c r="L824">
        <f>Table1[[#This Row],[DistanceFromHome]]</f>
        <v>2</v>
      </c>
      <c r="M824" t="str">
        <f>Table1[[#This Row],[OverTime]]</f>
        <v>No</v>
      </c>
      <c r="N824">
        <f>Table1[[#This Row],[WorkLifeBalance]]</f>
        <v>2</v>
      </c>
      <c r="O824" t="str" cm="1">
        <f t="array" ref="O824">_xlfn.IFS(A824&lt;=30,"18-30",A824&lt;=40,"31-40",A824&lt;=50,"41-50",A824&gt;50,"51+")</f>
        <v>31-40</v>
      </c>
      <c r="P824" t="str" cm="1">
        <f t="array" ref="P824">_xlfn.IFS(F824&lt;=45,"45 or below",F824&lt;= 60,"46-60",F824&lt;=75,"61-75",F824&lt;=90,"76-90",F824&gt;90,"91 or above")</f>
        <v>91 or above</v>
      </c>
      <c r="Q8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24" t="str" cm="1">
        <f t="array" ref="R8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5" spans="1:18" x14ac:dyDescent="0.2">
      <c r="A825">
        <f>Table1[[#This Row],[Age]]</f>
        <v>29</v>
      </c>
      <c r="B825">
        <f>IF(Table3[[#This Row],[Attrition]] = "Yes", 1,0)</f>
        <v>0</v>
      </c>
      <c r="C825" t="str">
        <f>Table1[[#This Row],[Attrition]]</f>
        <v>No</v>
      </c>
      <c r="D825" t="str">
        <f>Table1[[#This Row],[Department]]</f>
        <v>Research &amp; Development</v>
      </c>
      <c r="E825">
        <f>Table1[[#This Row],[EnvironmentSatisfaction]]</f>
        <v>4</v>
      </c>
      <c r="F825">
        <f>Table1[[#This Row],[HourlyRate]]</f>
        <v>61</v>
      </c>
      <c r="G825" t="str">
        <f>Table1[[#This Row],[JobRole]]</f>
        <v>Research Scientist</v>
      </c>
      <c r="H825">
        <f>Table1[[#This Row],[JobSatisfaction]]</f>
        <v>2</v>
      </c>
      <c r="I825">
        <f>Table1[[#This Row],[YearsAtCompany]]</f>
        <v>7</v>
      </c>
      <c r="J825">
        <f>Table1[[#This Row],[YearsSinceLastPromotion]]</f>
        <v>1</v>
      </c>
      <c r="K825">
        <f>Table1[[#This Row],[EmployeeNumber]]</f>
        <v>1143</v>
      </c>
      <c r="L825">
        <f>Table1[[#This Row],[DistanceFromHome]]</f>
        <v>10</v>
      </c>
      <c r="M825" t="str">
        <f>Table1[[#This Row],[OverTime]]</f>
        <v>No</v>
      </c>
      <c r="N825">
        <f>Table1[[#This Row],[WorkLifeBalance]]</f>
        <v>2</v>
      </c>
      <c r="O825" t="str" cm="1">
        <f t="array" ref="O825">_xlfn.IFS(A825&lt;=30,"18-30",A825&lt;=40,"31-40",A825&lt;=50,"41-50",A825&gt;50,"51+")</f>
        <v>18-30</v>
      </c>
      <c r="P825" t="str" cm="1">
        <f t="array" ref="P825">_xlfn.IFS(F825&lt;=45,"45 or below",F825&lt;= 60,"46-60",F825&lt;=75,"61-75",F825&lt;=90,"76-90",F825&gt;90,"91 or above")</f>
        <v>61-75</v>
      </c>
      <c r="Q8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25" t="str" cm="1">
        <f t="array" ref="R8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6" spans="1:18" x14ac:dyDescent="0.2">
      <c r="A826">
        <f>Table1[[#This Row],[Age]]</f>
        <v>42</v>
      </c>
      <c r="B826">
        <f>IF(Table3[[#This Row],[Attrition]] = "Yes", 1,0)</f>
        <v>0</v>
      </c>
      <c r="C826" t="str">
        <f>Table1[[#This Row],[Attrition]]</f>
        <v>No</v>
      </c>
      <c r="D826" t="str">
        <f>Table1[[#This Row],[Department]]</f>
        <v>Research &amp; Development</v>
      </c>
      <c r="E826">
        <f>Table1[[#This Row],[EnvironmentSatisfaction]]</f>
        <v>2</v>
      </c>
      <c r="F826">
        <f>Table1[[#This Row],[HourlyRate]]</f>
        <v>56</v>
      </c>
      <c r="G826" t="str">
        <f>Table1[[#This Row],[JobRole]]</f>
        <v>Laboratory Technician</v>
      </c>
      <c r="H826">
        <f>Table1[[#This Row],[JobSatisfaction]]</f>
        <v>4</v>
      </c>
      <c r="I826">
        <f>Table1[[#This Row],[YearsAtCompany]]</f>
        <v>1</v>
      </c>
      <c r="J826">
        <f>Table1[[#This Row],[YearsSinceLastPromotion]]</f>
        <v>0</v>
      </c>
      <c r="K826">
        <f>Table1[[#This Row],[EmployeeNumber]]</f>
        <v>1148</v>
      </c>
      <c r="L826">
        <f>Table1[[#This Row],[DistanceFromHome]]</f>
        <v>29</v>
      </c>
      <c r="M826" t="str">
        <f>Table1[[#This Row],[OverTime]]</f>
        <v>No</v>
      </c>
      <c r="N826">
        <f>Table1[[#This Row],[WorkLifeBalance]]</f>
        <v>3</v>
      </c>
      <c r="O826" t="str" cm="1">
        <f t="array" ref="O826">_xlfn.IFS(A826&lt;=30,"18-30",A826&lt;=40,"31-40",A826&lt;=50,"41-50",A826&gt;50,"51+")</f>
        <v>41-50</v>
      </c>
      <c r="P826" t="str" cm="1">
        <f t="array" ref="P826">_xlfn.IFS(F826&lt;=45,"45 or below",F826&lt;= 60,"46-60",F826&lt;=75,"61-75",F826&lt;=90,"76-90",F826&gt;90,"91 or above")</f>
        <v>46-60</v>
      </c>
      <c r="Q8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26" t="str" cm="1">
        <f t="array" ref="R8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7" spans="1:18" x14ac:dyDescent="0.2">
      <c r="A827">
        <f>Table1[[#This Row],[Age]]</f>
        <v>29</v>
      </c>
      <c r="B827">
        <f>IF(Table3[[#This Row],[Attrition]] = "Yes", 1,0)</f>
        <v>0</v>
      </c>
      <c r="C827" t="str">
        <f>Table1[[#This Row],[Attrition]]</f>
        <v>No</v>
      </c>
      <c r="D827" t="str">
        <f>Table1[[#This Row],[Department]]</f>
        <v>Research &amp; Development</v>
      </c>
      <c r="E827">
        <f>Table1[[#This Row],[EnvironmentSatisfaction]]</f>
        <v>2</v>
      </c>
      <c r="F827">
        <f>Table1[[#This Row],[HourlyRate]]</f>
        <v>79</v>
      </c>
      <c r="G827" t="str">
        <f>Table1[[#This Row],[JobRole]]</f>
        <v>Manufacturing Director</v>
      </c>
      <c r="H827">
        <f>Table1[[#This Row],[JobSatisfaction]]</f>
        <v>4</v>
      </c>
      <c r="I827">
        <f>Table1[[#This Row],[YearsAtCompany]]</f>
        <v>10</v>
      </c>
      <c r="J827">
        <f>Table1[[#This Row],[YearsSinceLastPromotion]]</f>
        <v>1</v>
      </c>
      <c r="K827">
        <f>Table1[[#This Row],[EmployeeNumber]]</f>
        <v>1150</v>
      </c>
      <c r="L827">
        <f>Table1[[#This Row],[DistanceFromHome]]</f>
        <v>8</v>
      </c>
      <c r="M827" t="str">
        <f>Table1[[#This Row],[OverTime]]</f>
        <v>Yes</v>
      </c>
      <c r="N827">
        <f>Table1[[#This Row],[WorkLifeBalance]]</f>
        <v>2</v>
      </c>
      <c r="O827" t="str" cm="1">
        <f t="array" ref="O827">_xlfn.IFS(A827&lt;=30,"18-30",A827&lt;=40,"31-40",A827&lt;=50,"41-50",A827&gt;50,"51+")</f>
        <v>18-30</v>
      </c>
      <c r="P827" t="str" cm="1">
        <f t="array" ref="P827">_xlfn.IFS(F827&lt;=45,"45 or below",F827&lt;= 60,"46-60",F827&lt;=75,"61-75",F827&lt;=90,"76-90",F827&gt;90,"91 or above")</f>
        <v>76-90</v>
      </c>
      <c r="Q8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27" t="str" cm="1">
        <f t="array" ref="R82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28" spans="1:18" x14ac:dyDescent="0.2">
      <c r="A828">
        <f>Table1[[#This Row],[Age]]</f>
        <v>38</v>
      </c>
      <c r="B828">
        <f>IF(Table3[[#This Row],[Attrition]] = "Yes", 1,0)</f>
        <v>0</v>
      </c>
      <c r="C828" t="str">
        <f>Table1[[#This Row],[Attrition]]</f>
        <v>No</v>
      </c>
      <c r="D828" t="str">
        <f>Table1[[#This Row],[Department]]</f>
        <v>Human Resources</v>
      </c>
      <c r="E828">
        <f>Table1[[#This Row],[EnvironmentSatisfaction]]</f>
        <v>3</v>
      </c>
      <c r="F828">
        <f>Table1[[#This Row],[HourlyRate]]</f>
        <v>37</v>
      </c>
      <c r="G828" t="str">
        <f>Table1[[#This Row],[JobRole]]</f>
        <v>Human Resources</v>
      </c>
      <c r="H828">
        <f>Table1[[#This Row],[JobSatisfaction]]</f>
        <v>3</v>
      </c>
      <c r="I828">
        <f>Table1[[#This Row],[YearsAtCompany]]</f>
        <v>7</v>
      </c>
      <c r="J828">
        <f>Table1[[#This Row],[YearsSinceLastPromotion]]</f>
        <v>5</v>
      </c>
      <c r="K828">
        <f>Table1[[#This Row],[EmployeeNumber]]</f>
        <v>1152</v>
      </c>
      <c r="L828">
        <f>Table1[[#This Row],[DistanceFromHome]]</f>
        <v>1</v>
      </c>
      <c r="M828" t="str">
        <f>Table1[[#This Row],[OverTime]]</f>
        <v>No</v>
      </c>
      <c r="N828">
        <f>Table1[[#This Row],[WorkLifeBalance]]</f>
        <v>4</v>
      </c>
      <c r="O828" t="str" cm="1">
        <f t="array" ref="O828">_xlfn.IFS(A828&lt;=30,"18-30",A828&lt;=40,"31-40",A828&lt;=50,"41-50",A828&gt;50,"51+")</f>
        <v>31-40</v>
      </c>
      <c r="P828" t="str" cm="1">
        <f t="array" ref="P828">_xlfn.IFS(F828&lt;=45,"45 or below",F828&lt;= 60,"46-60",F828&lt;=75,"61-75",F828&lt;=90,"76-90",F828&gt;90,"91 or above")</f>
        <v>45 or below</v>
      </c>
      <c r="Q8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28" t="str" cm="1">
        <f t="array" ref="R8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29" spans="1:18" x14ac:dyDescent="0.2">
      <c r="A829">
        <f>Table1[[#This Row],[Age]]</f>
        <v>28</v>
      </c>
      <c r="B829">
        <f>IF(Table3[[#This Row],[Attrition]] = "Yes", 1,0)</f>
        <v>0</v>
      </c>
      <c r="C829" t="str">
        <f>Table1[[#This Row],[Attrition]]</f>
        <v>No</v>
      </c>
      <c r="D829" t="str">
        <f>Table1[[#This Row],[Department]]</f>
        <v>Research &amp; Development</v>
      </c>
      <c r="E829">
        <f>Table1[[#This Row],[EnvironmentSatisfaction]]</f>
        <v>3</v>
      </c>
      <c r="F829">
        <f>Table1[[#This Row],[HourlyRate]]</f>
        <v>39</v>
      </c>
      <c r="G829" t="str">
        <f>Table1[[#This Row],[JobRole]]</f>
        <v>Research Scientist</v>
      </c>
      <c r="H829">
        <f>Table1[[#This Row],[JobSatisfaction]]</f>
        <v>3</v>
      </c>
      <c r="I829">
        <f>Table1[[#This Row],[YearsAtCompany]]</f>
        <v>3</v>
      </c>
      <c r="J829">
        <f>Table1[[#This Row],[YearsSinceLastPromotion]]</f>
        <v>0</v>
      </c>
      <c r="K829">
        <f>Table1[[#This Row],[EmployeeNumber]]</f>
        <v>1154</v>
      </c>
      <c r="L829">
        <f>Table1[[#This Row],[DistanceFromHome]]</f>
        <v>6</v>
      </c>
      <c r="M829" t="str">
        <f>Table1[[#This Row],[OverTime]]</f>
        <v>Yes</v>
      </c>
      <c r="N829">
        <f>Table1[[#This Row],[WorkLifeBalance]]</f>
        <v>3</v>
      </c>
      <c r="O829" t="str" cm="1">
        <f t="array" ref="O829">_xlfn.IFS(A829&lt;=30,"18-30",A829&lt;=40,"31-40",A829&lt;=50,"41-50",A829&gt;50,"51+")</f>
        <v>18-30</v>
      </c>
      <c r="P829" t="str" cm="1">
        <f t="array" ref="P829">_xlfn.IFS(F829&lt;=45,"45 or below",F829&lt;= 60,"46-60",F829&lt;=75,"61-75",F829&lt;=90,"76-90",F829&gt;90,"91 or above")</f>
        <v>45 or below</v>
      </c>
      <c r="Q8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29" t="str" cm="1">
        <f t="array" ref="R829" xml:space="preserve"> _xlfn.IFS(Table3[[#This Row],[Flight Risk Score]] = "NA","NA",Table3[[#This Row],[Flight Risk Score]] &gt;= 70,"High Risk",Table3[[#This Row],[Flight Risk Score]] &gt;= 50, "Medium Risk", Table3[[#This Row],[Flight Risk Score]] &gt;= 30,"Low Risk",Table3[[#This Row],[Flight Risk Score]] &lt; 30,"Very Low Risk")</f>
        <v>Low Risk</v>
      </c>
    </row>
    <row r="830" spans="1:18" hidden="1" x14ac:dyDescent="0.2">
      <c r="A830">
        <f>Table1[[#This Row],[Age]]</f>
        <v>18</v>
      </c>
      <c r="B830">
        <f>IF(Table3[[#This Row],[Attrition]] = "Yes", 1,0)</f>
        <v>1</v>
      </c>
      <c r="C830" t="str">
        <f>Table1[[#This Row],[Attrition]]</f>
        <v>Yes</v>
      </c>
      <c r="D830" t="str">
        <f>Table1[[#This Row],[Department]]</f>
        <v>Research &amp; Development</v>
      </c>
      <c r="E830">
        <f>Table1[[#This Row],[EnvironmentSatisfaction]]</f>
        <v>3</v>
      </c>
      <c r="F830">
        <f>Table1[[#This Row],[HourlyRate]]</f>
        <v>80</v>
      </c>
      <c r="G830" t="str">
        <f>Table1[[#This Row],[JobRole]]</f>
        <v>Laboratory Technician</v>
      </c>
      <c r="H830">
        <f>Table1[[#This Row],[JobSatisfaction]]</f>
        <v>3</v>
      </c>
      <c r="I830">
        <f>Table1[[#This Row],[YearsAtCompany]]</f>
        <v>0</v>
      </c>
      <c r="J830">
        <f>Table1[[#This Row],[YearsSinceLastPromotion]]</f>
        <v>0</v>
      </c>
      <c r="K830">
        <f>Table1[[#This Row],[EmployeeNumber]]</f>
        <v>1156</v>
      </c>
      <c r="L830">
        <f>Table1[[#This Row],[DistanceFromHome]]</f>
        <v>8</v>
      </c>
      <c r="M830" t="str">
        <f>Table1[[#This Row],[OverTime]]</f>
        <v>No</v>
      </c>
      <c r="N830">
        <f>Table1[[#This Row],[WorkLifeBalance]]</f>
        <v>3</v>
      </c>
      <c r="O830" t="str" cm="1">
        <f t="array" ref="O830">_xlfn.IFS(A830&lt;=30,"18-30",A830&lt;=40,"31-40",A830&lt;=50,"41-50",A830&gt;50,"51+")</f>
        <v>18-30</v>
      </c>
      <c r="P830" t="str" cm="1">
        <f t="array" ref="P830">_xlfn.IFS(F830&lt;=45,"45 or below",F830&lt;= 60,"46-60",F830&lt;=75,"61-75",F830&lt;=90,"76-90",F830&gt;90,"91 or above")</f>
        <v>76-90</v>
      </c>
      <c r="Q83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30" t="str" cm="1">
        <f t="array" ref="R830" xml:space="preserve"> _xlfn.IFS(Table3[[#This Row],[Flight Risk Score]] = "NA","NA",Table3[[#This Row],[Flight Risk Score]] &gt;= 70,"High Risk",Table3[[#This Row],[Flight Risk Score]] &gt;= 50, "Medium Risk", Table3[[#This Row],[Flight Risk Score]] &gt;= 30,"Low Risk",Table3[[#This Row],[Flight Risk Score]] &lt; 30,"Very Low Risk")</f>
        <v>NA</v>
      </c>
    </row>
    <row r="831" spans="1:18" hidden="1" x14ac:dyDescent="0.2">
      <c r="A831">
        <f>Table1[[#This Row],[Age]]</f>
        <v>33</v>
      </c>
      <c r="B831">
        <f>IF(Table3[[#This Row],[Attrition]] = "Yes", 1,0)</f>
        <v>1</v>
      </c>
      <c r="C831" t="str">
        <f>Table1[[#This Row],[Attrition]]</f>
        <v>Yes</v>
      </c>
      <c r="D831" t="str">
        <f>Table1[[#This Row],[Department]]</f>
        <v>Sales</v>
      </c>
      <c r="E831">
        <f>Table1[[#This Row],[EnvironmentSatisfaction]]</f>
        <v>1</v>
      </c>
      <c r="F831">
        <f>Table1[[#This Row],[HourlyRate]]</f>
        <v>77</v>
      </c>
      <c r="G831" t="str">
        <f>Table1[[#This Row],[JobRole]]</f>
        <v>Sales Executive</v>
      </c>
      <c r="H831">
        <f>Table1[[#This Row],[JobSatisfaction]]</f>
        <v>1</v>
      </c>
      <c r="I831">
        <f>Table1[[#This Row],[YearsAtCompany]]</f>
        <v>5</v>
      </c>
      <c r="J831">
        <f>Table1[[#This Row],[YearsSinceLastPromotion]]</f>
        <v>0</v>
      </c>
      <c r="K831">
        <f>Table1[[#This Row],[EmployeeNumber]]</f>
        <v>1157</v>
      </c>
      <c r="L831">
        <f>Table1[[#This Row],[DistanceFromHome]]</f>
        <v>9</v>
      </c>
      <c r="M831" t="str">
        <f>Table1[[#This Row],[OverTime]]</f>
        <v>Yes</v>
      </c>
      <c r="N831">
        <f>Table1[[#This Row],[WorkLifeBalance]]</f>
        <v>3</v>
      </c>
      <c r="O831" t="str" cm="1">
        <f t="array" ref="O831">_xlfn.IFS(A831&lt;=30,"18-30",A831&lt;=40,"31-40",A831&lt;=50,"41-50",A831&gt;50,"51+")</f>
        <v>31-40</v>
      </c>
      <c r="P831" t="str" cm="1">
        <f t="array" ref="P831">_xlfn.IFS(F831&lt;=45,"45 or below",F831&lt;= 60,"46-60",F831&lt;=75,"61-75",F831&lt;=90,"76-90",F831&gt;90,"91 or above")</f>
        <v>76-90</v>
      </c>
      <c r="Q83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31" t="str" cm="1">
        <f t="array" ref="R831" xml:space="preserve"> _xlfn.IFS(Table3[[#This Row],[Flight Risk Score]] = "NA","NA",Table3[[#This Row],[Flight Risk Score]] &gt;= 70,"High Risk",Table3[[#This Row],[Flight Risk Score]] &gt;= 50, "Medium Risk", Table3[[#This Row],[Flight Risk Score]] &gt;= 30,"Low Risk",Table3[[#This Row],[Flight Risk Score]] &lt; 30,"Very Low Risk")</f>
        <v>NA</v>
      </c>
    </row>
    <row r="832" spans="1:18" x14ac:dyDescent="0.2">
      <c r="A832">
        <f>Table1[[#This Row],[Age]]</f>
        <v>41</v>
      </c>
      <c r="B832">
        <f>IF(Table3[[#This Row],[Attrition]] = "Yes", 1,0)</f>
        <v>0</v>
      </c>
      <c r="C832" t="str">
        <f>Table1[[#This Row],[Attrition]]</f>
        <v>No</v>
      </c>
      <c r="D832" t="str">
        <f>Table1[[#This Row],[Department]]</f>
        <v>Research &amp; Development</v>
      </c>
      <c r="E832">
        <f>Table1[[#This Row],[EnvironmentSatisfaction]]</f>
        <v>2</v>
      </c>
      <c r="F832">
        <f>Table1[[#This Row],[HourlyRate]]</f>
        <v>46</v>
      </c>
      <c r="G832" t="str">
        <f>Table1[[#This Row],[JobRole]]</f>
        <v>Laboratory Technician</v>
      </c>
      <c r="H832">
        <f>Table1[[#This Row],[JobSatisfaction]]</f>
        <v>4</v>
      </c>
      <c r="I832">
        <f>Table1[[#This Row],[YearsAtCompany]]</f>
        <v>1</v>
      </c>
      <c r="J832">
        <f>Table1[[#This Row],[YearsSinceLastPromotion]]</f>
        <v>0</v>
      </c>
      <c r="K832">
        <f>Table1[[#This Row],[EmployeeNumber]]</f>
        <v>1158</v>
      </c>
      <c r="L832">
        <f>Table1[[#This Row],[DistanceFromHome]]</f>
        <v>12</v>
      </c>
      <c r="M832" t="str">
        <f>Table1[[#This Row],[OverTime]]</f>
        <v>Yes</v>
      </c>
      <c r="N832">
        <f>Table1[[#This Row],[WorkLifeBalance]]</f>
        <v>3</v>
      </c>
      <c r="O832" t="str" cm="1">
        <f t="array" ref="O832">_xlfn.IFS(A832&lt;=30,"18-30",A832&lt;=40,"31-40",A832&lt;=50,"41-50",A832&gt;50,"51+")</f>
        <v>41-50</v>
      </c>
      <c r="P832" t="str" cm="1">
        <f t="array" ref="P832">_xlfn.IFS(F832&lt;=45,"45 or below",F832&lt;= 60,"46-60",F832&lt;=75,"61-75",F832&lt;=90,"76-90",F832&gt;90,"91 or above")</f>
        <v>46-60</v>
      </c>
      <c r="Q8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32" t="str" cm="1">
        <f t="array" ref="R83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33" spans="1:18" hidden="1" x14ac:dyDescent="0.2">
      <c r="A833">
        <f>Table1[[#This Row],[Age]]</f>
        <v>31</v>
      </c>
      <c r="B833">
        <f>IF(Table3[[#This Row],[Attrition]] = "Yes", 1,0)</f>
        <v>1</v>
      </c>
      <c r="C833" t="str">
        <f>Table1[[#This Row],[Attrition]]</f>
        <v>Yes</v>
      </c>
      <c r="D833" t="str">
        <f>Table1[[#This Row],[Department]]</f>
        <v>Research &amp; Development</v>
      </c>
      <c r="E833">
        <f>Table1[[#This Row],[EnvironmentSatisfaction]]</f>
        <v>3</v>
      </c>
      <c r="F833">
        <f>Table1[[#This Row],[HourlyRate]]</f>
        <v>72</v>
      </c>
      <c r="G833" t="str">
        <f>Table1[[#This Row],[JobRole]]</f>
        <v>Laboratory Technician</v>
      </c>
      <c r="H833">
        <f>Table1[[#This Row],[JobSatisfaction]]</f>
        <v>3</v>
      </c>
      <c r="I833">
        <f>Table1[[#This Row],[YearsAtCompany]]</f>
        <v>2</v>
      </c>
      <c r="J833">
        <f>Table1[[#This Row],[YearsSinceLastPromotion]]</f>
        <v>2</v>
      </c>
      <c r="K833">
        <f>Table1[[#This Row],[EmployeeNumber]]</f>
        <v>1160</v>
      </c>
      <c r="L833">
        <f>Table1[[#This Row],[DistanceFromHome]]</f>
        <v>15</v>
      </c>
      <c r="M833" t="str">
        <f>Table1[[#This Row],[OverTime]]</f>
        <v>No</v>
      </c>
      <c r="N833">
        <f>Table1[[#This Row],[WorkLifeBalance]]</f>
        <v>2</v>
      </c>
      <c r="O833" t="str" cm="1">
        <f t="array" ref="O833">_xlfn.IFS(A833&lt;=30,"18-30",A833&lt;=40,"31-40",A833&lt;=50,"41-50",A833&gt;50,"51+")</f>
        <v>31-40</v>
      </c>
      <c r="P833" t="str" cm="1">
        <f t="array" ref="P833">_xlfn.IFS(F833&lt;=45,"45 or below",F833&lt;= 60,"46-60",F833&lt;=75,"61-75",F833&lt;=90,"76-90",F833&gt;90,"91 or above")</f>
        <v>61-75</v>
      </c>
      <c r="Q83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33" t="str" cm="1">
        <f t="array" ref="R833" xml:space="preserve"> _xlfn.IFS(Table3[[#This Row],[Flight Risk Score]] = "NA","NA",Table3[[#This Row],[Flight Risk Score]] &gt;= 70,"High Risk",Table3[[#This Row],[Flight Risk Score]] &gt;= 50, "Medium Risk", Table3[[#This Row],[Flight Risk Score]] &gt;= 30,"Low Risk",Table3[[#This Row],[Flight Risk Score]] &lt; 30,"Very Low Risk")</f>
        <v>NA</v>
      </c>
    </row>
    <row r="834" spans="1:18" x14ac:dyDescent="0.2">
      <c r="A834">
        <f>Table1[[#This Row],[Age]]</f>
        <v>37</v>
      </c>
      <c r="B834">
        <f>IF(Table3[[#This Row],[Attrition]] = "Yes", 1,0)</f>
        <v>0</v>
      </c>
      <c r="C834" t="str">
        <f>Table1[[#This Row],[Attrition]]</f>
        <v>No</v>
      </c>
      <c r="D834" t="str">
        <f>Table1[[#This Row],[Department]]</f>
        <v>Research &amp; Development</v>
      </c>
      <c r="E834">
        <f>Table1[[#This Row],[EnvironmentSatisfaction]]</f>
        <v>3</v>
      </c>
      <c r="F834">
        <f>Table1[[#This Row],[HourlyRate]]</f>
        <v>52</v>
      </c>
      <c r="G834" t="str">
        <f>Table1[[#This Row],[JobRole]]</f>
        <v>Healthcare Representative</v>
      </c>
      <c r="H834">
        <f>Table1[[#This Row],[JobSatisfaction]]</f>
        <v>4</v>
      </c>
      <c r="I834">
        <f>Table1[[#This Row],[YearsAtCompany]]</f>
        <v>6</v>
      </c>
      <c r="J834">
        <f>Table1[[#This Row],[YearsSinceLastPromotion]]</f>
        <v>1</v>
      </c>
      <c r="K834">
        <f>Table1[[#This Row],[EmployeeNumber]]</f>
        <v>1161</v>
      </c>
      <c r="L834">
        <f>Table1[[#This Row],[DistanceFromHome]]</f>
        <v>25</v>
      </c>
      <c r="M834" t="str">
        <f>Table1[[#This Row],[OverTime]]</f>
        <v>No</v>
      </c>
      <c r="N834">
        <f>Table1[[#This Row],[WorkLifeBalance]]</f>
        <v>3</v>
      </c>
      <c r="O834" t="str" cm="1">
        <f t="array" ref="O834">_xlfn.IFS(A834&lt;=30,"18-30",A834&lt;=40,"31-40",A834&lt;=50,"41-50",A834&gt;50,"51+")</f>
        <v>31-40</v>
      </c>
      <c r="P834" t="str" cm="1">
        <f t="array" ref="P834">_xlfn.IFS(F834&lt;=45,"45 or below",F834&lt;= 60,"46-60",F834&lt;=75,"61-75",F834&lt;=90,"76-90",F834&gt;90,"91 or above")</f>
        <v>46-60</v>
      </c>
      <c r="Q8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34" t="str" cm="1">
        <f t="array" ref="R8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35" spans="1:18" x14ac:dyDescent="0.2">
      <c r="A835">
        <f>Table1[[#This Row],[Age]]</f>
        <v>27</v>
      </c>
      <c r="B835">
        <f>IF(Table3[[#This Row],[Attrition]] = "Yes", 1,0)</f>
        <v>0</v>
      </c>
      <c r="C835" t="str">
        <f>Table1[[#This Row],[Attrition]]</f>
        <v>No</v>
      </c>
      <c r="D835" t="str">
        <f>Table1[[#This Row],[Department]]</f>
        <v>Research &amp; Development</v>
      </c>
      <c r="E835">
        <f>Table1[[#This Row],[EnvironmentSatisfaction]]</f>
        <v>4</v>
      </c>
      <c r="F835">
        <f>Table1[[#This Row],[HourlyRate]]</f>
        <v>55</v>
      </c>
      <c r="G835" t="str">
        <f>Table1[[#This Row],[JobRole]]</f>
        <v>Research Scientist</v>
      </c>
      <c r="H835">
        <f>Table1[[#This Row],[JobSatisfaction]]</f>
        <v>3</v>
      </c>
      <c r="I835">
        <f>Table1[[#This Row],[YearsAtCompany]]</f>
        <v>4</v>
      </c>
      <c r="J835">
        <f>Table1[[#This Row],[YearsSinceLastPromotion]]</f>
        <v>2</v>
      </c>
      <c r="K835">
        <f>Table1[[#This Row],[EmployeeNumber]]</f>
        <v>1162</v>
      </c>
      <c r="L835">
        <f>Table1[[#This Row],[DistanceFromHome]]</f>
        <v>6</v>
      </c>
      <c r="M835" t="str">
        <f>Table1[[#This Row],[OverTime]]</f>
        <v>No</v>
      </c>
      <c r="N835">
        <f>Table1[[#This Row],[WorkLifeBalance]]</f>
        <v>3</v>
      </c>
      <c r="O835" t="str" cm="1">
        <f t="array" ref="O835">_xlfn.IFS(A835&lt;=30,"18-30",A835&lt;=40,"31-40",A835&lt;=50,"41-50",A835&gt;50,"51+")</f>
        <v>18-30</v>
      </c>
      <c r="P835" t="str" cm="1">
        <f t="array" ref="P835">_xlfn.IFS(F835&lt;=45,"45 or below",F835&lt;= 60,"46-60",F835&lt;=75,"61-75",F835&lt;=90,"76-90",F835&gt;90,"91 or above")</f>
        <v>46-60</v>
      </c>
      <c r="Q8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35" t="str" cm="1">
        <f t="array" ref="R8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36" spans="1:18" x14ac:dyDescent="0.2">
      <c r="A836">
        <f>Table1[[#This Row],[Age]]</f>
        <v>34</v>
      </c>
      <c r="B836">
        <f>IF(Table3[[#This Row],[Attrition]] = "Yes", 1,0)</f>
        <v>0</v>
      </c>
      <c r="C836" t="str">
        <f>Table1[[#This Row],[Attrition]]</f>
        <v>No</v>
      </c>
      <c r="D836" t="str">
        <f>Table1[[#This Row],[Department]]</f>
        <v>Sales</v>
      </c>
      <c r="E836">
        <f>Table1[[#This Row],[EnvironmentSatisfaction]]</f>
        <v>2</v>
      </c>
      <c r="F836">
        <f>Table1[[#This Row],[HourlyRate]]</f>
        <v>70</v>
      </c>
      <c r="G836" t="str">
        <f>Table1[[#This Row],[JobRole]]</f>
        <v>Sales Executive</v>
      </c>
      <c r="H836">
        <f>Table1[[#This Row],[JobSatisfaction]]</f>
        <v>3</v>
      </c>
      <c r="I836">
        <f>Table1[[#This Row],[YearsAtCompany]]</f>
        <v>6</v>
      </c>
      <c r="J836">
        <f>Table1[[#This Row],[YearsSinceLastPromotion]]</f>
        <v>1</v>
      </c>
      <c r="K836">
        <f>Table1[[#This Row],[EmployeeNumber]]</f>
        <v>1163</v>
      </c>
      <c r="L836">
        <f>Table1[[#This Row],[DistanceFromHome]]</f>
        <v>9</v>
      </c>
      <c r="M836" t="str">
        <f>Table1[[#This Row],[OverTime]]</f>
        <v>No</v>
      </c>
      <c r="N836">
        <f>Table1[[#This Row],[WorkLifeBalance]]</f>
        <v>2</v>
      </c>
      <c r="O836" t="str" cm="1">
        <f t="array" ref="O836">_xlfn.IFS(A836&lt;=30,"18-30",A836&lt;=40,"31-40",A836&lt;=50,"41-50",A836&gt;50,"51+")</f>
        <v>31-40</v>
      </c>
      <c r="P836" t="str" cm="1">
        <f t="array" ref="P836">_xlfn.IFS(F836&lt;=45,"45 or below",F836&lt;= 60,"46-60",F836&lt;=75,"61-75",F836&lt;=90,"76-90",F836&gt;90,"91 or above")</f>
        <v>61-75</v>
      </c>
      <c r="Q8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36" t="str" cm="1">
        <f t="array" ref="R8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37" spans="1:18" x14ac:dyDescent="0.2">
      <c r="A837">
        <f>Table1[[#This Row],[Age]]</f>
        <v>35</v>
      </c>
      <c r="B837">
        <f>IF(Table3[[#This Row],[Attrition]] = "Yes", 1,0)</f>
        <v>0</v>
      </c>
      <c r="C837" t="str">
        <f>Table1[[#This Row],[Attrition]]</f>
        <v>No</v>
      </c>
      <c r="D837" t="str">
        <f>Table1[[#This Row],[Department]]</f>
        <v>Human Resources</v>
      </c>
      <c r="E837">
        <f>Table1[[#This Row],[EnvironmentSatisfaction]]</f>
        <v>3</v>
      </c>
      <c r="F837">
        <f>Table1[[#This Row],[HourlyRate]]</f>
        <v>100</v>
      </c>
      <c r="G837" t="str">
        <f>Table1[[#This Row],[JobRole]]</f>
        <v>Human Resources</v>
      </c>
      <c r="H837">
        <f>Table1[[#This Row],[JobSatisfaction]]</f>
        <v>3</v>
      </c>
      <c r="I837">
        <f>Table1[[#This Row],[YearsAtCompany]]</f>
        <v>5</v>
      </c>
      <c r="J837">
        <f>Table1[[#This Row],[YearsSinceLastPromotion]]</f>
        <v>1</v>
      </c>
      <c r="K837">
        <f>Table1[[#This Row],[EmployeeNumber]]</f>
        <v>1164</v>
      </c>
      <c r="L837">
        <f>Table1[[#This Row],[DistanceFromHome]]</f>
        <v>8</v>
      </c>
      <c r="M837" t="str">
        <f>Table1[[#This Row],[OverTime]]</f>
        <v>No</v>
      </c>
      <c r="N837">
        <f>Table1[[#This Row],[WorkLifeBalance]]</f>
        <v>1</v>
      </c>
      <c r="O837" t="str" cm="1">
        <f t="array" ref="O837">_xlfn.IFS(A837&lt;=30,"18-30",A837&lt;=40,"31-40",A837&lt;=50,"41-50",A837&gt;50,"51+")</f>
        <v>31-40</v>
      </c>
      <c r="P837" t="str" cm="1">
        <f t="array" ref="P837">_xlfn.IFS(F837&lt;=45,"45 or below",F837&lt;= 60,"46-60",F837&lt;=75,"61-75",F837&lt;=90,"76-90",F837&gt;90,"91 or above")</f>
        <v>91 or above</v>
      </c>
      <c r="Q8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37" t="str" cm="1">
        <f t="array" ref="R837" xml:space="preserve"> _xlfn.IFS(Table3[[#This Row],[Flight Risk Score]] = "NA","NA",Table3[[#This Row],[Flight Risk Score]] &gt;= 70,"High Risk",Table3[[#This Row],[Flight Risk Score]] &gt;= 50, "Medium Risk", Table3[[#This Row],[Flight Risk Score]] &gt;= 30,"Low Risk",Table3[[#This Row],[Flight Risk Score]] &lt; 30,"Very Low Risk")</f>
        <v>Low Risk</v>
      </c>
    </row>
    <row r="838" spans="1:18" hidden="1" x14ac:dyDescent="0.2">
      <c r="A838">
        <f>Table1[[#This Row],[Age]]</f>
        <v>29</v>
      </c>
      <c r="B838">
        <f>IF(Table3[[#This Row],[Attrition]] = "Yes", 1,0)</f>
        <v>1</v>
      </c>
      <c r="C838" t="str">
        <f>Table1[[#This Row],[Attrition]]</f>
        <v>Yes</v>
      </c>
      <c r="D838" t="str">
        <f>Table1[[#This Row],[Department]]</f>
        <v>Sales</v>
      </c>
      <c r="E838">
        <f>Table1[[#This Row],[EnvironmentSatisfaction]]</f>
        <v>4</v>
      </c>
      <c r="F838">
        <f>Table1[[#This Row],[HourlyRate]]</f>
        <v>45</v>
      </c>
      <c r="G838" t="str">
        <f>Table1[[#This Row],[JobRole]]</f>
        <v>Sales Executive</v>
      </c>
      <c r="H838">
        <f>Table1[[#This Row],[JobSatisfaction]]</f>
        <v>1</v>
      </c>
      <c r="I838">
        <f>Table1[[#This Row],[YearsAtCompany]]</f>
        <v>11</v>
      </c>
      <c r="J838">
        <f>Table1[[#This Row],[YearsSinceLastPromotion]]</f>
        <v>3</v>
      </c>
      <c r="K838">
        <f>Table1[[#This Row],[EmployeeNumber]]</f>
        <v>1165</v>
      </c>
      <c r="L838">
        <f>Table1[[#This Row],[DistanceFromHome]]</f>
        <v>23</v>
      </c>
      <c r="M838" t="str">
        <f>Table1[[#This Row],[OverTime]]</f>
        <v>No</v>
      </c>
      <c r="N838">
        <f>Table1[[#This Row],[WorkLifeBalance]]</f>
        <v>1</v>
      </c>
      <c r="O838" t="str" cm="1">
        <f t="array" ref="O838">_xlfn.IFS(A838&lt;=30,"18-30",A838&lt;=40,"31-40",A838&lt;=50,"41-50",A838&gt;50,"51+")</f>
        <v>18-30</v>
      </c>
      <c r="P838" t="str" cm="1">
        <f t="array" ref="P838">_xlfn.IFS(F838&lt;=45,"45 or below",F838&lt;= 60,"46-60",F838&lt;=75,"61-75",F838&lt;=90,"76-90",F838&gt;90,"91 or above")</f>
        <v>45 or below</v>
      </c>
      <c r="Q8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38" t="str" cm="1">
        <f t="array" ref="R838" xml:space="preserve"> _xlfn.IFS(Table3[[#This Row],[Flight Risk Score]] = "NA","NA",Table3[[#This Row],[Flight Risk Score]] &gt;= 70,"High Risk",Table3[[#This Row],[Flight Risk Score]] &gt;= 50, "Medium Risk", Table3[[#This Row],[Flight Risk Score]] &gt;= 30,"Low Risk",Table3[[#This Row],[Flight Risk Score]] &lt; 30,"Very Low Risk")</f>
        <v>NA</v>
      </c>
    </row>
    <row r="839" spans="1:18" x14ac:dyDescent="0.2">
      <c r="A839">
        <f>Table1[[#This Row],[Age]]</f>
        <v>40</v>
      </c>
      <c r="B839">
        <f>IF(Table3[[#This Row],[Attrition]] = "Yes", 1,0)</f>
        <v>0</v>
      </c>
      <c r="C839" t="str">
        <f>Table1[[#This Row],[Attrition]]</f>
        <v>No</v>
      </c>
      <c r="D839" t="str">
        <f>Table1[[#This Row],[Department]]</f>
        <v>Research &amp; Development</v>
      </c>
      <c r="E839">
        <f>Table1[[#This Row],[EnvironmentSatisfaction]]</f>
        <v>2</v>
      </c>
      <c r="F839">
        <f>Table1[[#This Row],[HourlyRate]]</f>
        <v>88</v>
      </c>
      <c r="G839" t="str">
        <f>Table1[[#This Row],[JobRole]]</f>
        <v>Research Director</v>
      </c>
      <c r="H839">
        <f>Table1[[#This Row],[JobSatisfaction]]</f>
        <v>3</v>
      </c>
      <c r="I839">
        <f>Table1[[#This Row],[YearsAtCompany]]</f>
        <v>18</v>
      </c>
      <c r="J839">
        <f>Table1[[#This Row],[YearsSinceLastPromotion]]</f>
        <v>2</v>
      </c>
      <c r="K839">
        <f>Table1[[#This Row],[EmployeeNumber]]</f>
        <v>1166</v>
      </c>
      <c r="L839">
        <f>Table1[[#This Row],[DistanceFromHome]]</f>
        <v>9</v>
      </c>
      <c r="M839" t="str">
        <f>Table1[[#This Row],[OverTime]]</f>
        <v>No</v>
      </c>
      <c r="N839">
        <f>Table1[[#This Row],[WorkLifeBalance]]</f>
        <v>2</v>
      </c>
      <c r="O839" t="str" cm="1">
        <f t="array" ref="O839">_xlfn.IFS(A839&lt;=30,"18-30",A839&lt;=40,"31-40",A839&lt;=50,"41-50",A839&gt;50,"51+")</f>
        <v>31-40</v>
      </c>
      <c r="P839" t="str" cm="1">
        <f t="array" ref="P839">_xlfn.IFS(F839&lt;=45,"45 or below",F839&lt;= 60,"46-60",F839&lt;=75,"61-75",F839&lt;=90,"76-90",F839&gt;90,"91 or above")</f>
        <v>76-90</v>
      </c>
      <c r="Q8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39" t="str" cm="1">
        <f t="array" ref="R8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0" spans="1:18" hidden="1" x14ac:dyDescent="0.2">
      <c r="A840">
        <f>Table1[[#This Row],[Age]]</f>
        <v>42</v>
      </c>
      <c r="B840">
        <f>IF(Table3[[#This Row],[Attrition]] = "Yes", 1,0)</f>
        <v>1</v>
      </c>
      <c r="C840" t="str">
        <f>Table1[[#This Row],[Attrition]]</f>
        <v>Yes</v>
      </c>
      <c r="D840" t="str">
        <f>Table1[[#This Row],[Department]]</f>
        <v>Sales</v>
      </c>
      <c r="E840">
        <f>Table1[[#This Row],[EnvironmentSatisfaction]]</f>
        <v>3</v>
      </c>
      <c r="F840">
        <f>Table1[[#This Row],[HourlyRate]]</f>
        <v>44</v>
      </c>
      <c r="G840" t="str">
        <f>Table1[[#This Row],[JobRole]]</f>
        <v>Sales Executive</v>
      </c>
      <c r="H840">
        <f>Table1[[#This Row],[JobSatisfaction]]</f>
        <v>1</v>
      </c>
      <c r="I840">
        <f>Table1[[#This Row],[YearsAtCompany]]</f>
        <v>21</v>
      </c>
      <c r="J840">
        <f>Table1[[#This Row],[YearsSinceLastPromotion]]</f>
        <v>13</v>
      </c>
      <c r="K840">
        <f>Table1[[#This Row],[EmployeeNumber]]</f>
        <v>1167</v>
      </c>
      <c r="L840">
        <f>Table1[[#This Row],[DistanceFromHome]]</f>
        <v>12</v>
      </c>
      <c r="M840" t="str">
        <f>Table1[[#This Row],[OverTime]]</f>
        <v>Yes</v>
      </c>
      <c r="N840">
        <f>Table1[[#This Row],[WorkLifeBalance]]</f>
        <v>2</v>
      </c>
      <c r="O840" t="str" cm="1">
        <f t="array" ref="O840">_xlfn.IFS(A840&lt;=30,"18-30",A840&lt;=40,"31-40",A840&lt;=50,"41-50",A840&gt;50,"51+")</f>
        <v>41-50</v>
      </c>
      <c r="P840" t="str" cm="1">
        <f t="array" ref="P840">_xlfn.IFS(F840&lt;=45,"45 or below",F840&lt;= 60,"46-60",F840&lt;=75,"61-75",F840&lt;=90,"76-90",F840&gt;90,"91 or above")</f>
        <v>45 or below</v>
      </c>
      <c r="Q84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40" t="str" cm="1">
        <f t="array" ref="R840" xml:space="preserve"> _xlfn.IFS(Table3[[#This Row],[Flight Risk Score]] = "NA","NA",Table3[[#This Row],[Flight Risk Score]] &gt;= 70,"High Risk",Table3[[#This Row],[Flight Risk Score]] &gt;= 50, "Medium Risk", Table3[[#This Row],[Flight Risk Score]] &gt;= 30,"Low Risk",Table3[[#This Row],[Flight Risk Score]] &lt; 30,"Very Low Risk")</f>
        <v>NA</v>
      </c>
    </row>
    <row r="841" spans="1:18" x14ac:dyDescent="0.2">
      <c r="A841">
        <f>Table1[[#This Row],[Age]]</f>
        <v>42</v>
      </c>
      <c r="B841">
        <f>IF(Table3[[#This Row],[Attrition]] = "Yes", 1,0)</f>
        <v>0</v>
      </c>
      <c r="C841" t="str">
        <f>Table1[[#This Row],[Attrition]]</f>
        <v>No</v>
      </c>
      <c r="D841" t="str">
        <f>Table1[[#This Row],[Department]]</f>
        <v>Sales</v>
      </c>
      <c r="E841">
        <f>Table1[[#This Row],[EnvironmentSatisfaction]]</f>
        <v>2</v>
      </c>
      <c r="F841">
        <f>Table1[[#This Row],[HourlyRate]]</f>
        <v>45</v>
      </c>
      <c r="G841" t="str">
        <f>Table1[[#This Row],[JobRole]]</f>
        <v>Sales Executive</v>
      </c>
      <c r="H841">
        <f>Table1[[#This Row],[JobSatisfaction]]</f>
        <v>1</v>
      </c>
      <c r="I841">
        <f>Table1[[#This Row],[YearsAtCompany]]</f>
        <v>6</v>
      </c>
      <c r="J841">
        <f>Table1[[#This Row],[YearsSinceLastPromotion]]</f>
        <v>1</v>
      </c>
      <c r="K841">
        <f>Table1[[#This Row],[EmployeeNumber]]</f>
        <v>1171</v>
      </c>
      <c r="L841">
        <f>Table1[[#This Row],[DistanceFromHome]]</f>
        <v>4</v>
      </c>
      <c r="M841" t="str">
        <f>Table1[[#This Row],[OverTime]]</f>
        <v>No</v>
      </c>
      <c r="N841">
        <f>Table1[[#This Row],[WorkLifeBalance]]</f>
        <v>4</v>
      </c>
      <c r="O841" t="str" cm="1">
        <f t="array" ref="O841">_xlfn.IFS(A841&lt;=30,"18-30",A841&lt;=40,"31-40",A841&lt;=50,"41-50",A841&gt;50,"51+")</f>
        <v>41-50</v>
      </c>
      <c r="P841" t="str" cm="1">
        <f t="array" ref="P841">_xlfn.IFS(F841&lt;=45,"45 or below",F841&lt;= 60,"46-60",F841&lt;=75,"61-75",F841&lt;=90,"76-90",F841&gt;90,"91 or above")</f>
        <v>45 or below</v>
      </c>
      <c r="Q8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841" t="str" cm="1">
        <f t="array" ref="R841" xml:space="preserve"> _xlfn.IFS(Table3[[#This Row],[Flight Risk Score]] = "NA","NA",Table3[[#This Row],[Flight Risk Score]] &gt;= 70,"High Risk",Table3[[#This Row],[Flight Risk Score]] &gt;= 50, "Medium Risk", Table3[[#This Row],[Flight Risk Score]] &gt;= 30,"Low Risk",Table3[[#This Row],[Flight Risk Score]] &lt; 30,"Very Low Risk")</f>
        <v>Low Risk</v>
      </c>
    </row>
    <row r="842" spans="1:18" x14ac:dyDescent="0.2">
      <c r="A842">
        <f>Table1[[#This Row],[Age]]</f>
        <v>35</v>
      </c>
      <c r="B842">
        <f>IF(Table3[[#This Row],[Attrition]] = "Yes", 1,0)</f>
        <v>0</v>
      </c>
      <c r="C842" t="str">
        <f>Table1[[#This Row],[Attrition]]</f>
        <v>No</v>
      </c>
      <c r="D842" t="str">
        <f>Table1[[#This Row],[Department]]</f>
        <v>Research &amp; Development</v>
      </c>
      <c r="E842">
        <f>Table1[[#This Row],[EnvironmentSatisfaction]]</f>
        <v>4</v>
      </c>
      <c r="F842">
        <f>Table1[[#This Row],[HourlyRate]]</f>
        <v>58</v>
      </c>
      <c r="G842" t="str">
        <f>Table1[[#This Row],[JobRole]]</f>
        <v>Laboratory Technician</v>
      </c>
      <c r="H842">
        <f>Table1[[#This Row],[JobSatisfaction]]</f>
        <v>3</v>
      </c>
      <c r="I842">
        <f>Table1[[#This Row],[YearsAtCompany]]</f>
        <v>8</v>
      </c>
      <c r="J842">
        <f>Table1[[#This Row],[YearsSinceLastPromotion]]</f>
        <v>1</v>
      </c>
      <c r="K842">
        <f>Table1[[#This Row],[EmployeeNumber]]</f>
        <v>1172</v>
      </c>
      <c r="L842">
        <f>Table1[[#This Row],[DistanceFromHome]]</f>
        <v>1</v>
      </c>
      <c r="M842" t="str">
        <f>Table1[[#This Row],[OverTime]]</f>
        <v>No</v>
      </c>
      <c r="N842">
        <f>Table1[[#This Row],[WorkLifeBalance]]</f>
        <v>3</v>
      </c>
      <c r="O842" t="str" cm="1">
        <f t="array" ref="O842">_xlfn.IFS(A842&lt;=30,"18-30",A842&lt;=40,"31-40",A842&lt;=50,"41-50",A842&gt;50,"51+")</f>
        <v>31-40</v>
      </c>
      <c r="P842" t="str" cm="1">
        <f t="array" ref="P842">_xlfn.IFS(F842&lt;=45,"45 or below",F842&lt;= 60,"46-60",F842&lt;=75,"61-75",F842&lt;=90,"76-90",F842&gt;90,"91 or above")</f>
        <v>46-60</v>
      </c>
      <c r="Q8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42" t="str" cm="1">
        <f t="array" ref="R8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3" spans="1:18" x14ac:dyDescent="0.2">
      <c r="A843">
        <f>Table1[[#This Row],[Age]]</f>
        <v>24</v>
      </c>
      <c r="B843">
        <f>IF(Table3[[#This Row],[Attrition]] = "Yes", 1,0)</f>
        <v>0</v>
      </c>
      <c r="C843" t="str">
        <f>Table1[[#This Row],[Attrition]]</f>
        <v>No</v>
      </c>
      <c r="D843" t="str">
        <f>Table1[[#This Row],[Department]]</f>
        <v>Research &amp; Development</v>
      </c>
      <c r="E843">
        <f>Table1[[#This Row],[EnvironmentSatisfaction]]</f>
        <v>4</v>
      </c>
      <c r="F843">
        <f>Table1[[#This Row],[HourlyRate]]</f>
        <v>49</v>
      </c>
      <c r="G843" t="str">
        <f>Table1[[#This Row],[JobRole]]</f>
        <v>Laboratory Technician</v>
      </c>
      <c r="H843">
        <f>Table1[[#This Row],[JobSatisfaction]]</f>
        <v>2</v>
      </c>
      <c r="I843">
        <f>Table1[[#This Row],[YearsAtCompany]]</f>
        <v>4</v>
      </c>
      <c r="J843">
        <f>Table1[[#This Row],[YearsSinceLastPromotion]]</f>
        <v>1</v>
      </c>
      <c r="K843">
        <f>Table1[[#This Row],[EmployeeNumber]]</f>
        <v>1173</v>
      </c>
      <c r="L843">
        <f>Table1[[#This Row],[DistanceFromHome]]</f>
        <v>24</v>
      </c>
      <c r="M843" t="str">
        <f>Table1[[#This Row],[OverTime]]</f>
        <v>No</v>
      </c>
      <c r="N843">
        <f>Table1[[#This Row],[WorkLifeBalance]]</f>
        <v>3</v>
      </c>
      <c r="O843" t="str" cm="1">
        <f t="array" ref="O843">_xlfn.IFS(A843&lt;=30,"18-30",A843&lt;=40,"31-40",A843&lt;=50,"41-50",A843&gt;50,"51+")</f>
        <v>18-30</v>
      </c>
      <c r="P843" t="str" cm="1">
        <f t="array" ref="P843">_xlfn.IFS(F843&lt;=45,"45 or below",F843&lt;= 60,"46-60",F843&lt;=75,"61-75",F843&lt;=90,"76-90",F843&gt;90,"91 or above")</f>
        <v>46-60</v>
      </c>
      <c r="Q8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43" t="str" cm="1">
        <f t="array" ref="R8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4" spans="1:18" hidden="1" x14ac:dyDescent="0.2">
      <c r="A844">
        <f>Table1[[#This Row],[Age]]</f>
        <v>28</v>
      </c>
      <c r="B844">
        <f>IF(Table3[[#This Row],[Attrition]] = "Yes", 1,0)</f>
        <v>1</v>
      </c>
      <c r="C844" t="str">
        <f>Table1[[#This Row],[Attrition]]</f>
        <v>Yes</v>
      </c>
      <c r="D844" t="str">
        <f>Table1[[#This Row],[Department]]</f>
        <v>Research &amp; Development</v>
      </c>
      <c r="E844">
        <f>Table1[[#This Row],[EnvironmentSatisfaction]]</f>
        <v>3</v>
      </c>
      <c r="F844">
        <f>Table1[[#This Row],[HourlyRate]]</f>
        <v>79</v>
      </c>
      <c r="G844" t="str">
        <f>Table1[[#This Row],[JobRole]]</f>
        <v>Laboratory Technician</v>
      </c>
      <c r="H844">
        <f>Table1[[#This Row],[JobSatisfaction]]</f>
        <v>4</v>
      </c>
      <c r="I844">
        <f>Table1[[#This Row],[YearsAtCompany]]</f>
        <v>1</v>
      </c>
      <c r="J844">
        <f>Table1[[#This Row],[YearsSinceLastPromotion]]</f>
        <v>0</v>
      </c>
      <c r="K844">
        <f>Table1[[#This Row],[EmployeeNumber]]</f>
        <v>1175</v>
      </c>
      <c r="L844">
        <f>Table1[[#This Row],[DistanceFromHome]]</f>
        <v>12</v>
      </c>
      <c r="M844" t="str">
        <f>Table1[[#This Row],[OverTime]]</f>
        <v>Yes</v>
      </c>
      <c r="N844">
        <f>Table1[[#This Row],[WorkLifeBalance]]</f>
        <v>2</v>
      </c>
      <c r="O844" t="str" cm="1">
        <f t="array" ref="O844">_xlfn.IFS(A844&lt;=30,"18-30",A844&lt;=40,"31-40",A844&lt;=50,"41-50",A844&gt;50,"51+")</f>
        <v>18-30</v>
      </c>
      <c r="P844" t="str" cm="1">
        <f t="array" ref="P844">_xlfn.IFS(F844&lt;=45,"45 or below",F844&lt;= 60,"46-60",F844&lt;=75,"61-75",F844&lt;=90,"76-90",F844&gt;90,"91 or above")</f>
        <v>76-90</v>
      </c>
      <c r="Q84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44" t="str" cm="1">
        <f t="array" ref="R844" xml:space="preserve"> _xlfn.IFS(Table3[[#This Row],[Flight Risk Score]] = "NA","NA",Table3[[#This Row],[Flight Risk Score]] &gt;= 70,"High Risk",Table3[[#This Row],[Flight Risk Score]] &gt;= 50, "Medium Risk", Table3[[#This Row],[Flight Risk Score]] &gt;= 30,"Low Risk",Table3[[#This Row],[Flight Risk Score]] &lt; 30,"Very Low Risk")</f>
        <v>NA</v>
      </c>
    </row>
    <row r="845" spans="1:18" x14ac:dyDescent="0.2">
      <c r="A845">
        <f>Table1[[#This Row],[Age]]</f>
        <v>26</v>
      </c>
      <c r="B845">
        <f>IF(Table3[[#This Row],[Attrition]] = "Yes", 1,0)</f>
        <v>0</v>
      </c>
      <c r="C845" t="str">
        <f>Table1[[#This Row],[Attrition]]</f>
        <v>No</v>
      </c>
      <c r="D845" t="str">
        <f>Table1[[#This Row],[Department]]</f>
        <v>Research &amp; Development</v>
      </c>
      <c r="E845">
        <f>Table1[[#This Row],[EnvironmentSatisfaction]]</f>
        <v>1</v>
      </c>
      <c r="F845">
        <f>Table1[[#This Row],[HourlyRate]]</f>
        <v>82</v>
      </c>
      <c r="G845" t="str">
        <f>Table1[[#This Row],[JobRole]]</f>
        <v>Laboratory Technician</v>
      </c>
      <c r="H845">
        <f>Table1[[#This Row],[JobSatisfaction]]</f>
        <v>4</v>
      </c>
      <c r="I845">
        <f>Table1[[#This Row],[YearsAtCompany]]</f>
        <v>8</v>
      </c>
      <c r="J845">
        <f>Table1[[#This Row],[YearsSinceLastPromotion]]</f>
        <v>0</v>
      </c>
      <c r="K845">
        <f>Table1[[#This Row],[EmployeeNumber]]</f>
        <v>1177</v>
      </c>
      <c r="L845">
        <f>Table1[[#This Row],[DistanceFromHome]]</f>
        <v>3</v>
      </c>
      <c r="M845" t="str">
        <f>Table1[[#This Row],[OverTime]]</f>
        <v>No</v>
      </c>
      <c r="N845">
        <f>Table1[[#This Row],[WorkLifeBalance]]</f>
        <v>3</v>
      </c>
      <c r="O845" t="str" cm="1">
        <f t="array" ref="O845">_xlfn.IFS(A845&lt;=30,"18-30",A845&lt;=40,"31-40",A845&lt;=50,"41-50",A845&gt;50,"51+")</f>
        <v>18-30</v>
      </c>
      <c r="P845" t="str" cm="1">
        <f t="array" ref="P845">_xlfn.IFS(F845&lt;=45,"45 or below",F845&lt;= 60,"46-60",F845&lt;=75,"61-75",F845&lt;=90,"76-90",F845&gt;90,"91 or above")</f>
        <v>76-90</v>
      </c>
      <c r="Q8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45" t="str" cm="1">
        <f t="array" ref="R8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6" spans="1:18" x14ac:dyDescent="0.2">
      <c r="A846">
        <f>Table1[[#This Row],[Age]]</f>
        <v>30</v>
      </c>
      <c r="B846">
        <f>IF(Table3[[#This Row],[Attrition]] = "Yes", 1,0)</f>
        <v>0</v>
      </c>
      <c r="C846" t="str">
        <f>Table1[[#This Row],[Attrition]]</f>
        <v>No</v>
      </c>
      <c r="D846" t="str">
        <f>Table1[[#This Row],[Department]]</f>
        <v>Sales</v>
      </c>
      <c r="E846">
        <f>Table1[[#This Row],[EnvironmentSatisfaction]]</f>
        <v>3</v>
      </c>
      <c r="F846">
        <f>Table1[[#This Row],[HourlyRate]]</f>
        <v>72</v>
      </c>
      <c r="G846" t="str">
        <f>Table1[[#This Row],[JobRole]]</f>
        <v>Sales Executive</v>
      </c>
      <c r="H846">
        <f>Table1[[#This Row],[JobSatisfaction]]</f>
        <v>3</v>
      </c>
      <c r="I846">
        <f>Table1[[#This Row],[YearsAtCompany]]</f>
        <v>10</v>
      </c>
      <c r="J846">
        <f>Table1[[#This Row],[YearsSinceLastPromotion]]</f>
        <v>1</v>
      </c>
      <c r="K846">
        <f>Table1[[#This Row],[EmployeeNumber]]</f>
        <v>1179</v>
      </c>
      <c r="L846">
        <f>Table1[[#This Row],[DistanceFromHome]]</f>
        <v>10</v>
      </c>
      <c r="M846" t="str">
        <f>Table1[[#This Row],[OverTime]]</f>
        <v>No</v>
      </c>
      <c r="N846">
        <f>Table1[[#This Row],[WorkLifeBalance]]</f>
        <v>3</v>
      </c>
      <c r="O846" t="str" cm="1">
        <f t="array" ref="O846">_xlfn.IFS(A846&lt;=30,"18-30",A846&lt;=40,"31-40",A846&lt;=50,"41-50",A846&gt;50,"51+")</f>
        <v>18-30</v>
      </c>
      <c r="P846" t="str" cm="1">
        <f t="array" ref="P846">_xlfn.IFS(F846&lt;=45,"45 or below",F846&lt;= 60,"46-60",F846&lt;=75,"61-75",F846&lt;=90,"76-90",F846&gt;90,"91 or above")</f>
        <v>61-75</v>
      </c>
      <c r="Q8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46" t="str" cm="1">
        <f t="array" ref="R8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7" spans="1:18" x14ac:dyDescent="0.2">
      <c r="A847">
        <f>Table1[[#This Row],[Age]]</f>
        <v>40</v>
      </c>
      <c r="B847">
        <f>IF(Table3[[#This Row],[Attrition]] = "Yes", 1,0)</f>
        <v>0</v>
      </c>
      <c r="C847" t="str">
        <f>Table1[[#This Row],[Attrition]]</f>
        <v>No</v>
      </c>
      <c r="D847" t="str">
        <f>Table1[[#This Row],[Department]]</f>
        <v>Research &amp; Development</v>
      </c>
      <c r="E847">
        <f>Table1[[#This Row],[EnvironmentSatisfaction]]</f>
        <v>3</v>
      </c>
      <c r="F847">
        <f>Table1[[#This Row],[HourlyRate]]</f>
        <v>92</v>
      </c>
      <c r="G847" t="str">
        <f>Table1[[#This Row],[JobRole]]</f>
        <v>Research Scientist</v>
      </c>
      <c r="H847">
        <f>Table1[[#This Row],[JobSatisfaction]]</f>
        <v>4</v>
      </c>
      <c r="I847">
        <f>Table1[[#This Row],[YearsAtCompany]]</f>
        <v>1</v>
      </c>
      <c r="J847">
        <f>Table1[[#This Row],[YearsSinceLastPromotion]]</f>
        <v>0</v>
      </c>
      <c r="K847">
        <f>Table1[[#This Row],[EmployeeNumber]]</f>
        <v>1180</v>
      </c>
      <c r="L847">
        <f>Table1[[#This Row],[DistanceFromHome]]</f>
        <v>26</v>
      </c>
      <c r="M847" t="str">
        <f>Table1[[#This Row],[OverTime]]</f>
        <v>Yes</v>
      </c>
      <c r="N847">
        <f>Table1[[#This Row],[WorkLifeBalance]]</f>
        <v>1</v>
      </c>
      <c r="O847" t="str" cm="1">
        <f t="array" ref="O847">_xlfn.IFS(A847&lt;=30,"18-30",A847&lt;=40,"31-40",A847&lt;=50,"41-50",A847&gt;50,"51+")</f>
        <v>31-40</v>
      </c>
      <c r="P847" t="str" cm="1">
        <f t="array" ref="P847">_xlfn.IFS(F847&lt;=45,"45 or below",F847&lt;= 60,"46-60",F847&lt;=75,"61-75",F847&lt;=90,"76-90",F847&gt;90,"91 or above")</f>
        <v>91 or above</v>
      </c>
      <c r="Q8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847" t="str" cm="1">
        <f t="array" ref="R847" xml:space="preserve"> _xlfn.IFS(Table3[[#This Row],[Flight Risk Score]] = "NA","NA",Table3[[#This Row],[Flight Risk Score]] &gt;= 70,"High Risk",Table3[[#This Row],[Flight Risk Score]] &gt;= 50, "Medium Risk", Table3[[#This Row],[Flight Risk Score]] &gt;= 30,"Low Risk",Table3[[#This Row],[Flight Risk Score]] &lt; 30,"Very Low Risk")</f>
        <v>High Risk</v>
      </c>
    </row>
    <row r="848" spans="1:18" x14ac:dyDescent="0.2">
      <c r="A848">
        <f>Table1[[#This Row],[Age]]</f>
        <v>35</v>
      </c>
      <c r="B848">
        <f>IF(Table3[[#This Row],[Attrition]] = "Yes", 1,0)</f>
        <v>0</v>
      </c>
      <c r="C848" t="str">
        <f>Table1[[#This Row],[Attrition]]</f>
        <v>No</v>
      </c>
      <c r="D848" t="str">
        <f>Table1[[#This Row],[Department]]</f>
        <v>Research &amp; Development</v>
      </c>
      <c r="E848">
        <f>Table1[[#This Row],[EnvironmentSatisfaction]]</f>
        <v>3</v>
      </c>
      <c r="F848">
        <f>Table1[[#This Row],[HourlyRate]]</f>
        <v>44</v>
      </c>
      <c r="G848" t="str">
        <f>Table1[[#This Row],[JobRole]]</f>
        <v>Manufacturing Director</v>
      </c>
      <c r="H848">
        <f>Table1[[#This Row],[JobSatisfaction]]</f>
        <v>2</v>
      </c>
      <c r="I848">
        <f>Table1[[#This Row],[YearsAtCompany]]</f>
        <v>7</v>
      </c>
      <c r="J848">
        <f>Table1[[#This Row],[YearsSinceLastPromotion]]</f>
        <v>6</v>
      </c>
      <c r="K848">
        <f>Table1[[#This Row],[EmployeeNumber]]</f>
        <v>1182</v>
      </c>
      <c r="L848">
        <f>Table1[[#This Row],[DistanceFromHome]]</f>
        <v>2</v>
      </c>
      <c r="M848" t="str">
        <f>Table1[[#This Row],[OverTime]]</f>
        <v>No</v>
      </c>
      <c r="N848">
        <f>Table1[[#This Row],[WorkLifeBalance]]</f>
        <v>4</v>
      </c>
      <c r="O848" t="str" cm="1">
        <f t="array" ref="O848">_xlfn.IFS(A848&lt;=30,"18-30",A848&lt;=40,"31-40",A848&lt;=50,"41-50",A848&gt;50,"51+")</f>
        <v>31-40</v>
      </c>
      <c r="P848" t="str" cm="1">
        <f t="array" ref="P848">_xlfn.IFS(F848&lt;=45,"45 or below",F848&lt;= 60,"46-60",F848&lt;=75,"61-75",F848&lt;=90,"76-90",F848&gt;90,"91 or above")</f>
        <v>45 or below</v>
      </c>
      <c r="Q8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48" t="str" cm="1">
        <f t="array" ref="R8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49" spans="1:18" x14ac:dyDescent="0.2">
      <c r="A849">
        <f>Table1[[#This Row],[Age]]</f>
        <v>34</v>
      </c>
      <c r="B849">
        <f>IF(Table3[[#This Row],[Attrition]] = "Yes", 1,0)</f>
        <v>0</v>
      </c>
      <c r="C849" t="str">
        <f>Table1[[#This Row],[Attrition]]</f>
        <v>No</v>
      </c>
      <c r="D849" t="str">
        <f>Table1[[#This Row],[Department]]</f>
        <v>Research &amp; Development</v>
      </c>
      <c r="E849">
        <f>Table1[[#This Row],[EnvironmentSatisfaction]]</f>
        <v>4</v>
      </c>
      <c r="F849">
        <f>Table1[[#This Row],[HourlyRate]]</f>
        <v>97</v>
      </c>
      <c r="G849" t="str">
        <f>Table1[[#This Row],[JobRole]]</f>
        <v>Healthcare Representative</v>
      </c>
      <c r="H849">
        <f>Table1[[#This Row],[JobSatisfaction]]</f>
        <v>1</v>
      </c>
      <c r="I849">
        <f>Table1[[#This Row],[YearsAtCompany]]</f>
        <v>13</v>
      </c>
      <c r="J849">
        <f>Table1[[#This Row],[YearsSinceLastPromotion]]</f>
        <v>4</v>
      </c>
      <c r="K849">
        <f>Table1[[#This Row],[EmployeeNumber]]</f>
        <v>1184</v>
      </c>
      <c r="L849">
        <f>Table1[[#This Row],[DistanceFromHome]]</f>
        <v>1</v>
      </c>
      <c r="M849" t="str">
        <f>Table1[[#This Row],[OverTime]]</f>
        <v>No</v>
      </c>
      <c r="N849">
        <f>Table1[[#This Row],[WorkLifeBalance]]</f>
        <v>3</v>
      </c>
      <c r="O849" t="str" cm="1">
        <f t="array" ref="O849">_xlfn.IFS(A849&lt;=30,"18-30",A849&lt;=40,"31-40",A849&lt;=50,"41-50",A849&gt;50,"51+")</f>
        <v>31-40</v>
      </c>
      <c r="P849" t="str" cm="1">
        <f t="array" ref="P849">_xlfn.IFS(F849&lt;=45,"45 or below",F849&lt;= 60,"46-60",F849&lt;=75,"61-75",F849&lt;=90,"76-90",F849&gt;90,"91 or above")</f>
        <v>91 or above</v>
      </c>
      <c r="Q8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49" t="str" cm="1">
        <f t="array" ref="R8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0" spans="1:18" x14ac:dyDescent="0.2">
      <c r="A850">
        <f>Table1[[#This Row],[Age]]</f>
        <v>35</v>
      </c>
      <c r="B850">
        <f>IF(Table3[[#This Row],[Attrition]] = "Yes", 1,0)</f>
        <v>0</v>
      </c>
      <c r="C850" t="str">
        <f>Table1[[#This Row],[Attrition]]</f>
        <v>No</v>
      </c>
      <c r="D850" t="str">
        <f>Table1[[#This Row],[Department]]</f>
        <v>Research &amp; Development</v>
      </c>
      <c r="E850">
        <f>Table1[[#This Row],[EnvironmentSatisfaction]]</f>
        <v>4</v>
      </c>
      <c r="F850">
        <f>Table1[[#This Row],[HourlyRate]]</f>
        <v>47</v>
      </c>
      <c r="G850" t="str">
        <f>Table1[[#This Row],[JobRole]]</f>
        <v>Laboratory Technician</v>
      </c>
      <c r="H850">
        <f>Table1[[#This Row],[JobSatisfaction]]</f>
        <v>4</v>
      </c>
      <c r="I850">
        <f>Table1[[#This Row],[YearsAtCompany]]</f>
        <v>2</v>
      </c>
      <c r="J850">
        <f>Table1[[#This Row],[YearsSinceLastPromotion]]</f>
        <v>2</v>
      </c>
      <c r="K850">
        <f>Table1[[#This Row],[EmployeeNumber]]</f>
        <v>1185</v>
      </c>
      <c r="L850">
        <f>Table1[[#This Row],[DistanceFromHome]]</f>
        <v>4</v>
      </c>
      <c r="M850" t="str">
        <f>Table1[[#This Row],[OverTime]]</f>
        <v>No</v>
      </c>
      <c r="N850">
        <f>Table1[[#This Row],[WorkLifeBalance]]</f>
        <v>4</v>
      </c>
      <c r="O850" t="str" cm="1">
        <f t="array" ref="O850">_xlfn.IFS(A850&lt;=30,"18-30",A850&lt;=40,"31-40",A850&lt;=50,"41-50",A850&gt;50,"51+")</f>
        <v>31-40</v>
      </c>
      <c r="P850" t="str" cm="1">
        <f t="array" ref="P850">_xlfn.IFS(F850&lt;=45,"45 or below",F850&lt;= 60,"46-60",F850&lt;=75,"61-75",F850&lt;=90,"76-90",F850&gt;90,"91 or above")</f>
        <v>46-60</v>
      </c>
      <c r="Q8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50" t="str" cm="1">
        <f t="array" ref="R8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1" spans="1:18" hidden="1" x14ac:dyDescent="0.2">
      <c r="A851">
        <f>Table1[[#This Row],[Age]]</f>
        <v>43</v>
      </c>
      <c r="B851">
        <f>IF(Table3[[#This Row],[Attrition]] = "Yes", 1,0)</f>
        <v>1</v>
      </c>
      <c r="C851" t="str">
        <f>Table1[[#This Row],[Attrition]]</f>
        <v>Yes</v>
      </c>
      <c r="D851" t="str">
        <f>Table1[[#This Row],[Department]]</f>
        <v>Sales</v>
      </c>
      <c r="E851">
        <f>Table1[[#This Row],[EnvironmentSatisfaction]]</f>
        <v>1</v>
      </c>
      <c r="F851">
        <f>Table1[[#This Row],[HourlyRate]]</f>
        <v>85</v>
      </c>
      <c r="G851" t="str">
        <f>Table1[[#This Row],[JobRole]]</f>
        <v>Sales Executive</v>
      </c>
      <c r="H851">
        <f>Table1[[#This Row],[JobSatisfaction]]</f>
        <v>3</v>
      </c>
      <c r="I851">
        <f>Table1[[#This Row],[YearsAtCompany]]</f>
        <v>4</v>
      </c>
      <c r="J851">
        <f>Table1[[#This Row],[YearsSinceLastPromotion]]</f>
        <v>1</v>
      </c>
      <c r="K851">
        <f>Table1[[#This Row],[EmployeeNumber]]</f>
        <v>1188</v>
      </c>
      <c r="L851">
        <f>Table1[[#This Row],[DistanceFromHome]]</f>
        <v>9</v>
      </c>
      <c r="M851" t="str">
        <f>Table1[[#This Row],[OverTime]]</f>
        <v>No</v>
      </c>
      <c r="N851">
        <f>Table1[[#This Row],[WorkLifeBalance]]</f>
        <v>2</v>
      </c>
      <c r="O851" t="str" cm="1">
        <f t="array" ref="O851">_xlfn.IFS(A851&lt;=30,"18-30",A851&lt;=40,"31-40",A851&lt;=50,"41-50",A851&gt;50,"51+")</f>
        <v>41-50</v>
      </c>
      <c r="P851" t="str" cm="1">
        <f t="array" ref="P851">_xlfn.IFS(F851&lt;=45,"45 or below",F851&lt;= 60,"46-60",F851&lt;=75,"61-75",F851&lt;=90,"76-90",F851&gt;90,"91 or above")</f>
        <v>76-90</v>
      </c>
      <c r="Q85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51" t="str" cm="1">
        <f t="array" ref="R851" xml:space="preserve"> _xlfn.IFS(Table3[[#This Row],[Flight Risk Score]] = "NA","NA",Table3[[#This Row],[Flight Risk Score]] &gt;= 70,"High Risk",Table3[[#This Row],[Flight Risk Score]] &gt;= 50, "Medium Risk", Table3[[#This Row],[Flight Risk Score]] &gt;= 30,"Low Risk",Table3[[#This Row],[Flight Risk Score]] &lt; 30,"Very Low Risk")</f>
        <v>NA</v>
      </c>
    </row>
    <row r="852" spans="1:18" x14ac:dyDescent="0.2">
      <c r="A852">
        <f>Table1[[#This Row],[Age]]</f>
        <v>32</v>
      </c>
      <c r="B852">
        <f>IF(Table3[[#This Row],[Attrition]] = "Yes", 1,0)</f>
        <v>0</v>
      </c>
      <c r="C852" t="str">
        <f>Table1[[#This Row],[Attrition]]</f>
        <v>No</v>
      </c>
      <c r="D852" t="str">
        <f>Table1[[#This Row],[Department]]</f>
        <v>Sales</v>
      </c>
      <c r="E852">
        <f>Table1[[#This Row],[EnvironmentSatisfaction]]</f>
        <v>3</v>
      </c>
      <c r="F852">
        <f>Table1[[#This Row],[HourlyRate]]</f>
        <v>76</v>
      </c>
      <c r="G852" t="str">
        <f>Table1[[#This Row],[JobRole]]</f>
        <v>Sales Representative</v>
      </c>
      <c r="H852">
        <f>Table1[[#This Row],[JobSatisfaction]]</f>
        <v>1</v>
      </c>
      <c r="I852">
        <f>Table1[[#This Row],[YearsAtCompany]]</f>
        <v>1</v>
      </c>
      <c r="J852">
        <f>Table1[[#This Row],[YearsSinceLastPromotion]]</f>
        <v>0</v>
      </c>
      <c r="K852">
        <f>Table1[[#This Row],[EmployeeNumber]]</f>
        <v>1190</v>
      </c>
      <c r="L852">
        <f>Table1[[#This Row],[DistanceFromHome]]</f>
        <v>2</v>
      </c>
      <c r="M852" t="str">
        <f>Table1[[#This Row],[OverTime]]</f>
        <v>No</v>
      </c>
      <c r="N852">
        <f>Table1[[#This Row],[WorkLifeBalance]]</f>
        <v>3</v>
      </c>
      <c r="O852" t="str" cm="1">
        <f t="array" ref="O852">_xlfn.IFS(A852&lt;=30,"18-30",A852&lt;=40,"31-40",A852&lt;=50,"41-50",A852&gt;50,"51+")</f>
        <v>31-40</v>
      </c>
      <c r="P852" t="str" cm="1">
        <f t="array" ref="P852">_xlfn.IFS(F852&lt;=45,"45 or below",F852&lt;= 60,"46-60",F852&lt;=75,"61-75",F852&lt;=90,"76-90",F852&gt;90,"91 or above")</f>
        <v>76-90</v>
      </c>
      <c r="Q8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52" t="str" cm="1">
        <f t="array" ref="R85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3" spans="1:18" x14ac:dyDescent="0.2">
      <c r="A853">
        <f>Table1[[#This Row],[Age]]</f>
        <v>56</v>
      </c>
      <c r="B853">
        <f>IF(Table3[[#This Row],[Attrition]] = "Yes", 1,0)</f>
        <v>0</v>
      </c>
      <c r="C853" t="str">
        <f>Table1[[#This Row],[Attrition]]</f>
        <v>No</v>
      </c>
      <c r="D853" t="str">
        <f>Table1[[#This Row],[Department]]</f>
        <v>Research &amp; Development</v>
      </c>
      <c r="E853">
        <f>Table1[[#This Row],[EnvironmentSatisfaction]]</f>
        <v>4</v>
      </c>
      <c r="F853">
        <f>Table1[[#This Row],[HourlyRate]]</f>
        <v>92</v>
      </c>
      <c r="G853" t="str">
        <f>Table1[[#This Row],[JobRole]]</f>
        <v>Manager</v>
      </c>
      <c r="H853">
        <f>Table1[[#This Row],[JobSatisfaction]]</f>
        <v>1</v>
      </c>
      <c r="I853">
        <f>Table1[[#This Row],[YearsAtCompany]]</f>
        <v>5</v>
      </c>
      <c r="J853">
        <f>Table1[[#This Row],[YearsSinceLastPromotion]]</f>
        <v>4</v>
      </c>
      <c r="K853">
        <f>Table1[[#This Row],[EmployeeNumber]]</f>
        <v>1191</v>
      </c>
      <c r="L853">
        <f>Table1[[#This Row],[DistanceFromHome]]</f>
        <v>4</v>
      </c>
      <c r="M853" t="str">
        <f>Table1[[#This Row],[OverTime]]</f>
        <v>No</v>
      </c>
      <c r="N853">
        <f>Table1[[#This Row],[WorkLifeBalance]]</f>
        <v>3</v>
      </c>
      <c r="O853" t="str" cm="1">
        <f t="array" ref="O853">_xlfn.IFS(A853&lt;=30,"18-30",A853&lt;=40,"31-40",A853&lt;=50,"41-50",A853&gt;50,"51+")</f>
        <v>51+</v>
      </c>
      <c r="P853" t="str" cm="1">
        <f t="array" ref="P853">_xlfn.IFS(F853&lt;=45,"45 or below",F853&lt;= 60,"46-60",F853&lt;=75,"61-75",F853&lt;=90,"76-90",F853&gt;90,"91 or above")</f>
        <v>91 or above</v>
      </c>
      <c r="Q8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53" t="str" cm="1">
        <f t="array" ref="R8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4" spans="1:18" x14ac:dyDescent="0.2">
      <c r="A854">
        <f>Table1[[#This Row],[Age]]</f>
        <v>29</v>
      </c>
      <c r="B854">
        <f>IF(Table3[[#This Row],[Attrition]] = "Yes", 1,0)</f>
        <v>0</v>
      </c>
      <c r="C854" t="str">
        <f>Table1[[#This Row],[Attrition]]</f>
        <v>No</v>
      </c>
      <c r="D854" t="str">
        <f>Table1[[#This Row],[Department]]</f>
        <v>Research &amp; Development</v>
      </c>
      <c r="E854">
        <f>Table1[[#This Row],[EnvironmentSatisfaction]]</f>
        <v>2</v>
      </c>
      <c r="F854">
        <f>Table1[[#This Row],[HourlyRate]]</f>
        <v>54</v>
      </c>
      <c r="G854" t="str">
        <f>Table1[[#This Row],[JobRole]]</f>
        <v>Laboratory Technician</v>
      </c>
      <c r="H854">
        <f>Table1[[#This Row],[JobSatisfaction]]</f>
        <v>4</v>
      </c>
      <c r="I854">
        <f>Table1[[#This Row],[YearsAtCompany]]</f>
        <v>10</v>
      </c>
      <c r="J854">
        <f>Table1[[#This Row],[YearsSinceLastPromotion]]</f>
        <v>0</v>
      </c>
      <c r="K854">
        <f>Table1[[#This Row],[EmployeeNumber]]</f>
        <v>1192</v>
      </c>
      <c r="L854">
        <f>Table1[[#This Row],[DistanceFromHome]]</f>
        <v>6</v>
      </c>
      <c r="M854" t="str">
        <f>Table1[[#This Row],[OverTime]]</f>
        <v>No</v>
      </c>
      <c r="N854">
        <f>Table1[[#This Row],[WorkLifeBalance]]</f>
        <v>3</v>
      </c>
      <c r="O854" t="str" cm="1">
        <f t="array" ref="O854">_xlfn.IFS(A854&lt;=30,"18-30",A854&lt;=40,"31-40",A854&lt;=50,"41-50",A854&gt;50,"51+")</f>
        <v>18-30</v>
      </c>
      <c r="P854" t="str" cm="1">
        <f t="array" ref="P854">_xlfn.IFS(F854&lt;=45,"45 or below",F854&lt;= 60,"46-60",F854&lt;=75,"61-75",F854&lt;=90,"76-90",F854&gt;90,"91 or above")</f>
        <v>46-60</v>
      </c>
      <c r="Q8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54" t="str" cm="1">
        <f t="array" ref="R85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5" spans="1:18" x14ac:dyDescent="0.2">
      <c r="A855">
        <f>Table1[[#This Row],[Age]]</f>
        <v>19</v>
      </c>
      <c r="B855">
        <f>IF(Table3[[#This Row],[Attrition]] = "Yes", 1,0)</f>
        <v>0</v>
      </c>
      <c r="C855" t="str">
        <f>Table1[[#This Row],[Attrition]]</f>
        <v>No</v>
      </c>
      <c r="D855" t="str">
        <f>Table1[[#This Row],[Department]]</f>
        <v>Research &amp; Development</v>
      </c>
      <c r="E855">
        <f>Table1[[#This Row],[EnvironmentSatisfaction]]</f>
        <v>3</v>
      </c>
      <c r="F855">
        <f>Table1[[#This Row],[HourlyRate]]</f>
        <v>54</v>
      </c>
      <c r="G855" t="str">
        <f>Table1[[#This Row],[JobRole]]</f>
        <v>Research Scientist</v>
      </c>
      <c r="H855">
        <f>Table1[[#This Row],[JobSatisfaction]]</f>
        <v>1</v>
      </c>
      <c r="I855">
        <f>Table1[[#This Row],[YearsAtCompany]]</f>
        <v>1</v>
      </c>
      <c r="J855">
        <f>Table1[[#This Row],[YearsSinceLastPromotion]]</f>
        <v>0</v>
      </c>
      <c r="K855">
        <f>Table1[[#This Row],[EmployeeNumber]]</f>
        <v>1193</v>
      </c>
      <c r="L855">
        <f>Table1[[#This Row],[DistanceFromHome]]</f>
        <v>9</v>
      </c>
      <c r="M855" t="str">
        <f>Table1[[#This Row],[OverTime]]</f>
        <v>No</v>
      </c>
      <c r="N855">
        <f>Table1[[#This Row],[WorkLifeBalance]]</f>
        <v>3</v>
      </c>
      <c r="O855" t="str" cm="1">
        <f t="array" ref="O855">_xlfn.IFS(A855&lt;=30,"18-30",A855&lt;=40,"31-40",A855&lt;=50,"41-50",A855&gt;50,"51+")</f>
        <v>18-30</v>
      </c>
      <c r="P855" t="str" cm="1">
        <f t="array" ref="P855">_xlfn.IFS(F855&lt;=45,"45 or below",F855&lt;= 60,"46-60",F855&lt;=75,"61-75",F855&lt;=90,"76-90",F855&gt;90,"91 or above")</f>
        <v>46-60</v>
      </c>
      <c r="Q8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55" t="str" cm="1">
        <f t="array" ref="R85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6" spans="1:18" x14ac:dyDescent="0.2">
      <c r="A856">
        <f>Table1[[#This Row],[Age]]</f>
        <v>45</v>
      </c>
      <c r="B856">
        <f>IF(Table3[[#This Row],[Attrition]] = "Yes", 1,0)</f>
        <v>0</v>
      </c>
      <c r="C856" t="str">
        <f>Table1[[#This Row],[Attrition]]</f>
        <v>No</v>
      </c>
      <c r="D856" t="str">
        <f>Table1[[#This Row],[Department]]</f>
        <v>Research &amp; Development</v>
      </c>
      <c r="E856">
        <f>Table1[[#This Row],[EnvironmentSatisfaction]]</f>
        <v>1</v>
      </c>
      <c r="F856">
        <f>Table1[[#This Row],[HourlyRate]]</f>
        <v>83</v>
      </c>
      <c r="G856" t="str">
        <f>Table1[[#This Row],[JobRole]]</f>
        <v>Research Scientist</v>
      </c>
      <c r="H856">
        <f>Table1[[#This Row],[JobSatisfaction]]</f>
        <v>3</v>
      </c>
      <c r="I856">
        <f>Table1[[#This Row],[YearsAtCompany]]</f>
        <v>3</v>
      </c>
      <c r="J856">
        <f>Table1[[#This Row],[YearsSinceLastPromotion]]</f>
        <v>0</v>
      </c>
      <c r="K856">
        <f>Table1[[#This Row],[EmployeeNumber]]</f>
        <v>1195</v>
      </c>
      <c r="L856">
        <f>Table1[[#This Row],[DistanceFromHome]]</f>
        <v>7</v>
      </c>
      <c r="M856" t="str">
        <f>Table1[[#This Row],[OverTime]]</f>
        <v>Yes</v>
      </c>
      <c r="N856">
        <f>Table1[[#This Row],[WorkLifeBalance]]</f>
        <v>2</v>
      </c>
      <c r="O856" t="str" cm="1">
        <f t="array" ref="O856">_xlfn.IFS(A856&lt;=30,"18-30",A856&lt;=40,"31-40",A856&lt;=50,"41-50",A856&gt;50,"51+")</f>
        <v>41-50</v>
      </c>
      <c r="P856" t="str" cm="1">
        <f t="array" ref="P856">_xlfn.IFS(F856&lt;=45,"45 or below",F856&lt;= 60,"46-60",F856&lt;=75,"61-75",F856&lt;=90,"76-90",F856&gt;90,"91 or above")</f>
        <v>76-90</v>
      </c>
      <c r="Q8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56" t="str" cm="1">
        <f t="array" ref="R85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57" spans="1:18" x14ac:dyDescent="0.2">
      <c r="A857">
        <f>Table1[[#This Row],[Age]]</f>
        <v>37</v>
      </c>
      <c r="B857">
        <f>IF(Table3[[#This Row],[Attrition]] = "Yes", 1,0)</f>
        <v>0</v>
      </c>
      <c r="C857" t="str">
        <f>Table1[[#This Row],[Attrition]]</f>
        <v>No</v>
      </c>
      <c r="D857" t="str">
        <f>Table1[[#This Row],[Department]]</f>
        <v>Research &amp; Development</v>
      </c>
      <c r="E857">
        <f>Table1[[#This Row],[EnvironmentSatisfaction]]</f>
        <v>4</v>
      </c>
      <c r="F857">
        <f>Table1[[#This Row],[HourlyRate]]</f>
        <v>56</v>
      </c>
      <c r="G857" t="str">
        <f>Table1[[#This Row],[JobRole]]</f>
        <v>Manufacturing Director</v>
      </c>
      <c r="H857">
        <f>Table1[[#This Row],[JobSatisfaction]]</f>
        <v>4</v>
      </c>
      <c r="I857">
        <f>Table1[[#This Row],[YearsAtCompany]]</f>
        <v>14</v>
      </c>
      <c r="J857">
        <f>Table1[[#This Row],[YearsSinceLastPromotion]]</f>
        <v>3</v>
      </c>
      <c r="K857">
        <f>Table1[[#This Row],[EmployeeNumber]]</f>
        <v>1196</v>
      </c>
      <c r="L857">
        <f>Table1[[#This Row],[DistanceFromHome]]</f>
        <v>1</v>
      </c>
      <c r="M857" t="str">
        <f>Table1[[#This Row],[OverTime]]</f>
        <v>No</v>
      </c>
      <c r="N857">
        <f>Table1[[#This Row],[WorkLifeBalance]]</f>
        <v>2</v>
      </c>
      <c r="O857" t="str" cm="1">
        <f t="array" ref="O857">_xlfn.IFS(A857&lt;=30,"18-30",A857&lt;=40,"31-40",A857&lt;=50,"41-50",A857&gt;50,"51+")</f>
        <v>31-40</v>
      </c>
      <c r="P857" t="str" cm="1">
        <f t="array" ref="P857">_xlfn.IFS(F857&lt;=45,"45 or below",F857&lt;= 60,"46-60",F857&lt;=75,"61-75",F857&lt;=90,"76-90",F857&gt;90,"91 or above")</f>
        <v>46-60</v>
      </c>
      <c r="Q8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57" t="str" cm="1">
        <f t="array" ref="R8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8" spans="1:18" x14ac:dyDescent="0.2">
      <c r="A858">
        <f>Table1[[#This Row],[Age]]</f>
        <v>20</v>
      </c>
      <c r="B858">
        <f>IF(Table3[[#This Row],[Attrition]] = "Yes", 1,0)</f>
        <v>0</v>
      </c>
      <c r="C858" t="str">
        <f>Table1[[#This Row],[Attrition]]</f>
        <v>No</v>
      </c>
      <c r="D858" t="str">
        <f>Table1[[#This Row],[Department]]</f>
        <v>Research &amp; Development</v>
      </c>
      <c r="E858">
        <f>Table1[[#This Row],[EnvironmentSatisfaction]]</f>
        <v>1</v>
      </c>
      <c r="F858">
        <f>Table1[[#This Row],[HourlyRate]]</f>
        <v>87</v>
      </c>
      <c r="G858" t="str">
        <f>Table1[[#This Row],[JobRole]]</f>
        <v>Laboratory Technician</v>
      </c>
      <c r="H858">
        <f>Table1[[#This Row],[JobSatisfaction]]</f>
        <v>3</v>
      </c>
      <c r="I858">
        <f>Table1[[#This Row],[YearsAtCompany]]</f>
        <v>2</v>
      </c>
      <c r="J858">
        <f>Table1[[#This Row],[YearsSinceLastPromotion]]</f>
        <v>1</v>
      </c>
      <c r="K858">
        <f>Table1[[#This Row],[EmployeeNumber]]</f>
        <v>1198</v>
      </c>
      <c r="L858">
        <f>Table1[[#This Row],[DistanceFromHome]]</f>
        <v>3</v>
      </c>
      <c r="M858" t="str">
        <f>Table1[[#This Row],[OverTime]]</f>
        <v>No</v>
      </c>
      <c r="N858">
        <f>Table1[[#This Row],[WorkLifeBalance]]</f>
        <v>2</v>
      </c>
      <c r="O858" t="str" cm="1">
        <f t="array" ref="O858">_xlfn.IFS(A858&lt;=30,"18-30",A858&lt;=40,"31-40",A858&lt;=50,"41-50",A858&gt;50,"51+")</f>
        <v>18-30</v>
      </c>
      <c r="P858" t="str" cm="1">
        <f t="array" ref="P858">_xlfn.IFS(F858&lt;=45,"45 or below",F858&lt;= 60,"46-60",F858&lt;=75,"61-75",F858&lt;=90,"76-90",F858&gt;90,"91 or above")</f>
        <v>76-90</v>
      </c>
      <c r="Q8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58" t="str" cm="1">
        <f t="array" ref="R8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59" spans="1:18" hidden="1" x14ac:dyDescent="0.2">
      <c r="A859">
        <f>Table1[[#This Row],[Age]]</f>
        <v>44</v>
      </c>
      <c r="B859">
        <f>IF(Table3[[#This Row],[Attrition]] = "Yes", 1,0)</f>
        <v>1</v>
      </c>
      <c r="C859" t="str">
        <f>Table1[[#This Row],[Attrition]]</f>
        <v>Yes</v>
      </c>
      <c r="D859" t="str">
        <f>Table1[[#This Row],[Department]]</f>
        <v>Research &amp; Development</v>
      </c>
      <c r="E859">
        <f>Table1[[#This Row],[EnvironmentSatisfaction]]</f>
        <v>3</v>
      </c>
      <c r="F859">
        <f>Table1[[#This Row],[HourlyRate]]</f>
        <v>96</v>
      </c>
      <c r="G859" t="str">
        <f>Table1[[#This Row],[JobRole]]</f>
        <v>Research Scientist</v>
      </c>
      <c r="H859">
        <f>Table1[[#This Row],[JobSatisfaction]]</f>
        <v>3</v>
      </c>
      <c r="I859">
        <f>Table1[[#This Row],[YearsAtCompany]]</f>
        <v>6</v>
      </c>
      <c r="J859">
        <f>Table1[[#This Row],[YearsSinceLastPromotion]]</f>
        <v>0</v>
      </c>
      <c r="K859">
        <f>Table1[[#This Row],[EmployeeNumber]]</f>
        <v>1200</v>
      </c>
      <c r="L859">
        <f>Table1[[#This Row],[DistanceFromHome]]</f>
        <v>10</v>
      </c>
      <c r="M859" t="str">
        <f>Table1[[#This Row],[OverTime]]</f>
        <v>Yes</v>
      </c>
      <c r="N859">
        <f>Table1[[#This Row],[WorkLifeBalance]]</f>
        <v>3</v>
      </c>
      <c r="O859" t="str" cm="1">
        <f t="array" ref="O859">_xlfn.IFS(A859&lt;=30,"18-30",A859&lt;=40,"31-40",A859&lt;=50,"41-50",A859&gt;50,"51+")</f>
        <v>41-50</v>
      </c>
      <c r="P859" t="str" cm="1">
        <f t="array" ref="P859">_xlfn.IFS(F859&lt;=45,"45 or below",F859&lt;= 60,"46-60",F859&lt;=75,"61-75",F859&lt;=90,"76-90",F859&gt;90,"91 or above")</f>
        <v>91 or above</v>
      </c>
      <c r="Q85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59" t="str" cm="1">
        <f t="array" ref="R859" xml:space="preserve"> _xlfn.IFS(Table3[[#This Row],[Flight Risk Score]] = "NA","NA",Table3[[#This Row],[Flight Risk Score]] &gt;= 70,"High Risk",Table3[[#This Row],[Flight Risk Score]] &gt;= 50, "Medium Risk", Table3[[#This Row],[Flight Risk Score]] &gt;= 30,"Low Risk",Table3[[#This Row],[Flight Risk Score]] &lt; 30,"Very Low Risk")</f>
        <v>NA</v>
      </c>
    </row>
    <row r="860" spans="1:18" x14ac:dyDescent="0.2">
      <c r="A860">
        <f>Table1[[#This Row],[Age]]</f>
        <v>53</v>
      </c>
      <c r="B860">
        <f>IF(Table3[[#This Row],[Attrition]] = "Yes", 1,0)</f>
        <v>0</v>
      </c>
      <c r="C860" t="str">
        <f>Table1[[#This Row],[Attrition]]</f>
        <v>No</v>
      </c>
      <c r="D860" t="str">
        <f>Table1[[#This Row],[Department]]</f>
        <v>Research &amp; Development</v>
      </c>
      <c r="E860">
        <f>Table1[[#This Row],[EnvironmentSatisfaction]]</f>
        <v>4</v>
      </c>
      <c r="F860">
        <f>Table1[[#This Row],[HourlyRate]]</f>
        <v>50</v>
      </c>
      <c r="G860" t="str">
        <f>Table1[[#This Row],[JobRole]]</f>
        <v>Manager</v>
      </c>
      <c r="H860">
        <f>Table1[[#This Row],[JobSatisfaction]]</f>
        <v>3</v>
      </c>
      <c r="I860">
        <f>Table1[[#This Row],[YearsAtCompany]]</f>
        <v>7</v>
      </c>
      <c r="J860">
        <f>Table1[[#This Row],[YearsSinceLastPromotion]]</f>
        <v>4</v>
      </c>
      <c r="K860">
        <f>Table1[[#This Row],[EmployeeNumber]]</f>
        <v>1201</v>
      </c>
      <c r="L860">
        <f>Table1[[#This Row],[DistanceFromHome]]</f>
        <v>7</v>
      </c>
      <c r="M860" t="str">
        <f>Table1[[#This Row],[OverTime]]</f>
        <v>No</v>
      </c>
      <c r="N860">
        <f>Table1[[#This Row],[WorkLifeBalance]]</f>
        <v>3</v>
      </c>
      <c r="O860" t="str" cm="1">
        <f t="array" ref="O860">_xlfn.IFS(A860&lt;=30,"18-30",A860&lt;=40,"31-40",A860&lt;=50,"41-50",A860&gt;50,"51+")</f>
        <v>51+</v>
      </c>
      <c r="P860" t="str" cm="1">
        <f t="array" ref="P860">_xlfn.IFS(F860&lt;=45,"45 or below",F860&lt;= 60,"46-60",F860&lt;=75,"61-75",F860&lt;=90,"76-90",F860&gt;90,"91 or above")</f>
        <v>46-60</v>
      </c>
      <c r="Q8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60" t="str" cm="1">
        <f t="array" ref="R8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61" spans="1:18" x14ac:dyDescent="0.2">
      <c r="A861">
        <f>Table1[[#This Row],[Age]]</f>
        <v>29</v>
      </c>
      <c r="B861">
        <f>IF(Table3[[#This Row],[Attrition]] = "Yes", 1,0)</f>
        <v>0</v>
      </c>
      <c r="C861" t="str">
        <f>Table1[[#This Row],[Attrition]]</f>
        <v>No</v>
      </c>
      <c r="D861" t="str">
        <f>Table1[[#This Row],[Department]]</f>
        <v>Research &amp; Development</v>
      </c>
      <c r="E861">
        <f>Table1[[#This Row],[EnvironmentSatisfaction]]</f>
        <v>2</v>
      </c>
      <c r="F861">
        <f>Table1[[#This Row],[HourlyRate]]</f>
        <v>69</v>
      </c>
      <c r="G861" t="str">
        <f>Table1[[#This Row],[JobRole]]</f>
        <v>Research Scientist</v>
      </c>
      <c r="H861">
        <f>Table1[[#This Row],[JobSatisfaction]]</f>
        <v>4</v>
      </c>
      <c r="I861">
        <f>Table1[[#This Row],[YearsAtCompany]]</f>
        <v>5</v>
      </c>
      <c r="J861">
        <f>Table1[[#This Row],[YearsSinceLastPromotion]]</f>
        <v>1</v>
      </c>
      <c r="K861">
        <f>Table1[[#This Row],[EmployeeNumber]]</f>
        <v>1202</v>
      </c>
      <c r="L861">
        <f>Table1[[#This Row],[DistanceFromHome]]</f>
        <v>15</v>
      </c>
      <c r="M861" t="str">
        <f>Table1[[#This Row],[OverTime]]</f>
        <v>Yes</v>
      </c>
      <c r="N861">
        <f>Table1[[#This Row],[WorkLifeBalance]]</f>
        <v>2</v>
      </c>
      <c r="O861" t="str" cm="1">
        <f t="array" ref="O861">_xlfn.IFS(A861&lt;=30,"18-30",A861&lt;=40,"31-40",A861&lt;=50,"41-50",A861&gt;50,"51+")</f>
        <v>18-30</v>
      </c>
      <c r="P861" t="str" cm="1">
        <f t="array" ref="P861">_xlfn.IFS(F861&lt;=45,"45 or below",F861&lt;= 60,"46-60",F861&lt;=75,"61-75",F861&lt;=90,"76-90",F861&gt;90,"91 or above")</f>
        <v>61-75</v>
      </c>
      <c r="Q8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61" t="str" cm="1">
        <f t="array" ref="R86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62" spans="1:18" hidden="1" x14ac:dyDescent="0.2">
      <c r="A862">
        <f>Table1[[#This Row],[Age]]</f>
        <v>22</v>
      </c>
      <c r="B862">
        <f>IF(Table3[[#This Row],[Attrition]] = "Yes", 1,0)</f>
        <v>1</v>
      </c>
      <c r="C862" t="str">
        <f>Table1[[#This Row],[Attrition]]</f>
        <v>Yes</v>
      </c>
      <c r="D862" t="str">
        <f>Table1[[#This Row],[Department]]</f>
        <v>Research &amp; Development</v>
      </c>
      <c r="E862">
        <f>Table1[[#This Row],[EnvironmentSatisfaction]]</f>
        <v>3</v>
      </c>
      <c r="F862">
        <f>Table1[[#This Row],[HourlyRate]]</f>
        <v>48</v>
      </c>
      <c r="G862" t="str">
        <f>Table1[[#This Row],[JobRole]]</f>
        <v>Research Scientist</v>
      </c>
      <c r="H862">
        <f>Table1[[#This Row],[JobSatisfaction]]</f>
        <v>4</v>
      </c>
      <c r="I862">
        <f>Table1[[#This Row],[YearsAtCompany]]</f>
        <v>0</v>
      </c>
      <c r="J862">
        <f>Table1[[#This Row],[YearsSinceLastPromotion]]</f>
        <v>0</v>
      </c>
      <c r="K862">
        <f>Table1[[#This Row],[EmployeeNumber]]</f>
        <v>1203</v>
      </c>
      <c r="L862">
        <f>Table1[[#This Row],[DistanceFromHome]]</f>
        <v>3</v>
      </c>
      <c r="M862" t="str">
        <f>Table1[[#This Row],[OverTime]]</f>
        <v>Yes</v>
      </c>
      <c r="N862">
        <f>Table1[[#This Row],[WorkLifeBalance]]</f>
        <v>3</v>
      </c>
      <c r="O862" t="str" cm="1">
        <f t="array" ref="O862">_xlfn.IFS(A862&lt;=30,"18-30",A862&lt;=40,"31-40",A862&lt;=50,"41-50",A862&gt;50,"51+")</f>
        <v>18-30</v>
      </c>
      <c r="P862" t="str" cm="1">
        <f t="array" ref="P862">_xlfn.IFS(F862&lt;=45,"45 or below",F862&lt;= 60,"46-60",F862&lt;=75,"61-75",F862&lt;=90,"76-90",F862&gt;90,"91 or above")</f>
        <v>46-60</v>
      </c>
      <c r="Q86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62" t="str" cm="1">
        <f t="array" ref="R862" xml:space="preserve"> _xlfn.IFS(Table3[[#This Row],[Flight Risk Score]] = "NA","NA",Table3[[#This Row],[Flight Risk Score]] &gt;= 70,"High Risk",Table3[[#This Row],[Flight Risk Score]] &gt;= 50, "Medium Risk", Table3[[#This Row],[Flight Risk Score]] &gt;= 30,"Low Risk",Table3[[#This Row],[Flight Risk Score]] &lt; 30,"Very Low Risk")</f>
        <v>NA</v>
      </c>
    </row>
    <row r="863" spans="1:18" x14ac:dyDescent="0.2">
      <c r="A863">
        <f>Table1[[#This Row],[Age]]</f>
        <v>46</v>
      </c>
      <c r="B863">
        <f>IF(Table3[[#This Row],[Attrition]] = "Yes", 1,0)</f>
        <v>0</v>
      </c>
      <c r="C863" t="str">
        <f>Table1[[#This Row],[Attrition]]</f>
        <v>No</v>
      </c>
      <c r="D863" t="str">
        <f>Table1[[#This Row],[Department]]</f>
        <v>Sales</v>
      </c>
      <c r="E863">
        <f>Table1[[#This Row],[EnvironmentSatisfaction]]</f>
        <v>3</v>
      </c>
      <c r="F863">
        <f>Table1[[#This Row],[HourlyRate]]</f>
        <v>69</v>
      </c>
      <c r="G863" t="str">
        <f>Table1[[#This Row],[JobRole]]</f>
        <v>Manager</v>
      </c>
      <c r="H863">
        <f>Table1[[#This Row],[JobSatisfaction]]</f>
        <v>1</v>
      </c>
      <c r="I863">
        <f>Table1[[#This Row],[YearsAtCompany]]</f>
        <v>26</v>
      </c>
      <c r="J863">
        <f>Table1[[#This Row],[YearsSinceLastPromotion]]</f>
        <v>15</v>
      </c>
      <c r="K863">
        <f>Table1[[#This Row],[EmployeeNumber]]</f>
        <v>1204</v>
      </c>
      <c r="L863">
        <f>Table1[[#This Row],[DistanceFromHome]]</f>
        <v>2</v>
      </c>
      <c r="M863" t="str">
        <f>Table1[[#This Row],[OverTime]]</f>
        <v>No</v>
      </c>
      <c r="N863">
        <f>Table1[[#This Row],[WorkLifeBalance]]</f>
        <v>3</v>
      </c>
      <c r="O863" t="str" cm="1">
        <f t="array" ref="O863">_xlfn.IFS(A863&lt;=30,"18-30",A863&lt;=40,"31-40",A863&lt;=50,"41-50",A863&gt;50,"51+")</f>
        <v>41-50</v>
      </c>
      <c r="P863" t="str" cm="1">
        <f t="array" ref="P863">_xlfn.IFS(F863&lt;=45,"45 or below",F863&lt;= 60,"46-60",F863&lt;=75,"61-75",F863&lt;=90,"76-90",F863&gt;90,"91 or above")</f>
        <v>61-75</v>
      </c>
      <c r="Q8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63" t="str" cm="1">
        <f t="array" ref="R8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64" spans="1:18" x14ac:dyDescent="0.2">
      <c r="A864">
        <f>Table1[[#This Row],[Age]]</f>
        <v>44</v>
      </c>
      <c r="B864">
        <f>IF(Table3[[#This Row],[Attrition]] = "Yes", 1,0)</f>
        <v>0</v>
      </c>
      <c r="C864" t="str">
        <f>Table1[[#This Row],[Attrition]]</f>
        <v>No</v>
      </c>
      <c r="D864" t="str">
        <f>Table1[[#This Row],[Department]]</f>
        <v>Research &amp; Development</v>
      </c>
      <c r="E864">
        <f>Table1[[#This Row],[EnvironmentSatisfaction]]</f>
        <v>4</v>
      </c>
      <c r="F864">
        <f>Table1[[#This Row],[HourlyRate]]</f>
        <v>74</v>
      </c>
      <c r="G864" t="str">
        <f>Table1[[#This Row],[JobRole]]</f>
        <v>Research Scientist</v>
      </c>
      <c r="H864">
        <f>Table1[[#This Row],[JobSatisfaction]]</f>
        <v>3</v>
      </c>
      <c r="I864">
        <f>Table1[[#This Row],[YearsAtCompany]]</f>
        <v>0</v>
      </c>
      <c r="J864">
        <f>Table1[[#This Row],[YearsSinceLastPromotion]]</f>
        <v>0</v>
      </c>
      <c r="K864">
        <f>Table1[[#This Row],[EmployeeNumber]]</f>
        <v>1206</v>
      </c>
      <c r="L864">
        <f>Table1[[#This Row],[DistanceFromHome]]</f>
        <v>17</v>
      </c>
      <c r="M864" t="str">
        <f>Table1[[#This Row],[OverTime]]</f>
        <v>No</v>
      </c>
      <c r="N864">
        <f>Table1[[#This Row],[WorkLifeBalance]]</f>
        <v>3</v>
      </c>
      <c r="O864" t="str" cm="1">
        <f t="array" ref="O864">_xlfn.IFS(A864&lt;=30,"18-30",A864&lt;=40,"31-40",A864&lt;=50,"41-50",A864&gt;50,"51+")</f>
        <v>41-50</v>
      </c>
      <c r="P864" t="str" cm="1">
        <f t="array" ref="P864">_xlfn.IFS(F864&lt;=45,"45 or below",F864&lt;= 60,"46-60",F864&lt;=75,"61-75",F864&lt;=90,"76-90",F864&gt;90,"91 or above")</f>
        <v>61-75</v>
      </c>
      <c r="Q8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64" t="str" cm="1">
        <f t="array" ref="R86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65" spans="1:18" x14ac:dyDescent="0.2">
      <c r="A865">
        <f>Table1[[#This Row],[Age]]</f>
        <v>33</v>
      </c>
      <c r="B865">
        <f>IF(Table3[[#This Row],[Attrition]] = "Yes", 1,0)</f>
        <v>0</v>
      </c>
      <c r="C865" t="str">
        <f>Table1[[#This Row],[Attrition]]</f>
        <v>No</v>
      </c>
      <c r="D865" t="str">
        <f>Table1[[#This Row],[Department]]</f>
        <v>Human Resources</v>
      </c>
      <c r="E865">
        <f>Table1[[#This Row],[EnvironmentSatisfaction]]</f>
        <v>2</v>
      </c>
      <c r="F865">
        <f>Table1[[#This Row],[HourlyRate]]</f>
        <v>99</v>
      </c>
      <c r="G865" t="str">
        <f>Table1[[#This Row],[JobRole]]</f>
        <v>Human Resources</v>
      </c>
      <c r="H865">
        <f>Table1[[#This Row],[JobSatisfaction]]</f>
        <v>3</v>
      </c>
      <c r="I865">
        <f>Table1[[#This Row],[YearsAtCompany]]</f>
        <v>5</v>
      </c>
      <c r="J865">
        <f>Table1[[#This Row],[YearsSinceLastPromotion]]</f>
        <v>1</v>
      </c>
      <c r="K865">
        <f>Table1[[#This Row],[EmployeeNumber]]</f>
        <v>1207</v>
      </c>
      <c r="L865">
        <f>Table1[[#This Row],[DistanceFromHome]]</f>
        <v>2</v>
      </c>
      <c r="M865" t="str">
        <f>Table1[[#This Row],[OverTime]]</f>
        <v>No</v>
      </c>
      <c r="N865">
        <f>Table1[[#This Row],[WorkLifeBalance]]</f>
        <v>3</v>
      </c>
      <c r="O865" t="str" cm="1">
        <f t="array" ref="O865">_xlfn.IFS(A865&lt;=30,"18-30",A865&lt;=40,"31-40",A865&lt;=50,"41-50",A865&gt;50,"51+")</f>
        <v>31-40</v>
      </c>
      <c r="P865" t="str" cm="1">
        <f t="array" ref="P865">_xlfn.IFS(F865&lt;=45,"45 or below",F865&lt;= 60,"46-60",F865&lt;=75,"61-75",F865&lt;=90,"76-90",F865&gt;90,"91 or above")</f>
        <v>91 or above</v>
      </c>
      <c r="Q8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65" t="str" cm="1">
        <f t="array" ref="R86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66" spans="1:18" hidden="1" x14ac:dyDescent="0.2">
      <c r="A866">
        <f>Table1[[#This Row],[Age]]</f>
        <v>41</v>
      </c>
      <c r="B866">
        <f>IF(Table3[[#This Row],[Attrition]] = "Yes", 1,0)</f>
        <v>1</v>
      </c>
      <c r="C866" t="str">
        <f>Table1[[#This Row],[Attrition]]</f>
        <v>Yes</v>
      </c>
      <c r="D866" t="str">
        <f>Table1[[#This Row],[Department]]</f>
        <v>Research &amp; Development</v>
      </c>
      <c r="E866">
        <f>Table1[[#This Row],[EnvironmentSatisfaction]]</f>
        <v>1</v>
      </c>
      <c r="F866">
        <f>Table1[[#This Row],[HourlyRate]]</f>
        <v>95</v>
      </c>
      <c r="G866" t="str">
        <f>Table1[[#This Row],[JobRole]]</f>
        <v>Research Scientist</v>
      </c>
      <c r="H866">
        <f>Table1[[#This Row],[JobSatisfaction]]</f>
        <v>1</v>
      </c>
      <c r="I866">
        <f>Table1[[#This Row],[YearsAtCompany]]</f>
        <v>1</v>
      </c>
      <c r="J866">
        <f>Table1[[#This Row],[YearsSinceLastPromotion]]</f>
        <v>0</v>
      </c>
      <c r="K866">
        <f>Table1[[#This Row],[EmployeeNumber]]</f>
        <v>1210</v>
      </c>
      <c r="L866">
        <f>Table1[[#This Row],[DistanceFromHome]]</f>
        <v>5</v>
      </c>
      <c r="M866" t="str">
        <f>Table1[[#This Row],[OverTime]]</f>
        <v>No</v>
      </c>
      <c r="N866">
        <f>Table1[[#This Row],[WorkLifeBalance]]</f>
        <v>1</v>
      </c>
      <c r="O866" t="str" cm="1">
        <f t="array" ref="O866">_xlfn.IFS(A866&lt;=30,"18-30",A866&lt;=40,"31-40",A866&lt;=50,"41-50",A866&gt;50,"51+")</f>
        <v>41-50</v>
      </c>
      <c r="P866" t="str" cm="1">
        <f t="array" ref="P866">_xlfn.IFS(F866&lt;=45,"45 or below",F866&lt;= 60,"46-60",F866&lt;=75,"61-75",F866&lt;=90,"76-90",F866&gt;90,"91 or above")</f>
        <v>91 or above</v>
      </c>
      <c r="Q86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66" t="str" cm="1">
        <f t="array" ref="R866" xml:space="preserve"> _xlfn.IFS(Table3[[#This Row],[Flight Risk Score]] = "NA","NA",Table3[[#This Row],[Flight Risk Score]] &gt;= 70,"High Risk",Table3[[#This Row],[Flight Risk Score]] &gt;= 50, "Medium Risk", Table3[[#This Row],[Flight Risk Score]] &gt;= 30,"Low Risk",Table3[[#This Row],[Flight Risk Score]] &lt; 30,"Very Low Risk")</f>
        <v>NA</v>
      </c>
    </row>
    <row r="867" spans="1:18" x14ac:dyDescent="0.2">
      <c r="A867">
        <f>Table1[[#This Row],[Age]]</f>
        <v>30</v>
      </c>
      <c r="B867">
        <f>IF(Table3[[#This Row],[Attrition]] = "Yes", 1,0)</f>
        <v>0</v>
      </c>
      <c r="C867" t="str">
        <f>Table1[[#This Row],[Attrition]]</f>
        <v>No</v>
      </c>
      <c r="D867" t="str">
        <f>Table1[[#This Row],[Department]]</f>
        <v>Sales</v>
      </c>
      <c r="E867">
        <f>Table1[[#This Row],[EnvironmentSatisfaction]]</f>
        <v>3</v>
      </c>
      <c r="F867">
        <f>Table1[[#This Row],[HourlyRate]]</f>
        <v>61</v>
      </c>
      <c r="G867" t="str">
        <f>Table1[[#This Row],[JobRole]]</f>
        <v>Sales Executive</v>
      </c>
      <c r="H867">
        <f>Table1[[#This Row],[JobSatisfaction]]</f>
        <v>1</v>
      </c>
      <c r="I867">
        <f>Table1[[#This Row],[YearsAtCompany]]</f>
        <v>4</v>
      </c>
      <c r="J867">
        <f>Table1[[#This Row],[YearsSinceLastPromotion]]</f>
        <v>0</v>
      </c>
      <c r="K867">
        <f>Table1[[#This Row],[EmployeeNumber]]</f>
        <v>1211</v>
      </c>
      <c r="L867">
        <f>Table1[[#This Row],[DistanceFromHome]]</f>
        <v>29</v>
      </c>
      <c r="M867" t="str">
        <f>Table1[[#This Row],[OverTime]]</f>
        <v>No</v>
      </c>
      <c r="N867">
        <f>Table1[[#This Row],[WorkLifeBalance]]</f>
        <v>3</v>
      </c>
      <c r="O867" t="str" cm="1">
        <f t="array" ref="O867">_xlfn.IFS(A867&lt;=30,"18-30",A867&lt;=40,"31-40",A867&lt;=50,"41-50",A867&gt;50,"51+")</f>
        <v>18-30</v>
      </c>
      <c r="P867" t="str" cm="1">
        <f t="array" ref="P867">_xlfn.IFS(F867&lt;=45,"45 or below",F867&lt;= 60,"46-60",F867&lt;=75,"61-75",F867&lt;=90,"76-90",F867&gt;90,"91 or above")</f>
        <v>61-75</v>
      </c>
      <c r="Q8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67" t="str" cm="1">
        <f t="array" ref="R8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68" spans="1:18" x14ac:dyDescent="0.2">
      <c r="A868">
        <f>Table1[[#This Row],[Age]]</f>
        <v>40</v>
      </c>
      <c r="B868">
        <f>IF(Table3[[#This Row],[Attrition]] = "Yes", 1,0)</f>
        <v>0</v>
      </c>
      <c r="C868" t="str">
        <f>Table1[[#This Row],[Attrition]]</f>
        <v>No</v>
      </c>
      <c r="D868" t="str">
        <f>Table1[[#This Row],[Department]]</f>
        <v>Sales</v>
      </c>
      <c r="E868">
        <f>Table1[[#This Row],[EnvironmentSatisfaction]]</f>
        <v>2</v>
      </c>
      <c r="F868">
        <f>Table1[[#This Row],[HourlyRate]]</f>
        <v>62</v>
      </c>
      <c r="G868" t="str">
        <f>Table1[[#This Row],[JobRole]]</f>
        <v>Sales Executive</v>
      </c>
      <c r="H868">
        <f>Table1[[#This Row],[JobSatisfaction]]</f>
        <v>2</v>
      </c>
      <c r="I868">
        <f>Table1[[#This Row],[YearsAtCompany]]</f>
        <v>0</v>
      </c>
      <c r="J868">
        <f>Table1[[#This Row],[YearsSinceLastPromotion]]</f>
        <v>0</v>
      </c>
      <c r="K868">
        <f>Table1[[#This Row],[EmployeeNumber]]</f>
        <v>1212</v>
      </c>
      <c r="L868">
        <f>Table1[[#This Row],[DistanceFromHome]]</f>
        <v>2</v>
      </c>
      <c r="M868" t="str">
        <f>Table1[[#This Row],[OverTime]]</f>
        <v>No</v>
      </c>
      <c r="N868">
        <f>Table1[[#This Row],[WorkLifeBalance]]</f>
        <v>3</v>
      </c>
      <c r="O868" t="str" cm="1">
        <f t="array" ref="O868">_xlfn.IFS(A868&lt;=30,"18-30",A868&lt;=40,"31-40",A868&lt;=50,"41-50",A868&gt;50,"51+")</f>
        <v>31-40</v>
      </c>
      <c r="P868" t="str" cm="1">
        <f t="array" ref="P868">_xlfn.IFS(F868&lt;=45,"45 or below",F868&lt;= 60,"46-60",F868&lt;=75,"61-75",F868&lt;=90,"76-90",F868&gt;90,"91 or above")</f>
        <v>61-75</v>
      </c>
      <c r="Q8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868" t="str" cm="1">
        <f t="array" ref="R868" xml:space="preserve"> _xlfn.IFS(Table3[[#This Row],[Flight Risk Score]] = "NA","NA",Table3[[#This Row],[Flight Risk Score]] &gt;= 70,"High Risk",Table3[[#This Row],[Flight Risk Score]] &gt;= 50, "Medium Risk", Table3[[#This Row],[Flight Risk Score]] &gt;= 30,"Low Risk",Table3[[#This Row],[Flight Risk Score]] &lt; 30,"Very Low Risk")</f>
        <v>Low Risk</v>
      </c>
    </row>
    <row r="869" spans="1:18" x14ac:dyDescent="0.2">
      <c r="A869">
        <f>Table1[[#This Row],[Age]]</f>
        <v>50</v>
      </c>
      <c r="B869">
        <f>IF(Table3[[#This Row],[Attrition]] = "Yes", 1,0)</f>
        <v>0</v>
      </c>
      <c r="C869" t="str">
        <f>Table1[[#This Row],[Attrition]]</f>
        <v>No</v>
      </c>
      <c r="D869" t="str">
        <f>Table1[[#This Row],[Department]]</f>
        <v>Research &amp; Development</v>
      </c>
      <c r="E869">
        <f>Table1[[#This Row],[EnvironmentSatisfaction]]</f>
        <v>4</v>
      </c>
      <c r="F869">
        <f>Table1[[#This Row],[HourlyRate]]</f>
        <v>30</v>
      </c>
      <c r="G869" t="str">
        <f>Table1[[#This Row],[JobRole]]</f>
        <v>Manager</v>
      </c>
      <c r="H869">
        <f>Table1[[#This Row],[JobSatisfaction]]</f>
        <v>1</v>
      </c>
      <c r="I869">
        <f>Table1[[#This Row],[YearsAtCompany]]</f>
        <v>2</v>
      </c>
      <c r="J869">
        <f>Table1[[#This Row],[YearsSinceLastPromotion]]</f>
        <v>2</v>
      </c>
      <c r="K869">
        <f>Table1[[#This Row],[EmployeeNumber]]</f>
        <v>1215</v>
      </c>
      <c r="L869">
        <f>Table1[[#This Row],[DistanceFromHome]]</f>
        <v>2</v>
      </c>
      <c r="M869" t="str">
        <f>Table1[[#This Row],[OverTime]]</f>
        <v>No</v>
      </c>
      <c r="N869">
        <f>Table1[[#This Row],[WorkLifeBalance]]</f>
        <v>3</v>
      </c>
      <c r="O869" t="str" cm="1">
        <f t="array" ref="O869">_xlfn.IFS(A869&lt;=30,"18-30",A869&lt;=40,"31-40",A869&lt;=50,"41-50",A869&gt;50,"51+")</f>
        <v>41-50</v>
      </c>
      <c r="P869" t="str" cm="1">
        <f t="array" ref="P869">_xlfn.IFS(F869&lt;=45,"45 or below",F869&lt;= 60,"46-60",F869&lt;=75,"61-75",F869&lt;=90,"76-90",F869&gt;90,"91 or above")</f>
        <v>45 or below</v>
      </c>
      <c r="Q8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69" t="str" cm="1">
        <f t="array" ref="R86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0" spans="1:18" x14ac:dyDescent="0.2">
      <c r="A870">
        <f>Table1[[#This Row],[Age]]</f>
        <v>28</v>
      </c>
      <c r="B870">
        <f>IF(Table3[[#This Row],[Attrition]] = "Yes", 1,0)</f>
        <v>0</v>
      </c>
      <c r="C870" t="str">
        <f>Table1[[#This Row],[Attrition]]</f>
        <v>No</v>
      </c>
      <c r="D870" t="str">
        <f>Table1[[#This Row],[Department]]</f>
        <v>Research &amp; Development</v>
      </c>
      <c r="E870">
        <f>Table1[[#This Row],[EnvironmentSatisfaction]]</f>
        <v>4</v>
      </c>
      <c r="F870">
        <f>Table1[[#This Row],[HourlyRate]]</f>
        <v>78</v>
      </c>
      <c r="G870" t="str">
        <f>Table1[[#This Row],[JobRole]]</f>
        <v>Laboratory Technician</v>
      </c>
      <c r="H870">
        <f>Table1[[#This Row],[JobSatisfaction]]</f>
        <v>1</v>
      </c>
      <c r="I870">
        <f>Table1[[#This Row],[YearsAtCompany]]</f>
        <v>6</v>
      </c>
      <c r="J870">
        <f>Table1[[#This Row],[YearsSinceLastPromotion]]</f>
        <v>3</v>
      </c>
      <c r="K870">
        <f>Table1[[#This Row],[EmployeeNumber]]</f>
        <v>1216</v>
      </c>
      <c r="L870">
        <f>Table1[[#This Row],[DistanceFromHome]]</f>
        <v>19</v>
      </c>
      <c r="M870" t="str">
        <f>Table1[[#This Row],[OverTime]]</f>
        <v>No</v>
      </c>
      <c r="N870">
        <f>Table1[[#This Row],[WorkLifeBalance]]</f>
        <v>3</v>
      </c>
      <c r="O870" t="str" cm="1">
        <f t="array" ref="O870">_xlfn.IFS(A870&lt;=30,"18-30",A870&lt;=40,"31-40",A870&lt;=50,"41-50",A870&gt;50,"51+")</f>
        <v>18-30</v>
      </c>
      <c r="P870" t="str" cm="1">
        <f t="array" ref="P870">_xlfn.IFS(F870&lt;=45,"45 or below",F870&lt;= 60,"46-60",F870&lt;=75,"61-75",F870&lt;=90,"76-90",F870&gt;90,"91 or above")</f>
        <v>76-90</v>
      </c>
      <c r="Q8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70" t="str" cm="1">
        <f t="array" ref="R87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1" spans="1:18" x14ac:dyDescent="0.2">
      <c r="A871">
        <f>Table1[[#This Row],[Age]]</f>
        <v>46</v>
      </c>
      <c r="B871">
        <f>IF(Table3[[#This Row],[Attrition]] = "Yes", 1,0)</f>
        <v>0</v>
      </c>
      <c r="C871" t="str">
        <f>Table1[[#This Row],[Attrition]]</f>
        <v>No</v>
      </c>
      <c r="D871" t="str">
        <f>Table1[[#This Row],[Department]]</f>
        <v>Research &amp; Development</v>
      </c>
      <c r="E871">
        <f>Table1[[#This Row],[EnvironmentSatisfaction]]</f>
        <v>4</v>
      </c>
      <c r="F871">
        <f>Table1[[#This Row],[HourlyRate]]</f>
        <v>52</v>
      </c>
      <c r="G871" t="str">
        <f>Table1[[#This Row],[JobRole]]</f>
        <v>Research Director</v>
      </c>
      <c r="H871">
        <f>Table1[[#This Row],[JobSatisfaction]]</f>
        <v>2</v>
      </c>
      <c r="I871">
        <f>Table1[[#This Row],[YearsAtCompany]]</f>
        <v>4</v>
      </c>
      <c r="J871">
        <f>Table1[[#This Row],[YearsSinceLastPromotion]]</f>
        <v>0</v>
      </c>
      <c r="K871">
        <f>Table1[[#This Row],[EmployeeNumber]]</f>
        <v>1217</v>
      </c>
      <c r="L871">
        <f>Table1[[#This Row],[DistanceFromHome]]</f>
        <v>15</v>
      </c>
      <c r="M871" t="str">
        <f>Table1[[#This Row],[OverTime]]</f>
        <v>No</v>
      </c>
      <c r="N871">
        <f>Table1[[#This Row],[WorkLifeBalance]]</f>
        <v>3</v>
      </c>
      <c r="O871" t="str" cm="1">
        <f t="array" ref="O871">_xlfn.IFS(A871&lt;=30,"18-30",A871&lt;=40,"31-40",A871&lt;=50,"41-50",A871&gt;50,"51+")</f>
        <v>41-50</v>
      </c>
      <c r="P871" t="str" cm="1">
        <f t="array" ref="P871">_xlfn.IFS(F871&lt;=45,"45 or below",F871&lt;= 60,"46-60",F871&lt;=75,"61-75",F871&lt;=90,"76-90",F871&gt;90,"91 or above")</f>
        <v>46-60</v>
      </c>
      <c r="Q8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71" t="str" cm="1">
        <f t="array" ref="R8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2" spans="1:18" x14ac:dyDescent="0.2">
      <c r="A872">
        <f>Table1[[#This Row],[Age]]</f>
        <v>35</v>
      </c>
      <c r="B872">
        <f>IF(Table3[[#This Row],[Attrition]] = "Yes", 1,0)</f>
        <v>0</v>
      </c>
      <c r="C872" t="str">
        <f>Table1[[#This Row],[Attrition]]</f>
        <v>No</v>
      </c>
      <c r="D872" t="str">
        <f>Table1[[#This Row],[Department]]</f>
        <v>Sales</v>
      </c>
      <c r="E872">
        <f>Table1[[#This Row],[EnvironmentSatisfaction]]</f>
        <v>3</v>
      </c>
      <c r="F872">
        <f>Table1[[#This Row],[HourlyRate]]</f>
        <v>94</v>
      </c>
      <c r="G872" t="str">
        <f>Table1[[#This Row],[JobRole]]</f>
        <v>Sales Executive</v>
      </c>
      <c r="H872">
        <f>Table1[[#This Row],[JobSatisfaction]]</f>
        <v>1</v>
      </c>
      <c r="I872">
        <f>Table1[[#This Row],[YearsAtCompany]]</f>
        <v>7</v>
      </c>
      <c r="J872">
        <f>Table1[[#This Row],[YearsSinceLastPromotion]]</f>
        <v>1</v>
      </c>
      <c r="K872">
        <f>Table1[[#This Row],[EmployeeNumber]]</f>
        <v>1218</v>
      </c>
      <c r="L872">
        <f>Table1[[#This Row],[DistanceFromHome]]</f>
        <v>17</v>
      </c>
      <c r="M872" t="str">
        <f>Table1[[#This Row],[OverTime]]</f>
        <v>Yes</v>
      </c>
      <c r="N872">
        <f>Table1[[#This Row],[WorkLifeBalance]]</f>
        <v>3</v>
      </c>
      <c r="O872" t="str" cm="1">
        <f t="array" ref="O872">_xlfn.IFS(A872&lt;=30,"18-30",A872&lt;=40,"31-40",A872&lt;=50,"41-50",A872&gt;50,"51+")</f>
        <v>31-40</v>
      </c>
      <c r="P872" t="str" cm="1">
        <f t="array" ref="P872">_xlfn.IFS(F872&lt;=45,"45 or below",F872&lt;= 60,"46-60",F872&lt;=75,"61-75",F872&lt;=90,"76-90",F872&gt;90,"91 or above")</f>
        <v>91 or above</v>
      </c>
      <c r="Q8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72" t="str" cm="1">
        <f t="array" ref="R87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73" spans="1:18" hidden="1" x14ac:dyDescent="0.2">
      <c r="A873">
        <f>Table1[[#This Row],[Age]]</f>
        <v>24</v>
      </c>
      <c r="B873">
        <f>IF(Table3[[#This Row],[Attrition]] = "Yes", 1,0)</f>
        <v>1</v>
      </c>
      <c r="C873" t="str">
        <f>Table1[[#This Row],[Attrition]]</f>
        <v>Yes</v>
      </c>
      <c r="D873" t="str">
        <f>Table1[[#This Row],[Department]]</f>
        <v>Research &amp; Development</v>
      </c>
      <c r="E873">
        <f>Table1[[#This Row],[EnvironmentSatisfaction]]</f>
        <v>4</v>
      </c>
      <c r="F873">
        <f>Table1[[#This Row],[HourlyRate]]</f>
        <v>97</v>
      </c>
      <c r="G873" t="str">
        <f>Table1[[#This Row],[JobRole]]</f>
        <v>Laboratory Technician</v>
      </c>
      <c r="H873">
        <f>Table1[[#This Row],[JobSatisfaction]]</f>
        <v>2</v>
      </c>
      <c r="I873">
        <f>Table1[[#This Row],[YearsAtCompany]]</f>
        <v>1</v>
      </c>
      <c r="J873">
        <f>Table1[[#This Row],[YearsSinceLastPromotion]]</f>
        <v>0</v>
      </c>
      <c r="K873">
        <f>Table1[[#This Row],[EmployeeNumber]]</f>
        <v>1219</v>
      </c>
      <c r="L873">
        <f>Table1[[#This Row],[DistanceFromHome]]</f>
        <v>17</v>
      </c>
      <c r="M873" t="str">
        <f>Table1[[#This Row],[OverTime]]</f>
        <v>No</v>
      </c>
      <c r="N873">
        <f>Table1[[#This Row],[WorkLifeBalance]]</f>
        <v>1</v>
      </c>
      <c r="O873" t="str" cm="1">
        <f t="array" ref="O873">_xlfn.IFS(A873&lt;=30,"18-30",A873&lt;=40,"31-40",A873&lt;=50,"41-50",A873&gt;50,"51+")</f>
        <v>18-30</v>
      </c>
      <c r="P873" t="str" cm="1">
        <f t="array" ref="P873">_xlfn.IFS(F873&lt;=45,"45 or below",F873&lt;= 60,"46-60",F873&lt;=75,"61-75",F873&lt;=90,"76-90",F873&gt;90,"91 or above")</f>
        <v>91 or above</v>
      </c>
      <c r="Q87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73" t="str" cm="1">
        <f t="array" ref="R873" xml:space="preserve"> _xlfn.IFS(Table3[[#This Row],[Flight Risk Score]] = "NA","NA",Table3[[#This Row],[Flight Risk Score]] &gt;= 70,"High Risk",Table3[[#This Row],[Flight Risk Score]] &gt;= 50, "Medium Risk", Table3[[#This Row],[Flight Risk Score]] &gt;= 30,"Low Risk",Table3[[#This Row],[Flight Risk Score]] &lt; 30,"Very Low Risk")</f>
        <v>NA</v>
      </c>
    </row>
    <row r="874" spans="1:18" x14ac:dyDescent="0.2">
      <c r="A874">
        <f>Table1[[#This Row],[Age]]</f>
        <v>33</v>
      </c>
      <c r="B874">
        <f>IF(Table3[[#This Row],[Attrition]] = "Yes", 1,0)</f>
        <v>0</v>
      </c>
      <c r="C874" t="str">
        <f>Table1[[#This Row],[Attrition]]</f>
        <v>No</v>
      </c>
      <c r="D874" t="str">
        <f>Table1[[#This Row],[Department]]</f>
        <v>Sales</v>
      </c>
      <c r="E874">
        <f>Table1[[#This Row],[EnvironmentSatisfaction]]</f>
        <v>2</v>
      </c>
      <c r="F874">
        <f>Table1[[#This Row],[HourlyRate]]</f>
        <v>82</v>
      </c>
      <c r="G874" t="str">
        <f>Table1[[#This Row],[JobRole]]</f>
        <v>Sales Executive</v>
      </c>
      <c r="H874">
        <f>Table1[[#This Row],[JobSatisfaction]]</f>
        <v>3</v>
      </c>
      <c r="I874">
        <f>Table1[[#This Row],[YearsAtCompany]]</f>
        <v>10</v>
      </c>
      <c r="J874">
        <f>Table1[[#This Row],[YearsSinceLastPromotion]]</f>
        <v>0</v>
      </c>
      <c r="K874">
        <f>Table1[[#This Row],[EmployeeNumber]]</f>
        <v>1220</v>
      </c>
      <c r="L874">
        <f>Table1[[#This Row],[DistanceFromHome]]</f>
        <v>25</v>
      </c>
      <c r="M874" t="str">
        <f>Table1[[#This Row],[OverTime]]</f>
        <v>No</v>
      </c>
      <c r="N874">
        <f>Table1[[#This Row],[WorkLifeBalance]]</f>
        <v>2</v>
      </c>
      <c r="O874" t="str" cm="1">
        <f t="array" ref="O874">_xlfn.IFS(A874&lt;=30,"18-30",A874&lt;=40,"31-40",A874&lt;=50,"41-50",A874&gt;50,"51+")</f>
        <v>31-40</v>
      </c>
      <c r="P874" t="str" cm="1">
        <f t="array" ref="P874">_xlfn.IFS(F874&lt;=45,"45 or below",F874&lt;= 60,"46-60",F874&lt;=75,"61-75",F874&lt;=90,"76-90",F874&gt;90,"91 or above")</f>
        <v>76-90</v>
      </c>
      <c r="Q8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74" t="str" cm="1">
        <f t="array" ref="R8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5" spans="1:18" x14ac:dyDescent="0.2">
      <c r="A875">
        <f>Table1[[#This Row],[Age]]</f>
        <v>36</v>
      </c>
      <c r="B875">
        <f>IF(Table3[[#This Row],[Attrition]] = "Yes", 1,0)</f>
        <v>0</v>
      </c>
      <c r="C875" t="str">
        <f>Table1[[#This Row],[Attrition]]</f>
        <v>No</v>
      </c>
      <c r="D875" t="str">
        <f>Table1[[#This Row],[Department]]</f>
        <v>Research &amp; Development</v>
      </c>
      <c r="E875">
        <f>Table1[[#This Row],[EnvironmentSatisfaction]]</f>
        <v>3</v>
      </c>
      <c r="F875">
        <f>Table1[[#This Row],[HourlyRate]]</f>
        <v>60</v>
      </c>
      <c r="G875" t="str">
        <f>Table1[[#This Row],[JobRole]]</f>
        <v>Laboratory Technician</v>
      </c>
      <c r="H875">
        <f>Table1[[#This Row],[JobSatisfaction]]</f>
        <v>3</v>
      </c>
      <c r="I875">
        <f>Table1[[#This Row],[YearsAtCompany]]</f>
        <v>7</v>
      </c>
      <c r="J875">
        <f>Table1[[#This Row],[YearsSinceLastPromotion]]</f>
        <v>1</v>
      </c>
      <c r="K875">
        <f>Table1[[#This Row],[EmployeeNumber]]</f>
        <v>1221</v>
      </c>
      <c r="L875">
        <f>Table1[[#This Row],[DistanceFromHome]]</f>
        <v>6</v>
      </c>
      <c r="M875" t="str">
        <f>Table1[[#This Row],[OverTime]]</f>
        <v>No</v>
      </c>
      <c r="N875">
        <f>Table1[[#This Row],[WorkLifeBalance]]</f>
        <v>3</v>
      </c>
      <c r="O875" t="str" cm="1">
        <f t="array" ref="O875">_xlfn.IFS(A875&lt;=30,"18-30",A875&lt;=40,"31-40",A875&lt;=50,"41-50",A875&gt;50,"51+")</f>
        <v>31-40</v>
      </c>
      <c r="P875" t="str" cm="1">
        <f t="array" ref="P875">_xlfn.IFS(F875&lt;=45,"45 or below",F875&lt;= 60,"46-60",F875&lt;=75,"61-75",F875&lt;=90,"76-90",F875&gt;90,"91 or above")</f>
        <v>46-60</v>
      </c>
      <c r="Q8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75" t="str" cm="1">
        <f t="array" ref="R8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6" spans="1:18" x14ac:dyDescent="0.2">
      <c r="A876">
        <f>Table1[[#This Row],[Age]]</f>
        <v>30</v>
      </c>
      <c r="B876">
        <f>IF(Table3[[#This Row],[Attrition]] = "Yes", 1,0)</f>
        <v>0</v>
      </c>
      <c r="C876" t="str">
        <f>Table1[[#This Row],[Attrition]]</f>
        <v>No</v>
      </c>
      <c r="D876" t="str">
        <f>Table1[[#This Row],[Department]]</f>
        <v>Research &amp; Development</v>
      </c>
      <c r="E876">
        <f>Table1[[#This Row],[EnvironmentSatisfaction]]</f>
        <v>3</v>
      </c>
      <c r="F876">
        <f>Table1[[#This Row],[HourlyRate]]</f>
        <v>49</v>
      </c>
      <c r="G876" t="str">
        <f>Table1[[#This Row],[JobRole]]</f>
        <v>Laboratory Technician</v>
      </c>
      <c r="H876">
        <f>Table1[[#This Row],[JobSatisfaction]]</f>
        <v>3</v>
      </c>
      <c r="I876">
        <f>Table1[[#This Row],[YearsAtCompany]]</f>
        <v>10</v>
      </c>
      <c r="J876">
        <f>Table1[[#This Row],[YearsSinceLastPromotion]]</f>
        <v>8</v>
      </c>
      <c r="K876">
        <f>Table1[[#This Row],[EmployeeNumber]]</f>
        <v>1224</v>
      </c>
      <c r="L876">
        <f>Table1[[#This Row],[DistanceFromHome]]</f>
        <v>7</v>
      </c>
      <c r="M876" t="str">
        <f>Table1[[#This Row],[OverTime]]</f>
        <v>No</v>
      </c>
      <c r="N876">
        <f>Table1[[#This Row],[WorkLifeBalance]]</f>
        <v>2</v>
      </c>
      <c r="O876" t="str" cm="1">
        <f t="array" ref="O876">_xlfn.IFS(A876&lt;=30,"18-30",A876&lt;=40,"31-40",A876&lt;=50,"41-50",A876&gt;50,"51+")</f>
        <v>18-30</v>
      </c>
      <c r="P876" t="str" cm="1">
        <f t="array" ref="P876">_xlfn.IFS(F876&lt;=45,"45 or below",F876&lt;= 60,"46-60",F876&lt;=75,"61-75",F876&lt;=90,"76-90",F876&gt;90,"91 or above")</f>
        <v>46-60</v>
      </c>
      <c r="Q8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76" t="str" cm="1">
        <f t="array" ref="R8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7" spans="1:18" x14ac:dyDescent="0.2">
      <c r="A877">
        <f>Table1[[#This Row],[Age]]</f>
        <v>44</v>
      </c>
      <c r="B877">
        <f>IF(Table3[[#This Row],[Attrition]] = "Yes", 1,0)</f>
        <v>0</v>
      </c>
      <c r="C877" t="str">
        <f>Table1[[#This Row],[Attrition]]</f>
        <v>No</v>
      </c>
      <c r="D877" t="str">
        <f>Table1[[#This Row],[Department]]</f>
        <v>Research &amp; Development</v>
      </c>
      <c r="E877">
        <f>Table1[[#This Row],[EnvironmentSatisfaction]]</f>
        <v>4</v>
      </c>
      <c r="F877">
        <f>Table1[[#This Row],[HourlyRate]]</f>
        <v>32</v>
      </c>
      <c r="G877" t="str">
        <f>Table1[[#This Row],[JobRole]]</f>
        <v>Research Scientist</v>
      </c>
      <c r="H877">
        <f>Table1[[#This Row],[JobSatisfaction]]</f>
        <v>4</v>
      </c>
      <c r="I877">
        <f>Table1[[#This Row],[YearsAtCompany]]</f>
        <v>20</v>
      </c>
      <c r="J877">
        <f>Table1[[#This Row],[YearsSinceLastPromotion]]</f>
        <v>13</v>
      </c>
      <c r="K877">
        <f>Table1[[#This Row],[EmployeeNumber]]</f>
        <v>1225</v>
      </c>
      <c r="L877">
        <f>Table1[[#This Row],[DistanceFromHome]]</f>
        <v>29</v>
      </c>
      <c r="M877" t="str">
        <f>Table1[[#This Row],[OverTime]]</f>
        <v>No</v>
      </c>
      <c r="N877">
        <f>Table1[[#This Row],[WorkLifeBalance]]</f>
        <v>3</v>
      </c>
      <c r="O877" t="str" cm="1">
        <f t="array" ref="O877">_xlfn.IFS(A877&lt;=30,"18-30",A877&lt;=40,"31-40",A877&lt;=50,"41-50",A877&gt;50,"51+")</f>
        <v>41-50</v>
      </c>
      <c r="P877" t="str" cm="1">
        <f t="array" ref="P877">_xlfn.IFS(F877&lt;=45,"45 or below",F877&lt;= 60,"46-60",F877&lt;=75,"61-75",F877&lt;=90,"76-90",F877&gt;90,"91 or above")</f>
        <v>45 or below</v>
      </c>
      <c r="Q8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77" t="str" cm="1">
        <f t="array" ref="R8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8" spans="1:18" x14ac:dyDescent="0.2">
      <c r="A878">
        <f>Table1[[#This Row],[Age]]</f>
        <v>20</v>
      </c>
      <c r="B878">
        <f>IF(Table3[[#This Row],[Attrition]] = "Yes", 1,0)</f>
        <v>0</v>
      </c>
      <c r="C878" t="str">
        <f>Table1[[#This Row],[Attrition]]</f>
        <v>No</v>
      </c>
      <c r="D878" t="str">
        <f>Table1[[#This Row],[Department]]</f>
        <v>Sales</v>
      </c>
      <c r="E878">
        <f>Table1[[#This Row],[EnvironmentSatisfaction]]</f>
        <v>3</v>
      </c>
      <c r="F878">
        <f>Table1[[#This Row],[HourlyRate]]</f>
        <v>43</v>
      </c>
      <c r="G878" t="str">
        <f>Table1[[#This Row],[JobRole]]</f>
        <v>Sales Representative</v>
      </c>
      <c r="H878">
        <f>Table1[[#This Row],[JobSatisfaction]]</f>
        <v>4</v>
      </c>
      <c r="I878">
        <f>Table1[[#This Row],[YearsAtCompany]]</f>
        <v>2</v>
      </c>
      <c r="J878">
        <f>Table1[[#This Row],[YearsSinceLastPromotion]]</f>
        <v>2</v>
      </c>
      <c r="K878">
        <f>Table1[[#This Row],[EmployeeNumber]]</f>
        <v>1226</v>
      </c>
      <c r="L878">
        <f>Table1[[#This Row],[DistanceFromHome]]</f>
        <v>21</v>
      </c>
      <c r="M878" t="str">
        <f>Table1[[#This Row],[OverTime]]</f>
        <v>No</v>
      </c>
      <c r="N878">
        <f>Table1[[#This Row],[WorkLifeBalance]]</f>
        <v>3</v>
      </c>
      <c r="O878" t="str" cm="1">
        <f t="array" ref="O878">_xlfn.IFS(A878&lt;=30,"18-30",A878&lt;=40,"31-40",A878&lt;=50,"41-50",A878&gt;50,"51+")</f>
        <v>18-30</v>
      </c>
      <c r="P878" t="str" cm="1">
        <f t="array" ref="P878">_xlfn.IFS(F878&lt;=45,"45 or below",F878&lt;= 60,"46-60",F878&lt;=75,"61-75",F878&lt;=90,"76-90",F878&gt;90,"91 or above")</f>
        <v>45 or below</v>
      </c>
      <c r="Q8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78" t="str" cm="1">
        <f t="array" ref="R8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79" spans="1:18" x14ac:dyDescent="0.2">
      <c r="A879">
        <f>Table1[[#This Row],[Age]]</f>
        <v>46</v>
      </c>
      <c r="B879">
        <f>IF(Table3[[#This Row],[Attrition]] = "Yes", 1,0)</f>
        <v>0</v>
      </c>
      <c r="C879" t="str">
        <f>Table1[[#This Row],[Attrition]]</f>
        <v>No</v>
      </c>
      <c r="D879" t="str">
        <f>Table1[[#This Row],[Department]]</f>
        <v>Research &amp; Development</v>
      </c>
      <c r="E879">
        <f>Table1[[#This Row],[EnvironmentSatisfaction]]</f>
        <v>4</v>
      </c>
      <c r="F879">
        <f>Table1[[#This Row],[HourlyRate]]</f>
        <v>60</v>
      </c>
      <c r="G879" t="str">
        <f>Table1[[#This Row],[JobRole]]</f>
        <v>Manufacturing Director</v>
      </c>
      <c r="H879">
        <f>Table1[[#This Row],[JobSatisfaction]]</f>
        <v>4</v>
      </c>
      <c r="I879">
        <f>Table1[[#This Row],[YearsAtCompany]]</f>
        <v>6</v>
      </c>
      <c r="J879">
        <f>Table1[[#This Row],[YearsSinceLastPromotion]]</f>
        <v>1</v>
      </c>
      <c r="K879">
        <f>Table1[[#This Row],[EmployeeNumber]]</f>
        <v>1228</v>
      </c>
      <c r="L879">
        <f>Table1[[#This Row],[DistanceFromHome]]</f>
        <v>2</v>
      </c>
      <c r="M879" t="str">
        <f>Table1[[#This Row],[OverTime]]</f>
        <v>No</v>
      </c>
      <c r="N879">
        <f>Table1[[#This Row],[WorkLifeBalance]]</f>
        <v>2</v>
      </c>
      <c r="O879" t="str" cm="1">
        <f t="array" ref="O879">_xlfn.IFS(A879&lt;=30,"18-30",A879&lt;=40,"31-40",A879&lt;=50,"41-50",A879&gt;50,"51+")</f>
        <v>41-50</v>
      </c>
      <c r="P879" t="str" cm="1">
        <f t="array" ref="P879">_xlfn.IFS(F879&lt;=45,"45 or below",F879&lt;= 60,"46-60",F879&lt;=75,"61-75",F879&lt;=90,"76-90",F879&gt;90,"91 or above")</f>
        <v>46-60</v>
      </c>
      <c r="Q8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79" t="str" cm="1">
        <f t="array" ref="R87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80" spans="1:18" x14ac:dyDescent="0.2">
      <c r="A880">
        <f>Table1[[#This Row],[Age]]</f>
        <v>42</v>
      </c>
      <c r="B880">
        <f>IF(Table3[[#This Row],[Attrition]] = "Yes", 1,0)</f>
        <v>0</v>
      </c>
      <c r="C880" t="str">
        <f>Table1[[#This Row],[Attrition]]</f>
        <v>No</v>
      </c>
      <c r="D880" t="str">
        <f>Table1[[#This Row],[Department]]</f>
        <v>Human Resources</v>
      </c>
      <c r="E880">
        <f>Table1[[#This Row],[EnvironmentSatisfaction]]</f>
        <v>4</v>
      </c>
      <c r="F880">
        <f>Table1[[#This Row],[HourlyRate]]</f>
        <v>79</v>
      </c>
      <c r="G880" t="str">
        <f>Table1[[#This Row],[JobRole]]</f>
        <v>Human Resources</v>
      </c>
      <c r="H880">
        <f>Table1[[#This Row],[JobSatisfaction]]</f>
        <v>1</v>
      </c>
      <c r="I880">
        <f>Table1[[#This Row],[YearsAtCompany]]</f>
        <v>4</v>
      </c>
      <c r="J880">
        <f>Table1[[#This Row],[YearsSinceLastPromotion]]</f>
        <v>0</v>
      </c>
      <c r="K880">
        <f>Table1[[#This Row],[EmployeeNumber]]</f>
        <v>1231</v>
      </c>
      <c r="L880">
        <f>Table1[[#This Row],[DistanceFromHome]]</f>
        <v>2</v>
      </c>
      <c r="M880" t="str">
        <f>Table1[[#This Row],[OverTime]]</f>
        <v>No</v>
      </c>
      <c r="N880">
        <f>Table1[[#This Row],[WorkLifeBalance]]</f>
        <v>4</v>
      </c>
      <c r="O880" t="str" cm="1">
        <f t="array" ref="O880">_xlfn.IFS(A880&lt;=30,"18-30",A880&lt;=40,"31-40",A880&lt;=50,"41-50",A880&gt;50,"51+")</f>
        <v>41-50</v>
      </c>
      <c r="P880" t="str" cm="1">
        <f t="array" ref="P880">_xlfn.IFS(F880&lt;=45,"45 or below",F880&lt;= 60,"46-60",F880&lt;=75,"61-75",F880&lt;=90,"76-90",F880&gt;90,"91 or above")</f>
        <v>76-90</v>
      </c>
      <c r="Q8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80" t="str" cm="1">
        <f t="array" ref="R8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81" spans="1:18" x14ac:dyDescent="0.2">
      <c r="A881">
        <f>Table1[[#This Row],[Age]]</f>
        <v>60</v>
      </c>
      <c r="B881">
        <f>IF(Table3[[#This Row],[Attrition]] = "Yes", 1,0)</f>
        <v>0</v>
      </c>
      <c r="C881" t="str">
        <f>Table1[[#This Row],[Attrition]]</f>
        <v>No</v>
      </c>
      <c r="D881" t="str">
        <f>Table1[[#This Row],[Department]]</f>
        <v>Sales</v>
      </c>
      <c r="E881">
        <f>Table1[[#This Row],[EnvironmentSatisfaction]]</f>
        <v>2</v>
      </c>
      <c r="F881">
        <f>Table1[[#This Row],[HourlyRate]]</f>
        <v>52</v>
      </c>
      <c r="G881" t="str">
        <f>Table1[[#This Row],[JobRole]]</f>
        <v>Sales Executive</v>
      </c>
      <c r="H881">
        <f>Table1[[#This Row],[JobSatisfaction]]</f>
        <v>4</v>
      </c>
      <c r="I881">
        <f>Table1[[#This Row],[YearsAtCompany]]</f>
        <v>11</v>
      </c>
      <c r="J881">
        <f>Table1[[#This Row],[YearsSinceLastPromotion]]</f>
        <v>1</v>
      </c>
      <c r="K881">
        <f>Table1[[#This Row],[EmployeeNumber]]</f>
        <v>1233</v>
      </c>
      <c r="L881">
        <f>Table1[[#This Row],[DistanceFromHome]]</f>
        <v>7</v>
      </c>
      <c r="M881" t="str">
        <f>Table1[[#This Row],[OverTime]]</f>
        <v>Yes</v>
      </c>
      <c r="N881">
        <f>Table1[[#This Row],[WorkLifeBalance]]</f>
        <v>3</v>
      </c>
      <c r="O881" t="str" cm="1">
        <f t="array" ref="O881">_xlfn.IFS(A881&lt;=30,"18-30",A881&lt;=40,"31-40",A881&lt;=50,"41-50",A881&gt;50,"51+")</f>
        <v>51+</v>
      </c>
      <c r="P881" t="str" cm="1">
        <f t="array" ref="P881">_xlfn.IFS(F881&lt;=45,"45 or below",F881&lt;= 60,"46-60",F881&lt;=75,"61-75",F881&lt;=90,"76-90",F881&gt;90,"91 or above")</f>
        <v>46-60</v>
      </c>
      <c r="Q8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81" t="str" cm="1">
        <f t="array" ref="R88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82" spans="1:18" x14ac:dyDescent="0.2">
      <c r="A882">
        <f>Table1[[#This Row],[Age]]</f>
        <v>32</v>
      </c>
      <c r="B882">
        <f>IF(Table3[[#This Row],[Attrition]] = "Yes", 1,0)</f>
        <v>0</v>
      </c>
      <c r="C882" t="str">
        <f>Table1[[#This Row],[Attrition]]</f>
        <v>No</v>
      </c>
      <c r="D882" t="str">
        <f>Table1[[#This Row],[Department]]</f>
        <v>Research &amp; Development</v>
      </c>
      <c r="E882">
        <f>Table1[[#This Row],[EnvironmentSatisfaction]]</f>
        <v>3</v>
      </c>
      <c r="F882">
        <f>Table1[[#This Row],[HourlyRate]]</f>
        <v>77</v>
      </c>
      <c r="G882" t="str">
        <f>Table1[[#This Row],[JobRole]]</f>
        <v>Laboratory Technician</v>
      </c>
      <c r="H882">
        <f>Table1[[#This Row],[JobSatisfaction]]</f>
        <v>2</v>
      </c>
      <c r="I882">
        <f>Table1[[#This Row],[YearsAtCompany]]</f>
        <v>2</v>
      </c>
      <c r="J882">
        <f>Table1[[#This Row],[YearsSinceLastPromotion]]</f>
        <v>2</v>
      </c>
      <c r="K882">
        <f>Table1[[#This Row],[EmployeeNumber]]</f>
        <v>1234</v>
      </c>
      <c r="L882">
        <f>Table1[[#This Row],[DistanceFromHome]]</f>
        <v>13</v>
      </c>
      <c r="M882" t="str">
        <f>Table1[[#This Row],[OverTime]]</f>
        <v>No</v>
      </c>
      <c r="N882">
        <f>Table1[[#This Row],[WorkLifeBalance]]</f>
        <v>3</v>
      </c>
      <c r="O882" t="str" cm="1">
        <f t="array" ref="O882">_xlfn.IFS(A882&lt;=30,"18-30",A882&lt;=40,"31-40",A882&lt;=50,"41-50",A882&gt;50,"51+")</f>
        <v>31-40</v>
      </c>
      <c r="P882" t="str" cm="1">
        <f t="array" ref="P882">_xlfn.IFS(F882&lt;=45,"45 or below",F882&lt;= 60,"46-60",F882&lt;=75,"61-75",F882&lt;=90,"76-90",F882&gt;90,"91 or above")</f>
        <v>76-90</v>
      </c>
      <c r="Q8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82" t="str" cm="1">
        <f t="array" ref="R88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83" spans="1:18" x14ac:dyDescent="0.2">
      <c r="A883">
        <f>Table1[[#This Row],[Age]]</f>
        <v>32</v>
      </c>
      <c r="B883">
        <f>IF(Table3[[#This Row],[Attrition]] = "Yes", 1,0)</f>
        <v>0</v>
      </c>
      <c r="C883" t="str">
        <f>Table1[[#This Row],[Attrition]]</f>
        <v>No</v>
      </c>
      <c r="D883" t="str">
        <f>Table1[[#This Row],[Department]]</f>
        <v>Research &amp; Development</v>
      </c>
      <c r="E883">
        <f>Table1[[#This Row],[EnvironmentSatisfaction]]</f>
        <v>4</v>
      </c>
      <c r="F883">
        <f>Table1[[#This Row],[HourlyRate]]</f>
        <v>38</v>
      </c>
      <c r="G883" t="str">
        <f>Table1[[#This Row],[JobRole]]</f>
        <v>Research Scientist</v>
      </c>
      <c r="H883">
        <f>Table1[[#This Row],[JobSatisfaction]]</f>
        <v>3</v>
      </c>
      <c r="I883">
        <f>Table1[[#This Row],[YearsAtCompany]]</f>
        <v>8</v>
      </c>
      <c r="J883">
        <f>Table1[[#This Row],[YearsSinceLastPromotion]]</f>
        <v>0</v>
      </c>
      <c r="K883">
        <f>Table1[[#This Row],[EmployeeNumber]]</f>
        <v>1235</v>
      </c>
      <c r="L883">
        <f>Table1[[#This Row],[DistanceFromHome]]</f>
        <v>2</v>
      </c>
      <c r="M883" t="str">
        <f>Table1[[#This Row],[OverTime]]</f>
        <v>Yes</v>
      </c>
      <c r="N883">
        <f>Table1[[#This Row],[WorkLifeBalance]]</f>
        <v>3</v>
      </c>
      <c r="O883" t="str" cm="1">
        <f t="array" ref="O883">_xlfn.IFS(A883&lt;=30,"18-30",A883&lt;=40,"31-40",A883&lt;=50,"41-50",A883&gt;50,"51+")</f>
        <v>31-40</v>
      </c>
      <c r="P883" t="str" cm="1">
        <f t="array" ref="P883">_xlfn.IFS(F883&lt;=45,"45 or below",F883&lt;= 60,"46-60",F883&lt;=75,"61-75",F883&lt;=90,"76-90",F883&gt;90,"91 or above")</f>
        <v>45 or below</v>
      </c>
      <c r="Q8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83" t="str" cm="1">
        <f t="array" ref="R883" xml:space="preserve"> _xlfn.IFS(Table3[[#This Row],[Flight Risk Score]] = "NA","NA",Table3[[#This Row],[Flight Risk Score]] &gt;= 70,"High Risk",Table3[[#This Row],[Flight Risk Score]] &gt;= 50, "Medium Risk", Table3[[#This Row],[Flight Risk Score]] &gt;= 30,"Low Risk",Table3[[#This Row],[Flight Risk Score]] &lt; 30,"Very Low Risk")</f>
        <v>Low Risk</v>
      </c>
    </row>
    <row r="884" spans="1:18" x14ac:dyDescent="0.2">
      <c r="A884">
        <f>Table1[[#This Row],[Age]]</f>
        <v>36</v>
      </c>
      <c r="B884">
        <f>IF(Table3[[#This Row],[Attrition]] = "Yes", 1,0)</f>
        <v>0</v>
      </c>
      <c r="C884" t="str">
        <f>Table1[[#This Row],[Attrition]]</f>
        <v>No</v>
      </c>
      <c r="D884" t="str">
        <f>Table1[[#This Row],[Department]]</f>
        <v>Research &amp; Development</v>
      </c>
      <c r="E884">
        <f>Table1[[#This Row],[EnvironmentSatisfaction]]</f>
        <v>3</v>
      </c>
      <c r="F884">
        <f>Table1[[#This Row],[HourlyRate]]</f>
        <v>77</v>
      </c>
      <c r="G884" t="str">
        <f>Table1[[#This Row],[JobRole]]</f>
        <v>Manufacturing Director</v>
      </c>
      <c r="H884">
        <f>Table1[[#This Row],[JobSatisfaction]]</f>
        <v>1</v>
      </c>
      <c r="I884">
        <f>Table1[[#This Row],[YearsAtCompany]]</f>
        <v>7</v>
      </c>
      <c r="J884">
        <f>Table1[[#This Row],[YearsSinceLastPromotion]]</f>
        <v>7</v>
      </c>
      <c r="K884">
        <f>Table1[[#This Row],[EmployeeNumber]]</f>
        <v>1237</v>
      </c>
      <c r="L884">
        <f>Table1[[#This Row],[DistanceFromHome]]</f>
        <v>1</v>
      </c>
      <c r="M884" t="str">
        <f>Table1[[#This Row],[OverTime]]</f>
        <v>Yes</v>
      </c>
      <c r="N884">
        <f>Table1[[#This Row],[WorkLifeBalance]]</f>
        <v>3</v>
      </c>
      <c r="O884" t="str" cm="1">
        <f t="array" ref="O884">_xlfn.IFS(A884&lt;=30,"18-30",A884&lt;=40,"31-40",A884&lt;=50,"41-50",A884&gt;50,"51+")</f>
        <v>31-40</v>
      </c>
      <c r="P884" t="str" cm="1">
        <f t="array" ref="P884">_xlfn.IFS(F884&lt;=45,"45 or below",F884&lt;= 60,"46-60",F884&lt;=75,"61-75",F884&lt;=90,"76-90",F884&gt;90,"91 or above")</f>
        <v>76-90</v>
      </c>
      <c r="Q8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84" t="str" cm="1">
        <f t="array" ref="R88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85" spans="1:18" x14ac:dyDescent="0.2">
      <c r="A885">
        <f>Table1[[#This Row],[Age]]</f>
        <v>33</v>
      </c>
      <c r="B885">
        <f>IF(Table3[[#This Row],[Attrition]] = "Yes", 1,0)</f>
        <v>0</v>
      </c>
      <c r="C885" t="str">
        <f>Table1[[#This Row],[Attrition]]</f>
        <v>No</v>
      </c>
      <c r="D885" t="str">
        <f>Table1[[#This Row],[Department]]</f>
        <v>Research &amp; Development</v>
      </c>
      <c r="E885">
        <f>Table1[[#This Row],[EnvironmentSatisfaction]]</f>
        <v>1</v>
      </c>
      <c r="F885">
        <f>Table1[[#This Row],[HourlyRate]]</f>
        <v>60</v>
      </c>
      <c r="G885" t="str">
        <f>Table1[[#This Row],[JobRole]]</f>
        <v>Research Scientist</v>
      </c>
      <c r="H885">
        <f>Table1[[#This Row],[JobSatisfaction]]</f>
        <v>4</v>
      </c>
      <c r="I885">
        <f>Table1[[#This Row],[YearsAtCompany]]</f>
        <v>14</v>
      </c>
      <c r="J885">
        <f>Table1[[#This Row],[YearsSinceLastPromotion]]</f>
        <v>4</v>
      </c>
      <c r="K885">
        <f>Table1[[#This Row],[EmployeeNumber]]</f>
        <v>1238</v>
      </c>
      <c r="L885">
        <f>Table1[[#This Row],[DistanceFromHome]]</f>
        <v>9</v>
      </c>
      <c r="M885" t="str">
        <f>Table1[[#This Row],[OverTime]]</f>
        <v>No</v>
      </c>
      <c r="N885">
        <f>Table1[[#This Row],[WorkLifeBalance]]</f>
        <v>3</v>
      </c>
      <c r="O885" t="str" cm="1">
        <f t="array" ref="O885">_xlfn.IFS(A885&lt;=30,"18-30",A885&lt;=40,"31-40",A885&lt;=50,"41-50",A885&gt;50,"51+")</f>
        <v>31-40</v>
      </c>
      <c r="P885" t="str" cm="1">
        <f t="array" ref="P885">_xlfn.IFS(F885&lt;=45,"45 or below",F885&lt;= 60,"46-60",F885&lt;=75,"61-75",F885&lt;=90,"76-90",F885&gt;90,"91 or above")</f>
        <v>46-60</v>
      </c>
      <c r="Q8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85" t="str" cm="1">
        <f t="array" ref="R8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86" spans="1:18" x14ac:dyDescent="0.2">
      <c r="A886">
        <f>Table1[[#This Row],[Age]]</f>
        <v>40</v>
      </c>
      <c r="B886">
        <f>IF(Table3[[#This Row],[Attrition]] = "Yes", 1,0)</f>
        <v>0</v>
      </c>
      <c r="C886" t="str">
        <f>Table1[[#This Row],[Attrition]]</f>
        <v>No</v>
      </c>
      <c r="D886" t="str">
        <f>Table1[[#This Row],[Department]]</f>
        <v>Sales</v>
      </c>
      <c r="E886">
        <f>Table1[[#This Row],[EnvironmentSatisfaction]]</f>
        <v>2</v>
      </c>
      <c r="F886">
        <f>Table1[[#This Row],[HourlyRate]]</f>
        <v>84</v>
      </c>
      <c r="G886" t="str">
        <f>Table1[[#This Row],[JobRole]]</f>
        <v>Sales Executive</v>
      </c>
      <c r="H886">
        <f>Table1[[#This Row],[JobSatisfaction]]</f>
        <v>2</v>
      </c>
      <c r="I886">
        <f>Table1[[#This Row],[YearsAtCompany]]</f>
        <v>5</v>
      </c>
      <c r="J886">
        <f>Table1[[#This Row],[YearsSinceLastPromotion]]</f>
        <v>1</v>
      </c>
      <c r="K886">
        <f>Table1[[#This Row],[EmployeeNumber]]</f>
        <v>1239</v>
      </c>
      <c r="L886">
        <f>Table1[[#This Row],[DistanceFromHome]]</f>
        <v>10</v>
      </c>
      <c r="M886" t="str">
        <f>Table1[[#This Row],[OverTime]]</f>
        <v>No</v>
      </c>
      <c r="N886">
        <f>Table1[[#This Row],[WorkLifeBalance]]</f>
        <v>4</v>
      </c>
      <c r="O886" t="str" cm="1">
        <f t="array" ref="O886">_xlfn.IFS(A886&lt;=30,"18-30",A886&lt;=40,"31-40",A886&lt;=50,"41-50",A886&gt;50,"51+")</f>
        <v>31-40</v>
      </c>
      <c r="P886" t="str" cm="1">
        <f t="array" ref="P886">_xlfn.IFS(F886&lt;=45,"45 or below",F886&lt;= 60,"46-60",F886&lt;=75,"61-75",F886&lt;=90,"76-90",F886&gt;90,"91 or above")</f>
        <v>76-90</v>
      </c>
      <c r="Q8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886" t="str" cm="1">
        <f t="array" ref="R886" xml:space="preserve"> _xlfn.IFS(Table3[[#This Row],[Flight Risk Score]] = "NA","NA",Table3[[#This Row],[Flight Risk Score]] &gt;= 70,"High Risk",Table3[[#This Row],[Flight Risk Score]] &gt;= 50, "Medium Risk", Table3[[#This Row],[Flight Risk Score]] &gt;= 30,"Low Risk",Table3[[#This Row],[Flight Risk Score]] &lt; 30,"Very Low Risk")</f>
        <v>Low Risk</v>
      </c>
    </row>
    <row r="887" spans="1:18" x14ac:dyDescent="0.2">
      <c r="A887">
        <f>Table1[[#This Row],[Age]]</f>
        <v>25</v>
      </c>
      <c r="B887">
        <f>IF(Table3[[#This Row],[Attrition]] = "Yes", 1,0)</f>
        <v>0</v>
      </c>
      <c r="C887" t="str">
        <f>Table1[[#This Row],[Attrition]]</f>
        <v>No</v>
      </c>
      <c r="D887" t="str">
        <f>Table1[[#This Row],[Department]]</f>
        <v>Sales</v>
      </c>
      <c r="E887">
        <f>Table1[[#This Row],[EnvironmentSatisfaction]]</f>
        <v>3</v>
      </c>
      <c r="F887">
        <f>Table1[[#This Row],[HourlyRate]]</f>
        <v>57</v>
      </c>
      <c r="G887" t="str">
        <f>Table1[[#This Row],[JobRole]]</f>
        <v>Sales Executive</v>
      </c>
      <c r="H887">
        <f>Table1[[#This Row],[JobSatisfaction]]</f>
        <v>4</v>
      </c>
      <c r="I887">
        <f>Table1[[#This Row],[YearsAtCompany]]</f>
        <v>4</v>
      </c>
      <c r="J887">
        <f>Table1[[#This Row],[YearsSinceLastPromotion]]</f>
        <v>1</v>
      </c>
      <c r="K887">
        <f>Table1[[#This Row],[EmployeeNumber]]</f>
        <v>1240</v>
      </c>
      <c r="L887">
        <f>Table1[[#This Row],[DistanceFromHome]]</f>
        <v>10</v>
      </c>
      <c r="M887" t="str">
        <f>Table1[[#This Row],[OverTime]]</f>
        <v>No</v>
      </c>
      <c r="N887">
        <f>Table1[[#This Row],[WorkLifeBalance]]</f>
        <v>3</v>
      </c>
      <c r="O887" t="str" cm="1">
        <f t="array" ref="O887">_xlfn.IFS(A887&lt;=30,"18-30",A887&lt;=40,"31-40",A887&lt;=50,"41-50",A887&gt;50,"51+")</f>
        <v>18-30</v>
      </c>
      <c r="P887" t="str" cm="1">
        <f t="array" ref="P887">_xlfn.IFS(F887&lt;=45,"45 or below",F887&lt;= 60,"46-60",F887&lt;=75,"61-75",F887&lt;=90,"76-90",F887&gt;90,"91 or above")</f>
        <v>46-60</v>
      </c>
      <c r="Q8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87" t="str" cm="1">
        <f t="array" ref="R8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88" spans="1:18" x14ac:dyDescent="0.2">
      <c r="A888">
        <f>Table1[[#This Row],[Age]]</f>
        <v>30</v>
      </c>
      <c r="B888">
        <f>IF(Table3[[#This Row],[Attrition]] = "Yes", 1,0)</f>
        <v>0</v>
      </c>
      <c r="C888" t="str">
        <f>Table1[[#This Row],[Attrition]]</f>
        <v>No</v>
      </c>
      <c r="D888" t="str">
        <f>Table1[[#This Row],[Department]]</f>
        <v>Research &amp; Development</v>
      </c>
      <c r="E888">
        <f>Table1[[#This Row],[EnvironmentSatisfaction]]</f>
        <v>4</v>
      </c>
      <c r="F888">
        <f>Table1[[#This Row],[HourlyRate]]</f>
        <v>63</v>
      </c>
      <c r="G888" t="str">
        <f>Table1[[#This Row],[JobRole]]</f>
        <v>Research Scientist</v>
      </c>
      <c r="H888">
        <f>Table1[[#This Row],[JobSatisfaction]]</f>
        <v>2</v>
      </c>
      <c r="I888">
        <f>Table1[[#This Row],[YearsAtCompany]]</f>
        <v>11</v>
      </c>
      <c r="J888">
        <f>Table1[[#This Row],[YearsSinceLastPromotion]]</f>
        <v>5</v>
      </c>
      <c r="K888">
        <f>Table1[[#This Row],[EmployeeNumber]]</f>
        <v>1241</v>
      </c>
      <c r="L888">
        <f>Table1[[#This Row],[DistanceFromHome]]</f>
        <v>1</v>
      </c>
      <c r="M888" t="str">
        <f>Table1[[#This Row],[OverTime]]</f>
        <v>Yes</v>
      </c>
      <c r="N888">
        <f>Table1[[#This Row],[WorkLifeBalance]]</f>
        <v>3</v>
      </c>
      <c r="O888" t="str" cm="1">
        <f t="array" ref="O888">_xlfn.IFS(A888&lt;=30,"18-30",A888&lt;=40,"31-40",A888&lt;=50,"41-50",A888&gt;50,"51+")</f>
        <v>18-30</v>
      </c>
      <c r="P888" t="str" cm="1">
        <f t="array" ref="P888">_xlfn.IFS(F888&lt;=45,"45 or below",F888&lt;= 60,"46-60",F888&lt;=75,"61-75",F888&lt;=90,"76-90",F888&gt;90,"91 or above")</f>
        <v>61-75</v>
      </c>
      <c r="Q8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88" t="str" cm="1">
        <f t="array" ref="R88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89" spans="1:18" x14ac:dyDescent="0.2">
      <c r="A889">
        <f>Table1[[#This Row],[Age]]</f>
        <v>42</v>
      </c>
      <c r="B889">
        <f>IF(Table3[[#This Row],[Attrition]] = "Yes", 1,0)</f>
        <v>0</v>
      </c>
      <c r="C889" t="str">
        <f>Table1[[#This Row],[Attrition]]</f>
        <v>No</v>
      </c>
      <c r="D889" t="str">
        <f>Table1[[#This Row],[Department]]</f>
        <v>Research &amp; Development</v>
      </c>
      <c r="E889">
        <f>Table1[[#This Row],[EnvironmentSatisfaction]]</f>
        <v>1</v>
      </c>
      <c r="F889">
        <f>Table1[[#This Row],[HourlyRate]]</f>
        <v>60</v>
      </c>
      <c r="G889" t="str">
        <f>Table1[[#This Row],[JobRole]]</f>
        <v>Research Director</v>
      </c>
      <c r="H889">
        <f>Table1[[#This Row],[JobSatisfaction]]</f>
        <v>1</v>
      </c>
      <c r="I889">
        <f>Table1[[#This Row],[YearsAtCompany]]</f>
        <v>1</v>
      </c>
      <c r="J889">
        <f>Table1[[#This Row],[YearsSinceLastPromotion]]</f>
        <v>0</v>
      </c>
      <c r="K889">
        <f>Table1[[#This Row],[EmployeeNumber]]</f>
        <v>1242</v>
      </c>
      <c r="L889">
        <f>Table1[[#This Row],[DistanceFromHome]]</f>
        <v>26</v>
      </c>
      <c r="M889" t="str">
        <f>Table1[[#This Row],[OverTime]]</f>
        <v>Yes</v>
      </c>
      <c r="N889">
        <f>Table1[[#This Row],[WorkLifeBalance]]</f>
        <v>3</v>
      </c>
      <c r="O889" t="str" cm="1">
        <f t="array" ref="O889">_xlfn.IFS(A889&lt;=30,"18-30",A889&lt;=40,"31-40",A889&lt;=50,"41-50",A889&gt;50,"51+")</f>
        <v>41-50</v>
      </c>
      <c r="P889" t="str" cm="1">
        <f t="array" ref="P889">_xlfn.IFS(F889&lt;=45,"45 or below",F889&lt;= 60,"46-60",F889&lt;=75,"61-75",F889&lt;=90,"76-90",F889&gt;90,"91 or above")</f>
        <v>46-60</v>
      </c>
      <c r="Q8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889" t="str" cm="1">
        <f t="array" ref="R88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90" spans="1:18" x14ac:dyDescent="0.2">
      <c r="A890">
        <f>Table1[[#This Row],[Age]]</f>
        <v>35</v>
      </c>
      <c r="B890">
        <f>IF(Table3[[#This Row],[Attrition]] = "Yes", 1,0)</f>
        <v>0</v>
      </c>
      <c r="C890" t="str">
        <f>Table1[[#This Row],[Attrition]]</f>
        <v>No</v>
      </c>
      <c r="D890" t="str">
        <f>Table1[[#This Row],[Department]]</f>
        <v>Sales</v>
      </c>
      <c r="E890">
        <f>Table1[[#This Row],[EnvironmentSatisfaction]]</f>
        <v>3</v>
      </c>
      <c r="F890">
        <f>Table1[[#This Row],[HourlyRate]]</f>
        <v>78</v>
      </c>
      <c r="G890" t="str">
        <f>Table1[[#This Row],[JobRole]]</f>
        <v>Sales Executive</v>
      </c>
      <c r="H890">
        <f>Table1[[#This Row],[JobSatisfaction]]</f>
        <v>4</v>
      </c>
      <c r="I890">
        <f>Table1[[#This Row],[YearsAtCompany]]</f>
        <v>13</v>
      </c>
      <c r="J890">
        <f>Table1[[#This Row],[YearsSinceLastPromotion]]</f>
        <v>4</v>
      </c>
      <c r="K890">
        <f>Table1[[#This Row],[EmployeeNumber]]</f>
        <v>1243</v>
      </c>
      <c r="L890">
        <f>Table1[[#This Row],[DistanceFromHome]]</f>
        <v>8</v>
      </c>
      <c r="M890" t="str">
        <f>Table1[[#This Row],[OverTime]]</f>
        <v>Yes</v>
      </c>
      <c r="N890">
        <f>Table1[[#This Row],[WorkLifeBalance]]</f>
        <v>2</v>
      </c>
      <c r="O890" t="str" cm="1">
        <f t="array" ref="O890">_xlfn.IFS(A890&lt;=30,"18-30",A890&lt;=40,"31-40",A890&lt;=50,"41-50",A890&gt;50,"51+")</f>
        <v>31-40</v>
      </c>
      <c r="P890" t="str" cm="1">
        <f t="array" ref="P890">_xlfn.IFS(F890&lt;=45,"45 or below",F890&lt;= 60,"46-60",F890&lt;=75,"61-75",F890&lt;=90,"76-90",F890&gt;90,"91 or above")</f>
        <v>76-90</v>
      </c>
      <c r="Q8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90" t="str" cm="1">
        <f t="array" ref="R890" xml:space="preserve"> _xlfn.IFS(Table3[[#This Row],[Flight Risk Score]] = "NA","NA",Table3[[#This Row],[Flight Risk Score]] &gt;= 70,"High Risk",Table3[[#This Row],[Flight Risk Score]] &gt;= 50, "Medium Risk", Table3[[#This Row],[Flight Risk Score]] &gt;= 30,"Low Risk",Table3[[#This Row],[Flight Risk Score]] &lt; 30,"Very Low Risk")</f>
        <v>Low Risk</v>
      </c>
    </row>
    <row r="891" spans="1:18" x14ac:dyDescent="0.2">
      <c r="A891">
        <f>Table1[[#This Row],[Age]]</f>
        <v>27</v>
      </c>
      <c r="B891">
        <f>IF(Table3[[#This Row],[Attrition]] = "Yes", 1,0)</f>
        <v>0</v>
      </c>
      <c r="C891" t="str">
        <f>Table1[[#This Row],[Attrition]]</f>
        <v>No</v>
      </c>
      <c r="D891" t="str">
        <f>Table1[[#This Row],[Department]]</f>
        <v>Research &amp; Development</v>
      </c>
      <c r="E891">
        <f>Table1[[#This Row],[EnvironmentSatisfaction]]</f>
        <v>1</v>
      </c>
      <c r="F891">
        <f>Table1[[#This Row],[HourlyRate]]</f>
        <v>42</v>
      </c>
      <c r="G891" t="str">
        <f>Table1[[#This Row],[JobRole]]</f>
        <v>Research Scientist</v>
      </c>
      <c r="H891">
        <f>Table1[[#This Row],[JobSatisfaction]]</f>
        <v>1</v>
      </c>
      <c r="I891">
        <f>Table1[[#This Row],[YearsAtCompany]]</f>
        <v>9</v>
      </c>
      <c r="J891">
        <f>Table1[[#This Row],[YearsSinceLastPromotion]]</f>
        <v>6</v>
      </c>
      <c r="K891">
        <f>Table1[[#This Row],[EmployeeNumber]]</f>
        <v>1244</v>
      </c>
      <c r="L891">
        <f>Table1[[#This Row],[DistanceFromHome]]</f>
        <v>14</v>
      </c>
      <c r="M891" t="str">
        <f>Table1[[#This Row],[OverTime]]</f>
        <v>Yes</v>
      </c>
      <c r="N891">
        <f>Table1[[#This Row],[WorkLifeBalance]]</f>
        <v>2</v>
      </c>
      <c r="O891" t="str" cm="1">
        <f t="array" ref="O891">_xlfn.IFS(A891&lt;=30,"18-30",A891&lt;=40,"31-40",A891&lt;=50,"41-50",A891&gt;50,"51+")</f>
        <v>18-30</v>
      </c>
      <c r="P891" t="str" cm="1">
        <f t="array" ref="P891">_xlfn.IFS(F891&lt;=45,"45 or below",F891&lt;= 60,"46-60",F891&lt;=75,"61-75",F891&lt;=90,"76-90",F891&gt;90,"91 or above")</f>
        <v>45 or below</v>
      </c>
      <c r="Q8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891" t="str" cm="1">
        <f t="array" ref="R89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92" spans="1:18" x14ac:dyDescent="0.2">
      <c r="A892">
        <f>Table1[[#This Row],[Age]]</f>
        <v>54</v>
      </c>
      <c r="B892">
        <f>IF(Table3[[#This Row],[Attrition]] = "Yes", 1,0)</f>
        <v>0</v>
      </c>
      <c r="C892" t="str">
        <f>Table1[[#This Row],[Attrition]]</f>
        <v>No</v>
      </c>
      <c r="D892" t="str">
        <f>Table1[[#This Row],[Department]]</f>
        <v>Research &amp; Development</v>
      </c>
      <c r="E892">
        <f>Table1[[#This Row],[EnvironmentSatisfaction]]</f>
        <v>4</v>
      </c>
      <c r="F892">
        <f>Table1[[#This Row],[HourlyRate]]</f>
        <v>53</v>
      </c>
      <c r="G892" t="str">
        <f>Table1[[#This Row],[JobRole]]</f>
        <v>Manufacturing Director</v>
      </c>
      <c r="H892">
        <f>Table1[[#This Row],[JobSatisfaction]]</f>
        <v>3</v>
      </c>
      <c r="I892">
        <f>Table1[[#This Row],[YearsAtCompany]]</f>
        <v>5</v>
      </c>
      <c r="J892">
        <f>Table1[[#This Row],[YearsSinceLastPromotion]]</f>
        <v>1</v>
      </c>
      <c r="K892">
        <f>Table1[[#This Row],[EmployeeNumber]]</f>
        <v>1245</v>
      </c>
      <c r="L892">
        <f>Table1[[#This Row],[DistanceFromHome]]</f>
        <v>1</v>
      </c>
      <c r="M892" t="str">
        <f>Table1[[#This Row],[OverTime]]</f>
        <v>No</v>
      </c>
      <c r="N892">
        <f>Table1[[#This Row],[WorkLifeBalance]]</f>
        <v>1</v>
      </c>
      <c r="O892" t="str" cm="1">
        <f t="array" ref="O892">_xlfn.IFS(A892&lt;=30,"18-30",A892&lt;=40,"31-40",A892&lt;=50,"41-50",A892&gt;50,"51+")</f>
        <v>51+</v>
      </c>
      <c r="P892" t="str" cm="1">
        <f t="array" ref="P892">_xlfn.IFS(F892&lt;=45,"45 or below",F892&lt;= 60,"46-60",F892&lt;=75,"61-75",F892&lt;=90,"76-90",F892&gt;90,"91 or above")</f>
        <v>46-60</v>
      </c>
      <c r="Q8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892" t="str" cm="1">
        <f t="array" ref="R892" xml:space="preserve"> _xlfn.IFS(Table3[[#This Row],[Flight Risk Score]] = "NA","NA",Table3[[#This Row],[Flight Risk Score]] &gt;= 70,"High Risk",Table3[[#This Row],[Flight Risk Score]] &gt;= 50, "Medium Risk", Table3[[#This Row],[Flight Risk Score]] &gt;= 30,"Low Risk",Table3[[#This Row],[Flight Risk Score]] &lt; 30,"Very Low Risk")</f>
        <v>Low Risk</v>
      </c>
    </row>
    <row r="893" spans="1:18" x14ac:dyDescent="0.2">
      <c r="A893">
        <f>Table1[[#This Row],[Age]]</f>
        <v>44</v>
      </c>
      <c r="B893">
        <f>IF(Table3[[#This Row],[Attrition]] = "Yes", 1,0)</f>
        <v>0</v>
      </c>
      <c r="C893" t="str">
        <f>Table1[[#This Row],[Attrition]]</f>
        <v>No</v>
      </c>
      <c r="D893" t="str">
        <f>Table1[[#This Row],[Department]]</f>
        <v>Research &amp; Development</v>
      </c>
      <c r="E893">
        <f>Table1[[#This Row],[EnvironmentSatisfaction]]</f>
        <v>1</v>
      </c>
      <c r="F893">
        <f>Table1[[#This Row],[HourlyRate]]</f>
        <v>72</v>
      </c>
      <c r="G893" t="str">
        <f>Table1[[#This Row],[JobRole]]</f>
        <v>Research Scientist</v>
      </c>
      <c r="H893">
        <f>Table1[[#This Row],[JobSatisfaction]]</f>
        <v>4</v>
      </c>
      <c r="I893">
        <f>Table1[[#This Row],[YearsAtCompany]]</f>
        <v>10</v>
      </c>
      <c r="J893">
        <f>Table1[[#This Row],[YearsSinceLastPromotion]]</f>
        <v>7</v>
      </c>
      <c r="K893">
        <f>Table1[[#This Row],[EmployeeNumber]]</f>
        <v>1246</v>
      </c>
      <c r="L893">
        <f>Table1[[#This Row],[DistanceFromHome]]</f>
        <v>2</v>
      </c>
      <c r="M893" t="str">
        <f>Table1[[#This Row],[OverTime]]</f>
        <v>No</v>
      </c>
      <c r="N893">
        <f>Table1[[#This Row],[WorkLifeBalance]]</f>
        <v>3</v>
      </c>
      <c r="O893" t="str" cm="1">
        <f t="array" ref="O893">_xlfn.IFS(A893&lt;=30,"18-30",A893&lt;=40,"31-40",A893&lt;=50,"41-50",A893&gt;50,"51+")</f>
        <v>41-50</v>
      </c>
      <c r="P893" t="str" cm="1">
        <f t="array" ref="P893">_xlfn.IFS(F893&lt;=45,"45 or below",F893&lt;= 60,"46-60",F893&lt;=75,"61-75",F893&lt;=90,"76-90",F893&gt;90,"91 or above")</f>
        <v>61-75</v>
      </c>
      <c r="Q8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93" t="str" cm="1">
        <f t="array" ref="R89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94" spans="1:18" hidden="1" x14ac:dyDescent="0.2">
      <c r="A894">
        <f>Table1[[#This Row],[Age]]</f>
        <v>19</v>
      </c>
      <c r="B894">
        <f>IF(Table3[[#This Row],[Attrition]] = "Yes", 1,0)</f>
        <v>1</v>
      </c>
      <c r="C894" t="str">
        <f>Table1[[#This Row],[Attrition]]</f>
        <v>Yes</v>
      </c>
      <c r="D894" t="str">
        <f>Table1[[#This Row],[Department]]</f>
        <v>Research &amp; Development</v>
      </c>
      <c r="E894">
        <f>Table1[[#This Row],[EnvironmentSatisfaction]]</f>
        <v>1</v>
      </c>
      <c r="F894">
        <f>Table1[[#This Row],[HourlyRate]]</f>
        <v>96</v>
      </c>
      <c r="G894" t="str">
        <f>Table1[[#This Row],[JobRole]]</f>
        <v>Research Scientist</v>
      </c>
      <c r="H894">
        <f>Table1[[#This Row],[JobSatisfaction]]</f>
        <v>2</v>
      </c>
      <c r="I894">
        <f>Table1[[#This Row],[YearsAtCompany]]</f>
        <v>1</v>
      </c>
      <c r="J894">
        <f>Table1[[#This Row],[YearsSinceLastPromotion]]</f>
        <v>0</v>
      </c>
      <c r="K894">
        <f>Table1[[#This Row],[EmployeeNumber]]</f>
        <v>1248</v>
      </c>
      <c r="L894">
        <f>Table1[[#This Row],[DistanceFromHome]]</f>
        <v>10</v>
      </c>
      <c r="M894" t="str">
        <f>Table1[[#This Row],[OverTime]]</f>
        <v>Yes</v>
      </c>
      <c r="N894">
        <f>Table1[[#This Row],[WorkLifeBalance]]</f>
        <v>4</v>
      </c>
      <c r="O894" t="str" cm="1">
        <f t="array" ref="O894">_xlfn.IFS(A894&lt;=30,"18-30",A894&lt;=40,"31-40",A894&lt;=50,"41-50",A894&gt;50,"51+")</f>
        <v>18-30</v>
      </c>
      <c r="P894" t="str" cm="1">
        <f t="array" ref="P894">_xlfn.IFS(F894&lt;=45,"45 or below",F894&lt;= 60,"46-60",F894&lt;=75,"61-75",F894&lt;=90,"76-90",F894&gt;90,"91 or above")</f>
        <v>91 or above</v>
      </c>
      <c r="Q89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894" t="str" cm="1">
        <f t="array" ref="R894" xml:space="preserve"> _xlfn.IFS(Table3[[#This Row],[Flight Risk Score]] = "NA","NA",Table3[[#This Row],[Flight Risk Score]] &gt;= 70,"High Risk",Table3[[#This Row],[Flight Risk Score]] &gt;= 50, "Medium Risk", Table3[[#This Row],[Flight Risk Score]] &gt;= 30,"Low Risk",Table3[[#This Row],[Flight Risk Score]] &lt; 30,"Very Low Risk")</f>
        <v>NA</v>
      </c>
    </row>
    <row r="895" spans="1:18" x14ac:dyDescent="0.2">
      <c r="A895">
        <f>Table1[[#This Row],[Age]]</f>
        <v>29</v>
      </c>
      <c r="B895">
        <f>IF(Table3[[#This Row],[Attrition]] = "Yes", 1,0)</f>
        <v>0</v>
      </c>
      <c r="C895" t="str">
        <f>Table1[[#This Row],[Attrition]]</f>
        <v>No</v>
      </c>
      <c r="D895" t="str">
        <f>Table1[[#This Row],[Department]]</f>
        <v>Research &amp; Development</v>
      </c>
      <c r="E895">
        <f>Table1[[#This Row],[EnvironmentSatisfaction]]</f>
        <v>1</v>
      </c>
      <c r="F895">
        <f>Table1[[#This Row],[HourlyRate]]</f>
        <v>97</v>
      </c>
      <c r="G895" t="str">
        <f>Table1[[#This Row],[JobRole]]</f>
        <v>Research Scientist</v>
      </c>
      <c r="H895">
        <f>Table1[[#This Row],[JobSatisfaction]]</f>
        <v>4</v>
      </c>
      <c r="I895">
        <f>Table1[[#This Row],[YearsAtCompany]]</f>
        <v>3</v>
      </c>
      <c r="J895">
        <f>Table1[[#This Row],[YearsSinceLastPromotion]]</f>
        <v>1</v>
      </c>
      <c r="K895">
        <f>Table1[[#This Row],[EmployeeNumber]]</f>
        <v>1249</v>
      </c>
      <c r="L895">
        <f>Table1[[#This Row],[DistanceFromHome]]</f>
        <v>1</v>
      </c>
      <c r="M895" t="str">
        <f>Table1[[#This Row],[OverTime]]</f>
        <v>No</v>
      </c>
      <c r="N895">
        <f>Table1[[#This Row],[WorkLifeBalance]]</f>
        <v>3</v>
      </c>
      <c r="O895" t="str" cm="1">
        <f t="array" ref="O895">_xlfn.IFS(A895&lt;=30,"18-30",A895&lt;=40,"31-40",A895&lt;=50,"41-50",A895&gt;50,"51+")</f>
        <v>18-30</v>
      </c>
      <c r="P895" t="str" cm="1">
        <f t="array" ref="P895">_xlfn.IFS(F895&lt;=45,"45 or below",F895&lt;= 60,"46-60",F895&lt;=75,"61-75",F895&lt;=90,"76-90",F895&gt;90,"91 or above")</f>
        <v>91 or above</v>
      </c>
      <c r="Q8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95" t="str" cm="1">
        <f t="array" ref="R8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96" spans="1:18" x14ac:dyDescent="0.2">
      <c r="A896">
        <f>Table1[[#This Row],[Age]]</f>
        <v>54</v>
      </c>
      <c r="B896">
        <f>IF(Table3[[#This Row],[Attrition]] = "Yes", 1,0)</f>
        <v>0</v>
      </c>
      <c r="C896" t="str">
        <f>Table1[[#This Row],[Attrition]]</f>
        <v>No</v>
      </c>
      <c r="D896" t="str">
        <f>Table1[[#This Row],[Department]]</f>
        <v>Research &amp; Development</v>
      </c>
      <c r="E896">
        <f>Table1[[#This Row],[EnvironmentSatisfaction]]</f>
        <v>4</v>
      </c>
      <c r="F896">
        <f>Table1[[#This Row],[HourlyRate]]</f>
        <v>85</v>
      </c>
      <c r="G896" t="str">
        <f>Table1[[#This Row],[JobRole]]</f>
        <v>Research Director</v>
      </c>
      <c r="H896">
        <f>Table1[[#This Row],[JobSatisfaction]]</f>
        <v>4</v>
      </c>
      <c r="I896">
        <f>Table1[[#This Row],[YearsAtCompany]]</f>
        <v>10</v>
      </c>
      <c r="J896">
        <f>Table1[[#This Row],[YearsSinceLastPromotion]]</f>
        <v>0</v>
      </c>
      <c r="K896">
        <f>Table1[[#This Row],[EmployeeNumber]]</f>
        <v>1250</v>
      </c>
      <c r="L896">
        <f>Table1[[#This Row],[DistanceFromHome]]</f>
        <v>3</v>
      </c>
      <c r="M896" t="str">
        <f>Table1[[#This Row],[OverTime]]</f>
        <v>No</v>
      </c>
      <c r="N896">
        <f>Table1[[#This Row],[WorkLifeBalance]]</f>
        <v>3</v>
      </c>
      <c r="O896" t="str" cm="1">
        <f t="array" ref="O896">_xlfn.IFS(A896&lt;=30,"18-30",A896&lt;=40,"31-40",A896&lt;=50,"41-50",A896&gt;50,"51+")</f>
        <v>51+</v>
      </c>
      <c r="P896" t="str" cm="1">
        <f t="array" ref="P896">_xlfn.IFS(F896&lt;=45,"45 or below",F896&lt;= 60,"46-60",F896&lt;=75,"61-75",F896&lt;=90,"76-90",F896&gt;90,"91 or above")</f>
        <v>76-90</v>
      </c>
      <c r="Q8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96" t="str" cm="1">
        <f t="array" ref="R8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97" spans="1:18" x14ac:dyDescent="0.2">
      <c r="A897">
        <f>Table1[[#This Row],[Age]]</f>
        <v>31</v>
      </c>
      <c r="B897">
        <f>IF(Table3[[#This Row],[Attrition]] = "Yes", 1,0)</f>
        <v>0</v>
      </c>
      <c r="C897" t="str">
        <f>Table1[[#This Row],[Attrition]]</f>
        <v>No</v>
      </c>
      <c r="D897" t="str">
        <f>Table1[[#This Row],[Department]]</f>
        <v>Research &amp; Development</v>
      </c>
      <c r="E897">
        <f>Table1[[#This Row],[EnvironmentSatisfaction]]</f>
        <v>3</v>
      </c>
      <c r="F897">
        <f>Table1[[#This Row],[HourlyRate]]</f>
        <v>80</v>
      </c>
      <c r="G897" t="str">
        <f>Table1[[#This Row],[JobRole]]</f>
        <v>Healthcare Representative</v>
      </c>
      <c r="H897">
        <f>Table1[[#This Row],[JobSatisfaction]]</f>
        <v>1</v>
      </c>
      <c r="I897">
        <f>Table1[[#This Row],[YearsAtCompany]]</f>
        <v>6</v>
      </c>
      <c r="J897">
        <f>Table1[[#This Row],[YearsSinceLastPromotion]]</f>
        <v>0</v>
      </c>
      <c r="K897">
        <f>Table1[[#This Row],[EmployeeNumber]]</f>
        <v>1251</v>
      </c>
      <c r="L897">
        <f>Table1[[#This Row],[DistanceFromHome]]</f>
        <v>11</v>
      </c>
      <c r="M897" t="str">
        <f>Table1[[#This Row],[OverTime]]</f>
        <v>Yes</v>
      </c>
      <c r="N897">
        <f>Table1[[#This Row],[WorkLifeBalance]]</f>
        <v>2</v>
      </c>
      <c r="O897" t="str" cm="1">
        <f t="array" ref="O897">_xlfn.IFS(A897&lt;=30,"18-30",A897&lt;=40,"31-40",A897&lt;=50,"41-50",A897&gt;50,"51+")</f>
        <v>31-40</v>
      </c>
      <c r="P897" t="str" cm="1">
        <f t="array" ref="P897">_xlfn.IFS(F897&lt;=45,"45 or below",F897&lt;= 60,"46-60",F897&lt;=75,"61-75",F897&lt;=90,"76-90",F897&gt;90,"91 or above")</f>
        <v>76-90</v>
      </c>
      <c r="Q8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897" t="str" cm="1">
        <f t="array" ref="R89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898" spans="1:18" x14ac:dyDescent="0.2">
      <c r="A898">
        <f>Table1[[#This Row],[Age]]</f>
        <v>31</v>
      </c>
      <c r="B898">
        <f>IF(Table3[[#This Row],[Attrition]] = "Yes", 1,0)</f>
        <v>0</v>
      </c>
      <c r="C898" t="str">
        <f>Table1[[#This Row],[Attrition]]</f>
        <v>No</v>
      </c>
      <c r="D898" t="str">
        <f>Table1[[#This Row],[Department]]</f>
        <v>Research &amp; Development</v>
      </c>
      <c r="E898">
        <f>Table1[[#This Row],[EnvironmentSatisfaction]]</f>
        <v>3</v>
      </c>
      <c r="F898">
        <f>Table1[[#This Row],[HourlyRate]]</f>
        <v>96</v>
      </c>
      <c r="G898" t="str">
        <f>Table1[[#This Row],[JobRole]]</f>
        <v>Healthcare Representative</v>
      </c>
      <c r="H898">
        <f>Table1[[#This Row],[JobSatisfaction]]</f>
        <v>1</v>
      </c>
      <c r="I898">
        <f>Table1[[#This Row],[YearsAtCompany]]</f>
        <v>10</v>
      </c>
      <c r="J898">
        <f>Table1[[#This Row],[YearsSinceLastPromotion]]</f>
        <v>1</v>
      </c>
      <c r="K898">
        <f>Table1[[#This Row],[EmployeeNumber]]</f>
        <v>1252</v>
      </c>
      <c r="L898">
        <f>Table1[[#This Row],[DistanceFromHome]]</f>
        <v>24</v>
      </c>
      <c r="M898" t="str">
        <f>Table1[[#This Row],[OverTime]]</f>
        <v>No</v>
      </c>
      <c r="N898">
        <f>Table1[[#This Row],[WorkLifeBalance]]</f>
        <v>3</v>
      </c>
      <c r="O898" t="str" cm="1">
        <f t="array" ref="O898">_xlfn.IFS(A898&lt;=30,"18-30",A898&lt;=40,"31-40",A898&lt;=50,"41-50",A898&gt;50,"51+")</f>
        <v>31-40</v>
      </c>
      <c r="P898" t="str" cm="1">
        <f t="array" ref="P898">_xlfn.IFS(F898&lt;=45,"45 or below",F898&lt;= 60,"46-60",F898&lt;=75,"61-75",F898&lt;=90,"76-90",F898&gt;90,"91 or above")</f>
        <v>91 or above</v>
      </c>
      <c r="Q8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898" t="str" cm="1">
        <f t="array" ref="R89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899" spans="1:18" x14ac:dyDescent="0.2">
      <c r="A899">
        <f>Table1[[#This Row],[Age]]</f>
        <v>59</v>
      </c>
      <c r="B899">
        <f>IF(Table3[[#This Row],[Attrition]] = "Yes", 1,0)</f>
        <v>0</v>
      </c>
      <c r="C899" t="str">
        <f>Table1[[#This Row],[Attrition]]</f>
        <v>No</v>
      </c>
      <c r="D899" t="str">
        <f>Table1[[#This Row],[Department]]</f>
        <v>Sales</v>
      </c>
      <c r="E899">
        <f>Table1[[#This Row],[EnvironmentSatisfaction]]</f>
        <v>3</v>
      </c>
      <c r="F899">
        <f>Table1[[#This Row],[HourlyRate]]</f>
        <v>48</v>
      </c>
      <c r="G899" t="str">
        <f>Table1[[#This Row],[JobRole]]</f>
        <v>Sales Executive</v>
      </c>
      <c r="H899">
        <f>Table1[[#This Row],[JobSatisfaction]]</f>
        <v>4</v>
      </c>
      <c r="I899">
        <f>Table1[[#This Row],[YearsAtCompany]]</f>
        <v>6</v>
      </c>
      <c r="J899">
        <f>Table1[[#This Row],[YearsSinceLastPromotion]]</f>
        <v>0</v>
      </c>
      <c r="K899">
        <f>Table1[[#This Row],[EmployeeNumber]]</f>
        <v>1254</v>
      </c>
      <c r="L899">
        <f>Table1[[#This Row],[DistanceFromHome]]</f>
        <v>3</v>
      </c>
      <c r="M899" t="str">
        <f>Table1[[#This Row],[OverTime]]</f>
        <v>No</v>
      </c>
      <c r="N899">
        <f>Table1[[#This Row],[WorkLifeBalance]]</f>
        <v>3</v>
      </c>
      <c r="O899" t="str" cm="1">
        <f t="array" ref="O899">_xlfn.IFS(A899&lt;=30,"18-30",A899&lt;=40,"31-40",A899&lt;=50,"41-50",A899&gt;50,"51+")</f>
        <v>51+</v>
      </c>
      <c r="P899" t="str" cm="1">
        <f t="array" ref="P899">_xlfn.IFS(F899&lt;=45,"45 or below",F899&lt;= 60,"46-60",F899&lt;=75,"61-75",F899&lt;=90,"76-90",F899&gt;90,"91 or above")</f>
        <v>46-60</v>
      </c>
      <c r="Q8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899" t="str" cm="1">
        <f t="array" ref="R8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0" spans="1:18" x14ac:dyDescent="0.2">
      <c r="A900">
        <f>Table1[[#This Row],[Age]]</f>
        <v>43</v>
      </c>
      <c r="B900">
        <f>IF(Table3[[#This Row],[Attrition]] = "Yes", 1,0)</f>
        <v>0</v>
      </c>
      <c r="C900" t="str">
        <f>Table1[[#This Row],[Attrition]]</f>
        <v>No</v>
      </c>
      <c r="D900" t="str">
        <f>Table1[[#This Row],[Department]]</f>
        <v>Research &amp; Development</v>
      </c>
      <c r="E900">
        <f>Table1[[#This Row],[EnvironmentSatisfaction]]</f>
        <v>3</v>
      </c>
      <c r="F900">
        <f>Table1[[#This Row],[HourlyRate]]</f>
        <v>96</v>
      </c>
      <c r="G900" t="str">
        <f>Table1[[#This Row],[JobRole]]</f>
        <v>Research Director</v>
      </c>
      <c r="H900">
        <f>Table1[[#This Row],[JobSatisfaction]]</f>
        <v>4</v>
      </c>
      <c r="I900">
        <f>Table1[[#This Row],[YearsAtCompany]]</f>
        <v>8</v>
      </c>
      <c r="J900">
        <f>Table1[[#This Row],[YearsSinceLastPromotion]]</f>
        <v>0</v>
      </c>
      <c r="K900">
        <f>Table1[[#This Row],[EmployeeNumber]]</f>
        <v>1255</v>
      </c>
      <c r="L900">
        <f>Table1[[#This Row],[DistanceFromHome]]</f>
        <v>3</v>
      </c>
      <c r="M900" t="str">
        <f>Table1[[#This Row],[OverTime]]</f>
        <v>No</v>
      </c>
      <c r="N900">
        <f>Table1[[#This Row],[WorkLifeBalance]]</f>
        <v>3</v>
      </c>
      <c r="O900" t="str" cm="1">
        <f t="array" ref="O900">_xlfn.IFS(A900&lt;=30,"18-30",A900&lt;=40,"31-40",A900&lt;=50,"41-50",A900&gt;50,"51+")</f>
        <v>41-50</v>
      </c>
      <c r="P900" t="str" cm="1">
        <f t="array" ref="P900">_xlfn.IFS(F900&lt;=45,"45 or below",F900&lt;= 60,"46-60",F900&lt;=75,"61-75",F900&lt;=90,"76-90",F900&gt;90,"91 or above")</f>
        <v>91 or above</v>
      </c>
      <c r="Q9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00" t="str" cm="1">
        <f t="array" ref="R9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1" spans="1:18" x14ac:dyDescent="0.2">
      <c r="A901">
        <f>Table1[[#This Row],[Age]]</f>
        <v>49</v>
      </c>
      <c r="B901">
        <f>IF(Table3[[#This Row],[Attrition]] = "Yes", 1,0)</f>
        <v>0</v>
      </c>
      <c r="C901" t="str">
        <f>Table1[[#This Row],[Attrition]]</f>
        <v>No</v>
      </c>
      <c r="D901" t="str">
        <f>Table1[[#This Row],[Department]]</f>
        <v>Research &amp; Development</v>
      </c>
      <c r="E901">
        <f>Table1[[#This Row],[EnvironmentSatisfaction]]</f>
        <v>1</v>
      </c>
      <c r="F901">
        <f>Table1[[#This Row],[HourlyRate]]</f>
        <v>85</v>
      </c>
      <c r="G901" t="str">
        <f>Table1[[#This Row],[JobRole]]</f>
        <v>Manager</v>
      </c>
      <c r="H901">
        <f>Table1[[#This Row],[JobSatisfaction]]</f>
        <v>3</v>
      </c>
      <c r="I901">
        <f>Table1[[#This Row],[YearsAtCompany]]</f>
        <v>1</v>
      </c>
      <c r="J901">
        <f>Table1[[#This Row],[YearsSinceLastPromotion]]</f>
        <v>0</v>
      </c>
      <c r="K901">
        <f>Table1[[#This Row],[EmployeeNumber]]</f>
        <v>1256</v>
      </c>
      <c r="L901">
        <f>Table1[[#This Row],[DistanceFromHome]]</f>
        <v>4</v>
      </c>
      <c r="M901" t="str">
        <f>Table1[[#This Row],[OverTime]]</f>
        <v>No</v>
      </c>
      <c r="N901">
        <f>Table1[[#This Row],[WorkLifeBalance]]</f>
        <v>4</v>
      </c>
      <c r="O901" t="str" cm="1">
        <f t="array" ref="O901">_xlfn.IFS(A901&lt;=30,"18-30",A901&lt;=40,"31-40",A901&lt;=50,"41-50",A901&gt;50,"51+")</f>
        <v>41-50</v>
      </c>
      <c r="P901" t="str" cm="1">
        <f t="array" ref="P901">_xlfn.IFS(F901&lt;=45,"45 or below",F901&lt;= 60,"46-60",F901&lt;=75,"61-75",F901&lt;=90,"76-90",F901&gt;90,"91 or above")</f>
        <v>76-90</v>
      </c>
      <c r="Q9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01" t="str" cm="1">
        <f t="array" ref="R9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2" spans="1:18" x14ac:dyDescent="0.2">
      <c r="A902">
        <f>Table1[[#This Row],[Age]]</f>
        <v>36</v>
      </c>
      <c r="B902">
        <f>IF(Table3[[#This Row],[Attrition]] = "Yes", 1,0)</f>
        <v>0</v>
      </c>
      <c r="C902" t="str">
        <f>Table1[[#This Row],[Attrition]]</f>
        <v>No</v>
      </c>
      <c r="D902" t="str">
        <f>Table1[[#This Row],[Department]]</f>
        <v>Research &amp; Development</v>
      </c>
      <c r="E902">
        <f>Table1[[#This Row],[EnvironmentSatisfaction]]</f>
        <v>3</v>
      </c>
      <c r="F902">
        <f>Table1[[#This Row],[HourlyRate]]</f>
        <v>46</v>
      </c>
      <c r="G902" t="str">
        <f>Table1[[#This Row],[JobRole]]</f>
        <v>Research Scientist</v>
      </c>
      <c r="H902">
        <f>Table1[[#This Row],[JobSatisfaction]]</f>
        <v>2</v>
      </c>
      <c r="I902">
        <f>Table1[[#This Row],[YearsAtCompany]]</f>
        <v>11</v>
      </c>
      <c r="J902">
        <f>Table1[[#This Row],[YearsSinceLastPromotion]]</f>
        <v>0</v>
      </c>
      <c r="K902">
        <f>Table1[[#This Row],[EmployeeNumber]]</f>
        <v>1257</v>
      </c>
      <c r="L902">
        <f>Table1[[#This Row],[DistanceFromHome]]</f>
        <v>3</v>
      </c>
      <c r="M902" t="str">
        <f>Table1[[#This Row],[OverTime]]</f>
        <v>No</v>
      </c>
      <c r="N902">
        <f>Table1[[#This Row],[WorkLifeBalance]]</f>
        <v>2</v>
      </c>
      <c r="O902" t="str" cm="1">
        <f t="array" ref="O902">_xlfn.IFS(A902&lt;=30,"18-30",A902&lt;=40,"31-40",A902&lt;=50,"41-50",A902&gt;50,"51+")</f>
        <v>31-40</v>
      </c>
      <c r="P902" t="str" cm="1">
        <f t="array" ref="P902">_xlfn.IFS(F902&lt;=45,"45 or below",F902&lt;= 60,"46-60",F902&lt;=75,"61-75",F902&lt;=90,"76-90",F902&gt;90,"91 or above")</f>
        <v>46-60</v>
      </c>
      <c r="Q9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02" t="str" cm="1">
        <f t="array" ref="R90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3" spans="1:18" x14ac:dyDescent="0.2">
      <c r="A903">
        <f>Table1[[#This Row],[Age]]</f>
        <v>48</v>
      </c>
      <c r="B903">
        <f>IF(Table3[[#This Row],[Attrition]] = "Yes", 1,0)</f>
        <v>0</v>
      </c>
      <c r="C903" t="str">
        <f>Table1[[#This Row],[Attrition]]</f>
        <v>No</v>
      </c>
      <c r="D903" t="str">
        <f>Table1[[#This Row],[Department]]</f>
        <v>Research &amp; Development</v>
      </c>
      <c r="E903">
        <f>Table1[[#This Row],[EnvironmentSatisfaction]]</f>
        <v>4</v>
      </c>
      <c r="F903">
        <f>Table1[[#This Row],[HourlyRate]]</f>
        <v>76</v>
      </c>
      <c r="G903" t="str">
        <f>Table1[[#This Row],[JobRole]]</f>
        <v>Laboratory Technician</v>
      </c>
      <c r="H903">
        <f>Table1[[#This Row],[JobSatisfaction]]</f>
        <v>2</v>
      </c>
      <c r="I903">
        <f>Table1[[#This Row],[YearsAtCompany]]</f>
        <v>1</v>
      </c>
      <c r="J903">
        <f>Table1[[#This Row],[YearsSinceLastPromotion]]</f>
        <v>0</v>
      </c>
      <c r="K903">
        <f>Table1[[#This Row],[EmployeeNumber]]</f>
        <v>1258</v>
      </c>
      <c r="L903">
        <f>Table1[[#This Row],[DistanceFromHome]]</f>
        <v>2</v>
      </c>
      <c r="M903" t="str">
        <f>Table1[[#This Row],[OverTime]]</f>
        <v>No</v>
      </c>
      <c r="N903">
        <f>Table1[[#This Row],[WorkLifeBalance]]</f>
        <v>2</v>
      </c>
      <c r="O903" t="str" cm="1">
        <f t="array" ref="O903">_xlfn.IFS(A903&lt;=30,"18-30",A903&lt;=40,"31-40",A903&lt;=50,"41-50",A903&gt;50,"51+")</f>
        <v>41-50</v>
      </c>
      <c r="P903" t="str" cm="1">
        <f t="array" ref="P903">_xlfn.IFS(F903&lt;=45,"45 or below",F903&lt;= 60,"46-60",F903&lt;=75,"61-75",F903&lt;=90,"76-90",F903&gt;90,"91 or above")</f>
        <v>76-90</v>
      </c>
      <c r="Q9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03" t="str" cm="1">
        <f t="array" ref="R9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4" spans="1:18" x14ac:dyDescent="0.2">
      <c r="A904">
        <f>Table1[[#This Row],[Age]]</f>
        <v>27</v>
      </c>
      <c r="B904">
        <f>IF(Table3[[#This Row],[Attrition]] = "Yes", 1,0)</f>
        <v>0</v>
      </c>
      <c r="C904" t="str">
        <f>Table1[[#This Row],[Attrition]]</f>
        <v>No</v>
      </c>
      <c r="D904" t="str">
        <f>Table1[[#This Row],[Department]]</f>
        <v>Research &amp; Development</v>
      </c>
      <c r="E904">
        <f>Table1[[#This Row],[EnvironmentSatisfaction]]</f>
        <v>1</v>
      </c>
      <c r="F904">
        <f>Table1[[#This Row],[HourlyRate]]</f>
        <v>76</v>
      </c>
      <c r="G904" t="str">
        <f>Table1[[#This Row],[JobRole]]</f>
        <v>Research Scientist</v>
      </c>
      <c r="H904">
        <f>Table1[[#This Row],[JobSatisfaction]]</f>
        <v>3</v>
      </c>
      <c r="I904">
        <f>Table1[[#This Row],[YearsAtCompany]]</f>
        <v>5</v>
      </c>
      <c r="J904">
        <f>Table1[[#This Row],[YearsSinceLastPromotion]]</f>
        <v>0</v>
      </c>
      <c r="K904">
        <f>Table1[[#This Row],[EmployeeNumber]]</f>
        <v>1259</v>
      </c>
      <c r="L904">
        <f>Table1[[#This Row],[DistanceFromHome]]</f>
        <v>4</v>
      </c>
      <c r="M904" t="str">
        <f>Table1[[#This Row],[OverTime]]</f>
        <v>No</v>
      </c>
      <c r="N904">
        <f>Table1[[#This Row],[WorkLifeBalance]]</f>
        <v>3</v>
      </c>
      <c r="O904" t="str" cm="1">
        <f t="array" ref="O904">_xlfn.IFS(A904&lt;=30,"18-30",A904&lt;=40,"31-40",A904&lt;=50,"41-50",A904&gt;50,"51+")</f>
        <v>18-30</v>
      </c>
      <c r="P904" t="str" cm="1">
        <f t="array" ref="P904">_xlfn.IFS(F904&lt;=45,"45 or below",F904&lt;= 60,"46-60",F904&lt;=75,"61-75",F904&lt;=90,"76-90",F904&gt;90,"91 or above")</f>
        <v>76-90</v>
      </c>
      <c r="Q9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04" t="str" cm="1">
        <f t="array" ref="R9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5" spans="1:18" x14ac:dyDescent="0.2">
      <c r="A905">
        <f>Table1[[#This Row],[Age]]</f>
        <v>29</v>
      </c>
      <c r="B905">
        <f>IF(Table3[[#This Row],[Attrition]] = "Yes", 1,0)</f>
        <v>0</v>
      </c>
      <c r="C905" t="str">
        <f>Table1[[#This Row],[Attrition]]</f>
        <v>No</v>
      </c>
      <c r="D905" t="str">
        <f>Table1[[#This Row],[Department]]</f>
        <v>Research &amp; Development</v>
      </c>
      <c r="E905">
        <f>Table1[[#This Row],[EnvironmentSatisfaction]]</f>
        <v>3</v>
      </c>
      <c r="F905">
        <f>Table1[[#This Row],[HourlyRate]]</f>
        <v>82</v>
      </c>
      <c r="G905" t="str">
        <f>Table1[[#This Row],[JobRole]]</f>
        <v>Healthcare Representative</v>
      </c>
      <c r="H905">
        <f>Table1[[#This Row],[JobSatisfaction]]</f>
        <v>4</v>
      </c>
      <c r="I905">
        <f>Table1[[#This Row],[YearsAtCompany]]</f>
        <v>6</v>
      </c>
      <c r="J905">
        <f>Table1[[#This Row],[YearsSinceLastPromotion]]</f>
        <v>1</v>
      </c>
      <c r="K905">
        <f>Table1[[#This Row],[EmployeeNumber]]</f>
        <v>1260</v>
      </c>
      <c r="L905">
        <f>Table1[[#This Row],[DistanceFromHome]]</f>
        <v>7</v>
      </c>
      <c r="M905" t="str">
        <f>Table1[[#This Row],[OverTime]]</f>
        <v>Yes</v>
      </c>
      <c r="N905">
        <f>Table1[[#This Row],[WorkLifeBalance]]</f>
        <v>3</v>
      </c>
      <c r="O905" t="str" cm="1">
        <f t="array" ref="O905">_xlfn.IFS(A905&lt;=30,"18-30",A905&lt;=40,"31-40",A905&lt;=50,"41-50",A905&gt;50,"51+")</f>
        <v>18-30</v>
      </c>
      <c r="P905" t="str" cm="1">
        <f t="array" ref="P905">_xlfn.IFS(F905&lt;=45,"45 or below",F905&lt;= 60,"46-60",F905&lt;=75,"61-75",F905&lt;=90,"76-90",F905&gt;90,"91 or above")</f>
        <v>76-90</v>
      </c>
      <c r="Q9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05" t="str" cm="1">
        <f t="array" ref="R905" xml:space="preserve"> _xlfn.IFS(Table3[[#This Row],[Flight Risk Score]] = "NA","NA",Table3[[#This Row],[Flight Risk Score]] &gt;= 70,"High Risk",Table3[[#This Row],[Flight Risk Score]] &gt;= 50, "Medium Risk", Table3[[#This Row],[Flight Risk Score]] &gt;= 30,"Low Risk",Table3[[#This Row],[Flight Risk Score]] &lt; 30,"Very Low Risk")</f>
        <v>Low Risk</v>
      </c>
    </row>
    <row r="906" spans="1:18" x14ac:dyDescent="0.2">
      <c r="A906">
        <f>Table1[[#This Row],[Age]]</f>
        <v>48</v>
      </c>
      <c r="B906">
        <f>IF(Table3[[#This Row],[Attrition]] = "Yes", 1,0)</f>
        <v>0</v>
      </c>
      <c r="C906" t="str">
        <f>Table1[[#This Row],[Attrition]]</f>
        <v>No</v>
      </c>
      <c r="D906" t="str">
        <f>Table1[[#This Row],[Department]]</f>
        <v>Research &amp; Development</v>
      </c>
      <c r="E906">
        <f>Table1[[#This Row],[EnvironmentSatisfaction]]</f>
        <v>4</v>
      </c>
      <c r="F906">
        <f>Table1[[#This Row],[HourlyRate]]</f>
        <v>76</v>
      </c>
      <c r="G906" t="str">
        <f>Table1[[#This Row],[JobRole]]</f>
        <v>Research Director</v>
      </c>
      <c r="H906">
        <f>Table1[[#This Row],[JobSatisfaction]]</f>
        <v>4</v>
      </c>
      <c r="I906">
        <f>Table1[[#This Row],[YearsAtCompany]]</f>
        <v>1</v>
      </c>
      <c r="J906">
        <f>Table1[[#This Row],[YearsSinceLastPromotion]]</f>
        <v>0</v>
      </c>
      <c r="K906">
        <f>Table1[[#This Row],[EmployeeNumber]]</f>
        <v>1263</v>
      </c>
      <c r="L906">
        <f>Table1[[#This Row],[DistanceFromHome]]</f>
        <v>1</v>
      </c>
      <c r="M906" t="str">
        <f>Table1[[#This Row],[OverTime]]</f>
        <v>No</v>
      </c>
      <c r="N906">
        <f>Table1[[#This Row],[WorkLifeBalance]]</f>
        <v>4</v>
      </c>
      <c r="O906" t="str" cm="1">
        <f t="array" ref="O906">_xlfn.IFS(A906&lt;=30,"18-30",A906&lt;=40,"31-40",A906&lt;=50,"41-50",A906&gt;50,"51+")</f>
        <v>41-50</v>
      </c>
      <c r="P906" t="str" cm="1">
        <f t="array" ref="P906">_xlfn.IFS(F906&lt;=45,"45 or below",F906&lt;= 60,"46-60",F906&lt;=75,"61-75",F906&lt;=90,"76-90",F906&gt;90,"91 or above")</f>
        <v>76-90</v>
      </c>
      <c r="Q9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06" t="str" cm="1">
        <f t="array" ref="R9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7" spans="1:18" x14ac:dyDescent="0.2">
      <c r="A907">
        <f>Table1[[#This Row],[Age]]</f>
        <v>29</v>
      </c>
      <c r="B907">
        <f>IF(Table3[[#This Row],[Attrition]] = "Yes", 1,0)</f>
        <v>0</v>
      </c>
      <c r="C907" t="str">
        <f>Table1[[#This Row],[Attrition]]</f>
        <v>No</v>
      </c>
      <c r="D907" t="str">
        <f>Table1[[#This Row],[Department]]</f>
        <v>Research &amp; Development</v>
      </c>
      <c r="E907">
        <f>Table1[[#This Row],[EnvironmentSatisfaction]]</f>
        <v>4</v>
      </c>
      <c r="F907">
        <f>Table1[[#This Row],[HourlyRate]]</f>
        <v>87</v>
      </c>
      <c r="G907" t="str">
        <f>Table1[[#This Row],[JobRole]]</f>
        <v>Research Director</v>
      </c>
      <c r="H907">
        <f>Table1[[#This Row],[JobSatisfaction]]</f>
        <v>4</v>
      </c>
      <c r="I907">
        <f>Table1[[#This Row],[YearsAtCompany]]</f>
        <v>7</v>
      </c>
      <c r="J907">
        <f>Table1[[#This Row],[YearsSinceLastPromotion]]</f>
        <v>1</v>
      </c>
      <c r="K907">
        <f>Table1[[#This Row],[EmployeeNumber]]</f>
        <v>1264</v>
      </c>
      <c r="L907">
        <f>Table1[[#This Row],[DistanceFromHome]]</f>
        <v>1</v>
      </c>
      <c r="M907" t="str">
        <f>Table1[[#This Row],[OverTime]]</f>
        <v>No</v>
      </c>
      <c r="N907">
        <f>Table1[[#This Row],[WorkLifeBalance]]</f>
        <v>2</v>
      </c>
      <c r="O907" t="str" cm="1">
        <f t="array" ref="O907">_xlfn.IFS(A907&lt;=30,"18-30",A907&lt;=40,"31-40",A907&lt;=50,"41-50",A907&gt;50,"51+")</f>
        <v>18-30</v>
      </c>
      <c r="P907" t="str" cm="1">
        <f t="array" ref="P907">_xlfn.IFS(F907&lt;=45,"45 or below",F907&lt;= 60,"46-60",F907&lt;=75,"61-75",F907&lt;=90,"76-90",F907&gt;90,"91 or above")</f>
        <v>76-90</v>
      </c>
      <c r="Q9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07" t="str" cm="1">
        <f t="array" ref="R90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8" spans="1:18" x14ac:dyDescent="0.2">
      <c r="A908">
        <f>Table1[[#This Row],[Age]]</f>
        <v>34</v>
      </c>
      <c r="B908">
        <f>IF(Table3[[#This Row],[Attrition]] = "Yes", 1,0)</f>
        <v>0</v>
      </c>
      <c r="C908" t="str">
        <f>Table1[[#This Row],[Attrition]]</f>
        <v>No</v>
      </c>
      <c r="D908" t="str">
        <f>Table1[[#This Row],[Department]]</f>
        <v>Research &amp; Development</v>
      </c>
      <c r="E908">
        <f>Table1[[#This Row],[EnvironmentSatisfaction]]</f>
        <v>3</v>
      </c>
      <c r="F908">
        <f>Table1[[#This Row],[HourlyRate]]</f>
        <v>89</v>
      </c>
      <c r="G908" t="str">
        <f>Table1[[#This Row],[JobRole]]</f>
        <v>Research Scientist</v>
      </c>
      <c r="H908">
        <f>Table1[[#This Row],[JobSatisfaction]]</f>
        <v>3</v>
      </c>
      <c r="I908">
        <f>Table1[[#This Row],[YearsAtCompany]]</f>
        <v>1</v>
      </c>
      <c r="J908">
        <f>Table1[[#This Row],[YearsSinceLastPromotion]]</f>
        <v>0</v>
      </c>
      <c r="K908">
        <f>Table1[[#This Row],[EmployeeNumber]]</f>
        <v>1265</v>
      </c>
      <c r="L908">
        <f>Table1[[#This Row],[DistanceFromHome]]</f>
        <v>20</v>
      </c>
      <c r="M908" t="str">
        <f>Table1[[#This Row],[OverTime]]</f>
        <v>No</v>
      </c>
      <c r="N908">
        <f>Table1[[#This Row],[WorkLifeBalance]]</f>
        <v>2</v>
      </c>
      <c r="O908" t="str" cm="1">
        <f t="array" ref="O908">_xlfn.IFS(A908&lt;=30,"18-30",A908&lt;=40,"31-40",A908&lt;=50,"41-50",A908&gt;50,"51+")</f>
        <v>31-40</v>
      </c>
      <c r="P908" t="str" cm="1">
        <f t="array" ref="P908">_xlfn.IFS(F908&lt;=45,"45 or below",F908&lt;= 60,"46-60",F908&lt;=75,"61-75",F908&lt;=90,"76-90",F908&gt;90,"91 or above")</f>
        <v>76-90</v>
      </c>
      <c r="Q9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08" t="str" cm="1">
        <f t="array" ref="R90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09" spans="1:18" x14ac:dyDescent="0.2">
      <c r="A909">
        <f>Table1[[#This Row],[Age]]</f>
        <v>44</v>
      </c>
      <c r="B909">
        <f>IF(Table3[[#This Row],[Attrition]] = "Yes", 1,0)</f>
        <v>0</v>
      </c>
      <c r="C909" t="str">
        <f>Table1[[#This Row],[Attrition]]</f>
        <v>No</v>
      </c>
      <c r="D909" t="str">
        <f>Table1[[#This Row],[Department]]</f>
        <v>Sales</v>
      </c>
      <c r="E909">
        <f>Table1[[#This Row],[EnvironmentSatisfaction]]</f>
        <v>2</v>
      </c>
      <c r="F909">
        <f>Table1[[#This Row],[HourlyRate]]</f>
        <v>88</v>
      </c>
      <c r="G909" t="str">
        <f>Table1[[#This Row],[JobRole]]</f>
        <v>Manager</v>
      </c>
      <c r="H909">
        <f>Table1[[#This Row],[JobSatisfaction]]</f>
        <v>2</v>
      </c>
      <c r="I909">
        <f>Table1[[#This Row],[YearsAtCompany]]</f>
        <v>22</v>
      </c>
      <c r="J909">
        <f>Table1[[#This Row],[YearsSinceLastPromotion]]</f>
        <v>3</v>
      </c>
      <c r="K909">
        <f>Table1[[#This Row],[EmployeeNumber]]</f>
        <v>1267</v>
      </c>
      <c r="L909">
        <f>Table1[[#This Row],[DistanceFromHome]]</f>
        <v>5</v>
      </c>
      <c r="M909" t="str">
        <f>Table1[[#This Row],[OverTime]]</f>
        <v>No</v>
      </c>
      <c r="N909">
        <f>Table1[[#This Row],[WorkLifeBalance]]</f>
        <v>3</v>
      </c>
      <c r="O909" t="str" cm="1">
        <f t="array" ref="O909">_xlfn.IFS(A909&lt;=30,"18-30",A909&lt;=40,"31-40",A909&lt;=50,"41-50",A909&gt;50,"51+")</f>
        <v>41-50</v>
      </c>
      <c r="P909" t="str" cm="1">
        <f t="array" ref="P909">_xlfn.IFS(F909&lt;=45,"45 or below",F909&lt;= 60,"46-60",F909&lt;=75,"61-75",F909&lt;=90,"76-90",F909&gt;90,"91 or above")</f>
        <v>76-90</v>
      </c>
      <c r="Q9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909" t="str" cm="1">
        <f t="array" ref="R909" xml:space="preserve"> _xlfn.IFS(Table3[[#This Row],[Flight Risk Score]] = "NA","NA",Table3[[#This Row],[Flight Risk Score]] &gt;= 70,"High Risk",Table3[[#This Row],[Flight Risk Score]] &gt;= 50, "Medium Risk", Table3[[#This Row],[Flight Risk Score]] &gt;= 30,"Low Risk",Table3[[#This Row],[Flight Risk Score]] &lt; 30,"Very Low Risk")</f>
        <v>Low Risk</v>
      </c>
    </row>
    <row r="910" spans="1:18" x14ac:dyDescent="0.2">
      <c r="A910">
        <f>Table1[[#This Row],[Age]]</f>
        <v>33</v>
      </c>
      <c r="B910">
        <f>IF(Table3[[#This Row],[Attrition]] = "Yes", 1,0)</f>
        <v>0</v>
      </c>
      <c r="C910" t="str">
        <f>Table1[[#This Row],[Attrition]]</f>
        <v>No</v>
      </c>
      <c r="D910" t="str">
        <f>Table1[[#This Row],[Department]]</f>
        <v>Sales</v>
      </c>
      <c r="E910">
        <f>Table1[[#This Row],[EnvironmentSatisfaction]]</f>
        <v>4</v>
      </c>
      <c r="F910">
        <f>Table1[[#This Row],[HourlyRate]]</f>
        <v>82</v>
      </c>
      <c r="G910" t="str">
        <f>Table1[[#This Row],[JobRole]]</f>
        <v>Sales Executive</v>
      </c>
      <c r="H910">
        <f>Table1[[#This Row],[JobSatisfaction]]</f>
        <v>3</v>
      </c>
      <c r="I910">
        <f>Table1[[#This Row],[YearsAtCompany]]</f>
        <v>9</v>
      </c>
      <c r="J910">
        <f>Table1[[#This Row],[YearsSinceLastPromotion]]</f>
        <v>0</v>
      </c>
      <c r="K910">
        <f>Table1[[#This Row],[EmployeeNumber]]</f>
        <v>1268</v>
      </c>
      <c r="L910">
        <f>Table1[[#This Row],[DistanceFromHome]]</f>
        <v>10</v>
      </c>
      <c r="M910" t="str">
        <f>Table1[[#This Row],[OverTime]]</f>
        <v>Yes</v>
      </c>
      <c r="N910">
        <f>Table1[[#This Row],[WorkLifeBalance]]</f>
        <v>3</v>
      </c>
      <c r="O910" t="str" cm="1">
        <f t="array" ref="O910">_xlfn.IFS(A910&lt;=30,"18-30",A910&lt;=40,"31-40",A910&lt;=50,"41-50",A910&gt;50,"51+")</f>
        <v>31-40</v>
      </c>
      <c r="P910" t="str" cm="1">
        <f t="array" ref="P910">_xlfn.IFS(F910&lt;=45,"45 or below",F910&lt;= 60,"46-60",F910&lt;=75,"61-75",F910&lt;=90,"76-90",F910&gt;90,"91 or above")</f>
        <v>76-90</v>
      </c>
      <c r="Q9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10" t="str" cm="1">
        <f t="array" ref="R910" xml:space="preserve"> _xlfn.IFS(Table3[[#This Row],[Flight Risk Score]] = "NA","NA",Table3[[#This Row],[Flight Risk Score]] &gt;= 70,"High Risk",Table3[[#This Row],[Flight Risk Score]] &gt;= 50, "Medium Risk", Table3[[#This Row],[Flight Risk Score]] &gt;= 30,"Low Risk",Table3[[#This Row],[Flight Risk Score]] &lt; 30,"Very Low Risk")</f>
        <v>Low Risk</v>
      </c>
    </row>
    <row r="911" spans="1:18" x14ac:dyDescent="0.2">
      <c r="A911">
        <f>Table1[[#This Row],[Age]]</f>
        <v>19</v>
      </c>
      <c r="B911">
        <f>IF(Table3[[#This Row],[Attrition]] = "Yes", 1,0)</f>
        <v>0</v>
      </c>
      <c r="C911" t="str">
        <f>Table1[[#This Row],[Attrition]]</f>
        <v>No</v>
      </c>
      <c r="D911" t="str">
        <f>Table1[[#This Row],[Department]]</f>
        <v>Research &amp; Development</v>
      </c>
      <c r="E911">
        <f>Table1[[#This Row],[EnvironmentSatisfaction]]</f>
        <v>2</v>
      </c>
      <c r="F911">
        <f>Table1[[#This Row],[HourlyRate]]</f>
        <v>57</v>
      </c>
      <c r="G911" t="str">
        <f>Table1[[#This Row],[JobRole]]</f>
        <v>Research Scientist</v>
      </c>
      <c r="H911">
        <f>Table1[[#This Row],[JobSatisfaction]]</f>
        <v>4</v>
      </c>
      <c r="I911">
        <f>Table1[[#This Row],[YearsAtCompany]]</f>
        <v>1</v>
      </c>
      <c r="J911">
        <f>Table1[[#This Row],[YearsSinceLastPromotion]]</f>
        <v>0</v>
      </c>
      <c r="K911">
        <f>Table1[[#This Row],[EmployeeNumber]]</f>
        <v>1269</v>
      </c>
      <c r="L911">
        <f>Table1[[#This Row],[DistanceFromHome]]</f>
        <v>25</v>
      </c>
      <c r="M911" t="str">
        <f>Table1[[#This Row],[OverTime]]</f>
        <v>Yes</v>
      </c>
      <c r="N911">
        <f>Table1[[#This Row],[WorkLifeBalance]]</f>
        <v>3</v>
      </c>
      <c r="O911" t="str" cm="1">
        <f t="array" ref="O911">_xlfn.IFS(A911&lt;=30,"18-30",A911&lt;=40,"31-40",A911&lt;=50,"41-50",A911&gt;50,"51+")</f>
        <v>18-30</v>
      </c>
      <c r="P911" t="str" cm="1">
        <f t="array" ref="P911">_xlfn.IFS(F911&lt;=45,"45 or below",F911&lt;= 60,"46-60",F911&lt;=75,"61-75",F911&lt;=90,"76-90",F911&gt;90,"91 or above")</f>
        <v>46-60</v>
      </c>
      <c r="Q9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11" t="str" cm="1">
        <f t="array" ref="R91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12" spans="1:18" x14ac:dyDescent="0.2">
      <c r="A912">
        <f>Table1[[#This Row],[Age]]</f>
        <v>23</v>
      </c>
      <c r="B912">
        <f>IF(Table3[[#This Row],[Attrition]] = "Yes", 1,0)</f>
        <v>0</v>
      </c>
      <c r="C912" t="str">
        <f>Table1[[#This Row],[Attrition]]</f>
        <v>No</v>
      </c>
      <c r="D912" t="str">
        <f>Table1[[#This Row],[Department]]</f>
        <v>Research &amp; Development</v>
      </c>
      <c r="E912">
        <f>Table1[[#This Row],[EnvironmentSatisfaction]]</f>
        <v>4</v>
      </c>
      <c r="F912">
        <f>Table1[[#This Row],[HourlyRate]]</f>
        <v>47</v>
      </c>
      <c r="G912" t="str">
        <f>Table1[[#This Row],[JobRole]]</f>
        <v>Research Scientist</v>
      </c>
      <c r="H912">
        <f>Table1[[#This Row],[JobSatisfaction]]</f>
        <v>3</v>
      </c>
      <c r="I912">
        <f>Table1[[#This Row],[YearsAtCompany]]</f>
        <v>1</v>
      </c>
      <c r="J912">
        <f>Table1[[#This Row],[YearsSinceLastPromotion]]</f>
        <v>0</v>
      </c>
      <c r="K912">
        <f>Table1[[#This Row],[EmployeeNumber]]</f>
        <v>1270</v>
      </c>
      <c r="L912">
        <f>Table1[[#This Row],[DistanceFromHome]]</f>
        <v>1</v>
      </c>
      <c r="M912" t="str">
        <f>Table1[[#This Row],[OverTime]]</f>
        <v>No</v>
      </c>
      <c r="N912">
        <f>Table1[[#This Row],[WorkLifeBalance]]</f>
        <v>3</v>
      </c>
      <c r="O912" t="str" cm="1">
        <f t="array" ref="O912">_xlfn.IFS(A912&lt;=30,"18-30",A912&lt;=40,"31-40",A912&lt;=50,"41-50",A912&gt;50,"51+")</f>
        <v>18-30</v>
      </c>
      <c r="P912" t="str" cm="1">
        <f t="array" ref="P912">_xlfn.IFS(F912&lt;=45,"45 or below",F912&lt;= 60,"46-60",F912&lt;=75,"61-75",F912&lt;=90,"76-90",F912&gt;90,"91 or above")</f>
        <v>46-60</v>
      </c>
      <c r="Q9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12" t="str" cm="1">
        <f t="array" ref="R91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13" spans="1:18" hidden="1" x14ac:dyDescent="0.2">
      <c r="A913">
        <f>Table1[[#This Row],[Age]]</f>
        <v>25</v>
      </c>
      <c r="B913">
        <f>IF(Table3[[#This Row],[Attrition]] = "Yes", 1,0)</f>
        <v>1</v>
      </c>
      <c r="C913" t="str">
        <f>Table1[[#This Row],[Attrition]]</f>
        <v>Yes</v>
      </c>
      <c r="D913" t="str">
        <f>Table1[[#This Row],[Department]]</f>
        <v>Sales</v>
      </c>
      <c r="E913">
        <f>Table1[[#This Row],[EnvironmentSatisfaction]]</f>
        <v>3</v>
      </c>
      <c r="F913">
        <f>Table1[[#This Row],[HourlyRate]]</f>
        <v>73</v>
      </c>
      <c r="G913" t="str">
        <f>Table1[[#This Row],[JobRole]]</f>
        <v>Sales Representative</v>
      </c>
      <c r="H913">
        <f>Table1[[#This Row],[JobSatisfaction]]</f>
        <v>4</v>
      </c>
      <c r="I913">
        <f>Table1[[#This Row],[YearsAtCompany]]</f>
        <v>1</v>
      </c>
      <c r="J913">
        <f>Table1[[#This Row],[YearsSinceLastPromotion]]</f>
        <v>1</v>
      </c>
      <c r="K913">
        <f>Table1[[#This Row],[EmployeeNumber]]</f>
        <v>1273</v>
      </c>
      <c r="L913">
        <f>Table1[[#This Row],[DistanceFromHome]]</f>
        <v>24</v>
      </c>
      <c r="M913" t="str">
        <f>Table1[[#This Row],[OverTime]]</f>
        <v>Yes</v>
      </c>
      <c r="N913">
        <f>Table1[[#This Row],[WorkLifeBalance]]</f>
        <v>3</v>
      </c>
      <c r="O913" t="str" cm="1">
        <f t="array" ref="O913">_xlfn.IFS(A913&lt;=30,"18-30",A913&lt;=40,"31-40",A913&lt;=50,"41-50",A913&gt;50,"51+")</f>
        <v>18-30</v>
      </c>
      <c r="P913" t="str" cm="1">
        <f t="array" ref="P913">_xlfn.IFS(F913&lt;=45,"45 or below",F913&lt;= 60,"46-60",F913&lt;=75,"61-75",F913&lt;=90,"76-90",F913&gt;90,"91 or above")</f>
        <v>61-75</v>
      </c>
      <c r="Q91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13" t="str" cm="1">
        <f t="array" ref="R913" xml:space="preserve"> _xlfn.IFS(Table3[[#This Row],[Flight Risk Score]] = "NA","NA",Table3[[#This Row],[Flight Risk Score]] &gt;= 70,"High Risk",Table3[[#This Row],[Flight Risk Score]] &gt;= 50, "Medium Risk", Table3[[#This Row],[Flight Risk Score]] &gt;= 30,"Low Risk",Table3[[#This Row],[Flight Risk Score]] &lt; 30,"Very Low Risk")</f>
        <v>NA</v>
      </c>
    </row>
    <row r="914" spans="1:18" x14ac:dyDescent="0.2">
      <c r="A914">
        <f>Table1[[#This Row],[Age]]</f>
        <v>26</v>
      </c>
      <c r="B914">
        <f>IF(Table3[[#This Row],[Attrition]] = "Yes", 1,0)</f>
        <v>0</v>
      </c>
      <c r="C914" t="str">
        <f>Table1[[#This Row],[Attrition]]</f>
        <v>No</v>
      </c>
      <c r="D914" t="str">
        <f>Table1[[#This Row],[Department]]</f>
        <v>Research &amp; Development</v>
      </c>
      <c r="E914">
        <f>Table1[[#This Row],[EnvironmentSatisfaction]]</f>
        <v>3</v>
      </c>
      <c r="F914">
        <f>Table1[[#This Row],[HourlyRate]]</f>
        <v>53</v>
      </c>
      <c r="G914" t="str">
        <f>Table1[[#This Row],[JobRole]]</f>
        <v>Research Scientist</v>
      </c>
      <c r="H914">
        <f>Table1[[#This Row],[JobSatisfaction]]</f>
        <v>4</v>
      </c>
      <c r="I914">
        <f>Table1[[#This Row],[YearsAtCompany]]</f>
        <v>8</v>
      </c>
      <c r="J914">
        <f>Table1[[#This Row],[YearsSinceLastPromotion]]</f>
        <v>2</v>
      </c>
      <c r="K914">
        <f>Table1[[#This Row],[EmployeeNumber]]</f>
        <v>1275</v>
      </c>
      <c r="L914">
        <f>Table1[[#This Row],[DistanceFromHome]]</f>
        <v>4</v>
      </c>
      <c r="M914" t="str">
        <f>Table1[[#This Row],[OverTime]]</f>
        <v>Yes</v>
      </c>
      <c r="N914">
        <f>Table1[[#This Row],[WorkLifeBalance]]</f>
        <v>2</v>
      </c>
      <c r="O914" t="str" cm="1">
        <f t="array" ref="O914">_xlfn.IFS(A914&lt;=30,"18-30",A914&lt;=40,"31-40",A914&lt;=50,"41-50",A914&gt;50,"51+")</f>
        <v>18-30</v>
      </c>
      <c r="P914" t="str" cm="1">
        <f t="array" ref="P914">_xlfn.IFS(F914&lt;=45,"45 or below",F914&lt;= 60,"46-60",F914&lt;=75,"61-75",F914&lt;=90,"76-90",F914&gt;90,"91 or above")</f>
        <v>46-60</v>
      </c>
      <c r="Q9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14" t="str" cm="1">
        <f t="array" ref="R914" xml:space="preserve"> _xlfn.IFS(Table3[[#This Row],[Flight Risk Score]] = "NA","NA",Table3[[#This Row],[Flight Risk Score]] &gt;= 70,"High Risk",Table3[[#This Row],[Flight Risk Score]] &gt;= 50, "Medium Risk", Table3[[#This Row],[Flight Risk Score]] &gt;= 30,"Low Risk",Table3[[#This Row],[Flight Risk Score]] &lt; 30,"Very Low Risk")</f>
        <v>Low Risk</v>
      </c>
    </row>
    <row r="915" spans="1:18" hidden="1" x14ac:dyDescent="0.2">
      <c r="A915">
        <f>Table1[[#This Row],[Age]]</f>
        <v>45</v>
      </c>
      <c r="B915">
        <f>IF(Table3[[#This Row],[Attrition]] = "Yes", 1,0)</f>
        <v>1</v>
      </c>
      <c r="C915" t="str">
        <f>Table1[[#This Row],[Attrition]]</f>
        <v>Yes</v>
      </c>
      <c r="D915" t="str">
        <f>Table1[[#This Row],[Department]]</f>
        <v>Sales</v>
      </c>
      <c r="E915">
        <f>Table1[[#This Row],[EnvironmentSatisfaction]]</f>
        <v>1</v>
      </c>
      <c r="F915">
        <f>Table1[[#This Row],[HourlyRate]]</f>
        <v>94</v>
      </c>
      <c r="G915" t="str">
        <f>Table1[[#This Row],[JobRole]]</f>
        <v>Manager</v>
      </c>
      <c r="H915">
        <f>Table1[[#This Row],[JobSatisfaction]]</f>
        <v>2</v>
      </c>
      <c r="I915">
        <f>Table1[[#This Row],[YearsAtCompany]]</f>
        <v>24</v>
      </c>
      <c r="J915">
        <f>Table1[[#This Row],[YearsSinceLastPromotion]]</f>
        <v>1</v>
      </c>
      <c r="K915">
        <f>Table1[[#This Row],[EmployeeNumber]]</f>
        <v>1277</v>
      </c>
      <c r="L915">
        <f>Table1[[#This Row],[DistanceFromHome]]</f>
        <v>2</v>
      </c>
      <c r="M915" t="str">
        <f>Table1[[#This Row],[OverTime]]</f>
        <v>Yes</v>
      </c>
      <c r="N915">
        <f>Table1[[#This Row],[WorkLifeBalance]]</f>
        <v>3</v>
      </c>
      <c r="O915" t="str" cm="1">
        <f t="array" ref="O915">_xlfn.IFS(A915&lt;=30,"18-30",A915&lt;=40,"31-40",A915&lt;=50,"41-50",A915&gt;50,"51+")</f>
        <v>41-50</v>
      </c>
      <c r="P915" t="str" cm="1">
        <f t="array" ref="P915">_xlfn.IFS(F915&lt;=45,"45 or below",F915&lt;= 60,"46-60",F915&lt;=75,"61-75",F915&lt;=90,"76-90",F915&gt;90,"91 or above")</f>
        <v>91 or above</v>
      </c>
      <c r="Q91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15" t="str" cm="1">
        <f t="array" ref="R915" xml:space="preserve"> _xlfn.IFS(Table3[[#This Row],[Flight Risk Score]] = "NA","NA",Table3[[#This Row],[Flight Risk Score]] &gt;= 70,"High Risk",Table3[[#This Row],[Flight Risk Score]] &gt;= 50, "Medium Risk", Table3[[#This Row],[Flight Risk Score]] &gt;= 30,"Low Risk",Table3[[#This Row],[Flight Risk Score]] &lt; 30,"Very Low Risk")</f>
        <v>NA</v>
      </c>
    </row>
    <row r="916" spans="1:18" x14ac:dyDescent="0.2">
      <c r="A916">
        <f>Table1[[#This Row],[Age]]</f>
        <v>55</v>
      </c>
      <c r="B916">
        <f>IF(Table3[[#This Row],[Attrition]] = "Yes", 1,0)</f>
        <v>0</v>
      </c>
      <c r="C916" t="str">
        <f>Table1[[#This Row],[Attrition]]</f>
        <v>No</v>
      </c>
      <c r="D916" t="str">
        <f>Table1[[#This Row],[Department]]</f>
        <v>Research &amp; Development</v>
      </c>
      <c r="E916">
        <f>Table1[[#This Row],[EnvironmentSatisfaction]]</f>
        <v>4</v>
      </c>
      <c r="F916">
        <f>Table1[[#This Row],[HourlyRate]]</f>
        <v>37</v>
      </c>
      <c r="G916" t="str">
        <f>Table1[[#This Row],[JobRole]]</f>
        <v>Healthcare Representative</v>
      </c>
      <c r="H916">
        <f>Table1[[#This Row],[JobSatisfaction]]</f>
        <v>2</v>
      </c>
      <c r="I916">
        <f>Table1[[#This Row],[YearsAtCompany]]</f>
        <v>33</v>
      </c>
      <c r="J916">
        <f>Table1[[#This Row],[YearsSinceLastPromotion]]</f>
        <v>15</v>
      </c>
      <c r="K916">
        <f>Table1[[#This Row],[EmployeeNumber]]</f>
        <v>1278</v>
      </c>
      <c r="L916">
        <f>Table1[[#This Row],[DistanceFromHome]]</f>
        <v>8</v>
      </c>
      <c r="M916" t="str">
        <f>Table1[[#This Row],[OverTime]]</f>
        <v>Yes</v>
      </c>
      <c r="N916">
        <f>Table1[[#This Row],[WorkLifeBalance]]</f>
        <v>3</v>
      </c>
      <c r="O916" t="str" cm="1">
        <f t="array" ref="O916">_xlfn.IFS(A916&lt;=30,"18-30",A916&lt;=40,"31-40",A916&lt;=50,"41-50",A916&gt;50,"51+")</f>
        <v>51+</v>
      </c>
      <c r="P916" t="str" cm="1">
        <f t="array" ref="P916">_xlfn.IFS(F916&lt;=45,"45 or below",F916&lt;= 60,"46-60",F916&lt;=75,"61-75",F916&lt;=90,"76-90",F916&gt;90,"91 or above")</f>
        <v>45 or below</v>
      </c>
      <c r="Q9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16" t="str" cm="1">
        <f t="array" ref="R91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17" spans="1:18" hidden="1" x14ac:dyDescent="0.2">
      <c r="A917">
        <f>Table1[[#This Row],[Age]]</f>
        <v>21</v>
      </c>
      <c r="B917">
        <f>IF(Table3[[#This Row],[Attrition]] = "Yes", 1,0)</f>
        <v>1</v>
      </c>
      <c r="C917" t="str">
        <f>Table1[[#This Row],[Attrition]]</f>
        <v>Yes</v>
      </c>
      <c r="D917" t="str">
        <f>Table1[[#This Row],[Department]]</f>
        <v>Research &amp; Development</v>
      </c>
      <c r="E917">
        <f>Table1[[#This Row],[EnvironmentSatisfaction]]</f>
        <v>1</v>
      </c>
      <c r="F917">
        <f>Table1[[#This Row],[HourlyRate]]</f>
        <v>45</v>
      </c>
      <c r="G917" t="str">
        <f>Table1[[#This Row],[JobRole]]</f>
        <v>Laboratory Technician</v>
      </c>
      <c r="H917">
        <f>Table1[[#This Row],[JobSatisfaction]]</f>
        <v>3</v>
      </c>
      <c r="I917">
        <f>Table1[[#This Row],[YearsAtCompany]]</f>
        <v>2</v>
      </c>
      <c r="J917">
        <f>Table1[[#This Row],[YearsSinceLastPromotion]]</f>
        <v>2</v>
      </c>
      <c r="K917">
        <f>Table1[[#This Row],[EmployeeNumber]]</f>
        <v>1279</v>
      </c>
      <c r="L917">
        <f>Table1[[#This Row],[DistanceFromHome]]</f>
        <v>10</v>
      </c>
      <c r="M917" t="str">
        <f>Table1[[#This Row],[OverTime]]</f>
        <v>No</v>
      </c>
      <c r="N917">
        <f>Table1[[#This Row],[WorkLifeBalance]]</f>
        <v>1</v>
      </c>
      <c r="O917" t="str" cm="1">
        <f t="array" ref="O917">_xlfn.IFS(A917&lt;=30,"18-30",A917&lt;=40,"31-40",A917&lt;=50,"41-50",A917&gt;50,"51+")</f>
        <v>18-30</v>
      </c>
      <c r="P917" t="str" cm="1">
        <f t="array" ref="P917">_xlfn.IFS(F917&lt;=45,"45 or below",F917&lt;= 60,"46-60",F917&lt;=75,"61-75",F917&lt;=90,"76-90",F917&gt;90,"91 or above")</f>
        <v>45 or below</v>
      </c>
      <c r="Q91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17" t="str" cm="1">
        <f t="array" ref="R917" xml:space="preserve"> _xlfn.IFS(Table3[[#This Row],[Flight Risk Score]] = "NA","NA",Table3[[#This Row],[Flight Risk Score]] &gt;= 70,"High Risk",Table3[[#This Row],[Flight Risk Score]] &gt;= 50, "Medium Risk", Table3[[#This Row],[Flight Risk Score]] &gt;= 30,"Low Risk",Table3[[#This Row],[Flight Risk Score]] &lt; 30,"Very Low Risk")</f>
        <v>NA</v>
      </c>
    </row>
    <row r="918" spans="1:18" x14ac:dyDescent="0.2">
      <c r="A918">
        <f>Table1[[#This Row],[Age]]</f>
        <v>46</v>
      </c>
      <c r="B918">
        <f>IF(Table3[[#This Row],[Attrition]] = "Yes", 1,0)</f>
        <v>0</v>
      </c>
      <c r="C918" t="str">
        <f>Table1[[#This Row],[Attrition]]</f>
        <v>No</v>
      </c>
      <c r="D918" t="str">
        <f>Table1[[#This Row],[Department]]</f>
        <v>Sales</v>
      </c>
      <c r="E918">
        <f>Table1[[#This Row],[EnvironmentSatisfaction]]</f>
        <v>4</v>
      </c>
      <c r="F918">
        <f>Table1[[#This Row],[HourlyRate]]</f>
        <v>33</v>
      </c>
      <c r="G918" t="str">
        <f>Table1[[#This Row],[JobRole]]</f>
        <v>Manager</v>
      </c>
      <c r="H918">
        <f>Table1[[#This Row],[JobSatisfaction]]</f>
        <v>2</v>
      </c>
      <c r="I918">
        <f>Table1[[#This Row],[YearsAtCompany]]</f>
        <v>11</v>
      </c>
      <c r="J918">
        <f>Table1[[#This Row],[YearsSinceLastPromotion]]</f>
        <v>0</v>
      </c>
      <c r="K918">
        <f>Table1[[#This Row],[EmployeeNumber]]</f>
        <v>1280</v>
      </c>
      <c r="L918">
        <f>Table1[[#This Row],[DistanceFromHome]]</f>
        <v>4</v>
      </c>
      <c r="M918" t="str">
        <f>Table1[[#This Row],[OverTime]]</f>
        <v>No</v>
      </c>
      <c r="N918">
        <f>Table1[[#This Row],[WorkLifeBalance]]</f>
        <v>3</v>
      </c>
      <c r="O918" t="str" cm="1">
        <f t="array" ref="O918">_xlfn.IFS(A918&lt;=30,"18-30",A918&lt;=40,"31-40",A918&lt;=50,"41-50",A918&gt;50,"51+")</f>
        <v>41-50</v>
      </c>
      <c r="P918" t="str" cm="1">
        <f t="array" ref="P918">_xlfn.IFS(F918&lt;=45,"45 or below",F918&lt;= 60,"46-60",F918&lt;=75,"61-75",F918&lt;=90,"76-90",F918&gt;90,"91 or above")</f>
        <v>45 or below</v>
      </c>
      <c r="Q9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18" t="str" cm="1">
        <f t="array" ref="R9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19" spans="1:18" x14ac:dyDescent="0.2">
      <c r="A919">
        <f>Table1[[#This Row],[Age]]</f>
        <v>34</v>
      </c>
      <c r="B919">
        <f>IF(Table3[[#This Row],[Attrition]] = "Yes", 1,0)</f>
        <v>0</v>
      </c>
      <c r="C919" t="str">
        <f>Table1[[#This Row],[Attrition]]</f>
        <v>No</v>
      </c>
      <c r="D919" t="str">
        <f>Table1[[#This Row],[Department]]</f>
        <v>Sales</v>
      </c>
      <c r="E919">
        <f>Table1[[#This Row],[EnvironmentSatisfaction]]</f>
        <v>3</v>
      </c>
      <c r="F919">
        <f>Table1[[#This Row],[HourlyRate]]</f>
        <v>86</v>
      </c>
      <c r="G919" t="str">
        <f>Table1[[#This Row],[JobRole]]</f>
        <v>Sales Executive</v>
      </c>
      <c r="H919">
        <f>Table1[[#This Row],[JobSatisfaction]]</f>
        <v>1</v>
      </c>
      <c r="I919">
        <f>Table1[[#This Row],[YearsAtCompany]]</f>
        <v>3</v>
      </c>
      <c r="J919">
        <f>Table1[[#This Row],[YearsSinceLastPromotion]]</f>
        <v>0</v>
      </c>
      <c r="K919">
        <f>Table1[[#This Row],[EmployeeNumber]]</f>
        <v>1281</v>
      </c>
      <c r="L919">
        <f>Table1[[#This Row],[DistanceFromHome]]</f>
        <v>2</v>
      </c>
      <c r="M919" t="str">
        <f>Table1[[#This Row],[OverTime]]</f>
        <v>Yes</v>
      </c>
      <c r="N919">
        <f>Table1[[#This Row],[WorkLifeBalance]]</f>
        <v>3</v>
      </c>
      <c r="O919" t="str" cm="1">
        <f t="array" ref="O919">_xlfn.IFS(A919&lt;=30,"18-30",A919&lt;=40,"31-40",A919&lt;=50,"41-50",A919&gt;50,"51+")</f>
        <v>31-40</v>
      </c>
      <c r="P919" t="str" cm="1">
        <f t="array" ref="P919">_xlfn.IFS(F919&lt;=45,"45 or below",F919&lt;= 60,"46-60",F919&lt;=75,"61-75",F919&lt;=90,"76-90",F919&gt;90,"91 or above")</f>
        <v>76-90</v>
      </c>
      <c r="Q9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19" t="str" cm="1">
        <f t="array" ref="R91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20" spans="1:18" x14ac:dyDescent="0.2">
      <c r="A920">
        <f>Table1[[#This Row],[Age]]</f>
        <v>51</v>
      </c>
      <c r="B920">
        <f>IF(Table3[[#This Row],[Attrition]] = "Yes", 1,0)</f>
        <v>0</v>
      </c>
      <c r="C920" t="str">
        <f>Table1[[#This Row],[Attrition]]</f>
        <v>No</v>
      </c>
      <c r="D920" t="str">
        <f>Table1[[#This Row],[Department]]</f>
        <v>Sales</v>
      </c>
      <c r="E920">
        <f>Table1[[#This Row],[EnvironmentSatisfaction]]</f>
        <v>4</v>
      </c>
      <c r="F920">
        <f>Table1[[#This Row],[HourlyRate]]</f>
        <v>83</v>
      </c>
      <c r="G920" t="str">
        <f>Table1[[#This Row],[JobRole]]</f>
        <v>Manager</v>
      </c>
      <c r="H920">
        <f>Table1[[#This Row],[JobSatisfaction]]</f>
        <v>2</v>
      </c>
      <c r="I920">
        <f>Table1[[#This Row],[YearsAtCompany]]</f>
        <v>29</v>
      </c>
      <c r="J920">
        <f>Table1[[#This Row],[YearsSinceLastPromotion]]</f>
        <v>11</v>
      </c>
      <c r="K920">
        <f>Table1[[#This Row],[EmployeeNumber]]</f>
        <v>1282</v>
      </c>
      <c r="L920">
        <f>Table1[[#This Row],[DistanceFromHome]]</f>
        <v>9</v>
      </c>
      <c r="M920" t="str">
        <f>Table1[[#This Row],[OverTime]]</f>
        <v>Yes</v>
      </c>
      <c r="N920">
        <f>Table1[[#This Row],[WorkLifeBalance]]</f>
        <v>2</v>
      </c>
      <c r="O920" t="str" cm="1">
        <f t="array" ref="O920">_xlfn.IFS(A920&lt;=30,"18-30",A920&lt;=40,"31-40",A920&lt;=50,"41-50",A920&gt;50,"51+")</f>
        <v>51+</v>
      </c>
      <c r="P920" t="str" cm="1">
        <f t="array" ref="P920">_xlfn.IFS(F920&lt;=45,"45 or below",F920&lt;= 60,"46-60",F920&lt;=75,"61-75",F920&lt;=90,"76-90",F920&gt;90,"91 or above")</f>
        <v>76-90</v>
      </c>
      <c r="Q9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20" t="str" cm="1">
        <f t="array" ref="R92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21" spans="1:18" x14ac:dyDescent="0.2">
      <c r="A921">
        <f>Table1[[#This Row],[Age]]</f>
        <v>59</v>
      </c>
      <c r="B921">
        <f>IF(Table3[[#This Row],[Attrition]] = "Yes", 1,0)</f>
        <v>0</v>
      </c>
      <c r="C921" t="str">
        <f>Table1[[#This Row],[Attrition]]</f>
        <v>No</v>
      </c>
      <c r="D921" t="str">
        <f>Table1[[#This Row],[Department]]</f>
        <v>Research &amp; Development</v>
      </c>
      <c r="E921">
        <f>Table1[[#This Row],[EnvironmentSatisfaction]]</f>
        <v>4</v>
      </c>
      <c r="F921">
        <f>Table1[[#This Row],[HourlyRate]]</f>
        <v>67</v>
      </c>
      <c r="G921" t="str">
        <f>Table1[[#This Row],[JobRole]]</f>
        <v>Manufacturing Director</v>
      </c>
      <c r="H921">
        <f>Table1[[#This Row],[JobSatisfaction]]</f>
        <v>4</v>
      </c>
      <c r="I921">
        <f>Table1[[#This Row],[YearsAtCompany]]</f>
        <v>9</v>
      </c>
      <c r="J921">
        <f>Table1[[#This Row],[YearsSinceLastPromotion]]</f>
        <v>5</v>
      </c>
      <c r="K921">
        <f>Table1[[#This Row],[EmployeeNumber]]</f>
        <v>1283</v>
      </c>
      <c r="L921">
        <f>Table1[[#This Row],[DistanceFromHome]]</f>
        <v>18</v>
      </c>
      <c r="M921" t="str">
        <f>Table1[[#This Row],[OverTime]]</f>
        <v>No</v>
      </c>
      <c r="N921">
        <f>Table1[[#This Row],[WorkLifeBalance]]</f>
        <v>2</v>
      </c>
      <c r="O921" t="str" cm="1">
        <f t="array" ref="O921">_xlfn.IFS(A921&lt;=30,"18-30",A921&lt;=40,"31-40",A921&lt;=50,"41-50",A921&gt;50,"51+")</f>
        <v>51+</v>
      </c>
      <c r="P921" t="str" cm="1">
        <f t="array" ref="P921">_xlfn.IFS(F921&lt;=45,"45 or below",F921&lt;= 60,"46-60",F921&lt;=75,"61-75",F921&lt;=90,"76-90",F921&gt;90,"91 or above")</f>
        <v>61-75</v>
      </c>
      <c r="Q9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21" t="str" cm="1">
        <f t="array" ref="R9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22" spans="1:18" x14ac:dyDescent="0.2">
      <c r="A922">
        <f>Table1[[#This Row],[Age]]</f>
        <v>34</v>
      </c>
      <c r="B922">
        <f>IF(Table3[[#This Row],[Attrition]] = "Yes", 1,0)</f>
        <v>0</v>
      </c>
      <c r="C922" t="str">
        <f>Table1[[#This Row],[Attrition]]</f>
        <v>No</v>
      </c>
      <c r="D922" t="str">
        <f>Table1[[#This Row],[Department]]</f>
        <v>Research &amp; Development</v>
      </c>
      <c r="E922">
        <f>Table1[[#This Row],[EnvironmentSatisfaction]]</f>
        <v>3</v>
      </c>
      <c r="F922">
        <f>Table1[[#This Row],[HourlyRate]]</f>
        <v>46</v>
      </c>
      <c r="G922" t="str">
        <f>Table1[[#This Row],[JobRole]]</f>
        <v>Laboratory Technician</v>
      </c>
      <c r="H922">
        <f>Table1[[#This Row],[JobSatisfaction]]</f>
        <v>2</v>
      </c>
      <c r="I922">
        <f>Table1[[#This Row],[YearsAtCompany]]</f>
        <v>11</v>
      </c>
      <c r="J922">
        <f>Table1[[#This Row],[YearsSinceLastPromotion]]</f>
        <v>5</v>
      </c>
      <c r="K922">
        <f>Table1[[#This Row],[EmployeeNumber]]</f>
        <v>1285</v>
      </c>
      <c r="L922">
        <f>Table1[[#This Row],[DistanceFromHome]]</f>
        <v>19</v>
      </c>
      <c r="M922" t="str">
        <f>Table1[[#This Row],[OverTime]]</f>
        <v>No</v>
      </c>
      <c r="N922">
        <f>Table1[[#This Row],[WorkLifeBalance]]</f>
        <v>4</v>
      </c>
      <c r="O922" t="str" cm="1">
        <f t="array" ref="O922">_xlfn.IFS(A922&lt;=30,"18-30",A922&lt;=40,"31-40",A922&lt;=50,"41-50",A922&gt;50,"51+")</f>
        <v>31-40</v>
      </c>
      <c r="P922" t="str" cm="1">
        <f t="array" ref="P922">_xlfn.IFS(F922&lt;=45,"45 or below",F922&lt;= 60,"46-60",F922&lt;=75,"61-75",F922&lt;=90,"76-90",F922&gt;90,"91 or above")</f>
        <v>46-60</v>
      </c>
      <c r="Q9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22" t="str" cm="1">
        <f t="array" ref="R9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23" spans="1:18" x14ac:dyDescent="0.2">
      <c r="A923">
        <f>Table1[[#This Row],[Age]]</f>
        <v>28</v>
      </c>
      <c r="B923">
        <f>IF(Table3[[#This Row],[Attrition]] = "Yes", 1,0)</f>
        <v>0</v>
      </c>
      <c r="C923" t="str">
        <f>Table1[[#This Row],[Attrition]]</f>
        <v>No</v>
      </c>
      <c r="D923" t="str">
        <f>Table1[[#This Row],[Department]]</f>
        <v>Research &amp; Development</v>
      </c>
      <c r="E923">
        <f>Table1[[#This Row],[EnvironmentSatisfaction]]</f>
        <v>4</v>
      </c>
      <c r="F923">
        <f>Table1[[#This Row],[HourlyRate]]</f>
        <v>44</v>
      </c>
      <c r="G923" t="str">
        <f>Table1[[#This Row],[JobRole]]</f>
        <v>Laboratory Technician</v>
      </c>
      <c r="H923">
        <f>Table1[[#This Row],[JobSatisfaction]]</f>
        <v>3</v>
      </c>
      <c r="I923">
        <f>Table1[[#This Row],[YearsAtCompany]]</f>
        <v>4</v>
      </c>
      <c r="J923">
        <f>Table1[[#This Row],[YearsSinceLastPromotion]]</f>
        <v>0</v>
      </c>
      <c r="K923">
        <f>Table1[[#This Row],[EmployeeNumber]]</f>
        <v>1286</v>
      </c>
      <c r="L923">
        <f>Table1[[#This Row],[DistanceFromHome]]</f>
        <v>1</v>
      </c>
      <c r="M923" t="str">
        <f>Table1[[#This Row],[OverTime]]</f>
        <v>Yes</v>
      </c>
      <c r="N923">
        <f>Table1[[#This Row],[WorkLifeBalance]]</f>
        <v>2</v>
      </c>
      <c r="O923" t="str" cm="1">
        <f t="array" ref="O923">_xlfn.IFS(A923&lt;=30,"18-30",A923&lt;=40,"31-40",A923&lt;=50,"41-50",A923&gt;50,"51+")</f>
        <v>18-30</v>
      </c>
      <c r="P923" t="str" cm="1">
        <f t="array" ref="P923">_xlfn.IFS(F923&lt;=45,"45 or below",F923&lt;= 60,"46-60",F923&lt;=75,"61-75",F923&lt;=90,"76-90",F923&gt;90,"91 or above")</f>
        <v>45 or below</v>
      </c>
      <c r="Q9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23" t="str" cm="1">
        <f t="array" ref="R923" xml:space="preserve"> _xlfn.IFS(Table3[[#This Row],[Flight Risk Score]] = "NA","NA",Table3[[#This Row],[Flight Risk Score]] &gt;= 70,"High Risk",Table3[[#This Row],[Flight Risk Score]] &gt;= 50, "Medium Risk", Table3[[#This Row],[Flight Risk Score]] &gt;= 30,"Low Risk",Table3[[#This Row],[Flight Risk Score]] &lt; 30,"Very Low Risk")</f>
        <v>Low Risk</v>
      </c>
    </row>
    <row r="924" spans="1:18" x14ac:dyDescent="0.2">
      <c r="A924">
        <f>Table1[[#This Row],[Age]]</f>
        <v>44</v>
      </c>
      <c r="B924">
        <f>IF(Table3[[#This Row],[Attrition]] = "Yes", 1,0)</f>
        <v>0</v>
      </c>
      <c r="C924" t="str">
        <f>Table1[[#This Row],[Attrition]]</f>
        <v>No</v>
      </c>
      <c r="D924" t="str">
        <f>Table1[[#This Row],[Department]]</f>
        <v>Research &amp; Development</v>
      </c>
      <c r="E924">
        <f>Table1[[#This Row],[EnvironmentSatisfaction]]</f>
        <v>3</v>
      </c>
      <c r="F924">
        <f>Table1[[#This Row],[HourlyRate]]</f>
        <v>92</v>
      </c>
      <c r="G924" t="str">
        <f>Table1[[#This Row],[JobRole]]</f>
        <v>Manager</v>
      </c>
      <c r="H924">
        <f>Table1[[#This Row],[JobSatisfaction]]</f>
        <v>1</v>
      </c>
      <c r="I924">
        <f>Table1[[#This Row],[YearsAtCompany]]</f>
        <v>25</v>
      </c>
      <c r="J924">
        <f>Table1[[#This Row],[YearsSinceLastPromotion]]</f>
        <v>14</v>
      </c>
      <c r="K924">
        <f>Table1[[#This Row],[EmployeeNumber]]</f>
        <v>1288</v>
      </c>
      <c r="L924">
        <f>Table1[[#This Row],[DistanceFromHome]]</f>
        <v>4</v>
      </c>
      <c r="M924" t="str">
        <f>Table1[[#This Row],[OverTime]]</f>
        <v>No</v>
      </c>
      <c r="N924">
        <f>Table1[[#This Row],[WorkLifeBalance]]</f>
        <v>2</v>
      </c>
      <c r="O924" t="str" cm="1">
        <f t="array" ref="O924">_xlfn.IFS(A924&lt;=30,"18-30",A924&lt;=40,"31-40",A924&lt;=50,"41-50",A924&gt;50,"51+")</f>
        <v>41-50</v>
      </c>
      <c r="P924" t="str" cm="1">
        <f t="array" ref="P924">_xlfn.IFS(F924&lt;=45,"45 or below",F924&lt;= 60,"46-60",F924&lt;=75,"61-75",F924&lt;=90,"76-90",F924&gt;90,"91 or above")</f>
        <v>91 or above</v>
      </c>
      <c r="Q9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24" t="str" cm="1">
        <f t="array" ref="R9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25" spans="1:18" x14ac:dyDescent="0.2">
      <c r="A925">
        <f>Table1[[#This Row],[Age]]</f>
        <v>34</v>
      </c>
      <c r="B925">
        <f>IF(Table3[[#This Row],[Attrition]] = "Yes", 1,0)</f>
        <v>0</v>
      </c>
      <c r="C925" t="str">
        <f>Table1[[#This Row],[Attrition]]</f>
        <v>No</v>
      </c>
      <c r="D925" t="str">
        <f>Table1[[#This Row],[Department]]</f>
        <v>Human Resources</v>
      </c>
      <c r="E925">
        <f>Table1[[#This Row],[EnvironmentSatisfaction]]</f>
        <v>3</v>
      </c>
      <c r="F925">
        <f>Table1[[#This Row],[HourlyRate]]</f>
        <v>56</v>
      </c>
      <c r="G925" t="str">
        <f>Table1[[#This Row],[JobRole]]</f>
        <v>Human Resources</v>
      </c>
      <c r="H925">
        <f>Table1[[#This Row],[JobSatisfaction]]</f>
        <v>2</v>
      </c>
      <c r="I925">
        <f>Table1[[#This Row],[YearsAtCompany]]</f>
        <v>10</v>
      </c>
      <c r="J925">
        <f>Table1[[#This Row],[YearsSinceLastPromotion]]</f>
        <v>1</v>
      </c>
      <c r="K925">
        <f>Table1[[#This Row],[EmployeeNumber]]</f>
        <v>1289</v>
      </c>
      <c r="L925">
        <f>Table1[[#This Row],[DistanceFromHome]]</f>
        <v>11</v>
      </c>
      <c r="M925" t="str">
        <f>Table1[[#This Row],[OverTime]]</f>
        <v>No</v>
      </c>
      <c r="N925">
        <f>Table1[[#This Row],[WorkLifeBalance]]</f>
        <v>4</v>
      </c>
      <c r="O925" t="str" cm="1">
        <f t="array" ref="O925">_xlfn.IFS(A925&lt;=30,"18-30",A925&lt;=40,"31-40",A925&lt;=50,"41-50",A925&gt;50,"51+")</f>
        <v>31-40</v>
      </c>
      <c r="P925" t="str" cm="1">
        <f t="array" ref="P925">_xlfn.IFS(F925&lt;=45,"45 or below",F925&lt;= 60,"46-60",F925&lt;=75,"61-75",F925&lt;=90,"76-90",F925&gt;90,"91 or above")</f>
        <v>46-60</v>
      </c>
      <c r="Q9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25" t="str" cm="1">
        <f t="array" ref="R9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26" spans="1:18" x14ac:dyDescent="0.2">
      <c r="A926">
        <f>Table1[[#This Row],[Age]]</f>
        <v>35</v>
      </c>
      <c r="B926">
        <f>IF(Table3[[#This Row],[Attrition]] = "Yes", 1,0)</f>
        <v>0</v>
      </c>
      <c r="C926" t="str">
        <f>Table1[[#This Row],[Attrition]]</f>
        <v>No</v>
      </c>
      <c r="D926" t="str">
        <f>Table1[[#This Row],[Department]]</f>
        <v>Research &amp; Development</v>
      </c>
      <c r="E926">
        <f>Table1[[#This Row],[EnvironmentSatisfaction]]</f>
        <v>3</v>
      </c>
      <c r="F926">
        <f>Table1[[#This Row],[HourlyRate]]</f>
        <v>66</v>
      </c>
      <c r="G926" t="str">
        <f>Table1[[#This Row],[JobRole]]</f>
        <v>Research Scientist</v>
      </c>
      <c r="H926">
        <f>Table1[[#This Row],[JobSatisfaction]]</f>
        <v>3</v>
      </c>
      <c r="I926">
        <f>Table1[[#This Row],[YearsAtCompany]]</f>
        <v>3</v>
      </c>
      <c r="J926">
        <f>Table1[[#This Row],[YearsSinceLastPromotion]]</f>
        <v>2</v>
      </c>
      <c r="K926">
        <f>Table1[[#This Row],[EmployeeNumber]]</f>
        <v>1291</v>
      </c>
      <c r="L926">
        <f>Table1[[#This Row],[DistanceFromHome]]</f>
        <v>6</v>
      </c>
      <c r="M926" t="str">
        <f>Table1[[#This Row],[OverTime]]</f>
        <v>Yes</v>
      </c>
      <c r="N926">
        <f>Table1[[#This Row],[WorkLifeBalance]]</f>
        <v>3</v>
      </c>
      <c r="O926" t="str" cm="1">
        <f t="array" ref="O926">_xlfn.IFS(A926&lt;=30,"18-30",A926&lt;=40,"31-40",A926&lt;=50,"41-50",A926&gt;50,"51+")</f>
        <v>31-40</v>
      </c>
      <c r="P926" t="str" cm="1">
        <f t="array" ref="P926">_xlfn.IFS(F926&lt;=45,"45 or below",F926&lt;= 60,"46-60",F926&lt;=75,"61-75",F926&lt;=90,"76-90",F926&gt;90,"91 or above")</f>
        <v>61-75</v>
      </c>
      <c r="Q9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26" t="str" cm="1">
        <f t="array" ref="R926" xml:space="preserve"> _xlfn.IFS(Table3[[#This Row],[Flight Risk Score]] = "NA","NA",Table3[[#This Row],[Flight Risk Score]] &gt;= 70,"High Risk",Table3[[#This Row],[Flight Risk Score]] &gt;= 50, "Medium Risk", Table3[[#This Row],[Flight Risk Score]] &gt;= 30,"Low Risk",Table3[[#This Row],[Flight Risk Score]] &lt; 30,"Very Low Risk")</f>
        <v>Low Risk</v>
      </c>
    </row>
    <row r="927" spans="1:18" x14ac:dyDescent="0.2">
      <c r="A927">
        <f>Table1[[#This Row],[Age]]</f>
        <v>42</v>
      </c>
      <c r="B927">
        <f>IF(Table3[[#This Row],[Attrition]] = "Yes", 1,0)</f>
        <v>0</v>
      </c>
      <c r="C927" t="str">
        <f>Table1[[#This Row],[Attrition]]</f>
        <v>No</v>
      </c>
      <c r="D927" t="str">
        <f>Table1[[#This Row],[Department]]</f>
        <v>Research &amp; Development</v>
      </c>
      <c r="E927">
        <f>Table1[[#This Row],[EnvironmentSatisfaction]]</f>
        <v>2</v>
      </c>
      <c r="F927">
        <f>Table1[[#This Row],[HourlyRate]]</f>
        <v>78</v>
      </c>
      <c r="G927" t="str">
        <f>Table1[[#This Row],[JobRole]]</f>
        <v>Research Scientist</v>
      </c>
      <c r="H927">
        <f>Table1[[#This Row],[JobSatisfaction]]</f>
        <v>2</v>
      </c>
      <c r="I927">
        <f>Table1[[#This Row],[YearsAtCompany]]</f>
        <v>1</v>
      </c>
      <c r="J927">
        <f>Table1[[#This Row],[YearsSinceLastPromotion]]</f>
        <v>0</v>
      </c>
      <c r="K927">
        <f>Table1[[#This Row],[EmployeeNumber]]</f>
        <v>1292</v>
      </c>
      <c r="L927">
        <f>Table1[[#This Row],[DistanceFromHome]]</f>
        <v>7</v>
      </c>
      <c r="M927" t="str">
        <f>Table1[[#This Row],[OverTime]]</f>
        <v>Yes</v>
      </c>
      <c r="N927">
        <f>Table1[[#This Row],[WorkLifeBalance]]</f>
        <v>3</v>
      </c>
      <c r="O927" t="str" cm="1">
        <f t="array" ref="O927">_xlfn.IFS(A927&lt;=30,"18-30",A927&lt;=40,"31-40",A927&lt;=50,"41-50",A927&gt;50,"51+")</f>
        <v>41-50</v>
      </c>
      <c r="P927" t="str" cm="1">
        <f t="array" ref="P927">_xlfn.IFS(F927&lt;=45,"45 or below",F927&lt;= 60,"46-60",F927&lt;=75,"61-75",F927&lt;=90,"76-90",F927&gt;90,"91 or above")</f>
        <v>76-90</v>
      </c>
      <c r="Q9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927" t="str" cm="1">
        <f t="array" ref="R92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28" spans="1:18" x14ac:dyDescent="0.2">
      <c r="A928">
        <f>Table1[[#This Row],[Age]]</f>
        <v>43</v>
      </c>
      <c r="B928">
        <f>IF(Table3[[#This Row],[Attrition]] = "Yes", 1,0)</f>
        <v>0</v>
      </c>
      <c r="C928" t="str">
        <f>Table1[[#This Row],[Attrition]]</f>
        <v>No</v>
      </c>
      <c r="D928" t="str">
        <f>Table1[[#This Row],[Department]]</f>
        <v>Sales</v>
      </c>
      <c r="E928">
        <f>Table1[[#This Row],[EnvironmentSatisfaction]]</f>
        <v>4</v>
      </c>
      <c r="F928">
        <f>Table1[[#This Row],[HourlyRate]]</f>
        <v>56</v>
      </c>
      <c r="G928" t="str">
        <f>Table1[[#This Row],[JobRole]]</f>
        <v>Sales Executive</v>
      </c>
      <c r="H928">
        <f>Table1[[#This Row],[JobSatisfaction]]</f>
        <v>4</v>
      </c>
      <c r="I928">
        <f>Table1[[#This Row],[YearsAtCompany]]</f>
        <v>21</v>
      </c>
      <c r="J928">
        <f>Table1[[#This Row],[YearsSinceLastPromotion]]</f>
        <v>15</v>
      </c>
      <c r="K928">
        <f>Table1[[#This Row],[EmployeeNumber]]</f>
        <v>1293</v>
      </c>
      <c r="L928">
        <f>Table1[[#This Row],[DistanceFromHome]]</f>
        <v>4</v>
      </c>
      <c r="M928" t="str">
        <f>Table1[[#This Row],[OverTime]]</f>
        <v>No</v>
      </c>
      <c r="N928">
        <f>Table1[[#This Row],[WorkLifeBalance]]</f>
        <v>4</v>
      </c>
      <c r="O928" t="str" cm="1">
        <f t="array" ref="O928">_xlfn.IFS(A928&lt;=30,"18-30",A928&lt;=40,"31-40",A928&lt;=50,"41-50",A928&gt;50,"51+")</f>
        <v>41-50</v>
      </c>
      <c r="P928" t="str" cm="1">
        <f t="array" ref="P928">_xlfn.IFS(F928&lt;=45,"45 or below",F928&lt;= 60,"46-60",F928&lt;=75,"61-75",F928&lt;=90,"76-90",F928&gt;90,"91 or above")</f>
        <v>46-60</v>
      </c>
      <c r="Q9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28" t="str" cm="1">
        <f t="array" ref="R9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29" spans="1:18" x14ac:dyDescent="0.2">
      <c r="A929">
        <f>Table1[[#This Row],[Age]]</f>
        <v>36</v>
      </c>
      <c r="B929">
        <f>IF(Table3[[#This Row],[Attrition]] = "Yes", 1,0)</f>
        <v>0</v>
      </c>
      <c r="C929" t="str">
        <f>Table1[[#This Row],[Attrition]]</f>
        <v>No</v>
      </c>
      <c r="D929" t="str">
        <f>Table1[[#This Row],[Department]]</f>
        <v>Research &amp; Development</v>
      </c>
      <c r="E929">
        <f>Table1[[#This Row],[EnvironmentSatisfaction]]</f>
        <v>3</v>
      </c>
      <c r="F929">
        <f>Table1[[#This Row],[HourlyRate]]</f>
        <v>53</v>
      </c>
      <c r="G929" t="str">
        <f>Table1[[#This Row],[JobRole]]</f>
        <v>Manufacturing Director</v>
      </c>
      <c r="H929">
        <f>Table1[[#This Row],[JobSatisfaction]]</f>
        <v>2</v>
      </c>
      <c r="I929">
        <f>Table1[[#This Row],[YearsAtCompany]]</f>
        <v>16</v>
      </c>
      <c r="J929">
        <f>Table1[[#This Row],[YearsSinceLastPromotion]]</f>
        <v>5</v>
      </c>
      <c r="K929">
        <f>Table1[[#This Row],[EmployeeNumber]]</f>
        <v>1294</v>
      </c>
      <c r="L929">
        <f>Table1[[#This Row],[DistanceFromHome]]</f>
        <v>2</v>
      </c>
      <c r="M929" t="str">
        <f>Table1[[#This Row],[OverTime]]</f>
        <v>Yes</v>
      </c>
      <c r="N929">
        <f>Table1[[#This Row],[WorkLifeBalance]]</f>
        <v>3</v>
      </c>
      <c r="O929" t="str" cm="1">
        <f t="array" ref="O929">_xlfn.IFS(A929&lt;=30,"18-30",A929&lt;=40,"31-40",A929&lt;=50,"41-50",A929&gt;50,"51+")</f>
        <v>31-40</v>
      </c>
      <c r="P929" t="str" cm="1">
        <f t="array" ref="P929">_xlfn.IFS(F929&lt;=45,"45 or below",F929&lt;= 60,"46-60",F929&lt;=75,"61-75",F929&lt;=90,"76-90",F929&gt;90,"91 or above")</f>
        <v>46-60</v>
      </c>
      <c r="Q9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29" t="str" cm="1">
        <f t="array" ref="R92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30" spans="1:18" hidden="1" x14ac:dyDescent="0.2">
      <c r="A930">
        <f>Table1[[#This Row],[Age]]</f>
        <v>44</v>
      </c>
      <c r="B930">
        <f>IF(Table3[[#This Row],[Attrition]] = "Yes", 1,0)</f>
        <v>1</v>
      </c>
      <c r="C930" t="str">
        <f>Table1[[#This Row],[Attrition]]</f>
        <v>Yes</v>
      </c>
      <c r="D930" t="str">
        <f>Table1[[#This Row],[Department]]</f>
        <v>Research &amp; Development</v>
      </c>
      <c r="E930">
        <f>Table1[[#This Row],[EnvironmentSatisfaction]]</f>
        <v>1</v>
      </c>
      <c r="F930">
        <f>Table1[[#This Row],[HourlyRate]]</f>
        <v>73</v>
      </c>
      <c r="G930" t="str">
        <f>Table1[[#This Row],[JobRole]]</f>
        <v>Healthcare Representative</v>
      </c>
      <c r="H930">
        <f>Table1[[#This Row],[JobSatisfaction]]</f>
        <v>4</v>
      </c>
      <c r="I930">
        <f>Table1[[#This Row],[YearsAtCompany]]</f>
        <v>10</v>
      </c>
      <c r="J930">
        <f>Table1[[#This Row],[YearsSinceLastPromotion]]</f>
        <v>0</v>
      </c>
      <c r="K930">
        <f>Table1[[#This Row],[EmployeeNumber]]</f>
        <v>1295</v>
      </c>
      <c r="L930">
        <f>Table1[[#This Row],[DistanceFromHome]]</f>
        <v>15</v>
      </c>
      <c r="M930" t="str">
        <f>Table1[[#This Row],[OverTime]]</f>
        <v>No</v>
      </c>
      <c r="N930">
        <f>Table1[[#This Row],[WorkLifeBalance]]</f>
        <v>3</v>
      </c>
      <c r="O930" t="str" cm="1">
        <f t="array" ref="O930">_xlfn.IFS(A930&lt;=30,"18-30",A930&lt;=40,"31-40",A930&lt;=50,"41-50",A930&gt;50,"51+")</f>
        <v>41-50</v>
      </c>
      <c r="P930" t="str" cm="1">
        <f t="array" ref="P930">_xlfn.IFS(F930&lt;=45,"45 or below",F930&lt;= 60,"46-60",F930&lt;=75,"61-75",F930&lt;=90,"76-90",F930&gt;90,"91 or above")</f>
        <v>61-75</v>
      </c>
      <c r="Q93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30" t="str" cm="1">
        <f t="array" ref="R930" xml:space="preserve"> _xlfn.IFS(Table3[[#This Row],[Flight Risk Score]] = "NA","NA",Table3[[#This Row],[Flight Risk Score]] &gt;= 70,"High Risk",Table3[[#This Row],[Flight Risk Score]] &gt;= 50, "Medium Risk", Table3[[#This Row],[Flight Risk Score]] &gt;= 30,"Low Risk",Table3[[#This Row],[Flight Risk Score]] &lt; 30,"Very Low Risk")</f>
        <v>NA</v>
      </c>
    </row>
    <row r="931" spans="1:18" x14ac:dyDescent="0.2">
      <c r="A931">
        <f>Table1[[#This Row],[Age]]</f>
        <v>28</v>
      </c>
      <c r="B931">
        <f>IF(Table3[[#This Row],[Attrition]] = "Yes", 1,0)</f>
        <v>0</v>
      </c>
      <c r="C931" t="str">
        <f>Table1[[#This Row],[Attrition]]</f>
        <v>No</v>
      </c>
      <c r="D931" t="str">
        <f>Table1[[#This Row],[Department]]</f>
        <v>Research &amp; Development</v>
      </c>
      <c r="E931">
        <f>Table1[[#This Row],[EnvironmentSatisfaction]]</f>
        <v>4</v>
      </c>
      <c r="F931">
        <f>Table1[[#This Row],[HourlyRate]]</f>
        <v>52</v>
      </c>
      <c r="G931" t="str">
        <f>Table1[[#This Row],[JobRole]]</f>
        <v>Laboratory Technician</v>
      </c>
      <c r="H931">
        <f>Table1[[#This Row],[JobSatisfaction]]</f>
        <v>4</v>
      </c>
      <c r="I931">
        <f>Table1[[#This Row],[YearsAtCompany]]</f>
        <v>2</v>
      </c>
      <c r="J931">
        <f>Table1[[#This Row],[YearsSinceLastPromotion]]</f>
        <v>2</v>
      </c>
      <c r="K931">
        <f>Table1[[#This Row],[EmployeeNumber]]</f>
        <v>1296</v>
      </c>
      <c r="L931">
        <f>Table1[[#This Row],[DistanceFromHome]]</f>
        <v>2</v>
      </c>
      <c r="M931" t="str">
        <f>Table1[[#This Row],[OverTime]]</f>
        <v>Yes</v>
      </c>
      <c r="N931">
        <f>Table1[[#This Row],[WorkLifeBalance]]</f>
        <v>3</v>
      </c>
      <c r="O931" t="str" cm="1">
        <f t="array" ref="O931">_xlfn.IFS(A931&lt;=30,"18-30",A931&lt;=40,"31-40",A931&lt;=50,"41-50",A931&gt;50,"51+")</f>
        <v>18-30</v>
      </c>
      <c r="P931" t="str" cm="1">
        <f t="array" ref="P931">_xlfn.IFS(F931&lt;=45,"45 or below",F931&lt;= 60,"46-60",F931&lt;=75,"61-75",F931&lt;=90,"76-90",F931&gt;90,"91 or above")</f>
        <v>46-60</v>
      </c>
      <c r="Q9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31" t="str" cm="1">
        <f t="array" ref="R931" xml:space="preserve"> _xlfn.IFS(Table3[[#This Row],[Flight Risk Score]] = "NA","NA",Table3[[#This Row],[Flight Risk Score]] &gt;= 70,"High Risk",Table3[[#This Row],[Flight Risk Score]] &gt;= 50, "Medium Risk", Table3[[#This Row],[Flight Risk Score]] &gt;= 30,"Low Risk",Table3[[#This Row],[Flight Risk Score]] &lt; 30,"Very Low Risk")</f>
        <v>Low Risk</v>
      </c>
    </row>
    <row r="932" spans="1:18" x14ac:dyDescent="0.2">
      <c r="A932">
        <f>Table1[[#This Row],[Age]]</f>
        <v>51</v>
      </c>
      <c r="B932">
        <f>IF(Table3[[#This Row],[Attrition]] = "Yes", 1,0)</f>
        <v>0</v>
      </c>
      <c r="C932" t="str">
        <f>Table1[[#This Row],[Attrition]]</f>
        <v>No</v>
      </c>
      <c r="D932" t="str">
        <f>Table1[[#This Row],[Department]]</f>
        <v>Research &amp; Development</v>
      </c>
      <c r="E932">
        <f>Table1[[#This Row],[EnvironmentSatisfaction]]</f>
        <v>2</v>
      </c>
      <c r="F932">
        <f>Table1[[#This Row],[HourlyRate]]</f>
        <v>40</v>
      </c>
      <c r="G932" t="str">
        <f>Table1[[#This Row],[JobRole]]</f>
        <v>Laboratory Technician</v>
      </c>
      <c r="H932">
        <f>Table1[[#This Row],[JobSatisfaction]]</f>
        <v>3</v>
      </c>
      <c r="I932">
        <f>Table1[[#This Row],[YearsAtCompany]]</f>
        <v>7</v>
      </c>
      <c r="J932">
        <f>Table1[[#This Row],[YearsSinceLastPromotion]]</f>
        <v>7</v>
      </c>
      <c r="K932">
        <f>Table1[[#This Row],[EmployeeNumber]]</f>
        <v>1297</v>
      </c>
      <c r="L932">
        <f>Table1[[#This Row],[DistanceFromHome]]</f>
        <v>6</v>
      </c>
      <c r="M932" t="str">
        <f>Table1[[#This Row],[OverTime]]</f>
        <v>No</v>
      </c>
      <c r="N932">
        <f>Table1[[#This Row],[WorkLifeBalance]]</f>
        <v>2</v>
      </c>
      <c r="O932" t="str" cm="1">
        <f t="array" ref="O932">_xlfn.IFS(A932&lt;=30,"18-30",A932&lt;=40,"31-40",A932&lt;=50,"41-50",A932&gt;50,"51+")</f>
        <v>51+</v>
      </c>
      <c r="P932" t="str" cm="1">
        <f t="array" ref="P932">_xlfn.IFS(F932&lt;=45,"45 or below",F932&lt;= 60,"46-60",F932&lt;=75,"61-75",F932&lt;=90,"76-90",F932&gt;90,"91 or above")</f>
        <v>45 or below</v>
      </c>
      <c r="Q9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32" t="str" cm="1">
        <f t="array" ref="R9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33" spans="1:18" x14ac:dyDescent="0.2">
      <c r="A933">
        <f>Table1[[#This Row],[Age]]</f>
        <v>30</v>
      </c>
      <c r="B933">
        <f>IF(Table3[[#This Row],[Attrition]] = "Yes", 1,0)</f>
        <v>0</v>
      </c>
      <c r="C933" t="str">
        <f>Table1[[#This Row],[Attrition]]</f>
        <v>No</v>
      </c>
      <c r="D933" t="str">
        <f>Table1[[#This Row],[Department]]</f>
        <v>Research &amp; Development</v>
      </c>
      <c r="E933">
        <f>Table1[[#This Row],[EnvironmentSatisfaction]]</f>
        <v>3</v>
      </c>
      <c r="F933">
        <f>Table1[[#This Row],[HourlyRate]]</f>
        <v>72</v>
      </c>
      <c r="G933" t="str">
        <f>Table1[[#This Row],[JobRole]]</f>
        <v>Manufacturing Director</v>
      </c>
      <c r="H933">
        <f>Table1[[#This Row],[JobSatisfaction]]</f>
        <v>3</v>
      </c>
      <c r="I933">
        <f>Table1[[#This Row],[YearsAtCompany]]</f>
        <v>8</v>
      </c>
      <c r="J933">
        <f>Table1[[#This Row],[YearsSinceLastPromotion]]</f>
        <v>1</v>
      </c>
      <c r="K933">
        <f>Table1[[#This Row],[EmployeeNumber]]</f>
        <v>1298</v>
      </c>
      <c r="L933">
        <f>Table1[[#This Row],[DistanceFromHome]]</f>
        <v>9</v>
      </c>
      <c r="M933" t="str">
        <f>Table1[[#This Row],[OverTime]]</f>
        <v>Yes</v>
      </c>
      <c r="N933">
        <f>Table1[[#This Row],[WorkLifeBalance]]</f>
        <v>3</v>
      </c>
      <c r="O933" t="str" cm="1">
        <f t="array" ref="O933">_xlfn.IFS(A933&lt;=30,"18-30",A933&lt;=40,"31-40",A933&lt;=50,"41-50",A933&gt;50,"51+")</f>
        <v>18-30</v>
      </c>
      <c r="P933" t="str" cm="1">
        <f t="array" ref="P933">_xlfn.IFS(F933&lt;=45,"45 or below",F933&lt;= 60,"46-60",F933&lt;=75,"61-75",F933&lt;=90,"76-90",F933&gt;90,"91 or above")</f>
        <v>61-75</v>
      </c>
      <c r="Q9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33" t="str" cm="1">
        <f t="array" ref="R933" xml:space="preserve"> _xlfn.IFS(Table3[[#This Row],[Flight Risk Score]] = "NA","NA",Table3[[#This Row],[Flight Risk Score]] &gt;= 70,"High Risk",Table3[[#This Row],[Flight Risk Score]] &gt;= 50, "Medium Risk", Table3[[#This Row],[Flight Risk Score]] &gt;= 30,"Low Risk",Table3[[#This Row],[Flight Risk Score]] &lt; 30,"Very Low Risk")</f>
        <v>Low Risk</v>
      </c>
    </row>
    <row r="934" spans="1:18" hidden="1" x14ac:dyDescent="0.2">
      <c r="A934">
        <f>Table1[[#This Row],[Age]]</f>
        <v>29</v>
      </c>
      <c r="B934">
        <f>IF(Table3[[#This Row],[Attrition]] = "Yes", 1,0)</f>
        <v>1</v>
      </c>
      <c r="C934" t="str">
        <f>Table1[[#This Row],[Attrition]]</f>
        <v>Yes</v>
      </c>
      <c r="D934" t="str">
        <f>Table1[[#This Row],[Department]]</f>
        <v>Research &amp; Development</v>
      </c>
      <c r="E934">
        <f>Table1[[#This Row],[EnvironmentSatisfaction]]</f>
        <v>2</v>
      </c>
      <c r="F934">
        <f>Table1[[#This Row],[HourlyRate]]</f>
        <v>39</v>
      </c>
      <c r="G934" t="str">
        <f>Table1[[#This Row],[JobRole]]</f>
        <v>Laboratory Technician</v>
      </c>
      <c r="H934">
        <f>Table1[[#This Row],[JobSatisfaction]]</f>
        <v>3</v>
      </c>
      <c r="I934">
        <f>Table1[[#This Row],[YearsAtCompany]]</f>
        <v>7</v>
      </c>
      <c r="J934">
        <f>Table1[[#This Row],[YearsSinceLastPromotion]]</f>
        <v>7</v>
      </c>
      <c r="K934">
        <f>Table1[[#This Row],[EmployeeNumber]]</f>
        <v>1299</v>
      </c>
      <c r="L934">
        <f>Table1[[#This Row],[DistanceFromHome]]</f>
        <v>7</v>
      </c>
      <c r="M934" t="str">
        <f>Table1[[#This Row],[OverTime]]</f>
        <v>Yes</v>
      </c>
      <c r="N934">
        <f>Table1[[#This Row],[WorkLifeBalance]]</f>
        <v>3</v>
      </c>
      <c r="O934" t="str" cm="1">
        <f t="array" ref="O934">_xlfn.IFS(A934&lt;=30,"18-30",A934&lt;=40,"31-40",A934&lt;=50,"41-50",A934&gt;50,"51+")</f>
        <v>18-30</v>
      </c>
      <c r="P934" t="str" cm="1">
        <f t="array" ref="P934">_xlfn.IFS(F934&lt;=45,"45 or below",F934&lt;= 60,"46-60",F934&lt;=75,"61-75",F934&lt;=90,"76-90",F934&gt;90,"91 or above")</f>
        <v>45 or below</v>
      </c>
      <c r="Q93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34" t="str" cm="1">
        <f t="array" ref="R934" xml:space="preserve"> _xlfn.IFS(Table3[[#This Row],[Flight Risk Score]] = "NA","NA",Table3[[#This Row],[Flight Risk Score]] &gt;= 70,"High Risk",Table3[[#This Row],[Flight Risk Score]] &gt;= 50, "Medium Risk", Table3[[#This Row],[Flight Risk Score]] &gt;= 30,"Low Risk",Table3[[#This Row],[Flight Risk Score]] &lt; 30,"Very Low Risk")</f>
        <v>NA</v>
      </c>
    </row>
    <row r="935" spans="1:18" x14ac:dyDescent="0.2">
      <c r="A935">
        <f>Table1[[#This Row],[Age]]</f>
        <v>28</v>
      </c>
      <c r="B935">
        <f>IF(Table3[[#This Row],[Attrition]] = "Yes", 1,0)</f>
        <v>0</v>
      </c>
      <c r="C935" t="str">
        <f>Table1[[#This Row],[Attrition]]</f>
        <v>No</v>
      </c>
      <c r="D935" t="str">
        <f>Table1[[#This Row],[Department]]</f>
        <v>Research &amp; Development</v>
      </c>
      <c r="E935">
        <f>Table1[[#This Row],[EnvironmentSatisfaction]]</f>
        <v>4</v>
      </c>
      <c r="F935">
        <f>Table1[[#This Row],[HourlyRate]]</f>
        <v>84</v>
      </c>
      <c r="G935" t="str">
        <f>Table1[[#This Row],[JobRole]]</f>
        <v>Research Scientist</v>
      </c>
      <c r="H935">
        <f>Table1[[#This Row],[JobSatisfaction]]</f>
        <v>1</v>
      </c>
      <c r="I935">
        <f>Table1[[#This Row],[YearsAtCompany]]</f>
        <v>3</v>
      </c>
      <c r="J935">
        <f>Table1[[#This Row],[YearsSinceLastPromotion]]</f>
        <v>1</v>
      </c>
      <c r="K935">
        <f>Table1[[#This Row],[EmployeeNumber]]</f>
        <v>1301</v>
      </c>
      <c r="L935">
        <f>Table1[[#This Row],[DistanceFromHome]]</f>
        <v>1</v>
      </c>
      <c r="M935" t="str">
        <f>Table1[[#This Row],[OverTime]]</f>
        <v>No</v>
      </c>
      <c r="N935">
        <f>Table1[[#This Row],[WorkLifeBalance]]</f>
        <v>2</v>
      </c>
      <c r="O935" t="str" cm="1">
        <f t="array" ref="O935">_xlfn.IFS(A935&lt;=30,"18-30",A935&lt;=40,"31-40",A935&lt;=50,"41-50",A935&gt;50,"51+")</f>
        <v>18-30</v>
      </c>
      <c r="P935" t="str" cm="1">
        <f t="array" ref="P935">_xlfn.IFS(F935&lt;=45,"45 or below",F935&lt;= 60,"46-60",F935&lt;=75,"61-75",F935&lt;=90,"76-90",F935&gt;90,"91 or above")</f>
        <v>76-90</v>
      </c>
      <c r="Q9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35" t="str" cm="1">
        <f t="array" ref="R9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36" spans="1:18" x14ac:dyDescent="0.2">
      <c r="A936">
        <f>Table1[[#This Row],[Age]]</f>
        <v>25</v>
      </c>
      <c r="B936">
        <f>IF(Table3[[#This Row],[Attrition]] = "Yes", 1,0)</f>
        <v>0</v>
      </c>
      <c r="C936" t="str">
        <f>Table1[[#This Row],[Attrition]]</f>
        <v>No</v>
      </c>
      <c r="D936" t="str">
        <f>Table1[[#This Row],[Department]]</f>
        <v>Research &amp; Development</v>
      </c>
      <c r="E936">
        <f>Table1[[#This Row],[EnvironmentSatisfaction]]</f>
        <v>4</v>
      </c>
      <c r="F936">
        <f>Table1[[#This Row],[HourlyRate]]</f>
        <v>40</v>
      </c>
      <c r="G936" t="str">
        <f>Table1[[#This Row],[JobRole]]</f>
        <v>Research Scientist</v>
      </c>
      <c r="H936">
        <f>Table1[[#This Row],[JobSatisfaction]]</f>
        <v>2</v>
      </c>
      <c r="I936">
        <f>Table1[[#This Row],[YearsAtCompany]]</f>
        <v>2</v>
      </c>
      <c r="J936">
        <f>Table1[[#This Row],[YearsSinceLastPromotion]]</f>
        <v>2</v>
      </c>
      <c r="K936">
        <f>Table1[[#This Row],[EmployeeNumber]]</f>
        <v>1303</v>
      </c>
      <c r="L936">
        <f>Table1[[#This Row],[DistanceFromHome]]</f>
        <v>1</v>
      </c>
      <c r="M936" t="str">
        <f>Table1[[#This Row],[OverTime]]</f>
        <v>No</v>
      </c>
      <c r="N936">
        <f>Table1[[#This Row],[WorkLifeBalance]]</f>
        <v>2</v>
      </c>
      <c r="O936" t="str" cm="1">
        <f t="array" ref="O936">_xlfn.IFS(A936&lt;=30,"18-30",A936&lt;=40,"31-40",A936&lt;=50,"41-50",A936&gt;50,"51+")</f>
        <v>18-30</v>
      </c>
      <c r="P936" t="str" cm="1">
        <f t="array" ref="P936">_xlfn.IFS(F936&lt;=45,"45 or below",F936&lt;= 60,"46-60",F936&lt;=75,"61-75",F936&lt;=90,"76-90",F936&gt;90,"91 or above")</f>
        <v>45 or below</v>
      </c>
      <c r="Q9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36" t="str" cm="1">
        <f t="array" ref="R9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37" spans="1:18" x14ac:dyDescent="0.2">
      <c r="A937">
        <f>Table1[[#This Row],[Age]]</f>
        <v>32</v>
      </c>
      <c r="B937">
        <f>IF(Table3[[#This Row],[Attrition]] = "Yes", 1,0)</f>
        <v>0</v>
      </c>
      <c r="C937" t="str">
        <f>Table1[[#This Row],[Attrition]]</f>
        <v>No</v>
      </c>
      <c r="D937" t="str">
        <f>Table1[[#This Row],[Department]]</f>
        <v>Sales</v>
      </c>
      <c r="E937">
        <f>Table1[[#This Row],[EnvironmentSatisfaction]]</f>
        <v>3</v>
      </c>
      <c r="F937">
        <f>Table1[[#This Row],[HourlyRate]]</f>
        <v>56</v>
      </c>
      <c r="G937" t="str">
        <f>Table1[[#This Row],[JobRole]]</f>
        <v>Sales Executive</v>
      </c>
      <c r="H937">
        <f>Table1[[#This Row],[JobSatisfaction]]</f>
        <v>4</v>
      </c>
      <c r="I937">
        <f>Table1[[#This Row],[YearsAtCompany]]</f>
        <v>10</v>
      </c>
      <c r="J937">
        <f>Table1[[#This Row],[YearsSinceLastPromotion]]</f>
        <v>0</v>
      </c>
      <c r="K937">
        <f>Table1[[#This Row],[EmployeeNumber]]</f>
        <v>1304</v>
      </c>
      <c r="L937">
        <f>Table1[[#This Row],[DistanceFromHome]]</f>
        <v>8</v>
      </c>
      <c r="M937" t="str">
        <f>Table1[[#This Row],[OverTime]]</f>
        <v>No</v>
      </c>
      <c r="N937">
        <f>Table1[[#This Row],[WorkLifeBalance]]</f>
        <v>4</v>
      </c>
      <c r="O937" t="str" cm="1">
        <f t="array" ref="O937">_xlfn.IFS(A937&lt;=30,"18-30",A937&lt;=40,"31-40",A937&lt;=50,"41-50",A937&gt;50,"51+")</f>
        <v>31-40</v>
      </c>
      <c r="P937" t="str" cm="1">
        <f t="array" ref="P937">_xlfn.IFS(F937&lt;=45,"45 or below",F937&lt;= 60,"46-60",F937&lt;=75,"61-75",F937&lt;=90,"76-90",F937&gt;90,"91 or above")</f>
        <v>46-60</v>
      </c>
      <c r="Q9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37" t="str" cm="1">
        <f t="array" ref="R93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38" spans="1:18" x14ac:dyDescent="0.2">
      <c r="A938">
        <f>Table1[[#This Row],[Age]]</f>
        <v>45</v>
      </c>
      <c r="B938">
        <f>IF(Table3[[#This Row],[Attrition]] = "Yes", 1,0)</f>
        <v>0</v>
      </c>
      <c r="C938" t="str">
        <f>Table1[[#This Row],[Attrition]]</f>
        <v>No</v>
      </c>
      <c r="D938" t="str">
        <f>Table1[[#This Row],[Department]]</f>
        <v>Research &amp; Development</v>
      </c>
      <c r="E938">
        <f>Table1[[#This Row],[EnvironmentSatisfaction]]</f>
        <v>2</v>
      </c>
      <c r="F938">
        <f>Table1[[#This Row],[HourlyRate]]</f>
        <v>83</v>
      </c>
      <c r="G938" t="str">
        <f>Table1[[#This Row],[JobRole]]</f>
        <v>Manager</v>
      </c>
      <c r="H938">
        <f>Table1[[#This Row],[JobSatisfaction]]</f>
        <v>2</v>
      </c>
      <c r="I938">
        <f>Table1[[#This Row],[YearsAtCompany]]</f>
        <v>0</v>
      </c>
      <c r="J938">
        <f>Table1[[#This Row],[YearsSinceLastPromotion]]</f>
        <v>0</v>
      </c>
      <c r="K938">
        <f>Table1[[#This Row],[EmployeeNumber]]</f>
        <v>1306</v>
      </c>
      <c r="L938">
        <f>Table1[[#This Row],[DistanceFromHome]]</f>
        <v>25</v>
      </c>
      <c r="M938" t="str">
        <f>Table1[[#This Row],[OverTime]]</f>
        <v>No</v>
      </c>
      <c r="N938">
        <f>Table1[[#This Row],[WorkLifeBalance]]</f>
        <v>3</v>
      </c>
      <c r="O938" t="str" cm="1">
        <f t="array" ref="O938">_xlfn.IFS(A938&lt;=30,"18-30",A938&lt;=40,"31-40",A938&lt;=50,"41-50",A938&gt;50,"51+")</f>
        <v>41-50</v>
      </c>
      <c r="P938" t="str" cm="1">
        <f t="array" ref="P938">_xlfn.IFS(F938&lt;=45,"45 or below",F938&lt;= 60,"46-60",F938&lt;=75,"61-75",F938&lt;=90,"76-90",F938&gt;90,"91 or above")</f>
        <v>76-90</v>
      </c>
      <c r="Q93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938" t="str" cm="1">
        <f t="array" ref="R938" xml:space="preserve"> _xlfn.IFS(Table3[[#This Row],[Flight Risk Score]] = "NA","NA",Table3[[#This Row],[Flight Risk Score]] &gt;= 70,"High Risk",Table3[[#This Row],[Flight Risk Score]] &gt;= 50, "Medium Risk", Table3[[#This Row],[Flight Risk Score]] &gt;= 30,"Low Risk",Table3[[#This Row],[Flight Risk Score]] &lt; 30,"Very Low Risk")</f>
        <v>Low Risk</v>
      </c>
    </row>
    <row r="939" spans="1:18" x14ac:dyDescent="0.2">
      <c r="A939">
        <f>Table1[[#This Row],[Age]]</f>
        <v>39</v>
      </c>
      <c r="B939">
        <f>IF(Table3[[#This Row],[Attrition]] = "Yes", 1,0)</f>
        <v>0</v>
      </c>
      <c r="C939" t="str">
        <f>Table1[[#This Row],[Attrition]]</f>
        <v>No</v>
      </c>
      <c r="D939" t="str">
        <f>Table1[[#This Row],[Department]]</f>
        <v>Research &amp; Development</v>
      </c>
      <c r="E939">
        <f>Table1[[#This Row],[EnvironmentSatisfaction]]</f>
        <v>3</v>
      </c>
      <c r="F939">
        <f>Table1[[#This Row],[HourlyRate]]</f>
        <v>94</v>
      </c>
      <c r="G939" t="str">
        <f>Table1[[#This Row],[JobRole]]</f>
        <v>Manager</v>
      </c>
      <c r="H939">
        <f>Table1[[#This Row],[JobSatisfaction]]</f>
        <v>2</v>
      </c>
      <c r="I939">
        <f>Table1[[#This Row],[YearsAtCompany]]</f>
        <v>19</v>
      </c>
      <c r="J939">
        <f>Table1[[#This Row],[YearsSinceLastPromotion]]</f>
        <v>15</v>
      </c>
      <c r="K939">
        <f>Table1[[#This Row],[EmployeeNumber]]</f>
        <v>1307</v>
      </c>
      <c r="L939">
        <f>Table1[[#This Row],[DistanceFromHome]]</f>
        <v>13</v>
      </c>
      <c r="M939" t="str">
        <f>Table1[[#This Row],[OverTime]]</f>
        <v>Yes</v>
      </c>
      <c r="N939">
        <f>Table1[[#This Row],[WorkLifeBalance]]</f>
        <v>3</v>
      </c>
      <c r="O939" t="str" cm="1">
        <f t="array" ref="O939">_xlfn.IFS(A939&lt;=30,"18-30",A939&lt;=40,"31-40",A939&lt;=50,"41-50",A939&gt;50,"51+")</f>
        <v>31-40</v>
      </c>
      <c r="P939" t="str" cm="1">
        <f t="array" ref="P939">_xlfn.IFS(F939&lt;=45,"45 or below",F939&lt;= 60,"46-60",F939&lt;=75,"61-75",F939&lt;=90,"76-90",F939&gt;90,"91 or above")</f>
        <v>91 or above</v>
      </c>
      <c r="Q9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39" t="str" cm="1">
        <f t="array" ref="R93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40" spans="1:18" x14ac:dyDescent="0.2">
      <c r="A940">
        <f>Table1[[#This Row],[Age]]</f>
        <v>58</v>
      </c>
      <c r="B940">
        <f>IF(Table3[[#This Row],[Attrition]] = "Yes", 1,0)</f>
        <v>0</v>
      </c>
      <c r="C940" t="str">
        <f>Table1[[#This Row],[Attrition]]</f>
        <v>No</v>
      </c>
      <c r="D940" t="str">
        <f>Table1[[#This Row],[Department]]</f>
        <v>Research &amp; Development</v>
      </c>
      <c r="E940">
        <f>Table1[[#This Row],[EnvironmentSatisfaction]]</f>
        <v>1</v>
      </c>
      <c r="F940">
        <f>Table1[[#This Row],[HourlyRate]]</f>
        <v>88</v>
      </c>
      <c r="G940" t="str">
        <f>Table1[[#This Row],[JobRole]]</f>
        <v>Research Scientist</v>
      </c>
      <c r="H940">
        <f>Table1[[#This Row],[JobSatisfaction]]</f>
        <v>3</v>
      </c>
      <c r="I940">
        <f>Table1[[#This Row],[YearsAtCompany]]</f>
        <v>2</v>
      </c>
      <c r="J940">
        <f>Table1[[#This Row],[YearsSinceLastPromotion]]</f>
        <v>2</v>
      </c>
      <c r="K940">
        <f>Table1[[#This Row],[EmployeeNumber]]</f>
        <v>1308</v>
      </c>
      <c r="L940">
        <f>Table1[[#This Row],[DistanceFromHome]]</f>
        <v>23</v>
      </c>
      <c r="M940" t="str">
        <f>Table1[[#This Row],[OverTime]]</f>
        <v>No</v>
      </c>
      <c r="N940">
        <f>Table1[[#This Row],[WorkLifeBalance]]</f>
        <v>3</v>
      </c>
      <c r="O940" t="str" cm="1">
        <f t="array" ref="O940">_xlfn.IFS(A940&lt;=30,"18-30",A940&lt;=40,"31-40",A940&lt;=50,"41-50",A940&gt;50,"51+")</f>
        <v>51+</v>
      </c>
      <c r="P940" t="str" cm="1">
        <f t="array" ref="P940">_xlfn.IFS(F940&lt;=45,"45 or below",F940&lt;= 60,"46-60",F940&lt;=75,"61-75",F940&lt;=90,"76-90",F940&gt;90,"91 or above")</f>
        <v>76-90</v>
      </c>
      <c r="Q9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40" t="str" cm="1">
        <f t="array" ref="R9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41" spans="1:18" hidden="1" x14ac:dyDescent="0.2">
      <c r="A941">
        <f>Table1[[#This Row],[Age]]</f>
        <v>32</v>
      </c>
      <c r="B941">
        <f>IF(Table3[[#This Row],[Attrition]] = "Yes", 1,0)</f>
        <v>1</v>
      </c>
      <c r="C941" t="str">
        <f>Table1[[#This Row],[Attrition]]</f>
        <v>Yes</v>
      </c>
      <c r="D941" t="str">
        <f>Table1[[#This Row],[Department]]</f>
        <v>Research &amp; Development</v>
      </c>
      <c r="E941">
        <f>Table1[[#This Row],[EnvironmentSatisfaction]]</f>
        <v>4</v>
      </c>
      <c r="F941">
        <f>Table1[[#This Row],[HourlyRate]]</f>
        <v>79</v>
      </c>
      <c r="G941" t="str">
        <f>Table1[[#This Row],[JobRole]]</f>
        <v>Laboratory Technician</v>
      </c>
      <c r="H941">
        <f>Table1[[#This Row],[JobSatisfaction]]</f>
        <v>3</v>
      </c>
      <c r="I941">
        <f>Table1[[#This Row],[YearsAtCompany]]</f>
        <v>10</v>
      </c>
      <c r="J941">
        <f>Table1[[#This Row],[YearsSinceLastPromotion]]</f>
        <v>1</v>
      </c>
      <c r="K941">
        <f>Table1[[#This Row],[EmployeeNumber]]</f>
        <v>1309</v>
      </c>
      <c r="L941">
        <f>Table1[[#This Row],[DistanceFromHome]]</f>
        <v>7</v>
      </c>
      <c r="M941" t="str">
        <f>Table1[[#This Row],[OverTime]]</f>
        <v>No</v>
      </c>
      <c r="N941">
        <f>Table1[[#This Row],[WorkLifeBalance]]</f>
        <v>3</v>
      </c>
      <c r="O941" t="str" cm="1">
        <f t="array" ref="O941">_xlfn.IFS(A941&lt;=30,"18-30",A941&lt;=40,"31-40",A941&lt;=50,"41-50",A941&gt;50,"51+")</f>
        <v>31-40</v>
      </c>
      <c r="P941" t="str" cm="1">
        <f t="array" ref="P941">_xlfn.IFS(F941&lt;=45,"45 or below",F941&lt;= 60,"46-60",F941&lt;=75,"61-75",F941&lt;=90,"76-90",F941&gt;90,"91 or above")</f>
        <v>76-90</v>
      </c>
      <c r="Q94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41" t="str" cm="1">
        <f t="array" ref="R941" xml:space="preserve"> _xlfn.IFS(Table3[[#This Row],[Flight Risk Score]] = "NA","NA",Table3[[#This Row],[Flight Risk Score]] &gt;= 70,"High Risk",Table3[[#This Row],[Flight Risk Score]] &gt;= 50, "Medium Risk", Table3[[#This Row],[Flight Risk Score]] &gt;= 30,"Low Risk",Table3[[#This Row],[Flight Risk Score]] &lt; 30,"Very Low Risk")</f>
        <v>NA</v>
      </c>
    </row>
    <row r="942" spans="1:18" hidden="1" x14ac:dyDescent="0.2">
      <c r="A942">
        <f>Table1[[#This Row],[Age]]</f>
        <v>39</v>
      </c>
      <c r="B942">
        <f>IF(Table3[[#This Row],[Attrition]] = "Yes", 1,0)</f>
        <v>1</v>
      </c>
      <c r="C942" t="str">
        <f>Table1[[#This Row],[Attrition]]</f>
        <v>Yes</v>
      </c>
      <c r="D942" t="str">
        <f>Table1[[#This Row],[Department]]</f>
        <v>Research &amp; Development</v>
      </c>
      <c r="E942">
        <f>Table1[[#This Row],[EnvironmentSatisfaction]]</f>
        <v>3</v>
      </c>
      <c r="F942">
        <f>Table1[[#This Row],[HourlyRate]]</f>
        <v>93</v>
      </c>
      <c r="G942" t="str">
        <f>Table1[[#This Row],[JobRole]]</f>
        <v>Research Scientist</v>
      </c>
      <c r="H942">
        <f>Table1[[#This Row],[JobSatisfaction]]</f>
        <v>1</v>
      </c>
      <c r="I942">
        <f>Table1[[#This Row],[YearsAtCompany]]</f>
        <v>5</v>
      </c>
      <c r="J942">
        <f>Table1[[#This Row],[YearsSinceLastPromotion]]</f>
        <v>0</v>
      </c>
      <c r="K942">
        <f>Table1[[#This Row],[EmployeeNumber]]</f>
        <v>1310</v>
      </c>
      <c r="L942">
        <f>Table1[[#This Row],[DistanceFromHome]]</f>
        <v>23</v>
      </c>
      <c r="M942" t="str">
        <f>Table1[[#This Row],[OverTime]]</f>
        <v>No</v>
      </c>
      <c r="N942">
        <f>Table1[[#This Row],[WorkLifeBalance]]</f>
        <v>3</v>
      </c>
      <c r="O942" t="str" cm="1">
        <f t="array" ref="O942">_xlfn.IFS(A942&lt;=30,"18-30",A942&lt;=40,"31-40",A942&lt;=50,"41-50",A942&gt;50,"51+")</f>
        <v>31-40</v>
      </c>
      <c r="P942" t="str" cm="1">
        <f t="array" ref="P942">_xlfn.IFS(F942&lt;=45,"45 or below",F942&lt;= 60,"46-60",F942&lt;=75,"61-75",F942&lt;=90,"76-90",F942&gt;90,"91 or above")</f>
        <v>91 or above</v>
      </c>
      <c r="Q94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42" t="str" cm="1">
        <f t="array" ref="R942" xml:space="preserve"> _xlfn.IFS(Table3[[#This Row],[Flight Risk Score]] = "NA","NA",Table3[[#This Row],[Flight Risk Score]] &gt;= 70,"High Risk",Table3[[#This Row],[Flight Risk Score]] &gt;= 50, "Medium Risk", Table3[[#This Row],[Flight Risk Score]] &gt;= 30,"Low Risk",Table3[[#This Row],[Flight Risk Score]] &lt; 30,"Very Low Risk")</f>
        <v>NA</v>
      </c>
    </row>
    <row r="943" spans="1:18" x14ac:dyDescent="0.2">
      <c r="A943">
        <f>Table1[[#This Row],[Age]]</f>
        <v>30</v>
      </c>
      <c r="B943">
        <f>IF(Table3[[#This Row],[Attrition]] = "Yes", 1,0)</f>
        <v>0</v>
      </c>
      <c r="C943" t="str">
        <f>Table1[[#This Row],[Attrition]]</f>
        <v>No</v>
      </c>
      <c r="D943" t="str">
        <f>Table1[[#This Row],[Department]]</f>
        <v>Research &amp; Development</v>
      </c>
      <c r="E943">
        <f>Table1[[#This Row],[EnvironmentSatisfaction]]</f>
        <v>1</v>
      </c>
      <c r="F943">
        <f>Table1[[#This Row],[HourlyRate]]</f>
        <v>48</v>
      </c>
      <c r="G943" t="str">
        <f>Table1[[#This Row],[JobRole]]</f>
        <v>Laboratory Technician</v>
      </c>
      <c r="H943">
        <f>Table1[[#This Row],[JobSatisfaction]]</f>
        <v>4</v>
      </c>
      <c r="I943">
        <f>Table1[[#This Row],[YearsAtCompany]]</f>
        <v>9</v>
      </c>
      <c r="J943">
        <f>Table1[[#This Row],[YearsSinceLastPromotion]]</f>
        <v>6</v>
      </c>
      <c r="K943">
        <f>Table1[[#This Row],[EmployeeNumber]]</f>
        <v>1311</v>
      </c>
      <c r="L943">
        <f>Table1[[#This Row],[DistanceFromHome]]</f>
        <v>6</v>
      </c>
      <c r="M943" t="str">
        <f>Table1[[#This Row],[OverTime]]</f>
        <v>No</v>
      </c>
      <c r="N943">
        <f>Table1[[#This Row],[WorkLifeBalance]]</f>
        <v>3</v>
      </c>
      <c r="O943" t="str" cm="1">
        <f t="array" ref="O943">_xlfn.IFS(A943&lt;=30,"18-30",A943&lt;=40,"31-40",A943&lt;=50,"41-50",A943&gt;50,"51+")</f>
        <v>18-30</v>
      </c>
      <c r="P943" t="str" cm="1">
        <f t="array" ref="P943">_xlfn.IFS(F943&lt;=45,"45 or below",F943&lt;= 60,"46-60",F943&lt;=75,"61-75",F943&lt;=90,"76-90",F943&gt;90,"91 or above")</f>
        <v>46-60</v>
      </c>
      <c r="Q9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43" t="str" cm="1">
        <f t="array" ref="R9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44" spans="1:18" x14ac:dyDescent="0.2">
      <c r="A944">
        <f>Table1[[#This Row],[Age]]</f>
        <v>36</v>
      </c>
      <c r="B944">
        <f>IF(Table3[[#This Row],[Attrition]] = "Yes", 1,0)</f>
        <v>0</v>
      </c>
      <c r="C944" t="str">
        <f>Table1[[#This Row],[Attrition]]</f>
        <v>No</v>
      </c>
      <c r="D944" t="str">
        <f>Table1[[#This Row],[Department]]</f>
        <v>Research &amp; Development</v>
      </c>
      <c r="E944">
        <f>Table1[[#This Row],[EnvironmentSatisfaction]]</f>
        <v>4</v>
      </c>
      <c r="F944">
        <f>Table1[[#This Row],[HourlyRate]]</f>
        <v>63</v>
      </c>
      <c r="G944" t="str">
        <f>Table1[[#This Row],[JobRole]]</f>
        <v>Healthcare Representative</v>
      </c>
      <c r="H944">
        <f>Table1[[#This Row],[JobSatisfaction]]</f>
        <v>3</v>
      </c>
      <c r="I944">
        <f>Table1[[#This Row],[YearsAtCompany]]</f>
        <v>7</v>
      </c>
      <c r="J944">
        <f>Table1[[#This Row],[YearsSinceLastPromotion]]</f>
        <v>1</v>
      </c>
      <c r="K944">
        <f>Table1[[#This Row],[EmployeeNumber]]</f>
        <v>1312</v>
      </c>
      <c r="L944">
        <f>Table1[[#This Row],[DistanceFromHome]]</f>
        <v>10</v>
      </c>
      <c r="M944" t="str">
        <f>Table1[[#This Row],[OverTime]]</f>
        <v>No</v>
      </c>
      <c r="N944">
        <f>Table1[[#This Row],[WorkLifeBalance]]</f>
        <v>3</v>
      </c>
      <c r="O944" t="str" cm="1">
        <f t="array" ref="O944">_xlfn.IFS(A944&lt;=30,"18-30",A944&lt;=40,"31-40",A944&lt;=50,"41-50",A944&gt;50,"51+")</f>
        <v>31-40</v>
      </c>
      <c r="P944" t="str" cm="1">
        <f t="array" ref="P944">_xlfn.IFS(F944&lt;=45,"45 or below",F944&lt;= 60,"46-60",F944&lt;=75,"61-75",F944&lt;=90,"76-90",F944&gt;90,"91 or above")</f>
        <v>61-75</v>
      </c>
      <c r="Q9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44" t="str" cm="1">
        <f t="array" ref="R94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45" spans="1:18" x14ac:dyDescent="0.2">
      <c r="A945">
        <f>Table1[[#This Row],[Age]]</f>
        <v>46</v>
      </c>
      <c r="B945">
        <f>IF(Table3[[#This Row],[Attrition]] = "Yes", 1,0)</f>
        <v>0</v>
      </c>
      <c r="C945" t="str">
        <f>Table1[[#This Row],[Attrition]]</f>
        <v>No</v>
      </c>
      <c r="D945" t="str">
        <f>Table1[[#This Row],[Department]]</f>
        <v>Human Resources</v>
      </c>
      <c r="E945">
        <f>Table1[[#This Row],[EnvironmentSatisfaction]]</f>
        <v>4</v>
      </c>
      <c r="F945">
        <f>Table1[[#This Row],[HourlyRate]]</f>
        <v>44</v>
      </c>
      <c r="G945" t="str">
        <f>Table1[[#This Row],[JobRole]]</f>
        <v>Human Resources</v>
      </c>
      <c r="H945">
        <f>Table1[[#This Row],[JobSatisfaction]]</f>
        <v>1</v>
      </c>
      <c r="I945">
        <f>Table1[[#This Row],[YearsAtCompany]]</f>
        <v>7</v>
      </c>
      <c r="J945">
        <f>Table1[[#This Row],[YearsSinceLastPromotion]]</f>
        <v>5</v>
      </c>
      <c r="K945">
        <f>Table1[[#This Row],[EmployeeNumber]]</f>
        <v>1314</v>
      </c>
      <c r="L945">
        <f>Table1[[#This Row],[DistanceFromHome]]</f>
        <v>1</v>
      </c>
      <c r="M945" t="str">
        <f>Table1[[#This Row],[OverTime]]</f>
        <v>No</v>
      </c>
      <c r="N945">
        <f>Table1[[#This Row],[WorkLifeBalance]]</f>
        <v>4</v>
      </c>
      <c r="O945" t="str" cm="1">
        <f t="array" ref="O945">_xlfn.IFS(A945&lt;=30,"18-30",A945&lt;=40,"31-40",A945&lt;=50,"41-50",A945&gt;50,"51+")</f>
        <v>41-50</v>
      </c>
      <c r="P945" t="str" cm="1">
        <f t="array" ref="P945">_xlfn.IFS(F945&lt;=45,"45 or below",F945&lt;= 60,"46-60",F945&lt;=75,"61-75",F945&lt;=90,"76-90",F945&gt;90,"91 or above")</f>
        <v>45 or below</v>
      </c>
      <c r="Q9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45" t="str" cm="1">
        <f t="array" ref="R9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46" spans="1:18" x14ac:dyDescent="0.2">
      <c r="A946">
        <f>Table1[[#This Row],[Age]]</f>
        <v>28</v>
      </c>
      <c r="B946">
        <f>IF(Table3[[#This Row],[Attrition]] = "Yes", 1,0)</f>
        <v>0</v>
      </c>
      <c r="C946" t="str">
        <f>Table1[[#This Row],[Attrition]]</f>
        <v>No</v>
      </c>
      <c r="D946" t="str">
        <f>Table1[[#This Row],[Department]]</f>
        <v>Research &amp; Development</v>
      </c>
      <c r="E946">
        <f>Table1[[#This Row],[EnvironmentSatisfaction]]</f>
        <v>3</v>
      </c>
      <c r="F946">
        <f>Table1[[#This Row],[HourlyRate]]</f>
        <v>55</v>
      </c>
      <c r="G946" t="str">
        <f>Table1[[#This Row],[JobRole]]</f>
        <v>Laboratory Technician</v>
      </c>
      <c r="H946">
        <f>Table1[[#This Row],[JobSatisfaction]]</f>
        <v>4</v>
      </c>
      <c r="I946">
        <f>Table1[[#This Row],[YearsAtCompany]]</f>
        <v>9</v>
      </c>
      <c r="J946">
        <f>Table1[[#This Row],[YearsSinceLastPromotion]]</f>
        <v>7</v>
      </c>
      <c r="K946">
        <f>Table1[[#This Row],[EmployeeNumber]]</f>
        <v>1315</v>
      </c>
      <c r="L946">
        <f>Table1[[#This Row],[DistanceFromHome]]</f>
        <v>1</v>
      </c>
      <c r="M946" t="str">
        <f>Table1[[#This Row],[OverTime]]</f>
        <v>No</v>
      </c>
      <c r="N946">
        <f>Table1[[#This Row],[WorkLifeBalance]]</f>
        <v>3</v>
      </c>
      <c r="O946" t="str" cm="1">
        <f t="array" ref="O946">_xlfn.IFS(A946&lt;=30,"18-30",A946&lt;=40,"31-40",A946&lt;=50,"41-50",A946&gt;50,"51+")</f>
        <v>18-30</v>
      </c>
      <c r="P946" t="str" cm="1">
        <f t="array" ref="P946">_xlfn.IFS(F946&lt;=45,"45 or below",F946&lt;= 60,"46-60",F946&lt;=75,"61-75",F946&lt;=90,"76-90",F946&gt;90,"91 or above")</f>
        <v>46-60</v>
      </c>
      <c r="Q9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46" t="str" cm="1">
        <f t="array" ref="R9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47" spans="1:18" x14ac:dyDescent="0.2">
      <c r="A947">
        <f>Table1[[#This Row],[Age]]</f>
        <v>50</v>
      </c>
      <c r="B947">
        <f>IF(Table3[[#This Row],[Attrition]] = "Yes", 1,0)</f>
        <v>0</v>
      </c>
      <c r="C947" t="str">
        <f>Table1[[#This Row],[Attrition]]</f>
        <v>No</v>
      </c>
      <c r="D947" t="str">
        <f>Table1[[#This Row],[Department]]</f>
        <v>Research &amp; Development</v>
      </c>
      <c r="E947">
        <f>Table1[[#This Row],[EnvironmentSatisfaction]]</f>
        <v>4</v>
      </c>
      <c r="F947">
        <f>Table1[[#This Row],[HourlyRate]]</f>
        <v>43</v>
      </c>
      <c r="G947" t="str">
        <f>Table1[[#This Row],[JobRole]]</f>
        <v>Research Director</v>
      </c>
      <c r="H947">
        <f>Table1[[#This Row],[JobSatisfaction]]</f>
        <v>1</v>
      </c>
      <c r="I947">
        <f>Table1[[#This Row],[YearsAtCompany]]</f>
        <v>3</v>
      </c>
      <c r="J947">
        <f>Table1[[#This Row],[YearsSinceLastPromotion]]</f>
        <v>1</v>
      </c>
      <c r="K947">
        <f>Table1[[#This Row],[EmployeeNumber]]</f>
        <v>1317</v>
      </c>
      <c r="L947">
        <f>Table1[[#This Row],[DistanceFromHome]]</f>
        <v>28</v>
      </c>
      <c r="M947" t="str">
        <f>Table1[[#This Row],[OverTime]]</f>
        <v>Yes</v>
      </c>
      <c r="N947">
        <f>Table1[[#This Row],[WorkLifeBalance]]</f>
        <v>3</v>
      </c>
      <c r="O947" t="str" cm="1">
        <f t="array" ref="O947">_xlfn.IFS(A947&lt;=30,"18-30",A947&lt;=40,"31-40",A947&lt;=50,"41-50",A947&gt;50,"51+")</f>
        <v>41-50</v>
      </c>
      <c r="P947" t="str" cm="1">
        <f t="array" ref="P947">_xlfn.IFS(F947&lt;=45,"45 or below",F947&lt;= 60,"46-60",F947&lt;=75,"61-75",F947&lt;=90,"76-90",F947&gt;90,"91 or above")</f>
        <v>45 or below</v>
      </c>
      <c r="Q9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47" t="str" cm="1">
        <f t="array" ref="R94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48" spans="1:18" hidden="1" x14ac:dyDescent="0.2">
      <c r="A948">
        <f>Table1[[#This Row],[Age]]</f>
        <v>40</v>
      </c>
      <c r="B948">
        <f>IF(Table3[[#This Row],[Attrition]] = "Yes", 1,0)</f>
        <v>1</v>
      </c>
      <c r="C948" t="str">
        <f>Table1[[#This Row],[Attrition]]</f>
        <v>Yes</v>
      </c>
      <c r="D948" t="str">
        <f>Table1[[#This Row],[Department]]</f>
        <v>Sales</v>
      </c>
      <c r="E948">
        <f>Table1[[#This Row],[EnvironmentSatisfaction]]</f>
        <v>4</v>
      </c>
      <c r="F948">
        <f>Table1[[#This Row],[HourlyRate]]</f>
        <v>57</v>
      </c>
      <c r="G948" t="str">
        <f>Table1[[#This Row],[JobRole]]</f>
        <v>Sales Executive</v>
      </c>
      <c r="H948">
        <f>Table1[[#This Row],[JobSatisfaction]]</f>
        <v>2</v>
      </c>
      <c r="I948">
        <f>Table1[[#This Row],[YearsAtCompany]]</f>
        <v>5</v>
      </c>
      <c r="J948">
        <f>Table1[[#This Row],[YearsSinceLastPromotion]]</f>
        <v>1</v>
      </c>
      <c r="K948">
        <f>Table1[[#This Row],[EmployeeNumber]]</f>
        <v>1318</v>
      </c>
      <c r="L948">
        <f>Table1[[#This Row],[DistanceFromHome]]</f>
        <v>25</v>
      </c>
      <c r="M948" t="str">
        <f>Table1[[#This Row],[OverTime]]</f>
        <v>Yes</v>
      </c>
      <c r="N948">
        <f>Table1[[#This Row],[WorkLifeBalance]]</f>
        <v>3</v>
      </c>
      <c r="O948" t="str" cm="1">
        <f t="array" ref="O948">_xlfn.IFS(A948&lt;=30,"18-30",A948&lt;=40,"31-40",A948&lt;=50,"41-50",A948&gt;50,"51+")</f>
        <v>31-40</v>
      </c>
      <c r="P948" t="str" cm="1">
        <f t="array" ref="P948">_xlfn.IFS(F948&lt;=45,"45 or below",F948&lt;= 60,"46-60",F948&lt;=75,"61-75",F948&lt;=90,"76-90",F948&gt;90,"91 or above")</f>
        <v>46-60</v>
      </c>
      <c r="Q94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48" t="str" cm="1">
        <f t="array" ref="R948" xml:space="preserve"> _xlfn.IFS(Table3[[#This Row],[Flight Risk Score]] = "NA","NA",Table3[[#This Row],[Flight Risk Score]] &gt;= 70,"High Risk",Table3[[#This Row],[Flight Risk Score]] &gt;= 50, "Medium Risk", Table3[[#This Row],[Flight Risk Score]] &gt;= 30,"Low Risk",Table3[[#This Row],[Flight Risk Score]] &lt; 30,"Very Low Risk")</f>
        <v>NA</v>
      </c>
    </row>
    <row r="949" spans="1:18" hidden="1" x14ac:dyDescent="0.2">
      <c r="A949">
        <f>Table1[[#This Row],[Age]]</f>
        <v>52</v>
      </c>
      <c r="B949">
        <f>IF(Table3[[#This Row],[Attrition]] = "Yes", 1,0)</f>
        <v>1</v>
      </c>
      <c r="C949" t="str">
        <f>Table1[[#This Row],[Attrition]]</f>
        <v>Yes</v>
      </c>
      <c r="D949" t="str">
        <f>Table1[[#This Row],[Department]]</f>
        <v>Sales</v>
      </c>
      <c r="E949">
        <f>Table1[[#This Row],[EnvironmentSatisfaction]]</f>
        <v>2</v>
      </c>
      <c r="F949">
        <f>Table1[[#This Row],[HourlyRate]]</f>
        <v>64</v>
      </c>
      <c r="G949" t="str">
        <f>Table1[[#This Row],[JobRole]]</f>
        <v>Sales Executive</v>
      </c>
      <c r="H949">
        <f>Table1[[#This Row],[JobSatisfaction]]</f>
        <v>2</v>
      </c>
      <c r="I949">
        <f>Table1[[#This Row],[YearsAtCompany]]</f>
        <v>8</v>
      </c>
      <c r="J949">
        <f>Table1[[#This Row],[YearsSinceLastPromotion]]</f>
        <v>7</v>
      </c>
      <c r="K949">
        <f>Table1[[#This Row],[EmployeeNumber]]</f>
        <v>1319</v>
      </c>
      <c r="L949">
        <f>Table1[[#This Row],[DistanceFromHome]]</f>
        <v>5</v>
      </c>
      <c r="M949" t="str">
        <f>Table1[[#This Row],[OverTime]]</f>
        <v>Yes</v>
      </c>
      <c r="N949">
        <f>Table1[[#This Row],[WorkLifeBalance]]</f>
        <v>2</v>
      </c>
      <c r="O949" t="str" cm="1">
        <f t="array" ref="O949">_xlfn.IFS(A949&lt;=30,"18-30",A949&lt;=40,"31-40",A949&lt;=50,"41-50",A949&gt;50,"51+")</f>
        <v>51+</v>
      </c>
      <c r="P949" t="str" cm="1">
        <f t="array" ref="P949">_xlfn.IFS(F949&lt;=45,"45 or below",F949&lt;= 60,"46-60",F949&lt;=75,"61-75",F949&lt;=90,"76-90",F949&gt;90,"91 or above")</f>
        <v>61-75</v>
      </c>
      <c r="Q94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49" t="str" cm="1">
        <f t="array" ref="R949" xml:space="preserve"> _xlfn.IFS(Table3[[#This Row],[Flight Risk Score]] = "NA","NA",Table3[[#This Row],[Flight Risk Score]] &gt;= 70,"High Risk",Table3[[#This Row],[Flight Risk Score]] &gt;= 50, "Medium Risk", Table3[[#This Row],[Flight Risk Score]] &gt;= 30,"Low Risk",Table3[[#This Row],[Flight Risk Score]] &lt; 30,"Very Low Risk")</f>
        <v>NA</v>
      </c>
    </row>
    <row r="950" spans="1:18" x14ac:dyDescent="0.2">
      <c r="A950">
        <f>Table1[[#This Row],[Age]]</f>
        <v>30</v>
      </c>
      <c r="B950">
        <f>IF(Table3[[#This Row],[Attrition]] = "Yes", 1,0)</f>
        <v>0</v>
      </c>
      <c r="C950" t="str">
        <f>Table1[[#This Row],[Attrition]]</f>
        <v>No</v>
      </c>
      <c r="D950" t="str">
        <f>Table1[[#This Row],[Department]]</f>
        <v>Research &amp; Development</v>
      </c>
      <c r="E950">
        <f>Table1[[#This Row],[EnvironmentSatisfaction]]</f>
        <v>2</v>
      </c>
      <c r="F950">
        <f>Table1[[#This Row],[HourlyRate]]</f>
        <v>95</v>
      </c>
      <c r="G950" t="str">
        <f>Table1[[#This Row],[JobRole]]</f>
        <v>Manager</v>
      </c>
      <c r="H950">
        <f>Table1[[#This Row],[JobSatisfaction]]</f>
        <v>1</v>
      </c>
      <c r="I950">
        <f>Table1[[#This Row],[YearsAtCompany]]</f>
        <v>9</v>
      </c>
      <c r="J950">
        <f>Table1[[#This Row],[YearsSinceLastPromotion]]</f>
        <v>0</v>
      </c>
      <c r="K950">
        <f>Table1[[#This Row],[EmployeeNumber]]</f>
        <v>1321</v>
      </c>
      <c r="L950">
        <f>Table1[[#This Row],[DistanceFromHome]]</f>
        <v>17</v>
      </c>
      <c r="M950" t="str">
        <f>Table1[[#This Row],[OverTime]]</f>
        <v>Yes</v>
      </c>
      <c r="N950">
        <f>Table1[[#This Row],[WorkLifeBalance]]</f>
        <v>3</v>
      </c>
      <c r="O950" t="str" cm="1">
        <f t="array" ref="O950">_xlfn.IFS(A950&lt;=30,"18-30",A950&lt;=40,"31-40",A950&lt;=50,"41-50",A950&gt;50,"51+")</f>
        <v>18-30</v>
      </c>
      <c r="P950" t="str" cm="1">
        <f t="array" ref="P950">_xlfn.IFS(F950&lt;=45,"45 or below",F950&lt;= 60,"46-60",F950&lt;=75,"61-75",F950&lt;=90,"76-90",F950&gt;90,"91 or above")</f>
        <v>91 or above</v>
      </c>
      <c r="Q9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950" t="str" cm="1">
        <f t="array" ref="R95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51" spans="1:18" x14ac:dyDescent="0.2">
      <c r="A951">
        <f>Table1[[#This Row],[Age]]</f>
        <v>39</v>
      </c>
      <c r="B951">
        <f>IF(Table3[[#This Row],[Attrition]] = "Yes", 1,0)</f>
        <v>0</v>
      </c>
      <c r="C951" t="str">
        <f>Table1[[#This Row],[Attrition]]</f>
        <v>No</v>
      </c>
      <c r="D951" t="str">
        <f>Table1[[#This Row],[Department]]</f>
        <v>Research &amp; Development</v>
      </c>
      <c r="E951">
        <f>Table1[[#This Row],[EnvironmentSatisfaction]]</f>
        <v>1</v>
      </c>
      <c r="F951">
        <f>Table1[[#This Row],[HourlyRate]]</f>
        <v>32</v>
      </c>
      <c r="G951" t="str">
        <f>Table1[[#This Row],[JobRole]]</f>
        <v>Manufacturing Director</v>
      </c>
      <c r="H951">
        <f>Table1[[#This Row],[JobSatisfaction]]</f>
        <v>3</v>
      </c>
      <c r="I951">
        <f>Table1[[#This Row],[YearsAtCompany]]</f>
        <v>8</v>
      </c>
      <c r="J951">
        <f>Table1[[#This Row],[YearsSinceLastPromotion]]</f>
        <v>1</v>
      </c>
      <c r="K951">
        <f>Table1[[#This Row],[EmployeeNumber]]</f>
        <v>1322</v>
      </c>
      <c r="L951">
        <f>Table1[[#This Row],[DistanceFromHome]]</f>
        <v>18</v>
      </c>
      <c r="M951" t="str">
        <f>Table1[[#This Row],[OverTime]]</f>
        <v>No</v>
      </c>
      <c r="N951">
        <f>Table1[[#This Row],[WorkLifeBalance]]</f>
        <v>3</v>
      </c>
      <c r="O951" t="str" cm="1">
        <f t="array" ref="O951">_xlfn.IFS(A951&lt;=30,"18-30",A951&lt;=40,"31-40",A951&lt;=50,"41-50",A951&gt;50,"51+")</f>
        <v>31-40</v>
      </c>
      <c r="P951" t="str" cm="1">
        <f t="array" ref="P951">_xlfn.IFS(F951&lt;=45,"45 or below",F951&lt;= 60,"46-60",F951&lt;=75,"61-75",F951&lt;=90,"76-90",F951&gt;90,"91 or above")</f>
        <v>45 or below</v>
      </c>
      <c r="Q9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51" t="str" cm="1">
        <f t="array" ref="R9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52" spans="1:18" x14ac:dyDescent="0.2">
      <c r="A952">
        <f>Table1[[#This Row],[Age]]</f>
        <v>31</v>
      </c>
      <c r="B952">
        <f>IF(Table3[[#This Row],[Attrition]] = "Yes", 1,0)</f>
        <v>0</v>
      </c>
      <c r="C952" t="str">
        <f>Table1[[#This Row],[Attrition]]</f>
        <v>No</v>
      </c>
      <c r="D952" t="str">
        <f>Table1[[#This Row],[Department]]</f>
        <v>Sales</v>
      </c>
      <c r="E952">
        <f>Table1[[#This Row],[EnvironmentSatisfaction]]</f>
        <v>4</v>
      </c>
      <c r="F952">
        <f>Table1[[#This Row],[HourlyRate]]</f>
        <v>57</v>
      </c>
      <c r="G952" t="str">
        <f>Table1[[#This Row],[JobRole]]</f>
        <v>Sales Executive</v>
      </c>
      <c r="H952">
        <f>Table1[[#This Row],[JobSatisfaction]]</f>
        <v>3</v>
      </c>
      <c r="I952">
        <f>Table1[[#This Row],[YearsAtCompany]]</f>
        <v>10</v>
      </c>
      <c r="J952">
        <f>Table1[[#This Row],[YearsSinceLastPromotion]]</f>
        <v>9</v>
      </c>
      <c r="K952">
        <f>Table1[[#This Row],[EmployeeNumber]]</f>
        <v>1324</v>
      </c>
      <c r="L952">
        <f>Table1[[#This Row],[DistanceFromHome]]</f>
        <v>2</v>
      </c>
      <c r="M952" t="str">
        <f>Table1[[#This Row],[OverTime]]</f>
        <v>Yes</v>
      </c>
      <c r="N952">
        <f>Table1[[#This Row],[WorkLifeBalance]]</f>
        <v>2</v>
      </c>
      <c r="O952" t="str" cm="1">
        <f t="array" ref="O952">_xlfn.IFS(A952&lt;=30,"18-30",A952&lt;=40,"31-40",A952&lt;=50,"41-50",A952&gt;50,"51+")</f>
        <v>31-40</v>
      </c>
      <c r="P952" t="str" cm="1">
        <f t="array" ref="P952">_xlfn.IFS(F952&lt;=45,"45 or below",F952&lt;= 60,"46-60",F952&lt;=75,"61-75",F952&lt;=90,"76-90",F952&gt;90,"91 or above")</f>
        <v>46-60</v>
      </c>
      <c r="Q9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52" t="str" cm="1">
        <f t="array" ref="R9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953" spans="1:18" x14ac:dyDescent="0.2">
      <c r="A953">
        <f>Table1[[#This Row],[Age]]</f>
        <v>41</v>
      </c>
      <c r="B953">
        <f>IF(Table3[[#This Row],[Attrition]] = "Yes", 1,0)</f>
        <v>0</v>
      </c>
      <c r="C953" t="str">
        <f>Table1[[#This Row],[Attrition]]</f>
        <v>No</v>
      </c>
      <c r="D953" t="str">
        <f>Table1[[#This Row],[Department]]</f>
        <v>Sales</v>
      </c>
      <c r="E953">
        <f>Table1[[#This Row],[EnvironmentSatisfaction]]</f>
        <v>3</v>
      </c>
      <c r="F953">
        <f>Table1[[#This Row],[HourlyRate]]</f>
        <v>40</v>
      </c>
      <c r="G953" t="str">
        <f>Table1[[#This Row],[JobRole]]</f>
        <v>Sales Executive</v>
      </c>
      <c r="H953">
        <f>Table1[[#This Row],[JobSatisfaction]]</f>
        <v>2</v>
      </c>
      <c r="I953">
        <f>Table1[[#This Row],[YearsAtCompany]]</f>
        <v>19</v>
      </c>
      <c r="J953">
        <f>Table1[[#This Row],[YearsSinceLastPromotion]]</f>
        <v>11</v>
      </c>
      <c r="K953">
        <f>Table1[[#This Row],[EmployeeNumber]]</f>
        <v>1329</v>
      </c>
      <c r="L953">
        <f>Table1[[#This Row],[DistanceFromHome]]</f>
        <v>10</v>
      </c>
      <c r="M953" t="str">
        <f>Table1[[#This Row],[OverTime]]</f>
        <v>No</v>
      </c>
      <c r="N953">
        <f>Table1[[#This Row],[WorkLifeBalance]]</f>
        <v>3</v>
      </c>
      <c r="O953" t="str" cm="1">
        <f t="array" ref="O953">_xlfn.IFS(A953&lt;=30,"18-30",A953&lt;=40,"31-40",A953&lt;=50,"41-50",A953&gt;50,"51+")</f>
        <v>41-50</v>
      </c>
      <c r="P953" t="str" cm="1">
        <f t="array" ref="P953">_xlfn.IFS(F953&lt;=45,"45 or below",F953&lt;= 60,"46-60",F953&lt;=75,"61-75",F953&lt;=90,"76-90",F953&gt;90,"91 or above")</f>
        <v>45 or below</v>
      </c>
      <c r="Q9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53" t="str" cm="1">
        <f t="array" ref="R9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54" spans="1:18" hidden="1" x14ac:dyDescent="0.2">
      <c r="A954">
        <f>Table1[[#This Row],[Age]]</f>
        <v>31</v>
      </c>
      <c r="B954">
        <f>IF(Table3[[#This Row],[Attrition]] = "Yes", 1,0)</f>
        <v>1</v>
      </c>
      <c r="C954" t="str">
        <f>Table1[[#This Row],[Attrition]]</f>
        <v>Yes</v>
      </c>
      <c r="D954" t="str">
        <f>Table1[[#This Row],[Department]]</f>
        <v>Sales</v>
      </c>
      <c r="E954">
        <f>Table1[[#This Row],[EnvironmentSatisfaction]]</f>
        <v>4</v>
      </c>
      <c r="F954">
        <f>Table1[[#This Row],[HourlyRate]]</f>
        <v>54</v>
      </c>
      <c r="G954" t="str">
        <f>Table1[[#This Row],[JobRole]]</f>
        <v>Sales Representative</v>
      </c>
      <c r="H954">
        <f>Table1[[#This Row],[JobSatisfaction]]</f>
        <v>2</v>
      </c>
      <c r="I954">
        <f>Table1[[#This Row],[YearsAtCompany]]</f>
        <v>3</v>
      </c>
      <c r="J954">
        <f>Table1[[#This Row],[YearsSinceLastPromotion]]</f>
        <v>2</v>
      </c>
      <c r="K954">
        <f>Table1[[#This Row],[EmployeeNumber]]</f>
        <v>1331</v>
      </c>
      <c r="L954">
        <f>Table1[[#This Row],[DistanceFromHome]]</f>
        <v>1</v>
      </c>
      <c r="M954" t="str">
        <f>Table1[[#This Row],[OverTime]]</f>
        <v>Yes</v>
      </c>
      <c r="N954">
        <f>Table1[[#This Row],[WorkLifeBalance]]</f>
        <v>4</v>
      </c>
      <c r="O954" t="str" cm="1">
        <f t="array" ref="O954">_xlfn.IFS(A954&lt;=30,"18-30",A954&lt;=40,"31-40",A954&lt;=50,"41-50",A954&gt;50,"51+")</f>
        <v>31-40</v>
      </c>
      <c r="P954" t="str" cm="1">
        <f t="array" ref="P954">_xlfn.IFS(F954&lt;=45,"45 or below",F954&lt;= 60,"46-60",F954&lt;=75,"61-75",F954&lt;=90,"76-90",F954&gt;90,"91 or above")</f>
        <v>46-60</v>
      </c>
      <c r="Q95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54" t="str" cm="1">
        <f t="array" ref="R954" xml:space="preserve"> _xlfn.IFS(Table3[[#This Row],[Flight Risk Score]] = "NA","NA",Table3[[#This Row],[Flight Risk Score]] &gt;= 70,"High Risk",Table3[[#This Row],[Flight Risk Score]] &gt;= 50, "Medium Risk", Table3[[#This Row],[Flight Risk Score]] &gt;= 30,"Low Risk",Table3[[#This Row],[Flight Risk Score]] &lt; 30,"Very Low Risk")</f>
        <v>NA</v>
      </c>
    </row>
    <row r="955" spans="1:18" hidden="1" x14ac:dyDescent="0.2">
      <c r="A955">
        <f>Table1[[#This Row],[Age]]</f>
        <v>44</v>
      </c>
      <c r="B955">
        <f>IF(Table3[[#This Row],[Attrition]] = "Yes", 1,0)</f>
        <v>1</v>
      </c>
      <c r="C955" t="str">
        <f>Table1[[#This Row],[Attrition]]</f>
        <v>Yes</v>
      </c>
      <c r="D955" t="str">
        <f>Table1[[#This Row],[Department]]</f>
        <v>Research &amp; Development</v>
      </c>
      <c r="E955">
        <f>Table1[[#This Row],[EnvironmentSatisfaction]]</f>
        <v>1</v>
      </c>
      <c r="F955">
        <f>Table1[[#This Row],[HourlyRate]]</f>
        <v>89</v>
      </c>
      <c r="G955" t="str">
        <f>Table1[[#This Row],[JobRole]]</f>
        <v>Laboratory Technician</v>
      </c>
      <c r="H955">
        <f>Table1[[#This Row],[JobSatisfaction]]</f>
        <v>1</v>
      </c>
      <c r="I955">
        <f>Table1[[#This Row],[YearsAtCompany]]</f>
        <v>3</v>
      </c>
      <c r="J955">
        <f>Table1[[#This Row],[YearsSinceLastPromotion]]</f>
        <v>1</v>
      </c>
      <c r="K955">
        <f>Table1[[#This Row],[EmployeeNumber]]</f>
        <v>1333</v>
      </c>
      <c r="L955">
        <f>Table1[[#This Row],[DistanceFromHome]]</f>
        <v>3</v>
      </c>
      <c r="M955" t="str">
        <f>Table1[[#This Row],[OverTime]]</f>
        <v>No</v>
      </c>
      <c r="N955">
        <f>Table1[[#This Row],[WorkLifeBalance]]</f>
        <v>4</v>
      </c>
      <c r="O955" t="str" cm="1">
        <f t="array" ref="O955">_xlfn.IFS(A955&lt;=30,"18-30",A955&lt;=40,"31-40",A955&lt;=50,"41-50",A955&gt;50,"51+")</f>
        <v>41-50</v>
      </c>
      <c r="P955" t="str" cm="1">
        <f t="array" ref="P955">_xlfn.IFS(F955&lt;=45,"45 or below",F955&lt;= 60,"46-60",F955&lt;=75,"61-75",F955&lt;=90,"76-90",F955&gt;90,"91 or above")</f>
        <v>76-90</v>
      </c>
      <c r="Q95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55" t="str" cm="1">
        <f t="array" ref="R955" xml:space="preserve"> _xlfn.IFS(Table3[[#This Row],[Flight Risk Score]] = "NA","NA",Table3[[#This Row],[Flight Risk Score]] &gt;= 70,"High Risk",Table3[[#This Row],[Flight Risk Score]] &gt;= 50, "Medium Risk", Table3[[#This Row],[Flight Risk Score]] &gt;= 30,"Low Risk",Table3[[#This Row],[Flight Risk Score]] &lt; 30,"Very Low Risk")</f>
        <v>NA</v>
      </c>
    </row>
    <row r="956" spans="1:18" x14ac:dyDescent="0.2">
      <c r="A956">
        <f>Table1[[#This Row],[Age]]</f>
        <v>42</v>
      </c>
      <c r="B956">
        <f>IF(Table3[[#This Row],[Attrition]] = "Yes", 1,0)</f>
        <v>0</v>
      </c>
      <c r="C956" t="str">
        <f>Table1[[#This Row],[Attrition]]</f>
        <v>No</v>
      </c>
      <c r="D956" t="str">
        <f>Table1[[#This Row],[Department]]</f>
        <v>Research &amp; Development</v>
      </c>
      <c r="E956">
        <f>Table1[[#This Row],[EnvironmentSatisfaction]]</f>
        <v>3</v>
      </c>
      <c r="F956">
        <f>Table1[[#This Row],[HourlyRate]]</f>
        <v>37</v>
      </c>
      <c r="G956" t="str">
        <f>Table1[[#This Row],[JobRole]]</f>
        <v>Manager</v>
      </c>
      <c r="H956">
        <f>Table1[[#This Row],[JobSatisfaction]]</f>
        <v>3</v>
      </c>
      <c r="I956">
        <f>Table1[[#This Row],[YearsAtCompany]]</f>
        <v>20</v>
      </c>
      <c r="J956">
        <f>Table1[[#This Row],[YearsSinceLastPromotion]]</f>
        <v>2</v>
      </c>
      <c r="K956">
        <f>Table1[[#This Row],[EmployeeNumber]]</f>
        <v>1334</v>
      </c>
      <c r="L956">
        <f>Table1[[#This Row],[DistanceFromHome]]</f>
        <v>2</v>
      </c>
      <c r="M956" t="str">
        <f>Table1[[#This Row],[OverTime]]</f>
        <v>Yes</v>
      </c>
      <c r="N956">
        <f>Table1[[#This Row],[WorkLifeBalance]]</f>
        <v>2</v>
      </c>
      <c r="O956" t="str" cm="1">
        <f t="array" ref="O956">_xlfn.IFS(A956&lt;=30,"18-30",A956&lt;=40,"31-40",A956&lt;=50,"41-50",A956&gt;50,"51+")</f>
        <v>41-50</v>
      </c>
      <c r="P956" t="str" cm="1">
        <f t="array" ref="P956">_xlfn.IFS(F956&lt;=45,"45 or below",F956&lt;= 60,"46-60",F956&lt;=75,"61-75",F956&lt;=90,"76-90",F956&gt;90,"91 or above")</f>
        <v>45 or below</v>
      </c>
      <c r="Q9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56" t="str" cm="1">
        <f t="array" ref="R956" xml:space="preserve"> _xlfn.IFS(Table3[[#This Row],[Flight Risk Score]] = "NA","NA",Table3[[#This Row],[Flight Risk Score]] &gt;= 70,"High Risk",Table3[[#This Row],[Flight Risk Score]] &gt;= 50, "Medium Risk", Table3[[#This Row],[Flight Risk Score]] &gt;= 30,"Low Risk",Table3[[#This Row],[Flight Risk Score]] &lt; 30,"Very Low Risk")</f>
        <v>Low Risk</v>
      </c>
    </row>
    <row r="957" spans="1:18" x14ac:dyDescent="0.2">
      <c r="A957">
        <f>Table1[[#This Row],[Age]]</f>
        <v>55</v>
      </c>
      <c r="B957">
        <f>IF(Table3[[#This Row],[Attrition]] = "Yes", 1,0)</f>
        <v>0</v>
      </c>
      <c r="C957" t="str">
        <f>Table1[[#This Row],[Attrition]]</f>
        <v>No</v>
      </c>
      <c r="D957" t="str">
        <f>Table1[[#This Row],[Department]]</f>
        <v>Research &amp; Development</v>
      </c>
      <c r="E957">
        <f>Table1[[#This Row],[EnvironmentSatisfaction]]</f>
        <v>4</v>
      </c>
      <c r="F957">
        <f>Table1[[#This Row],[HourlyRate]]</f>
        <v>58</v>
      </c>
      <c r="G957" t="str">
        <f>Table1[[#This Row],[JobRole]]</f>
        <v>Manager</v>
      </c>
      <c r="H957">
        <f>Table1[[#This Row],[JobSatisfaction]]</f>
        <v>3</v>
      </c>
      <c r="I957">
        <f>Table1[[#This Row],[YearsAtCompany]]</f>
        <v>19</v>
      </c>
      <c r="J957">
        <f>Table1[[#This Row],[YearsSinceLastPromotion]]</f>
        <v>9</v>
      </c>
      <c r="K957">
        <f>Table1[[#This Row],[EmployeeNumber]]</f>
        <v>1336</v>
      </c>
      <c r="L957">
        <f>Table1[[#This Row],[DistanceFromHome]]</f>
        <v>2</v>
      </c>
      <c r="M957" t="str">
        <f>Table1[[#This Row],[OverTime]]</f>
        <v>No</v>
      </c>
      <c r="N957">
        <f>Table1[[#This Row],[WorkLifeBalance]]</f>
        <v>3</v>
      </c>
      <c r="O957" t="str" cm="1">
        <f t="array" ref="O957">_xlfn.IFS(A957&lt;=30,"18-30",A957&lt;=40,"31-40",A957&lt;=50,"41-50",A957&gt;50,"51+")</f>
        <v>51+</v>
      </c>
      <c r="P957" t="str" cm="1">
        <f t="array" ref="P957">_xlfn.IFS(F957&lt;=45,"45 or below",F957&lt;= 60,"46-60",F957&lt;=75,"61-75",F957&lt;=90,"76-90",F957&gt;90,"91 or above")</f>
        <v>46-60</v>
      </c>
      <c r="Q9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57" t="str" cm="1">
        <f t="array" ref="R9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58" spans="1:18" x14ac:dyDescent="0.2">
      <c r="A958">
        <f>Table1[[#This Row],[Age]]</f>
        <v>56</v>
      </c>
      <c r="B958">
        <f>IF(Table3[[#This Row],[Attrition]] = "Yes", 1,0)</f>
        <v>0</v>
      </c>
      <c r="C958" t="str">
        <f>Table1[[#This Row],[Attrition]]</f>
        <v>No</v>
      </c>
      <c r="D958" t="str">
        <f>Table1[[#This Row],[Department]]</f>
        <v>Human Resources</v>
      </c>
      <c r="E958">
        <f>Table1[[#This Row],[EnvironmentSatisfaction]]</f>
        <v>4</v>
      </c>
      <c r="F958">
        <f>Table1[[#This Row],[HourlyRate]]</f>
        <v>99</v>
      </c>
      <c r="G958" t="str">
        <f>Table1[[#This Row],[JobRole]]</f>
        <v>Manager</v>
      </c>
      <c r="H958">
        <f>Table1[[#This Row],[JobSatisfaction]]</f>
        <v>2</v>
      </c>
      <c r="I958">
        <f>Table1[[#This Row],[YearsAtCompany]]</f>
        <v>7</v>
      </c>
      <c r="J958">
        <f>Table1[[#This Row],[YearsSinceLastPromotion]]</f>
        <v>7</v>
      </c>
      <c r="K958">
        <f>Table1[[#This Row],[EmployeeNumber]]</f>
        <v>1338</v>
      </c>
      <c r="L958">
        <f>Table1[[#This Row],[DistanceFromHome]]</f>
        <v>8</v>
      </c>
      <c r="M958" t="str">
        <f>Table1[[#This Row],[OverTime]]</f>
        <v>No</v>
      </c>
      <c r="N958">
        <f>Table1[[#This Row],[WorkLifeBalance]]</f>
        <v>3</v>
      </c>
      <c r="O958" t="str" cm="1">
        <f t="array" ref="O958">_xlfn.IFS(A958&lt;=30,"18-30",A958&lt;=40,"31-40",A958&lt;=50,"41-50",A958&gt;50,"51+")</f>
        <v>51+</v>
      </c>
      <c r="P958" t="str" cm="1">
        <f t="array" ref="P958">_xlfn.IFS(F958&lt;=45,"45 or below",F958&lt;= 60,"46-60",F958&lt;=75,"61-75",F958&lt;=90,"76-90",F958&gt;90,"91 or above")</f>
        <v>91 or above</v>
      </c>
      <c r="Q9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58" t="str" cm="1">
        <f t="array" ref="R9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59" spans="1:18" x14ac:dyDescent="0.2">
      <c r="A959">
        <f>Table1[[#This Row],[Age]]</f>
        <v>40</v>
      </c>
      <c r="B959">
        <f>IF(Table3[[#This Row],[Attrition]] = "Yes", 1,0)</f>
        <v>0</v>
      </c>
      <c r="C959" t="str">
        <f>Table1[[#This Row],[Attrition]]</f>
        <v>No</v>
      </c>
      <c r="D959" t="str">
        <f>Table1[[#This Row],[Department]]</f>
        <v>Research &amp; Development</v>
      </c>
      <c r="E959">
        <f>Table1[[#This Row],[EnvironmentSatisfaction]]</f>
        <v>3</v>
      </c>
      <c r="F959">
        <f>Table1[[#This Row],[HourlyRate]]</f>
        <v>74</v>
      </c>
      <c r="G959" t="str">
        <f>Table1[[#This Row],[JobRole]]</f>
        <v>Research Scientist</v>
      </c>
      <c r="H959">
        <f>Table1[[#This Row],[JobSatisfaction]]</f>
        <v>3</v>
      </c>
      <c r="I959">
        <f>Table1[[#This Row],[YearsAtCompany]]</f>
        <v>4</v>
      </c>
      <c r="J959">
        <f>Table1[[#This Row],[YearsSinceLastPromotion]]</f>
        <v>0</v>
      </c>
      <c r="K959">
        <f>Table1[[#This Row],[EmployeeNumber]]</f>
        <v>1340</v>
      </c>
      <c r="L959">
        <f>Table1[[#This Row],[DistanceFromHome]]</f>
        <v>16</v>
      </c>
      <c r="M959" t="str">
        <f>Table1[[#This Row],[OverTime]]</f>
        <v>No</v>
      </c>
      <c r="N959">
        <f>Table1[[#This Row],[WorkLifeBalance]]</f>
        <v>3</v>
      </c>
      <c r="O959" t="str" cm="1">
        <f t="array" ref="O959">_xlfn.IFS(A959&lt;=30,"18-30",A959&lt;=40,"31-40",A959&lt;=50,"41-50",A959&gt;50,"51+")</f>
        <v>31-40</v>
      </c>
      <c r="P959" t="str" cm="1">
        <f t="array" ref="P959">_xlfn.IFS(F959&lt;=45,"45 or below",F959&lt;= 60,"46-60",F959&lt;=75,"61-75",F959&lt;=90,"76-90",F959&gt;90,"91 or above")</f>
        <v>61-75</v>
      </c>
      <c r="Q9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59" t="str" cm="1">
        <f t="array" ref="R9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60" spans="1:18" x14ac:dyDescent="0.2">
      <c r="A960">
        <f>Table1[[#This Row],[Age]]</f>
        <v>34</v>
      </c>
      <c r="B960">
        <f>IF(Table3[[#This Row],[Attrition]] = "Yes", 1,0)</f>
        <v>0</v>
      </c>
      <c r="C960" t="str">
        <f>Table1[[#This Row],[Attrition]]</f>
        <v>No</v>
      </c>
      <c r="D960" t="str">
        <f>Table1[[#This Row],[Department]]</f>
        <v>Research &amp; Development</v>
      </c>
      <c r="E960">
        <f>Table1[[#This Row],[EnvironmentSatisfaction]]</f>
        <v>4</v>
      </c>
      <c r="F960">
        <f>Table1[[#This Row],[HourlyRate]]</f>
        <v>86</v>
      </c>
      <c r="G960" t="str">
        <f>Table1[[#This Row],[JobRole]]</f>
        <v>Healthcare Representative</v>
      </c>
      <c r="H960">
        <f>Table1[[#This Row],[JobSatisfaction]]</f>
        <v>4</v>
      </c>
      <c r="I960">
        <f>Table1[[#This Row],[YearsAtCompany]]</f>
        <v>9</v>
      </c>
      <c r="J960">
        <f>Table1[[#This Row],[YearsSinceLastPromotion]]</f>
        <v>1</v>
      </c>
      <c r="K960">
        <f>Table1[[#This Row],[EmployeeNumber]]</f>
        <v>1344</v>
      </c>
      <c r="L960">
        <f>Table1[[#This Row],[DistanceFromHome]]</f>
        <v>9</v>
      </c>
      <c r="M960" t="str">
        <f>Table1[[#This Row],[OverTime]]</f>
        <v>No</v>
      </c>
      <c r="N960">
        <f>Table1[[#This Row],[WorkLifeBalance]]</f>
        <v>2</v>
      </c>
      <c r="O960" t="str" cm="1">
        <f t="array" ref="O960">_xlfn.IFS(A960&lt;=30,"18-30",A960&lt;=40,"31-40",A960&lt;=50,"41-50",A960&gt;50,"51+")</f>
        <v>31-40</v>
      </c>
      <c r="P960" t="str" cm="1">
        <f t="array" ref="P960">_xlfn.IFS(F960&lt;=45,"45 or below",F960&lt;= 60,"46-60",F960&lt;=75,"61-75",F960&lt;=90,"76-90",F960&gt;90,"91 or above")</f>
        <v>76-90</v>
      </c>
      <c r="Q9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60" t="str" cm="1">
        <f t="array" ref="R9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61" spans="1:18" x14ac:dyDescent="0.2">
      <c r="A961">
        <f>Table1[[#This Row],[Age]]</f>
        <v>40</v>
      </c>
      <c r="B961">
        <f>IF(Table3[[#This Row],[Attrition]] = "Yes", 1,0)</f>
        <v>0</v>
      </c>
      <c r="C961" t="str">
        <f>Table1[[#This Row],[Attrition]]</f>
        <v>No</v>
      </c>
      <c r="D961" t="str">
        <f>Table1[[#This Row],[Department]]</f>
        <v>Research &amp; Development</v>
      </c>
      <c r="E961">
        <f>Table1[[#This Row],[EnvironmentSatisfaction]]</f>
        <v>3</v>
      </c>
      <c r="F961">
        <f>Table1[[#This Row],[HourlyRate]]</f>
        <v>98</v>
      </c>
      <c r="G961" t="str">
        <f>Table1[[#This Row],[JobRole]]</f>
        <v>Research Scientist</v>
      </c>
      <c r="H961">
        <f>Table1[[#This Row],[JobSatisfaction]]</f>
        <v>4</v>
      </c>
      <c r="I961">
        <f>Table1[[#This Row],[YearsAtCompany]]</f>
        <v>9</v>
      </c>
      <c r="J961">
        <f>Table1[[#This Row],[YearsSinceLastPromotion]]</f>
        <v>8</v>
      </c>
      <c r="K961">
        <f>Table1[[#This Row],[EmployeeNumber]]</f>
        <v>1346</v>
      </c>
      <c r="L961">
        <f>Table1[[#This Row],[DistanceFromHome]]</f>
        <v>2</v>
      </c>
      <c r="M961" t="str">
        <f>Table1[[#This Row],[OverTime]]</f>
        <v>No</v>
      </c>
      <c r="N961">
        <f>Table1[[#This Row],[WorkLifeBalance]]</f>
        <v>3</v>
      </c>
      <c r="O961" t="str" cm="1">
        <f t="array" ref="O961">_xlfn.IFS(A961&lt;=30,"18-30",A961&lt;=40,"31-40",A961&lt;=50,"41-50",A961&gt;50,"51+")</f>
        <v>31-40</v>
      </c>
      <c r="P961" t="str" cm="1">
        <f t="array" ref="P961">_xlfn.IFS(F961&lt;=45,"45 or below",F961&lt;= 60,"46-60",F961&lt;=75,"61-75",F961&lt;=90,"76-90",F961&gt;90,"91 or above")</f>
        <v>91 or above</v>
      </c>
      <c r="Q9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61" t="str" cm="1">
        <f t="array" ref="R9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62" spans="1:18" x14ac:dyDescent="0.2">
      <c r="A962">
        <f>Table1[[#This Row],[Age]]</f>
        <v>41</v>
      </c>
      <c r="B962">
        <f>IF(Table3[[#This Row],[Attrition]] = "Yes", 1,0)</f>
        <v>0</v>
      </c>
      <c r="C962" t="str">
        <f>Table1[[#This Row],[Attrition]]</f>
        <v>No</v>
      </c>
      <c r="D962" t="str">
        <f>Table1[[#This Row],[Department]]</f>
        <v>Sales</v>
      </c>
      <c r="E962">
        <f>Table1[[#This Row],[EnvironmentSatisfaction]]</f>
        <v>3</v>
      </c>
      <c r="F962">
        <f>Table1[[#This Row],[HourlyRate]]</f>
        <v>66</v>
      </c>
      <c r="G962" t="str">
        <f>Table1[[#This Row],[JobRole]]</f>
        <v>Sales Executive</v>
      </c>
      <c r="H962">
        <f>Table1[[#This Row],[JobSatisfaction]]</f>
        <v>1</v>
      </c>
      <c r="I962">
        <f>Table1[[#This Row],[YearsAtCompany]]</f>
        <v>9</v>
      </c>
      <c r="J962">
        <f>Table1[[#This Row],[YearsSinceLastPromotion]]</f>
        <v>1</v>
      </c>
      <c r="K962">
        <f>Table1[[#This Row],[EmployeeNumber]]</f>
        <v>1349</v>
      </c>
      <c r="L962">
        <f>Table1[[#This Row],[DistanceFromHome]]</f>
        <v>1</v>
      </c>
      <c r="M962" t="str">
        <f>Table1[[#This Row],[OverTime]]</f>
        <v>No</v>
      </c>
      <c r="N962">
        <f>Table1[[#This Row],[WorkLifeBalance]]</f>
        <v>3</v>
      </c>
      <c r="O962" t="str" cm="1">
        <f t="array" ref="O962">_xlfn.IFS(A962&lt;=30,"18-30",A962&lt;=40,"31-40",A962&lt;=50,"41-50",A962&gt;50,"51+")</f>
        <v>41-50</v>
      </c>
      <c r="P962" t="str" cm="1">
        <f t="array" ref="P962">_xlfn.IFS(F962&lt;=45,"45 or below",F962&lt;= 60,"46-60",F962&lt;=75,"61-75",F962&lt;=90,"76-90",F962&gt;90,"91 or above")</f>
        <v>61-75</v>
      </c>
      <c r="Q9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62" t="str" cm="1">
        <f t="array" ref="R9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63" spans="1:18" x14ac:dyDescent="0.2">
      <c r="A963">
        <f>Table1[[#This Row],[Age]]</f>
        <v>35</v>
      </c>
      <c r="B963">
        <f>IF(Table3[[#This Row],[Attrition]] = "Yes", 1,0)</f>
        <v>0</v>
      </c>
      <c r="C963" t="str">
        <f>Table1[[#This Row],[Attrition]]</f>
        <v>No</v>
      </c>
      <c r="D963" t="str">
        <f>Table1[[#This Row],[Department]]</f>
        <v>Research &amp; Development</v>
      </c>
      <c r="E963">
        <f>Table1[[#This Row],[EnvironmentSatisfaction]]</f>
        <v>3</v>
      </c>
      <c r="F963">
        <f>Table1[[#This Row],[HourlyRate]]</f>
        <v>87</v>
      </c>
      <c r="G963" t="str">
        <f>Table1[[#This Row],[JobRole]]</f>
        <v>Research Scientist</v>
      </c>
      <c r="H963">
        <f>Table1[[#This Row],[JobSatisfaction]]</f>
        <v>3</v>
      </c>
      <c r="I963">
        <f>Table1[[#This Row],[YearsAtCompany]]</f>
        <v>9</v>
      </c>
      <c r="J963">
        <f>Table1[[#This Row],[YearsSinceLastPromotion]]</f>
        <v>1</v>
      </c>
      <c r="K963">
        <f>Table1[[#This Row],[EmployeeNumber]]</f>
        <v>1350</v>
      </c>
      <c r="L963">
        <f>Table1[[#This Row],[DistanceFromHome]]</f>
        <v>4</v>
      </c>
      <c r="M963" t="str">
        <f>Table1[[#This Row],[OverTime]]</f>
        <v>Yes</v>
      </c>
      <c r="N963">
        <f>Table1[[#This Row],[WorkLifeBalance]]</f>
        <v>3</v>
      </c>
      <c r="O963" t="str" cm="1">
        <f t="array" ref="O963">_xlfn.IFS(A963&lt;=30,"18-30",A963&lt;=40,"31-40",A963&lt;=50,"41-50",A963&gt;50,"51+")</f>
        <v>31-40</v>
      </c>
      <c r="P963" t="str" cm="1">
        <f t="array" ref="P963">_xlfn.IFS(F963&lt;=45,"45 or below",F963&lt;= 60,"46-60",F963&lt;=75,"61-75",F963&lt;=90,"76-90",F963&gt;90,"91 or above")</f>
        <v>76-90</v>
      </c>
      <c r="Q9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63" t="str" cm="1">
        <f t="array" ref="R963" xml:space="preserve"> _xlfn.IFS(Table3[[#This Row],[Flight Risk Score]] = "NA","NA",Table3[[#This Row],[Flight Risk Score]] &gt;= 70,"High Risk",Table3[[#This Row],[Flight Risk Score]] &gt;= 50, "Medium Risk", Table3[[#This Row],[Flight Risk Score]] &gt;= 30,"Low Risk",Table3[[#This Row],[Flight Risk Score]] &lt; 30,"Very Low Risk")</f>
        <v>Low Risk</v>
      </c>
    </row>
    <row r="964" spans="1:18" x14ac:dyDescent="0.2">
      <c r="A964">
        <f>Table1[[#This Row],[Age]]</f>
        <v>51</v>
      </c>
      <c r="B964">
        <f>IF(Table3[[#This Row],[Attrition]] = "Yes", 1,0)</f>
        <v>0</v>
      </c>
      <c r="C964" t="str">
        <f>Table1[[#This Row],[Attrition]]</f>
        <v>No</v>
      </c>
      <c r="D964" t="str">
        <f>Table1[[#This Row],[Department]]</f>
        <v>Human Resources</v>
      </c>
      <c r="E964">
        <f>Table1[[#This Row],[EnvironmentSatisfaction]]</f>
        <v>3</v>
      </c>
      <c r="F964">
        <f>Table1[[#This Row],[HourlyRate]]</f>
        <v>84</v>
      </c>
      <c r="G964" t="str">
        <f>Table1[[#This Row],[JobRole]]</f>
        <v>Manager</v>
      </c>
      <c r="H964">
        <f>Table1[[#This Row],[JobSatisfaction]]</f>
        <v>2</v>
      </c>
      <c r="I964">
        <f>Table1[[#This Row],[YearsAtCompany]]</f>
        <v>33</v>
      </c>
      <c r="J964">
        <f>Table1[[#This Row],[YearsSinceLastPromotion]]</f>
        <v>0</v>
      </c>
      <c r="K964">
        <f>Table1[[#This Row],[EmployeeNumber]]</f>
        <v>1352</v>
      </c>
      <c r="L964">
        <f>Table1[[#This Row],[DistanceFromHome]]</f>
        <v>5</v>
      </c>
      <c r="M964" t="str">
        <f>Table1[[#This Row],[OverTime]]</f>
        <v>Yes</v>
      </c>
      <c r="N964">
        <f>Table1[[#This Row],[WorkLifeBalance]]</f>
        <v>3</v>
      </c>
      <c r="O964" t="str" cm="1">
        <f t="array" ref="O964">_xlfn.IFS(A964&lt;=30,"18-30",A964&lt;=40,"31-40",A964&lt;=50,"41-50",A964&gt;50,"51+")</f>
        <v>51+</v>
      </c>
      <c r="P964" t="str" cm="1">
        <f t="array" ref="P964">_xlfn.IFS(F964&lt;=45,"45 or below",F964&lt;= 60,"46-60",F964&lt;=75,"61-75",F964&lt;=90,"76-90",F964&gt;90,"91 or above")</f>
        <v>76-90</v>
      </c>
      <c r="Q9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64" t="str" cm="1">
        <f t="array" ref="R96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65" spans="1:18" x14ac:dyDescent="0.2">
      <c r="A965">
        <f>Table1[[#This Row],[Age]]</f>
        <v>38</v>
      </c>
      <c r="B965">
        <f>IF(Table3[[#This Row],[Attrition]] = "Yes", 1,0)</f>
        <v>0</v>
      </c>
      <c r="C965" t="str">
        <f>Table1[[#This Row],[Attrition]]</f>
        <v>No</v>
      </c>
      <c r="D965" t="str">
        <f>Table1[[#This Row],[Department]]</f>
        <v>Sales</v>
      </c>
      <c r="E965">
        <f>Table1[[#This Row],[EnvironmentSatisfaction]]</f>
        <v>2</v>
      </c>
      <c r="F965">
        <f>Table1[[#This Row],[HourlyRate]]</f>
        <v>31</v>
      </c>
      <c r="G965" t="str">
        <f>Table1[[#This Row],[JobRole]]</f>
        <v>Sales Executive</v>
      </c>
      <c r="H965">
        <f>Table1[[#This Row],[JobSatisfaction]]</f>
        <v>1</v>
      </c>
      <c r="I965">
        <f>Table1[[#This Row],[YearsAtCompany]]</f>
        <v>7</v>
      </c>
      <c r="J965">
        <f>Table1[[#This Row],[YearsSinceLastPromotion]]</f>
        <v>1</v>
      </c>
      <c r="K965">
        <f>Table1[[#This Row],[EmployeeNumber]]</f>
        <v>1355</v>
      </c>
      <c r="L965">
        <f>Table1[[#This Row],[DistanceFromHome]]</f>
        <v>2</v>
      </c>
      <c r="M965" t="str">
        <f>Table1[[#This Row],[OverTime]]</f>
        <v>No</v>
      </c>
      <c r="N965">
        <f>Table1[[#This Row],[WorkLifeBalance]]</f>
        <v>3</v>
      </c>
      <c r="O965" t="str" cm="1">
        <f t="array" ref="O965">_xlfn.IFS(A965&lt;=30,"18-30",A965&lt;=40,"31-40",A965&lt;=50,"41-50",A965&gt;50,"51+")</f>
        <v>31-40</v>
      </c>
      <c r="P965" t="str" cm="1">
        <f t="array" ref="P965">_xlfn.IFS(F965&lt;=45,"45 or below",F965&lt;= 60,"46-60",F965&lt;=75,"61-75",F965&lt;=90,"76-90",F965&gt;90,"91 or above")</f>
        <v>45 or below</v>
      </c>
      <c r="Q9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965" t="str" cm="1">
        <f t="array" ref="R965" xml:space="preserve"> _xlfn.IFS(Table3[[#This Row],[Flight Risk Score]] = "NA","NA",Table3[[#This Row],[Flight Risk Score]] &gt;= 70,"High Risk",Table3[[#This Row],[Flight Risk Score]] &gt;= 50, "Medium Risk", Table3[[#This Row],[Flight Risk Score]] &gt;= 30,"Low Risk",Table3[[#This Row],[Flight Risk Score]] &lt; 30,"Very Low Risk")</f>
        <v>Low Risk</v>
      </c>
    </row>
    <row r="966" spans="1:18" x14ac:dyDescent="0.2">
      <c r="A966">
        <f>Table1[[#This Row],[Age]]</f>
        <v>34</v>
      </c>
      <c r="B966">
        <f>IF(Table3[[#This Row],[Attrition]] = "Yes", 1,0)</f>
        <v>0</v>
      </c>
      <c r="C966" t="str">
        <f>Table1[[#This Row],[Attrition]]</f>
        <v>No</v>
      </c>
      <c r="D966" t="str">
        <f>Table1[[#This Row],[Department]]</f>
        <v>Sales</v>
      </c>
      <c r="E966">
        <f>Table1[[#This Row],[EnvironmentSatisfaction]]</f>
        <v>3</v>
      </c>
      <c r="F966">
        <f>Table1[[#This Row],[HourlyRate]]</f>
        <v>66</v>
      </c>
      <c r="G966" t="str">
        <f>Table1[[#This Row],[JobRole]]</f>
        <v>Sales Executive</v>
      </c>
      <c r="H966">
        <f>Table1[[#This Row],[JobSatisfaction]]</f>
        <v>1</v>
      </c>
      <c r="I966">
        <f>Table1[[#This Row],[YearsAtCompany]]</f>
        <v>10</v>
      </c>
      <c r="J966">
        <f>Table1[[#This Row],[YearsSinceLastPromotion]]</f>
        <v>9</v>
      </c>
      <c r="K966">
        <f>Table1[[#This Row],[EmployeeNumber]]</f>
        <v>1356</v>
      </c>
      <c r="L966">
        <f>Table1[[#This Row],[DistanceFromHome]]</f>
        <v>15</v>
      </c>
      <c r="M966" t="str">
        <f>Table1[[#This Row],[OverTime]]</f>
        <v>No</v>
      </c>
      <c r="N966">
        <f>Table1[[#This Row],[WorkLifeBalance]]</f>
        <v>4</v>
      </c>
      <c r="O966" t="str" cm="1">
        <f t="array" ref="O966">_xlfn.IFS(A966&lt;=30,"18-30",A966&lt;=40,"31-40",A966&lt;=50,"41-50",A966&gt;50,"51+")</f>
        <v>31-40</v>
      </c>
      <c r="P966" t="str" cm="1">
        <f t="array" ref="P966">_xlfn.IFS(F966&lt;=45,"45 or below",F966&lt;= 60,"46-60",F966&lt;=75,"61-75",F966&lt;=90,"76-90",F966&gt;90,"91 or above")</f>
        <v>61-75</v>
      </c>
      <c r="Q9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66" t="str" cm="1">
        <f t="array" ref="R9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67" spans="1:18" x14ac:dyDescent="0.2">
      <c r="A967">
        <f>Table1[[#This Row],[Age]]</f>
        <v>25</v>
      </c>
      <c r="B967">
        <f>IF(Table3[[#This Row],[Attrition]] = "Yes", 1,0)</f>
        <v>0</v>
      </c>
      <c r="C967" t="str">
        <f>Table1[[#This Row],[Attrition]]</f>
        <v>No</v>
      </c>
      <c r="D967" t="str">
        <f>Table1[[#This Row],[Department]]</f>
        <v>Research &amp; Development</v>
      </c>
      <c r="E967">
        <f>Table1[[#This Row],[EnvironmentSatisfaction]]</f>
        <v>4</v>
      </c>
      <c r="F967">
        <f>Table1[[#This Row],[HourlyRate]]</f>
        <v>67</v>
      </c>
      <c r="G967" t="str">
        <f>Table1[[#This Row],[JobRole]]</f>
        <v>Laboratory Technician</v>
      </c>
      <c r="H967">
        <f>Table1[[#This Row],[JobSatisfaction]]</f>
        <v>4</v>
      </c>
      <c r="I967">
        <f>Table1[[#This Row],[YearsAtCompany]]</f>
        <v>3</v>
      </c>
      <c r="J967">
        <f>Table1[[#This Row],[YearsSinceLastPromotion]]</f>
        <v>1</v>
      </c>
      <c r="K967">
        <f>Table1[[#This Row],[EmployeeNumber]]</f>
        <v>1358</v>
      </c>
      <c r="L967">
        <f>Table1[[#This Row],[DistanceFromHome]]</f>
        <v>19</v>
      </c>
      <c r="M967" t="str">
        <f>Table1[[#This Row],[OverTime]]</f>
        <v>No</v>
      </c>
      <c r="N967">
        <f>Table1[[#This Row],[WorkLifeBalance]]</f>
        <v>2</v>
      </c>
      <c r="O967" t="str" cm="1">
        <f t="array" ref="O967">_xlfn.IFS(A967&lt;=30,"18-30",A967&lt;=40,"31-40",A967&lt;=50,"41-50",A967&gt;50,"51+")</f>
        <v>18-30</v>
      </c>
      <c r="P967" t="str" cm="1">
        <f t="array" ref="P967">_xlfn.IFS(F967&lt;=45,"45 or below",F967&lt;= 60,"46-60",F967&lt;=75,"61-75",F967&lt;=90,"76-90",F967&gt;90,"91 or above")</f>
        <v>61-75</v>
      </c>
      <c r="Q9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67" t="str" cm="1">
        <f t="array" ref="R9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68" spans="1:18" hidden="1" x14ac:dyDescent="0.2">
      <c r="A968">
        <f>Table1[[#This Row],[Age]]</f>
        <v>58</v>
      </c>
      <c r="B968">
        <f>IF(Table3[[#This Row],[Attrition]] = "Yes", 1,0)</f>
        <v>1</v>
      </c>
      <c r="C968" t="str">
        <f>Table1[[#This Row],[Attrition]]</f>
        <v>Yes</v>
      </c>
      <c r="D968" t="str">
        <f>Table1[[#This Row],[Department]]</f>
        <v>Research &amp; Development</v>
      </c>
      <c r="E968">
        <f>Table1[[#This Row],[EnvironmentSatisfaction]]</f>
        <v>3</v>
      </c>
      <c r="F968">
        <f>Table1[[#This Row],[HourlyRate]]</f>
        <v>53</v>
      </c>
      <c r="G968" t="str">
        <f>Table1[[#This Row],[JobRole]]</f>
        <v>Manufacturing Director</v>
      </c>
      <c r="H968">
        <f>Table1[[#This Row],[JobSatisfaction]]</f>
        <v>1</v>
      </c>
      <c r="I968">
        <f>Table1[[#This Row],[YearsAtCompany]]</f>
        <v>10</v>
      </c>
      <c r="J968">
        <f>Table1[[#This Row],[YearsSinceLastPromotion]]</f>
        <v>5</v>
      </c>
      <c r="K968">
        <f>Table1[[#This Row],[EmployeeNumber]]</f>
        <v>1360</v>
      </c>
      <c r="L968">
        <f>Table1[[#This Row],[DistanceFromHome]]</f>
        <v>7</v>
      </c>
      <c r="M968" t="str">
        <f>Table1[[#This Row],[OverTime]]</f>
        <v>Yes</v>
      </c>
      <c r="N968">
        <f>Table1[[#This Row],[WorkLifeBalance]]</f>
        <v>2</v>
      </c>
      <c r="O968" t="str" cm="1">
        <f t="array" ref="O968">_xlfn.IFS(A968&lt;=30,"18-30",A968&lt;=40,"31-40",A968&lt;=50,"41-50",A968&gt;50,"51+")</f>
        <v>51+</v>
      </c>
      <c r="P968" t="str" cm="1">
        <f t="array" ref="P968">_xlfn.IFS(F968&lt;=45,"45 or below",F968&lt;= 60,"46-60",F968&lt;=75,"61-75",F968&lt;=90,"76-90",F968&gt;90,"91 or above")</f>
        <v>46-60</v>
      </c>
      <c r="Q96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68" t="str" cm="1">
        <f t="array" ref="R968" xml:space="preserve"> _xlfn.IFS(Table3[[#This Row],[Flight Risk Score]] = "NA","NA",Table3[[#This Row],[Flight Risk Score]] &gt;= 70,"High Risk",Table3[[#This Row],[Flight Risk Score]] &gt;= 50, "Medium Risk", Table3[[#This Row],[Flight Risk Score]] &gt;= 30,"Low Risk",Table3[[#This Row],[Flight Risk Score]] &lt; 30,"Very Low Risk")</f>
        <v>NA</v>
      </c>
    </row>
    <row r="969" spans="1:18" x14ac:dyDescent="0.2">
      <c r="A969">
        <f>Table1[[#This Row],[Age]]</f>
        <v>40</v>
      </c>
      <c r="B969">
        <f>IF(Table3[[#This Row],[Attrition]] = "Yes", 1,0)</f>
        <v>0</v>
      </c>
      <c r="C969" t="str">
        <f>Table1[[#This Row],[Attrition]]</f>
        <v>No</v>
      </c>
      <c r="D969" t="str">
        <f>Table1[[#This Row],[Department]]</f>
        <v>Research &amp; Development</v>
      </c>
      <c r="E969">
        <f>Table1[[#This Row],[EnvironmentSatisfaction]]</f>
        <v>2</v>
      </c>
      <c r="F969">
        <f>Table1[[#This Row],[HourlyRate]]</f>
        <v>88</v>
      </c>
      <c r="G969" t="str">
        <f>Table1[[#This Row],[JobRole]]</f>
        <v>Laboratory Technician</v>
      </c>
      <c r="H969">
        <f>Table1[[#This Row],[JobSatisfaction]]</f>
        <v>2</v>
      </c>
      <c r="I969">
        <f>Table1[[#This Row],[YearsAtCompany]]</f>
        <v>4</v>
      </c>
      <c r="J969">
        <f>Table1[[#This Row],[YearsSinceLastPromotion]]</f>
        <v>0</v>
      </c>
      <c r="K969">
        <f>Table1[[#This Row],[EmployeeNumber]]</f>
        <v>1361</v>
      </c>
      <c r="L969">
        <f>Table1[[#This Row],[DistanceFromHome]]</f>
        <v>1</v>
      </c>
      <c r="M969" t="str">
        <f>Table1[[#This Row],[OverTime]]</f>
        <v>No</v>
      </c>
      <c r="N969">
        <f>Table1[[#This Row],[WorkLifeBalance]]</f>
        <v>3</v>
      </c>
      <c r="O969" t="str" cm="1">
        <f t="array" ref="O969">_xlfn.IFS(A969&lt;=30,"18-30",A969&lt;=40,"31-40",A969&lt;=50,"41-50",A969&gt;50,"51+")</f>
        <v>31-40</v>
      </c>
      <c r="P969" t="str" cm="1">
        <f t="array" ref="P969">_xlfn.IFS(F969&lt;=45,"45 or below",F969&lt;= 60,"46-60",F969&lt;=75,"61-75",F969&lt;=90,"76-90",F969&gt;90,"91 or above")</f>
        <v>76-90</v>
      </c>
      <c r="Q9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969" t="str" cm="1">
        <f t="array" ref="R9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970" spans="1:18" x14ac:dyDescent="0.2">
      <c r="A970">
        <f>Table1[[#This Row],[Age]]</f>
        <v>36</v>
      </c>
      <c r="B970">
        <f>IF(Table3[[#This Row],[Attrition]] = "Yes", 1,0)</f>
        <v>0</v>
      </c>
      <c r="C970" t="str">
        <f>Table1[[#This Row],[Attrition]]</f>
        <v>No</v>
      </c>
      <c r="D970" t="str">
        <f>Table1[[#This Row],[Department]]</f>
        <v>Sales</v>
      </c>
      <c r="E970">
        <f>Table1[[#This Row],[EnvironmentSatisfaction]]</f>
        <v>1</v>
      </c>
      <c r="F970">
        <f>Table1[[#This Row],[HourlyRate]]</f>
        <v>83</v>
      </c>
      <c r="G970" t="str">
        <f>Table1[[#This Row],[JobRole]]</f>
        <v>Sales Executive</v>
      </c>
      <c r="H970">
        <f>Table1[[#This Row],[JobSatisfaction]]</f>
        <v>1</v>
      </c>
      <c r="I970">
        <f>Table1[[#This Row],[YearsAtCompany]]</f>
        <v>15</v>
      </c>
      <c r="J970">
        <f>Table1[[#This Row],[YearsSinceLastPromotion]]</f>
        <v>6</v>
      </c>
      <c r="K970">
        <f>Table1[[#This Row],[EmployeeNumber]]</f>
        <v>1362</v>
      </c>
      <c r="L970">
        <f>Table1[[#This Row],[DistanceFromHome]]</f>
        <v>7</v>
      </c>
      <c r="M970" t="str">
        <f>Table1[[#This Row],[OverTime]]</f>
        <v>No</v>
      </c>
      <c r="N970">
        <f>Table1[[#This Row],[WorkLifeBalance]]</f>
        <v>2</v>
      </c>
      <c r="O970" t="str" cm="1">
        <f t="array" ref="O970">_xlfn.IFS(A970&lt;=30,"18-30",A970&lt;=40,"31-40",A970&lt;=50,"41-50",A970&gt;50,"51+")</f>
        <v>31-40</v>
      </c>
      <c r="P970" t="str" cm="1">
        <f t="array" ref="P970">_xlfn.IFS(F970&lt;=45,"45 or below",F970&lt;= 60,"46-60",F970&lt;=75,"61-75",F970&lt;=90,"76-90",F970&gt;90,"91 or above")</f>
        <v>76-90</v>
      </c>
      <c r="Q9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970" t="str" cm="1">
        <f t="array" ref="R970" xml:space="preserve"> _xlfn.IFS(Table3[[#This Row],[Flight Risk Score]] = "NA","NA",Table3[[#This Row],[Flight Risk Score]] &gt;= 70,"High Risk",Table3[[#This Row],[Flight Risk Score]] &gt;= 50, "Medium Risk", Table3[[#This Row],[Flight Risk Score]] &gt;= 30,"Low Risk",Table3[[#This Row],[Flight Risk Score]] &lt; 30,"Very Low Risk")</f>
        <v>Low Risk</v>
      </c>
    </row>
    <row r="971" spans="1:18" x14ac:dyDescent="0.2">
      <c r="A971">
        <f>Table1[[#This Row],[Age]]</f>
        <v>48</v>
      </c>
      <c r="B971">
        <f>IF(Table3[[#This Row],[Attrition]] = "Yes", 1,0)</f>
        <v>0</v>
      </c>
      <c r="C971" t="str">
        <f>Table1[[#This Row],[Attrition]]</f>
        <v>No</v>
      </c>
      <c r="D971" t="str">
        <f>Table1[[#This Row],[Department]]</f>
        <v>Research &amp; Development</v>
      </c>
      <c r="E971">
        <f>Table1[[#This Row],[EnvironmentSatisfaction]]</f>
        <v>4</v>
      </c>
      <c r="F971">
        <f>Table1[[#This Row],[HourlyRate]]</f>
        <v>54</v>
      </c>
      <c r="G971" t="str">
        <f>Table1[[#This Row],[JobRole]]</f>
        <v>Manufacturing Director</v>
      </c>
      <c r="H971">
        <f>Table1[[#This Row],[JobSatisfaction]]</f>
        <v>4</v>
      </c>
      <c r="I971">
        <f>Table1[[#This Row],[YearsAtCompany]]</f>
        <v>10</v>
      </c>
      <c r="J971">
        <f>Table1[[#This Row],[YearsSinceLastPromotion]]</f>
        <v>0</v>
      </c>
      <c r="K971">
        <f>Table1[[#This Row],[EmployeeNumber]]</f>
        <v>1363</v>
      </c>
      <c r="L971">
        <f>Table1[[#This Row],[DistanceFromHome]]</f>
        <v>4</v>
      </c>
      <c r="M971" t="str">
        <f>Table1[[#This Row],[OverTime]]</f>
        <v>No</v>
      </c>
      <c r="N971">
        <f>Table1[[#This Row],[WorkLifeBalance]]</f>
        <v>3</v>
      </c>
      <c r="O971" t="str" cm="1">
        <f t="array" ref="O971">_xlfn.IFS(A971&lt;=30,"18-30",A971&lt;=40,"31-40",A971&lt;=50,"41-50",A971&gt;50,"51+")</f>
        <v>41-50</v>
      </c>
      <c r="P971" t="str" cm="1">
        <f t="array" ref="P971">_xlfn.IFS(F971&lt;=45,"45 or below",F971&lt;= 60,"46-60",F971&lt;=75,"61-75",F971&lt;=90,"76-90",F971&gt;90,"91 or above")</f>
        <v>46-60</v>
      </c>
      <c r="Q9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71" t="str" cm="1">
        <f t="array" ref="R9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2" spans="1:18" x14ac:dyDescent="0.2">
      <c r="A972">
        <f>Table1[[#This Row],[Age]]</f>
        <v>27</v>
      </c>
      <c r="B972">
        <f>IF(Table3[[#This Row],[Attrition]] = "Yes", 1,0)</f>
        <v>0</v>
      </c>
      <c r="C972" t="str">
        <f>Table1[[#This Row],[Attrition]]</f>
        <v>No</v>
      </c>
      <c r="D972" t="str">
        <f>Table1[[#This Row],[Department]]</f>
        <v>Sales</v>
      </c>
      <c r="E972">
        <f>Table1[[#This Row],[EnvironmentSatisfaction]]</f>
        <v>3</v>
      </c>
      <c r="F972">
        <f>Table1[[#This Row],[HourlyRate]]</f>
        <v>98</v>
      </c>
      <c r="G972" t="str">
        <f>Table1[[#This Row],[JobRole]]</f>
        <v>Sales Representative</v>
      </c>
      <c r="H972">
        <f>Table1[[#This Row],[JobSatisfaction]]</f>
        <v>4</v>
      </c>
      <c r="I972">
        <f>Table1[[#This Row],[YearsAtCompany]]</f>
        <v>1</v>
      </c>
      <c r="J972">
        <f>Table1[[#This Row],[YearsSinceLastPromotion]]</f>
        <v>0</v>
      </c>
      <c r="K972">
        <f>Table1[[#This Row],[EmployeeNumber]]</f>
        <v>1364</v>
      </c>
      <c r="L972">
        <f>Table1[[#This Row],[DistanceFromHome]]</f>
        <v>11</v>
      </c>
      <c r="M972" t="str">
        <f>Table1[[#This Row],[OverTime]]</f>
        <v>No</v>
      </c>
      <c r="N972">
        <f>Table1[[#This Row],[WorkLifeBalance]]</f>
        <v>3</v>
      </c>
      <c r="O972" t="str" cm="1">
        <f t="array" ref="O972">_xlfn.IFS(A972&lt;=30,"18-30",A972&lt;=40,"31-40",A972&lt;=50,"41-50",A972&gt;50,"51+")</f>
        <v>18-30</v>
      </c>
      <c r="P972" t="str" cm="1">
        <f t="array" ref="P972">_xlfn.IFS(F972&lt;=45,"45 or below",F972&lt;= 60,"46-60",F972&lt;=75,"61-75",F972&lt;=90,"76-90",F972&gt;90,"91 or above")</f>
        <v>91 or above</v>
      </c>
      <c r="Q9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72" t="str" cm="1">
        <f t="array" ref="R9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3" spans="1:18" x14ac:dyDescent="0.2">
      <c r="A973">
        <f>Table1[[#This Row],[Age]]</f>
        <v>51</v>
      </c>
      <c r="B973">
        <f>IF(Table3[[#This Row],[Attrition]] = "Yes", 1,0)</f>
        <v>0</v>
      </c>
      <c r="C973" t="str">
        <f>Table1[[#This Row],[Attrition]]</f>
        <v>No</v>
      </c>
      <c r="D973" t="str">
        <f>Table1[[#This Row],[Department]]</f>
        <v>Research &amp; Development</v>
      </c>
      <c r="E973">
        <f>Table1[[#This Row],[EnvironmentSatisfaction]]</f>
        <v>4</v>
      </c>
      <c r="F973">
        <f>Table1[[#This Row],[HourlyRate]]</f>
        <v>82</v>
      </c>
      <c r="G973" t="str">
        <f>Table1[[#This Row],[JobRole]]</f>
        <v>Manufacturing Director</v>
      </c>
      <c r="H973">
        <f>Table1[[#This Row],[JobSatisfaction]]</f>
        <v>2</v>
      </c>
      <c r="I973">
        <f>Table1[[#This Row],[YearsAtCompany]]</f>
        <v>5</v>
      </c>
      <c r="J973">
        <f>Table1[[#This Row],[YearsSinceLastPromotion]]</f>
        <v>0</v>
      </c>
      <c r="K973">
        <f>Table1[[#This Row],[EmployeeNumber]]</f>
        <v>1367</v>
      </c>
      <c r="L973">
        <f>Table1[[#This Row],[DistanceFromHome]]</f>
        <v>11</v>
      </c>
      <c r="M973" t="str">
        <f>Table1[[#This Row],[OverTime]]</f>
        <v>No</v>
      </c>
      <c r="N973">
        <f>Table1[[#This Row],[WorkLifeBalance]]</f>
        <v>2</v>
      </c>
      <c r="O973" t="str" cm="1">
        <f t="array" ref="O973">_xlfn.IFS(A973&lt;=30,"18-30",A973&lt;=40,"31-40",A973&lt;=50,"41-50",A973&gt;50,"51+")</f>
        <v>51+</v>
      </c>
      <c r="P973" t="str" cm="1">
        <f t="array" ref="P973">_xlfn.IFS(F973&lt;=45,"45 or below",F973&lt;= 60,"46-60",F973&lt;=75,"61-75",F973&lt;=90,"76-90",F973&gt;90,"91 or above")</f>
        <v>76-90</v>
      </c>
      <c r="Q9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73" t="str" cm="1">
        <f t="array" ref="R9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4" spans="1:18" x14ac:dyDescent="0.2">
      <c r="A974">
        <f>Table1[[#This Row],[Age]]</f>
        <v>18</v>
      </c>
      <c r="B974">
        <f>IF(Table3[[#This Row],[Attrition]] = "Yes", 1,0)</f>
        <v>0</v>
      </c>
      <c r="C974" t="str">
        <f>Table1[[#This Row],[Attrition]]</f>
        <v>No</v>
      </c>
      <c r="D974" t="str">
        <f>Table1[[#This Row],[Department]]</f>
        <v>Research &amp; Development</v>
      </c>
      <c r="E974">
        <f>Table1[[#This Row],[EnvironmentSatisfaction]]</f>
        <v>4</v>
      </c>
      <c r="F974">
        <f>Table1[[#This Row],[HourlyRate]]</f>
        <v>97</v>
      </c>
      <c r="G974" t="str">
        <f>Table1[[#This Row],[JobRole]]</f>
        <v>Laboratory Technician</v>
      </c>
      <c r="H974">
        <f>Table1[[#This Row],[JobSatisfaction]]</f>
        <v>4</v>
      </c>
      <c r="I974">
        <f>Table1[[#This Row],[YearsAtCompany]]</f>
        <v>0</v>
      </c>
      <c r="J974">
        <f>Table1[[#This Row],[YearsSinceLastPromotion]]</f>
        <v>0</v>
      </c>
      <c r="K974">
        <f>Table1[[#This Row],[EmployeeNumber]]</f>
        <v>1368</v>
      </c>
      <c r="L974">
        <f>Table1[[#This Row],[DistanceFromHome]]</f>
        <v>1</v>
      </c>
      <c r="M974" t="str">
        <f>Table1[[#This Row],[OverTime]]</f>
        <v>No</v>
      </c>
      <c r="N974">
        <f>Table1[[#This Row],[WorkLifeBalance]]</f>
        <v>4</v>
      </c>
      <c r="O974" t="str" cm="1">
        <f t="array" ref="O974">_xlfn.IFS(A974&lt;=30,"18-30",A974&lt;=40,"31-40",A974&lt;=50,"41-50",A974&gt;50,"51+")</f>
        <v>18-30</v>
      </c>
      <c r="P974" t="str" cm="1">
        <f t="array" ref="P974">_xlfn.IFS(F974&lt;=45,"45 or below",F974&lt;= 60,"46-60",F974&lt;=75,"61-75",F974&lt;=90,"76-90",F974&gt;90,"91 or above")</f>
        <v>91 or above</v>
      </c>
      <c r="Q9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74" t="str" cm="1">
        <f t="array" ref="R9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5" spans="1:18" x14ac:dyDescent="0.2">
      <c r="A975">
        <f>Table1[[#This Row],[Age]]</f>
        <v>35</v>
      </c>
      <c r="B975">
        <f>IF(Table3[[#This Row],[Attrition]] = "Yes", 1,0)</f>
        <v>0</v>
      </c>
      <c r="C975" t="str">
        <f>Table1[[#This Row],[Attrition]]</f>
        <v>No</v>
      </c>
      <c r="D975" t="str">
        <f>Table1[[#This Row],[Department]]</f>
        <v>Research &amp; Development</v>
      </c>
      <c r="E975">
        <f>Table1[[#This Row],[EnvironmentSatisfaction]]</f>
        <v>4</v>
      </c>
      <c r="F975">
        <f>Table1[[#This Row],[HourlyRate]]</f>
        <v>60</v>
      </c>
      <c r="G975" t="str">
        <f>Table1[[#This Row],[JobRole]]</f>
        <v>Laboratory Technician</v>
      </c>
      <c r="H975">
        <f>Table1[[#This Row],[JobSatisfaction]]</f>
        <v>4</v>
      </c>
      <c r="I975">
        <f>Table1[[#This Row],[YearsAtCompany]]</f>
        <v>9</v>
      </c>
      <c r="J975">
        <f>Table1[[#This Row],[YearsSinceLastPromotion]]</f>
        <v>0</v>
      </c>
      <c r="K975">
        <f>Table1[[#This Row],[EmployeeNumber]]</f>
        <v>1369</v>
      </c>
      <c r="L975">
        <f>Table1[[#This Row],[DistanceFromHome]]</f>
        <v>1</v>
      </c>
      <c r="M975" t="str">
        <f>Table1[[#This Row],[OverTime]]</f>
        <v>No</v>
      </c>
      <c r="N975">
        <f>Table1[[#This Row],[WorkLifeBalance]]</f>
        <v>3</v>
      </c>
      <c r="O975" t="str" cm="1">
        <f t="array" ref="O975">_xlfn.IFS(A975&lt;=30,"18-30",A975&lt;=40,"31-40",A975&lt;=50,"41-50",A975&gt;50,"51+")</f>
        <v>31-40</v>
      </c>
      <c r="P975" t="str" cm="1">
        <f t="array" ref="P975">_xlfn.IFS(F975&lt;=45,"45 or below",F975&lt;= 60,"46-60",F975&lt;=75,"61-75",F975&lt;=90,"76-90",F975&gt;90,"91 or above")</f>
        <v>46-60</v>
      </c>
      <c r="Q9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75" t="str" cm="1">
        <f t="array" ref="R9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6" spans="1:18" x14ac:dyDescent="0.2">
      <c r="A976">
        <f>Table1[[#This Row],[Age]]</f>
        <v>27</v>
      </c>
      <c r="B976">
        <f>IF(Table3[[#This Row],[Attrition]] = "Yes", 1,0)</f>
        <v>0</v>
      </c>
      <c r="C976" t="str">
        <f>Table1[[#This Row],[Attrition]]</f>
        <v>No</v>
      </c>
      <c r="D976" t="str">
        <f>Table1[[#This Row],[Department]]</f>
        <v>Sales</v>
      </c>
      <c r="E976">
        <f>Table1[[#This Row],[EnvironmentSatisfaction]]</f>
        <v>4</v>
      </c>
      <c r="F976">
        <f>Table1[[#This Row],[HourlyRate]]</f>
        <v>43</v>
      </c>
      <c r="G976" t="str">
        <f>Table1[[#This Row],[JobRole]]</f>
        <v>Sales Executive</v>
      </c>
      <c r="H976">
        <f>Table1[[#This Row],[JobSatisfaction]]</f>
        <v>4</v>
      </c>
      <c r="I976">
        <f>Table1[[#This Row],[YearsAtCompany]]</f>
        <v>6</v>
      </c>
      <c r="J976">
        <f>Table1[[#This Row],[YearsSinceLastPromotion]]</f>
        <v>0</v>
      </c>
      <c r="K976">
        <f>Table1[[#This Row],[EmployeeNumber]]</f>
        <v>1371</v>
      </c>
      <c r="L976">
        <f>Table1[[#This Row],[DistanceFromHome]]</f>
        <v>2</v>
      </c>
      <c r="M976" t="str">
        <f>Table1[[#This Row],[OverTime]]</f>
        <v>No</v>
      </c>
      <c r="N976">
        <f>Table1[[#This Row],[WorkLifeBalance]]</f>
        <v>3</v>
      </c>
      <c r="O976" t="str" cm="1">
        <f t="array" ref="O976">_xlfn.IFS(A976&lt;=30,"18-30",A976&lt;=40,"31-40",A976&lt;=50,"41-50",A976&gt;50,"51+")</f>
        <v>18-30</v>
      </c>
      <c r="P976" t="str" cm="1">
        <f t="array" ref="P976">_xlfn.IFS(F976&lt;=45,"45 or below",F976&lt;= 60,"46-60",F976&lt;=75,"61-75",F976&lt;=90,"76-90",F976&gt;90,"91 or above")</f>
        <v>45 or below</v>
      </c>
      <c r="Q9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76" t="str" cm="1">
        <f t="array" ref="R9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77" spans="1:18" hidden="1" x14ac:dyDescent="0.2">
      <c r="A977">
        <f>Table1[[#This Row],[Age]]</f>
        <v>55</v>
      </c>
      <c r="B977">
        <f>IF(Table3[[#This Row],[Attrition]] = "Yes", 1,0)</f>
        <v>1</v>
      </c>
      <c r="C977" t="str">
        <f>Table1[[#This Row],[Attrition]]</f>
        <v>Yes</v>
      </c>
      <c r="D977" t="str">
        <f>Table1[[#This Row],[Department]]</f>
        <v>Sales</v>
      </c>
      <c r="E977">
        <f>Table1[[#This Row],[EnvironmentSatisfaction]]</f>
        <v>1</v>
      </c>
      <c r="F977">
        <f>Table1[[#This Row],[HourlyRate]]</f>
        <v>85</v>
      </c>
      <c r="G977" t="str">
        <f>Table1[[#This Row],[JobRole]]</f>
        <v>Sales Executive</v>
      </c>
      <c r="H977">
        <f>Table1[[#This Row],[JobSatisfaction]]</f>
        <v>3</v>
      </c>
      <c r="I977">
        <f>Table1[[#This Row],[YearsAtCompany]]</f>
        <v>19</v>
      </c>
      <c r="J977">
        <f>Table1[[#This Row],[YearsSinceLastPromotion]]</f>
        <v>3</v>
      </c>
      <c r="K977">
        <f>Table1[[#This Row],[EmployeeNumber]]</f>
        <v>1372</v>
      </c>
      <c r="L977">
        <f>Table1[[#This Row],[DistanceFromHome]]</f>
        <v>13</v>
      </c>
      <c r="M977" t="str">
        <f>Table1[[#This Row],[OverTime]]</f>
        <v>Yes</v>
      </c>
      <c r="N977">
        <f>Table1[[#This Row],[WorkLifeBalance]]</f>
        <v>2</v>
      </c>
      <c r="O977" t="str" cm="1">
        <f t="array" ref="O977">_xlfn.IFS(A977&lt;=30,"18-30",A977&lt;=40,"31-40",A977&lt;=50,"41-50",A977&gt;50,"51+")</f>
        <v>51+</v>
      </c>
      <c r="P977" t="str" cm="1">
        <f t="array" ref="P977">_xlfn.IFS(F977&lt;=45,"45 or below",F977&lt;= 60,"46-60",F977&lt;=75,"61-75",F977&lt;=90,"76-90",F977&gt;90,"91 or above")</f>
        <v>76-90</v>
      </c>
      <c r="Q97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77" t="str" cm="1">
        <f t="array" ref="R977" xml:space="preserve"> _xlfn.IFS(Table3[[#This Row],[Flight Risk Score]] = "NA","NA",Table3[[#This Row],[Flight Risk Score]] &gt;= 70,"High Risk",Table3[[#This Row],[Flight Risk Score]] &gt;= 50, "Medium Risk", Table3[[#This Row],[Flight Risk Score]] &gt;= 30,"Low Risk",Table3[[#This Row],[Flight Risk Score]] &lt; 30,"Very Low Risk")</f>
        <v>NA</v>
      </c>
    </row>
    <row r="978" spans="1:18" x14ac:dyDescent="0.2">
      <c r="A978">
        <f>Table1[[#This Row],[Age]]</f>
        <v>56</v>
      </c>
      <c r="B978">
        <f>IF(Table3[[#This Row],[Attrition]] = "Yes", 1,0)</f>
        <v>0</v>
      </c>
      <c r="C978" t="str">
        <f>Table1[[#This Row],[Attrition]]</f>
        <v>No</v>
      </c>
      <c r="D978" t="str">
        <f>Table1[[#This Row],[Department]]</f>
        <v>Research &amp; Development</v>
      </c>
      <c r="E978">
        <f>Table1[[#This Row],[EnvironmentSatisfaction]]</f>
        <v>4</v>
      </c>
      <c r="F978">
        <f>Table1[[#This Row],[HourlyRate]]</f>
        <v>68</v>
      </c>
      <c r="G978" t="str">
        <f>Table1[[#This Row],[JobRole]]</f>
        <v>Manufacturing Director</v>
      </c>
      <c r="H978">
        <f>Table1[[#This Row],[JobSatisfaction]]</f>
        <v>2</v>
      </c>
      <c r="I978">
        <f>Table1[[#This Row],[YearsAtCompany]]</f>
        <v>19</v>
      </c>
      <c r="J978">
        <f>Table1[[#This Row],[YearsSinceLastPromotion]]</f>
        <v>15</v>
      </c>
      <c r="K978">
        <f>Table1[[#This Row],[EmployeeNumber]]</f>
        <v>1373</v>
      </c>
      <c r="L978">
        <f>Table1[[#This Row],[DistanceFromHome]]</f>
        <v>23</v>
      </c>
      <c r="M978" t="str">
        <f>Table1[[#This Row],[OverTime]]</f>
        <v>Yes</v>
      </c>
      <c r="N978">
        <f>Table1[[#This Row],[WorkLifeBalance]]</f>
        <v>3</v>
      </c>
      <c r="O978" t="str" cm="1">
        <f t="array" ref="O978">_xlfn.IFS(A978&lt;=30,"18-30",A978&lt;=40,"31-40",A978&lt;=50,"41-50",A978&gt;50,"51+")</f>
        <v>51+</v>
      </c>
      <c r="P978" t="str" cm="1">
        <f t="array" ref="P978">_xlfn.IFS(F978&lt;=45,"45 or below",F978&lt;= 60,"46-60",F978&lt;=75,"61-75",F978&lt;=90,"76-90",F978&gt;90,"91 or above")</f>
        <v>61-75</v>
      </c>
      <c r="Q9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78" t="str" cm="1">
        <f t="array" ref="R97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79" spans="1:18" x14ac:dyDescent="0.2">
      <c r="A979">
        <f>Table1[[#This Row],[Age]]</f>
        <v>34</v>
      </c>
      <c r="B979">
        <f>IF(Table3[[#This Row],[Attrition]] = "Yes", 1,0)</f>
        <v>0</v>
      </c>
      <c r="C979" t="str">
        <f>Table1[[#This Row],[Attrition]]</f>
        <v>No</v>
      </c>
      <c r="D979" t="str">
        <f>Table1[[#This Row],[Department]]</f>
        <v>Research &amp; Development</v>
      </c>
      <c r="E979">
        <f>Table1[[#This Row],[EnvironmentSatisfaction]]</f>
        <v>1</v>
      </c>
      <c r="F979">
        <f>Table1[[#This Row],[HourlyRate]]</f>
        <v>92</v>
      </c>
      <c r="G979" t="str">
        <f>Table1[[#This Row],[JobRole]]</f>
        <v>Research Scientist</v>
      </c>
      <c r="H979">
        <f>Table1[[#This Row],[JobSatisfaction]]</f>
        <v>3</v>
      </c>
      <c r="I979">
        <f>Table1[[#This Row],[YearsAtCompany]]</f>
        <v>5</v>
      </c>
      <c r="J979">
        <f>Table1[[#This Row],[YearsSinceLastPromotion]]</f>
        <v>0</v>
      </c>
      <c r="K979">
        <f>Table1[[#This Row],[EmployeeNumber]]</f>
        <v>1374</v>
      </c>
      <c r="L979">
        <f>Table1[[#This Row],[DistanceFromHome]]</f>
        <v>26</v>
      </c>
      <c r="M979" t="str">
        <f>Table1[[#This Row],[OverTime]]</f>
        <v>No</v>
      </c>
      <c r="N979">
        <f>Table1[[#This Row],[WorkLifeBalance]]</f>
        <v>3</v>
      </c>
      <c r="O979" t="str" cm="1">
        <f t="array" ref="O979">_xlfn.IFS(A979&lt;=30,"18-30",A979&lt;=40,"31-40",A979&lt;=50,"41-50",A979&gt;50,"51+")</f>
        <v>31-40</v>
      </c>
      <c r="P979" t="str" cm="1">
        <f t="array" ref="P979">_xlfn.IFS(F979&lt;=45,"45 or below",F979&lt;= 60,"46-60",F979&lt;=75,"61-75",F979&lt;=90,"76-90",F979&gt;90,"91 or above")</f>
        <v>91 or above</v>
      </c>
      <c r="Q9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79" t="str" cm="1">
        <f t="array" ref="R97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80" spans="1:18" x14ac:dyDescent="0.2">
      <c r="A980">
        <f>Table1[[#This Row],[Age]]</f>
        <v>40</v>
      </c>
      <c r="B980">
        <f>IF(Table3[[#This Row],[Attrition]] = "Yes", 1,0)</f>
        <v>0</v>
      </c>
      <c r="C980" t="str">
        <f>Table1[[#This Row],[Attrition]]</f>
        <v>No</v>
      </c>
      <c r="D980" t="str">
        <f>Table1[[#This Row],[Department]]</f>
        <v>Research &amp; Development</v>
      </c>
      <c r="E980">
        <f>Table1[[#This Row],[EnvironmentSatisfaction]]</f>
        <v>2</v>
      </c>
      <c r="F980">
        <f>Table1[[#This Row],[HourlyRate]]</f>
        <v>89</v>
      </c>
      <c r="G980" t="str">
        <f>Table1[[#This Row],[JobRole]]</f>
        <v>Healthcare Representative</v>
      </c>
      <c r="H980">
        <f>Table1[[#This Row],[JobSatisfaction]]</f>
        <v>3</v>
      </c>
      <c r="I980">
        <f>Table1[[#This Row],[YearsAtCompany]]</f>
        <v>12</v>
      </c>
      <c r="J980">
        <f>Table1[[#This Row],[YearsSinceLastPromotion]]</f>
        <v>11</v>
      </c>
      <c r="K980">
        <f>Table1[[#This Row],[EmployeeNumber]]</f>
        <v>1375</v>
      </c>
      <c r="L980">
        <f>Table1[[#This Row],[DistanceFromHome]]</f>
        <v>2</v>
      </c>
      <c r="M980" t="str">
        <f>Table1[[#This Row],[OverTime]]</f>
        <v>No</v>
      </c>
      <c r="N980">
        <f>Table1[[#This Row],[WorkLifeBalance]]</f>
        <v>3</v>
      </c>
      <c r="O980" t="str" cm="1">
        <f t="array" ref="O980">_xlfn.IFS(A980&lt;=30,"18-30",A980&lt;=40,"31-40",A980&lt;=50,"41-50",A980&gt;50,"51+")</f>
        <v>31-40</v>
      </c>
      <c r="P980" t="str" cm="1">
        <f t="array" ref="P980">_xlfn.IFS(F980&lt;=45,"45 or below",F980&lt;= 60,"46-60",F980&lt;=75,"61-75",F980&lt;=90,"76-90",F980&gt;90,"91 or above")</f>
        <v>76-90</v>
      </c>
      <c r="Q9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80" t="str" cm="1">
        <f t="array" ref="R9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81" spans="1:18" x14ac:dyDescent="0.2">
      <c r="A981">
        <f>Table1[[#This Row],[Age]]</f>
        <v>34</v>
      </c>
      <c r="B981">
        <f>IF(Table3[[#This Row],[Attrition]] = "Yes", 1,0)</f>
        <v>0</v>
      </c>
      <c r="C981" t="str">
        <f>Table1[[#This Row],[Attrition]]</f>
        <v>No</v>
      </c>
      <c r="D981" t="str">
        <f>Table1[[#This Row],[Department]]</f>
        <v>Research &amp; Development</v>
      </c>
      <c r="E981">
        <f>Table1[[#This Row],[EnvironmentSatisfaction]]</f>
        <v>2</v>
      </c>
      <c r="F981">
        <f>Table1[[#This Row],[HourlyRate]]</f>
        <v>86</v>
      </c>
      <c r="G981" t="str">
        <f>Table1[[#This Row],[JobRole]]</f>
        <v>Laboratory Technician</v>
      </c>
      <c r="H981">
        <f>Table1[[#This Row],[JobSatisfaction]]</f>
        <v>3</v>
      </c>
      <c r="I981">
        <f>Table1[[#This Row],[YearsAtCompany]]</f>
        <v>8</v>
      </c>
      <c r="J981">
        <f>Table1[[#This Row],[YearsSinceLastPromotion]]</f>
        <v>7</v>
      </c>
      <c r="K981">
        <f>Table1[[#This Row],[EmployeeNumber]]</f>
        <v>1377</v>
      </c>
      <c r="L981">
        <f>Table1[[#This Row],[DistanceFromHome]]</f>
        <v>29</v>
      </c>
      <c r="M981" t="str">
        <f>Table1[[#This Row],[OverTime]]</f>
        <v>No</v>
      </c>
      <c r="N981">
        <f>Table1[[#This Row],[WorkLifeBalance]]</f>
        <v>3</v>
      </c>
      <c r="O981" t="str" cm="1">
        <f t="array" ref="O981">_xlfn.IFS(A981&lt;=30,"18-30",A981&lt;=40,"31-40",A981&lt;=50,"41-50",A981&gt;50,"51+")</f>
        <v>31-40</v>
      </c>
      <c r="P981" t="str" cm="1">
        <f t="array" ref="P981">_xlfn.IFS(F981&lt;=45,"45 or below",F981&lt;= 60,"46-60",F981&lt;=75,"61-75",F981&lt;=90,"76-90",F981&gt;90,"91 or above")</f>
        <v>76-90</v>
      </c>
      <c r="Q9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81" t="str" cm="1">
        <f t="array" ref="R98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82" spans="1:18" hidden="1" x14ac:dyDescent="0.2">
      <c r="A982">
        <f>Table1[[#This Row],[Age]]</f>
        <v>31</v>
      </c>
      <c r="B982">
        <f>IF(Table3[[#This Row],[Attrition]] = "Yes", 1,0)</f>
        <v>1</v>
      </c>
      <c r="C982" t="str">
        <f>Table1[[#This Row],[Attrition]]</f>
        <v>Yes</v>
      </c>
      <c r="D982" t="str">
        <f>Table1[[#This Row],[Department]]</f>
        <v>Sales</v>
      </c>
      <c r="E982">
        <f>Table1[[#This Row],[EnvironmentSatisfaction]]</f>
        <v>3</v>
      </c>
      <c r="F982">
        <f>Table1[[#This Row],[HourlyRate]]</f>
        <v>90</v>
      </c>
      <c r="G982" t="str">
        <f>Table1[[#This Row],[JobRole]]</f>
        <v>Sales Representative</v>
      </c>
      <c r="H982">
        <f>Table1[[#This Row],[JobSatisfaction]]</f>
        <v>4</v>
      </c>
      <c r="I982">
        <f>Table1[[#This Row],[YearsAtCompany]]</f>
        <v>1</v>
      </c>
      <c r="J982">
        <f>Table1[[#This Row],[YearsSinceLastPromotion]]</f>
        <v>0</v>
      </c>
      <c r="K982">
        <f>Table1[[#This Row],[EmployeeNumber]]</f>
        <v>1379</v>
      </c>
      <c r="L982">
        <f>Table1[[#This Row],[DistanceFromHome]]</f>
        <v>2</v>
      </c>
      <c r="M982" t="str">
        <f>Table1[[#This Row],[OverTime]]</f>
        <v>No</v>
      </c>
      <c r="N982">
        <f>Table1[[#This Row],[WorkLifeBalance]]</f>
        <v>4</v>
      </c>
      <c r="O982" t="str" cm="1">
        <f t="array" ref="O982">_xlfn.IFS(A982&lt;=30,"18-30",A982&lt;=40,"31-40",A982&lt;=50,"41-50",A982&gt;50,"51+")</f>
        <v>31-40</v>
      </c>
      <c r="P982" t="str" cm="1">
        <f t="array" ref="P982">_xlfn.IFS(F982&lt;=45,"45 or below",F982&lt;= 60,"46-60",F982&lt;=75,"61-75",F982&lt;=90,"76-90",F982&gt;90,"91 or above")</f>
        <v>76-90</v>
      </c>
      <c r="Q98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82" t="str" cm="1">
        <f t="array" ref="R982" xml:space="preserve"> _xlfn.IFS(Table3[[#This Row],[Flight Risk Score]] = "NA","NA",Table3[[#This Row],[Flight Risk Score]] &gt;= 70,"High Risk",Table3[[#This Row],[Flight Risk Score]] &gt;= 50, "Medium Risk", Table3[[#This Row],[Flight Risk Score]] &gt;= 30,"Low Risk",Table3[[#This Row],[Flight Risk Score]] &lt; 30,"Very Low Risk")</f>
        <v>NA</v>
      </c>
    </row>
    <row r="983" spans="1:18" hidden="1" x14ac:dyDescent="0.2">
      <c r="A983">
        <f>Table1[[#This Row],[Age]]</f>
        <v>35</v>
      </c>
      <c r="B983">
        <f>IF(Table3[[#This Row],[Attrition]] = "Yes", 1,0)</f>
        <v>1</v>
      </c>
      <c r="C983" t="str">
        <f>Table1[[#This Row],[Attrition]]</f>
        <v>Yes</v>
      </c>
      <c r="D983" t="str">
        <f>Table1[[#This Row],[Department]]</f>
        <v>Sales</v>
      </c>
      <c r="E983">
        <f>Table1[[#This Row],[EnvironmentSatisfaction]]</f>
        <v>4</v>
      </c>
      <c r="F983">
        <f>Table1[[#This Row],[HourlyRate]]</f>
        <v>67</v>
      </c>
      <c r="G983" t="str">
        <f>Table1[[#This Row],[JobRole]]</f>
        <v>Sales Executive</v>
      </c>
      <c r="H983">
        <f>Table1[[#This Row],[JobSatisfaction]]</f>
        <v>3</v>
      </c>
      <c r="I983">
        <f>Table1[[#This Row],[YearsAtCompany]]</f>
        <v>4</v>
      </c>
      <c r="J983">
        <f>Table1[[#This Row],[YearsSinceLastPromotion]]</f>
        <v>3</v>
      </c>
      <c r="K983">
        <f>Table1[[#This Row],[EmployeeNumber]]</f>
        <v>1380</v>
      </c>
      <c r="L983">
        <f>Table1[[#This Row],[DistanceFromHome]]</f>
        <v>18</v>
      </c>
      <c r="M983" t="str">
        <f>Table1[[#This Row],[OverTime]]</f>
        <v>Yes</v>
      </c>
      <c r="N983">
        <f>Table1[[#This Row],[WorkLifeBalance]]</f>
        <v>2</v>
      </c>
      <c r="O983" t="str" cm="1">
        <f t="array" ref="O983">_xlfn.IFS(A983&lt;=30,"18-30",A983&lt;=40,"31-40",A983&lt;=50,"41-50",A983&gt;50,"51+")</f>
        <v>31-40</v>
      </c>
      <c r="P983" t="str" cm="1">
        <f t="array" ref="P983">_xlfn.IFS(F983&lt;=45,"45 or below",F983&lt;= 60,"46-60",F983&lt;=75,"61-75",F983&lt;=90,"76-90",F983&gt;90,"91 or above")</f>
        <v>61-75</v>
      </c>
      <c r="Q98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83" t="str" cm="1">
        <f t="array" ref="R983" xml:space="preserve"> _xlfn.IFS(Table3[[#This Row],[Flight Risk Score]] = "NA","NA",Table3[[#This Row],[Flight Risk Score]] &gt;= 70,"High Risk",Table3[[#This Row],[Flight Risk Score]] &gt;= 50, "Medium Risk", Table3[[#This Row],[Flight Risk Score]] &gt;= 30,"Low Risk",Table3[[#This Row],[Flight Risk Score]] &lt; 30,"Very Low Risk")</f>
        <v>NA</v>
      </c>
    </row>
    <row r="984" spans="1:18" x14ac:dyDescent="0.2">
      <c r="A984">
        <f>Table1[[#This Row],[Age]]</f>
        <v>38</v>
      </c>
      <c r="B984">
        <f>IF(Table3[[#This Row],[Attrition]] = "Yes", 1,0)</f>
        <v>0</v>
      </c>
      <c r="C984" t="str">
        <f>Table1[[#This Row],[Attrition]]</f>
        <v>No</v>
      </c>
      <c r="D984" t="str">
        <f>Table1[[#This Row],[Department]]</f>
        <v>Research &amp; Development</v>
      </c>
      <c r="E984">
        <f>Table1[[#This Row],[EnvironmentSatisfaction]]</f>
        <v>4</v>
      </c>
      <c r="F984">
        <f>Table1[[#This Row],[HourlyRate]]</f>
        <v>57</v>
      </c>
      <c r="G984" t="str">
        <f>Table1[[#This Row],[JobRole]]</f>
        <v>Research Scientist</v>
      </c>
      <c r="H984">
        <f>Table1[[#This Row],[JobSatisfaction]]</f>
        <v>3</v>
      </c>
      <c r="I984">
        <f>Table1[[#This Row],[YearsAtCompany]]</f>
        <v>4</v>
      </c>
      <c r="J984">
        <f>Table1[[#This Row],[YearsSinceLastPromotion]]</f>
        <v>0</v>
      </c>
      <c r="K984">
        <f>Table1[[#This Row],[EmployeeNumber]]</f>
        <v>1382</v>
      </c>
      <c r="L984">
        <f>Table1[[#This Row],[DistanceFromHome]]</f>
        <v>7</v>
      </c>
      <c r="M984" t="str">
        <f>Table1[[#This Row],[OverTime]]</f>
        <v>No</v>
      </c>
      <c r="N984">
        <f>Table1[[#This Row],[WorkLifeBalance]]</f>
        <v>3</v>
      </c>
      <c r="O984" t="str" cm="1">
        <f t="array" ref="O984">_xlfn.IFS(A984&lt;=30,"18-30",A984&lt;=40,"31-40",A984&lt;=50,"41-50",A984&gt;50,"51+")</f>
        <v>31-40</v>
      </c>
      <c r="P984" t="str" cm="1">
        <f t="array" ref="P984">_xlfn.IFS(F984&lt;=45,"45 or below",F984&lt;= 60,"46-60",F984&lt;=75,"61-75",F984&lt;=90,"76-90",F984&gt;90,"91 or above")</f>
        <v>46-60</v>
      </c>
      <c r="Q9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84" t="str" cm="1">
        <f t="array" ref="R9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85" spans="1:18" x14ac:dyDescent="0.2">
      <c r="A985">
        <f>Table1[[#This Row],[Age]]</f>
        <v>34</v>
      </c>
      <c r="B985">
        <f>IF(Table3[[#This Row],[Attrition]] = "Yes", 1,0)</f>
        <v>0</v>
      </c>
      <c r="C985" t="str">
        <f>Table1[[#This Row],[Attrition]]</f>
        <v>No</v>
      </c>
      <c r="D985" t="str">
        <f>Table1[[#This Row],[Department]]</f>
        <v>Research &amp; Development</v>
      </c>
      <c r="E985">
        <f>Table1[[#This Row],[EnvironmentSatisfaction]]</f>
        <v>3</v>
      </c>
      <c r="F985">
        <f>Table1[[#This Row],[HourlyRate]]</f>
        <v>98</v>
      </c>
      <c r="G985" t="str">
        <f>Table1[[#This Row],[JobRole]]</f>
        <v>Healthcare Representative</v>
      </c>
      <c r="H985">
        <f>Table1[[#This Row],[JobSatisfaction]]</f>
        <v>4</v>
      </c>
      <c r="I985">
        <f>Table1[[#This Row],[YearsAtCompany]]</f>
        <v>14</v>
      </c>
      <c r="J985">
        <f>Table1[[#This Row],[YearsSinceLastPromotion]]</f>
        <v>4</v>
      </c>
      <c r="K985">
        <f>Table1[[#This Row],[EmployeeNumber]]</f>
        <v>1383</v>
      </c>
      <c r="L985">
        <f>Table1[[#This Row],[DistanceFromHome]]</f>
        <v>2</v>
      </c>
      <c r="M985" t="str">
        <f>Table1[[#This Row],[OverTime]]</f>
        <v>No</v>
      </c>
      <c r="N985">
        <f>Table1[[#This Row],[WorkLifeBalance]]</f>
        <v>4</v>
      </c>
      <c r="O985" t="str" cm="1">
        <f t="array" ref="O985">_xlfn.IFS(A985&lt;=30,"18-30",A985&lt;=40,"31-40",A985&lt;=50,"41-50",A985&gt;50,"51+")</f>
        <v>31-40</v>
      </c>
      <c r="P985" t="str" cm="1">
        <f t="array" ref="P985">_xlfn.IFS(F985&lt;=45,"45 or below",F985&lt;= 60,"46-60",F985&lt;=75,"61-75",F985&lt;=90,"76-90",F985&gt;90,"91 or above")</f>
        <v>91 or above</v>
      </c>
      <c r="Q9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85" t="str" cm="1">
        <f t="array" ref="R9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86" spans="1:18" x14ac:dyDescent="0.2">
      <c r="A986">
        <f>Table1[[#This Row],[Age]]</f>
        <v>28</v>
      </c>
      <c r="B986">
        <f>IF(Table3[[#This Row],[Attrition]] = "Yes", 1,0)</f>
        <v>0</v>
      </c>
      <c r="C986" t="str">
        <f>Table1[[#This Row],[Attrition]]</f>
        <v>No</v>
      </c>
      <c r="D986" t="str">
        <f>Table1[[#This Row],[Department]]</f>
        <v>Sales</v>
      </c>
      <c r="E986">
        <f>Table1[[#This Row],[EnvironmentSatisfaction]]</f>
        <v>3</v>
      </c>
      <c r="F986">
        <f>Table1[[#This Row],[HourlyRate]]</f>
        <v>48</v>
      </c>
      <c r="G986" t="str">
        <f>Table1[[#This Row],[JobRole]]</f>
        <v>Sales Executive</v>
      </c>
      <c r="H986">
        <f>Table1[[#This Row],[JobSatisfaction]]</f>
        <v>1</v>
      </c>
      <c r="I986">
        <f>Table1[[#This Row],[YearsAtCompany]]</f>
        <v>5</v>
      </c>
      <c r="J986">
        <f>Table1[[#This Row],[YearsSinceLastPromotion]]</f>
        <v>0</v>
      </c>
      <c r="K986">
        <f>Table1[[#This Row],[EmployeeNumber]]</f>
        <v>1387</v>
      </c>
      <c r="L986">
        <f>Table1[[#This Row],[DistanceFromHome]]</f>
        <v>26</v>
      </c>
      <c r="M986" t="str">
        <f>Table1[[#This Row],[OverTime]]</f>
        <v>No</v>
      </c>
      <c r="N986">
        <f>Table1[[#This Row],[WorkLifeBalance]]</f>
        <v>3</v>
      </c>
      <c r="O986" t="str" cm="1">
        <f t="array" ref="O986">_xlfn.IFS(A986&lt;=30,"18-30",A986&lt;=40,"31-40",A986&lt;=50,"41-50",A986&gt;50,"51+")</f>
        <v>18-30</v>
      </c>
      <c r="P986" t="str" cm="1">
        <f t="array" ref="P986">_xlfn.IFS(F986&lt;=45,"45 or below",F986&lt;= 60,"46-60",F986&lt;=75,"61-75",F986&lt;=90,"76-90",F986&gt;90,"91 or above")</f>
        <v>46-60</v>
      </c>
      <c r="Q9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86" t="str" cm="1">
        <f t="array" ref="R9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87" spans="1:18" hidden="1" x14ac:dyDescent="0.2">
      <c r="A987">
        <f>Table1[[#This Row],[Age]]</f>
        <v>31</v>
      </c>
      <c r="B987">
        <f>IF(Table3[[#This Row],[Attrition]] = "Yes", 1,0)</f>
        <v>1</v>
      </c>
      <c r="C987" t="str">
        <f>Table1[[#This Row],[Attrition]]</f>
        <v>Yes</v>
      </c>
      <c r="D987" t="str">
        <f>Table1[[#This Row],[Department]]</f>
        <v>Research &amp; Development</v>
      </c>
      <c r="E987">
        <f>Table1[[#This Row],[EnvironmentSatisfaction]]</f>
        <v>4</v>
      </c>
      <c r="F987">
        <f>Table1[[#This Row],[HourlyRate]]</f>
        <v>98</v>
      </c>
      <c r="G987" t="str">
        <f>Table1[[#This Row],[JobRole]]</f>
        <v>Manufacturing Director</v>
      </c>
      <c r="H987">
        <f>Table1[[#This Row],[JobSatisfaction]]</f>
        <v>3</v>
      </c>
      <c r="I987">
        <f>Table1[[#This Row],[YearsAtCompany]]</f>
        <v>10</v>
      </c>
      <c r="J987">
        <f>Table1[[#This Row],[YearsSinceLastPromotion]]</f>
        <v>6</v>
      </c>
      <c r="K987">
        <f>Table1[[#This Row],[EmployeeNumber]]</f>
        <v>1389</v>
      </c>
      <c r="L987">
        <f>Table1[[#This Row],[DistanceFromHome]]</f>
        <v>22</v>
      </c>
      <c r="M987" t="str">
        <f>Table1[[#This Row],[OverTime]]</f>
        <v>Yes</v>
      </c>
      <c r="N987">
        <f>Table1[[#This Row],[WorkLifeBalance]]</f>
        <v>2</v>
      </c>
      <c r="O987" t="str" cm="1">
        <f t="array" ref="O987">_xlfn.IFS(A987&lt;=30,"18-30",A987&lt;=40,"31-40",A987&lt;=50,"41-50",A987&gt;50,"51+")</f>
        <v>31-40</v>
      </c>
      <c r="P987" t="str" cm="1">
        <f t="array" ref="P987">_xlfn.IFS(F987&lt;=45,"45 or below",F987&lt;= 60,"46-60",F987&lt;=75,"61-75",F987&lt;=90,"76-90",F987&gt;90,"91 or above")</f>
        <v>91 or above</v>
      </c>
      <c r="Q98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87" t="str" cm="1">
        <f t="array" ref="R987" xml:space="preserve"> _xlfn.IFS(Table3[[#This Row],[Flight Risk Score]] = "NA","NA",Table3[[#This Row],[Flight Risk Score]] &gt;= 70,"High Risk",Table3[[#This Row],[Flight Risk Score]] &gt;= 50, "Medium Risk", Table3[[#This Row],[Flight Risk Score]] &gt;= 30,"Low Risk",Table3[[#This Row],[Flight Risk Score]] &lt; 30,"Very Low Risk")</f>
        <v>NA</v>
      </c>
    </row>
    <row r="988" spans="1:18" x14ac:dyDescent="0.2">
      <c r="A988">
        <f>Table1[[#This Row],[Age]]</f>
        <v>39</v>
      </c>
      <c r="B988">
        <f>IF(Table3[[#This Row],[Attrition]] = "Yes", 1,0)</f>
        <v>0</v>
      </c>
      <c r="C988" t="str">
        <f>Table1[[#This Row],[Attrition]]</f>
        <v>No</v>
      </c>
      <c r="D988" t="str">
        <f>Table1[[#This Row],[Department]]</f>
        <v>Sales</v>
      </c>
      <c r="E988">
        <f>Table1[[#This Row],[EnvironmentSatisfaction]]</f>
        <v>1</v>
      </c>
      <c r="F988">
        <f>Table1[[#This Row],[HourlyRate]]</f>
        <v>44</v>
      </c>
      <c r="G988" t="str">
        <f>Table1[[#This Row],[JobRole]]</f>
        <v>Sales Executive</v>
      </c>
      <c r="H988">
        <f>Table1[[#This Row],[JobSatisfaction]]</f>
        <v>4</v>
      </c>
      <c r="I988">
        <f>Table1[[#This Row],[YearsAtCompany]]</f>
        <v>5</v>
      </c>
      <c r="J988">
        <f>Table1[[#This Row],[YearsSinceLastPromotion]]</f>
        <v>1</v>
      </c>
      <c r="K988">
        <f>Table1[[#This Row],[EmployeeNumber]]</f>
        <v>1390</v>
      </c>
      <c r="L988">
        <f>Table1[[#This Row],[DistanceFromHome]]</f>
        <v>21</v>
      </c>
      <c r="M988" t="str">
        <f>Table1[[#This Row],[OverTime]]</f>
        <v>Yes</v>
      </c>
      <c r="N988">
        <f>Table1[[#This Row],[WorkLifeBalance]]</f>
        <v>4</v>
      </c>
      <c r="O988" t="str" cm="1">
        <f t="array" ref="O988">_xlfn.IFS(A988&lt;=30,"18-30",A988&lt;=40,"31-40",A988&lt;=50,"41-50",A988&gt;50,"51+")</f>
        <v>31-40</v>
      </c>
      <c r="P988" t="str" cm="1">
        <f t="array" ref="P988">_xlfn.IFS(F988&lt;=45,"45 or below",F988&lt;= 60,"46-60",F988&lt;=75,"61-75",F988&lt;=90,"76-90",F988&gt;90,"91 or above")</f>
        <v>45 or below</v>
      </c>
      <c r="Q9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88" t="str" cm="1">
        <f t="array" ref="R98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89" spans="1:18" x14ac:dyDescent="0.2">
      <c r="A989">
        <f>Table1[[#This Row],[Age]]</f>
        <v>51</v>
      </c>
      <c r="B989">
        <f>IF(Table3[[#This Row],[Attrition]] = "Yes", 1,0)</f>
        <v>0</v>
      </c>
      <c r="C989" t="str">
        <f>Table1[[#This Row],[Attrition]]</f>
        <v>No</v>
      </c>
      <c r="D989" t="str">
        <f>Table1[[#This Row],[Department]]</f>
        <v>Sales</v>
      </c>
      <c r="E989">
        <f>Table1[[#This Row],[EnvironmentSatisfaction]]</f>
        <v>2</v>
      </c>
      <c r="F989">
        <f>Table1[[#This Row],[HourlyRate]]</f>
        <v>52</v>
      </c>
      <c r="G989" t="str">
        <f>Table1[[#This Row],[JobRole]]</f>
        <v>Sales Executive</v>
      </c>
      <c r="H989">
        <f>Table1[[#This Row],[JobSatisfaction]]</f>
        <v>2</v>
      </c>
      <c r="I989">
        <f>Table1[[#This Row],[YearsAtCompany]]</f>
        <v>4</v>
      </c>
      <c r="J989">
        <f>Table1[[#This Row],[YearsSinceLastPromotion]]</f>
        <v>3</v>
      </c>
      <c r="K989">
        <f>Table1[[#This Row],[EmployeeNumber]]</f>
        <v>1391</v>
      </c>
      <c r="L989">
        <f>Table1[[#This Row],[DistanceFromHome]]</f>
        <v>2</v>
      </c>
      <c r="M989" t="str">
        <f>Table1[[#This Row],[OverTime]]</f>
        <v>No</v>
      </c>
      <c r="N989">
        <f>Table1[[#This Row],[WorkLifeBalance]]</f>
        <v>3</v>
      </c>
      <c r="O989" t="str" cm="1">
        <f t="array" ref="O989">_xlfn.IFS(A989&lt;=30,"18-30",A989&lt;=40,"31-40",A989&lt;=50,"41-50",A989&gt;50,"51+")</f>
        <v>51+</v>
      </c>
      <c r="P989" t="str" cm="1">
        <f t="array" ref="P989">_xlfn.IFS(F989&lt;=45,"45 or below",F989&lt;= 60,"46-60",F989&lt;=75,"61-75",F989&lt;=90,"76-90",F989&gt;90,"91 or above")</f>
        <v>46-60</v>
      </c>
      <c r="Q9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989" t="str" cm="1">
        <f t="array" ref="R989" xml:space="preserve"> _xlfn.IFS(Table3[[#This Row],[Flight Risk Score]] = "NA","NA",Table3[[#This Row],[Flight Risk Score]] &gt;= 70,"High Risk",Table3[[#This Row],[Flight Risk Score]] &gt;= 50, "Medium Risk", Table3[[#This Row],[Flight Risk Score]] &gt;= 30,"Low Risk",Table3[[#This Row],[Flight Risk Score]] &lt; 30,"Very Low Risk")</f>
        <v>Low Risk</v>
      </c>
    </row>
    <row r="990" spans="1:18" x14ac:dyDescent="0.2">
      <c r="A990">
        <f>Table1[[#This Row],[Age]]</f>
        <v>41</v>
      </c>
      <c r="B990">
        <f>IF(Table3[[#This Row],[Attrition]] = "Yes", 1,0)</f>
        <v>0</v>
      </c>
      <c r="C990" t="str">
        <f>Table1[[#This Row],[Attrition]]</f>
        <v>No</v>
      </c>
      <c r="D990" t="str">
        <f>Table1[[#This Row],[Department]]</f>
        <v>Research &amp; Development</v>
      </c>
      <c r="E990">
        <f>Table1[[#This Row],[EnvironmentSatisfaction]]</f>
        <v>4</v>
      </c>
      <c r="F990">
        <f>Table1[[#This Row],[HourlyRate]]</f>
        <v>75</v>
      </c>
      <c r="G990" t="str">
        <f>Table1[[#This Row],[JobRole]]</f>
        <v>Research Scientist</v>
      </c>
      <c r="H990">
        <f>Table1[[#This Row],[JobSatisfaction]]</f>
        <v>4</v>
      </c>
      <c r="I990">
        <f>Table1[[#This Row],[YearsAtCompany]]</f>
        <v>6</v>
      </c>
      <c r="J990">
        <f>Table1[[#This Row],[YearsSinceLastPromotion]]</f>
        <v>3</v>
      </c>
      <c r="K990">
        <f>Table1[[#This Row],[EmployeeNumber]]</f>
        <v>1392</v>
      </c>
      <c r="L990">
        <f>Table1[[#This Row],[DistanceFromHome]]</f>
        <v>22</v>
      </c>
      <c r="M990" t="str">
        <f>Table1[[#This Row],[OverTime]]</f>
        <v>Yes</v>
      </c>
      <c r="N990">
        <f>Table1[[#This Row],[WorkLifeBalance]]</f>
        <v>2</v>
      </c>
      <c r="O990" t="str" cm="1">
        <f t="array" ref="O990">_xlfn.IFS(A990&lt;=30,"18-30",A990&lt;=40,"31-40",A990&lt;=50,"41-50",A990&gt;50,"51+")</f>
        <v>41-50</v>
      </c>
      <c r="P990" t="str" cm="1">
        <f t="array" ref="P990">_xlfn.IFS(F990&lt;=45,"45 or below",F990&lt;= 60,"46-60",F990&lt;=75,"61-75",F990&lt;=90,"76-90",F990&gt;90,"91 or above")</f>
        <v>61-75</v>
      </c>
      <c r="Q9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90" t="str" cm="1">
        <f t="array" ref="R990" xml:space="preserve"> _xlfn.IFS(Table3[[#This Row],[Flight Risk Score]] = "NA","NA",Table3[[#This Row],[Flight Risk Score]] &gt;= 70,"High Risk",Table3[[#This Row],[Flight Risk Score]] &gt;= 50, "Medium Risk", Table3[[#This Row],[Flight Risk Score]] &gt;= 30,"Low Risk",Table3[[#This Row],[Flight Risk Score]] &lt; 30,"Very Low Risk")</f>
        <v>Low Risk</v>
      </c>
    </row>
    <row r="991" spans="1:18" x14ac:dyDescent="0.2">
      <c r="A991">
        <f>Table1[[#This Row],[Age]]</f>
        <v>37</v>
      </c>
      <c r="B991">
        <f>IF(Table3[[#This Row],[Attrition]] = "Yes", 1,0)</f>
        <v>0</v>
      </c>
      <c r="C991" t="str">
        <f>Table1[[#This Row],[Attrition]]</f>
        <v>No</v>
      </c>
      <c r="D991" t="str">
        <f>Table1[[#This Row],[Department]]</f>
        <v>Research &amp; Development</v>
      </c>
      <c r="E991">
        <f>Table1[[#This Row],[EnvironmentSatisfaction]]</f>
        <v>3</v>
      </c>
      <c r="F991">
        <f>Table1[[#This Row],[HourlyRate]]</f>
        <v>54</v>
      </c>
      <c r="G991" t="str">
        <f>Table1[[#This Row],[JobRole]]</f>
        <v>Research Scientist</v>
      </c>
      <c r="H991">
        <f>Table1[[#This Row],[JobSatisfaction]]</f>
        <v>3</v>
      </c>
      <c r="I991">
        <f>Table1[[#This Row],[YearsAtCompany]]</f>
        <v>6</v>
      </c>
      <c r="J991">
        <f>Table1[[#This Row],[YearsSinceLastPromotion]]</f>
        <v>1</v>
      </c>
      <c r="K991">
        <f>Table1[[#This Row],[EmployeeNumber]]</f>
        <v>1394</v>
      </c>
      <c r="L991">
        <f>Table1[[#This Row],[DistanceFromHome]]</f>
        <v>4</v>
      </c>
      <c r="M991" t="str">
        <f>Table1[[#This Row],[OverTime]]</f>
        <v>Yes</v>
      </c>
      <c r="N991">
        <f>Table1[[#This Row],[WorkLifeBalance]]</f>
        <v>3</v>
      </c>
      <c r="O991" t="str" cm="1">
        <f t="array" ref="O991">_xlfn.IFS(A991&lt;=30,"18-30",A991&lt;=40,"31-40",A991&lt;=50,"41-50",A991&gt;50,"51+")</f>
        <v>31-40</v>
      </c>
      <c r="P991" t="str" cm="1">
        <f t="array" ref="P991">_xlfn.IFS(F991&lt;=45,"45 or below",F991&lt;= 60,"46-60",F991&lt;=75,"61-75",F991&lt;=90,"76-90",F991&gt;90,"91 or above")</f>
        <v>46-60</v>
      </c>
      <c r="Q9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91" t="str" cm="1">
        <f t="array" ref="R991" xml:space="preserve"> _xlfn.IFS(Table3[[#This Row],[Flight Risk Score]] = "NA","NA",Table3[[#This Row],[Flight Risk Score]] &gt;= 70,"High Risk",Table3[[#This Row],[Flight Risk Score]] &gt;= 50, "Medium Risk", Table3[[#This Row],[Flight Risk Score]] &gt;= 30,"Low Risk",Table3[[#This Row],[Flight Risk Score]] &lt; 30,"Very Low Risk")</f>
        <v>Low Risk</v>
      </c>
    </row>
    <row r="992" spans="1:18" x14ac:dyDescent="0.2">
      <c r="A992">
        <f>Table1[[#This Row],[Age]]</f>
        <v>33</v>
      </c>
      <c r="B992">
        <f>IF(Table3[[#This Row],[Attrition]] = "Yes", 1,0)</f>
        <v>0</v>
      </c>
      <c r="C992" t="str">
        <f>Table1[[#This Row],[Attrition]]</f>
        <v>No</v>
      </c>
      <c r="D992" t="str">
        <f>Table1[[#This Row],[Department]]</f>
        <v>Sales</v>
      </c>
      <c r="E992">
        <f>Table1[[#This Row],[EnvironmentSatisfaction]]</f>
        <v>2</v>
      </c>
      <c r="F992">
        <f>Table1[[#This Row],[HourlyRate]]</f>
        <v>61</v>
      </c>
      <c r="G992" t="str">
        <f>Table1[[#This Row],[JobRole]]</f>
        <v>Sales Executive</v>
      </c>
      <c r="H992">
        <f>Table1[[#This Row],[JobSatisfaction]]</f>
        <v>4</v>
      </c>
      <c r="I992">
        <f>Table1[[#This Row],[YearsAtCompany]]</f>
        <v>5</v>
      </c>
      <c r="J992">
        <f>Table1[[#This Row],[YearsSinceLastPromotion]]</f>
        <v>1</v>
      </c>
      <c r="K992">
        <f>Table1[[#This Row],[EmployeeNumber]]</f>
        <v>1395</v>
      </c>
      <c r="L992">
        <f>Table1[[#This Row],[DistanceFromHome]]</f>
        <v>5</v>
      </c>
      <c r="M992" t="str">
        <f>Table1[[#This Row],[OverTime]]</f>
        <v>No</v>
      </c>
      <c r="N992">
        <f>Table1[[#This Row],[WorkLifeBalance]]</f>
        <v>4</v>
      </c>
      <c r="O992" t="str" cm="1">
        <f t="array" ref="O992">_xlfn.IFS(A992&lt;=30,"18-30",A992&lt;=40,"31-40",A992&lt;=50,"41-50",A992&gt;50,"51+")</f>
        <v>31-40</v>
      </c>
      <c r="P992" t="str" cm="1">
        <f t="array" ref="P992">_xlfn.IFS(F992&lt;=45,"45 or below",F992&lt;= 60,"46-60",F992&lt;=75,"61-75",F992&lt;=90,"76-90",F992&gt;90,"91 or above")</f>
        <v>61-75</v>
      </c>
      <c r="Q9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92" t="str" cm="1">
        <f t="array" ref="R9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93" spans="1:18" x14ac:dyDescent="0.2">
      <c r="A993">
        <f>Table1[[#This Row],[Age]]</f>
        <v>32</v>
      </c>
      <c r="B993">
        <f>IF(Table3[[#This Row],[Attrition]] = "Yes", 1,0)</f>
        <v>0</v>
      </c>
      <c r="C993" t="str">
        <f>Table1[[#This Row],[Attrition]]</f>
        <v>No</v>
      </c>
      <c r="D993" t="str">
        <f>Table1[[#This Row],[Department]]</f>
        <v>Sales</v>
      </c>
      <c r="E993">
        <f>Table1[[#This Row],[EnvironmentSatisfaction]]</f>
        <v>3</v>
      </c>
      <c r="F993">
        <f>Table1[[#This Row],[HourlyRate]]</f>
        <v>36</v>
      </c>
      <c r="G993" t="str">
        <f>Table1[[#This Row],[JobRole]]</f>
        <v>Sales Executive</v>
      </c>
      <c r="H993">
        <f>Table1[[#This Row],[JobSatisfaction]]</f>
        <v>2</v>
      </c>
      <c r="I993">
        <f>Table1[[#This Row],[YearsAtCompany]]</f>
        <v>3</v>
      </c>
      <c r="J993">
        <f>Table1[[#This Row],[YearsSinceLastPromotion]]</f>
        <v>1</v>
      </c>
      <c r="K993">
        <f>Table1[[#This Row],[EmployeeNumber]]</f>
        <v>1396</v>
      </c>
      <c r="L993">
        <f>Table1[[#This Row],[DistanceFromHome]]</f>
        <v>2</v>
      </c>
      <c r="M993" t="str">
        <f>Table1[[#This Row],[OverTime]]</f>
        <v>Yes</v>
      </c>
      <c r="N993">
        <f>Table1[[#This Row],[WorkLifeBalance]]</f>
        <v>2</v>
      </c>
      <c r="O993" t="str" cm="1">
        <f t="array" ref="O993">_xlfn.IFS(A993&lt;=30,"18-30",A993&lt;=40,"31-40",A993&lt;=50,"41-50",A993&gt;50,"51+")</f>
        <v>31-40</v>
      </c>
      <c r="P993" t="str" cm="1">
        <f t="array" ref="P993">_xlfn.IFS(F993&lt;=45,"45 or below",F993&lt;= 60,"46-60",F993&lt;=75,"61-75",F993&lt;=90,"76-90",F993&gt;90,"91 or above")</f>
        <v>45 or below</v>
      </c>
      <c r="Q9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993" t="str" cm="1">
        <f t="array" ref="R99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994" spans="1:18" x14ac:dyDescent="0.2">
      <c r="A994">
        <f>Table1[[#This Row],[Age]]</f>
        <v>39</v>
      </c>
      <c r="B994">
        <f>IF(Table3[[#This Row],[Attrition]] = "Yes", 1,0)</f>
        <v>0</v>
      </c>
      <c r="C994" t="str">
        <f>Table1[[#This Row],[Attrition]]</f>
        <v>No</v>
      </c>
      <c r="D994" t="str">
        <f>Table1[[#This Row],[Department]]</f>
        <v>Research &amp; Development</v>
      </c>
      <c r="E994">
        <f>Table1[[#This Row],[EnvironmentSatisfaction]]</f>
        <v>3</v>
      </c>
      <c r="F994">
        <f>Table1[[#This Row],[HourlyRate]]</f>
        <v>71</v>
      </c>
      <c r="G994" t="str">
        <f>Table1[[#This Row],[JobRole]]</f>
        <v>Healthcare Representative</v>
      </c>
      <c r="H994">
        <f>Table1[[#This Row],[JobSatisfaction]]</f>
        <v>3</v>
      </c>
      <c r="I994">
        <f>Table1[[#This Row],[YearsAtCompany]]</f>
        <v>6</v>
      </c>
      <c r="J994">
        <f>Table1[[#This Row],[YearsSinceLastPromotion]]</f>
        <v>0</v>
      </c>
      <c r="K994">
        <f>Table1[[#This Row],[EmployeeNumber]]</f>
        <v>1397</v>
      </c>
      <c r="L994">
        <f>Table1[[#This Row],[DistanceFromHome]]</f>
        <v>25</v>
      </c>
      <c r="M994" t="str">
        <f>Table1[[#This Row],[OverTime]]</f>
        <v>No</v>
      </c>
      <c r="N994">
        <f>Table1[[#This Row],[WorkLifeBalance]]</f>
        <v>3</v>
      </c>
      <c r="O994" t="str" cm="1">
        <f t="array" ref="O994">_xlfn.IFS(A994&lt;=30,"18-30",A994&lt;=40,"31-40",A994&lt;=50,"41-50",A994&gt;50,"51+")</f>
        <v>31-40</v>
      </c>
      <c r="P994" t="str" cm="1">
        <f t="array" ref="P994">_xlfn.IFS(F994&lt;=45,"45 or below",F994&lt;= 60,"46-60",F994&lt;=75,"61-75",F994&lt;=90,"76-90",F994&gt;90,"91 or above")</f>
        <v>61-75</v>
      </c>
      <c r="Q9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994" t="str" cm="1">
        <f t="array" ref="R99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95" spans="1:18" x14ac:dyDescent="0.2">
      <c r="A995">
        <f>Table1[[#This Row],[Age]]</f>
        <v>25</v>
      </c>
      <c r="B995">
        <f>IF(Table3[[#This Row],[Attrition]] = "Yes", 1,0)</f>
        <v>0</v>
      </c>
      <c r="C995" t="str">
        <f>Table1[[#This Row],[Attrition]]</f>
        <v>No</v>
      </c>
      <c r="D995" t="str">
        <f>Table1[[#This Row],[Department]]</f>
        <v>Sales</v>
      </c>
      <c r="E995">
        <f>Table1[[#This Row],[EnvironmentSatisfaction]]</f>
        <v>1</v>
      </c>
      <c r="F995">
        <f>Table1[[#This Row],[HourlyRate]]</f>
        <v>93</v>
      </c>
      <c r="G995" t="str">
        <f>Table1[[#This Row],[JobRole]]</f>
        <v>Sales Executive</v>
      </c>
      <c r="H995">
        <f>Table1[[#This Row],[JobSatisfaction]]</f>
        <v>3</v>
      </c>
      <c r="I995">
        <f>Table1[[#This Row],[YearsAtCompany]]</f>
        <v>3</v>
      </c>
      <c r="J995">
        <f>Table1[[#This Row],[YearsSinceLastPromotion]]</f>
        <v>1</v>
      </c>
      <c r="K995">
        <f>Table1[[#This Row],[EmployeeNumber]]</f>
        <v>1399</v>
      </c>
      <c r="L995">
        <f>Table1[[#This Row],[DistanceFromHome]]</f>
        <v>18</v>
      </c>
      <c r="M995" t="str">
        <f>Table1[[#This Row],[OverTime]]</f>
        <v>No</v>
      </c>
      <c r="N995">
        <f>Table1[[#This Row],[WorkLifeBalance]]</f>
        <v>2</v>
      </c>
      <c r="O995" t="str" cm="1">
        <f t="array" ref="O995">_xlfn.IFS(A995&lt;=30,"18-30",A995&lt;=40,"31-40",A995&lt;=50,"41-50",A995&gt;50,"51+")</f>
        <v>18-30</v>
      </c>
      <c r="P995" t="str" cm="1">
        <f t="array" ref="P995">_xlfn.IFS(F995&lt;=45,"45 or below",F995&lt;= 60,"46-60",F995&lt;=75,"61-75",F995&lt;=90,"76-90",F995&gt;90,"91 or above")</f>
        <v>91 or above</v>
      </c>
      <c r="Q9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995" t="str" cm="1">
        <f t="array" ref="R9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996" spans="1:18" x14ac:dyDescent="0.2">
      <c r="A996">
        <f>Table1[[#This Row],[Age]]</f>
        <v>52</v>
      </c>
      <c r="B996">
        <f>IF(Table3[[#This Row],[Attrition]] = "Yes", 1,0)</f>
        <v>0</v>
      </c>
      <c r="C996" t="str">
        <f>Table1[[#This Row],[Attrition]]</f>
        <v>No</v>
      </c>
      <c r="D996" t="str">
        <f>Table1[[#This Row],[Department]]</f>
        <v>Research &amp; Development</v>
      </c>
      <c r="E996">
        <f>Table1[[#This Row],[EnvironmentSatisfaction]]</f>
        <v>4</v>
      </c>
      <c r="F996">
        <f>Table1[[#This Row],[HourlyRate]]</f>
        <v>59</v>
      </c>
      <c r="G996" t="str">
        <f>Table1[[#This Row],[JobRole]]</f>
        <v>Manufacturing Director</v>
      </c>
      <c r="H996">
        <f>Table1[[#This Row],[JobSatisfaction]]</f>
        <v>3</v>
      </c>
      <c r="I996">
        <f>Table1[[#This Row],[YearsAtCompany]]</f>
        <v>5</v>
      </c>
      <c r="J996">
        <f>Table1[[#This Row],[YearsSinceLastPromotion]]</f>
        <v>0</v>
      </c>
      <c r="K996">
        <f>Table1[[#This Row],[EmployeeNumber]]</f>
        <v>1401</v>
      </c>
      <c r="L996">
        <f>Table1[[#This Row],[DistanceFromHome]]</f>
        <v>28</v>
      </c>
      <c r="M996" t="str">
        <f>Table1[[#This Row],[OverTime]]</f>
        <v>Yes</v>
      </c>
      <c r="N996">
        <f>Table1[[#This Row],[WorkLifeBalance]]</f>
        <v>2</v>
      </c>
      <c r="O996" t="str" cm="1">
        <f t="array" ref="O996">_xlfn.IFS(A996&lt;=30,"18-30",A996&lt;=40,"31-40",A996&lt;=50,"41-50",A996&gt;50,"51+")</f>
        <v>51+</v>
      </c>
      <c r="P996" t="str" cm="1">
        <f t="array" ref="P996">_xlfn.IFS(F996&lt;=45,"45 or below",F996&lt;= 60,"46-60",F996&lt;=75,"61-75",F996&lt;=90,"76-90",F996&gt;90,"91 or above")</f>
        <v>46-60</v>
      </c>
      <c r="Q9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96" t="str" cm="1">
        <f t="array" ref="R996" xml:space="preserve"> _xlfn.IFS(Table3[[#This Row],[Flight Risk Score]] = "NA","NA",Table3[[#This Row],[Flight Risk Score]] &gt;= 70,"High Risk",Table3[[#This Row],[Flight Risk Score]] &gt;= 50, "Medium Risk", Table3[[#This Row],[Flight Risk Score]] &gt;= 30,"Low Risk",Table3[[#This Row],[Flight Risk Score]] &lt; 30,"Very Low Risk")</f>
        <v>Low Risk</v>
      </c>
    </row>
    <row r="997" spans="1:18" x14ac:dyDescent="0.2">
      <c r="A997">
        <f>Table1[[#This Row],[Age]]</f>
        <v>43</v>
      </c>
      <c r="B997">
        <f>IF(Table3[[#This Row],[Attrition]] = "Yes", 1,0)</f>
        <v>0</v>
      </c>
      <c r="C997" t="str">
        <f>Table1[[#This Row],[Attrition]]</f>
        <v>No</v>
      </c>
      <c r="D997" t="str">
        <f>Table1[[#This Row],[Department]]</f>
        <v>Research &amp; Development</v>
      </c>
      <c r="E997">
        <f>Table1[[#This Row],[EnvironmentSatisfaction]]</f>
        <v>1</v>
      </c>
      <c r="F997">
        <f>Table1[[#This Row],[HourlyRate]]</f>
        <v>73</v>
      </c>
      <c r="G997" t="str">
        <f>Table1[[#This Row],[JobRole]]</f>
        <v>Research Scientist</v>
      </c>
      <c r="H997">
        <f>Table1[[#This Row],[JobSatisfaction]]</f>
        <v>3</v>
      </c>
      <c r="I997">
        <f>Table1[[#This Row],[YearsAtCompany]]</f>
        <v>20</v>
      </c>
      <c r="J997">
        <f>Table1[[#This Row],[YearsSinceLastPromotion]]</f>
        <v>1</v>
      </c>
      <c r="K997">
        <f>Table1[[#This Row],[EmployeeNumber]]</f>
        <v>1402</v>
      </c>
      <c r="L997">
        <f>Table1[[#This Row],[DistanceFromHome]]</f>
        <v>6</v>
      </c>
      <c r="M997" t="str">
        <f>Table1[[#This Row],[OverTime]]</f>
        <v>Yes</v>
      </c>
      <c r="N997">
        <f>Table1[[#This Row],[WorkLifeBalance]]</f>
        <v>1</v>
      </c>
      <c r="O997" t="str" cm="1">
        <f t="array" ref="O997">_xlfn.IFS(A997&lt;=30,"18-30",A997&lt;=40,"31-40",A997&lt;=50,"41-50",A997&gt;50,"51+")</f>
        <v>41-50</v>
      </c>
      <c r="P997" t="str" cm="1">
        <f t="array" ref="P997">_xlfn.IFS(F997&lt;=45,"45 or below",F997&lt;= 60,"46-60",F997&lt;=75,"61-75",F997&lt;=90,"76-90",F997&gt;90,"91 or above")</f>
        <v>61-75</v>
      </c>
      <c r="Q9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85</v>
      </c>
      <c r="R997" t="str" cm="1">
        <f t="array" ref="R997" xml:space="preserve"> _xlfn.IFS(Table3[[#This Row],[Flight Risk Score]] = "NA","NA",Table3[[#This Row],[Flight Risk Score]] &gt;= 70,"High Risk",Table3[[#This Row],[Flight Risk Score]] &gt;= 50, "Medium Risk", Table3[[#This Row],[Flight Risk Score]] &gt;= 30,"Low Risk",Table3[[#This Row],[Flight Risk Score]] &lt; 30,"Very Low Risk")</f>
        <v>High Risk</v>
      </c>
    </row>
    <row r="998" spans="1:18" x14ac:dyDescent="0.2">
      <c r="A998">
        <f>Table1[[#This Row],[Age]]</f>
        <v>27</v>
      </c>
      <c r="B998">
        <f>IF(Table3[[#This Row],[Attrition]] = "Yes", 1,0)</f>
        <v>0</v>
      </c>
      <c r="C998" t="str">
        <f>Table1[[#This Row],[Attrition]]</f>
        <v>No</v>
      </c>
      <c r="D998" t="str">
        <f>Table1[[#This Row],[Department]]</f>
        <v>Sales</v>
      </c>
      <c r="E998">
        <f>Table1[[#This Row],[EnvironmentSatisfaction]]</f>
        <v>4</v>
      </c>
      <c r="F998">
        <f>Table1[[#This Row],[HourlyRate]]</f>
        <v>98</v>
      </c>
      <c r="G998" t="str">
        <f>Table1[[#This Row],[JobRole]]</f>
        <v>Sales Executive</v>
      </c>
      <c r="H998">
        <f>Table1[[#This Row],[JobSatisfaction]]</f>
        <v>4</v>
      </c>
      <c r="I998">
        <f>Table1[[#This Row],[YearsAtCompany]]</f>
        <v>6</v>
      </c>
      <c r="J998">
        <f>Table1[[#This Row],[YearsSinceLastPromotion]]</f>
        <v>4</v>
      </c>
      <c r="K998">
        <f>Table1[[#This Row],[EmployeeNumber]]</f>
        <v>1403</v>
      </c>
      <c r="L998">
        <f>Table1[[#This Row],[DistanceFromHome]]</f>
        <v>10</v>
      </c>
      <c r="M998" t="str">
        <f>Table1[[#This Row],[OverTime]]</f>
        <v>Yes</v>
      </c>
      <c r="N998">
        <f>Table1[[#This Row],[WorkLifeBalance]]</f>
        <v>3</v>
      </c>
      <c r="O998" t="str" cm="1">
        <f t="array" ref="O998">_xlfn.IFS(A998&lt;=30,"18-30",A998&lt;=40,"31-40",A998&lt;=50,"41-50",A998&gt;50,"51+")</f>
        <v>18-30</v>
      </c>
      <c r="P998" t="str" cm="1">
        <f t="array" ref="P998">_xlfn.IFS(F998&lt;=45,"45 or below",F998&lt;= 60,"46-60",F998&lt;=75,"61-75",F998&lt;=90,"76-90",F998&gt;90,"91 or above")</f>
        <v>91 or above</v>
      </c>
      <c r="Q9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998" t="str" cm="1">
        <f t="array" ref="R998" xml:space="preserve"> _xlfn.IFS(Table3[[#This Row],[Flight Risk Score]] = "NA","NA",Table3[[#This Row],[Flight Risk Score]] &gt;= 70,"High Risk",Table3[[#This Row],[Flight Risk Score]] &gt;= 50, "Medium Risk", Table3[[#This Row],[Flight Risk Score]] &gt;= 30,"Low Risk",Table3[[#This Row],[Flight Risk Score]] &lt; 30,"Very Low Risk")</f>
        <v>Low Risk</v>
      </c>
    </row>
    <row r="999" spans="1:18" hidden="1" x14ac:dyDescent="0.2">
      <c r="A999">
        <f>Table1[[#This Row],[Age]]</f>
        <v>27</v>
      </c>
      <c r="B999">
        <f>IF(Table3[[#This Row],[Attrition]] = "Yes", 1,0)</f>
        <v>1</v>
      </c>
      <c r="C999" t="str">
        <f>Table1[[#This Row],[Attrition]]</f>
        <v>Yes</v>
      </c>
      <c r="D999" t="str">
        <f>Table1[[#This Row],[Department]]</f>
        <v>Research &amp; Development</v>
      </c>
      <c r="E999">
        <f>Table1[[#This Row],[EnvironmentSatisfaction]]</f>
        <v>4</v>
      </c>
      <c r="F999">
        <f>Table1[[#This Row],[HourlyRate]]</f>
        <v>51</v>
      </c>
      <c r="G999" t="str">
        <f>Table1[[#This Row],[JobRole]]</f>
        <v>Research Scientist</v>
      </c>
      <c r="H999">
        <f>Table1[[#This Row],[JobSatisfaction]]</f>
        <v>3</v>
      </c>
      <c r="I999">
        <f>Table1[[#This Row],[YearsAtCompany]]</f>
        <v>8</v>
      </c>
      <c r="J999">
        <f>Table1[[#This Row],[YearsSinceLastPromotion]]</f>
        <v>7</v>
      </c>
      <c r="K999">
        <f>Table1[[#This Row],[EmployeeNumber]]</f>
        <v>1405</v>
      </c>
      <c r="L999">
        <f>Table1[[#This Row],[DistanceFromHome]]</f>
        <v>17</v>
      </c>
      <c r="M999" t="str">
        <f>Table1[[#This Row],[OverTime]]</f>
        <v>Yes</v>
      </c>
      <c r="N999">
        <f>Table1[[#This Row],[WorkLifeBalance]]</f>
        <v>3</v>
      </c>
      <c r="O999" t="str" cm="1">
        <f t="array" ref="O999">_xlfn.IFS(A999&lt;=30,"18-30",A999&lt;=40,"31-40",A999&lt;=50,"41-50",A999&gt;50,"51+")</f>
        <v>18-30</v>
      </c>
      <c r="P999" t="str" cm="1">
        <f t="array" ref="P999">_xlfn.IFS(F999&lt;=45,"45 or below",F999&lt;= 60,"46-60",F999&lt;=75,"61-75",F999&lt;=90,"76-90",F999&gt;90,"91 or above")</f>
        <v>46-60</v>
      </c>
      <c r="Q99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999" t="str" cm="1">
        <f t="array" ref="R999" xml:space="preserve"> _xlfn.IFS(Table3[[#This Row],[Flight Risk Score]] = "NA","NA",Table3[[#This Row],[Flight Risk Score]] &gt;= 70,"High Risk",Table3[[#This Row],[Flight Risk Score]] &gt;= 50, "Medium Risk", Table3[[#This Row],[Flight Risk Score]] &gt;= 30,"Low Risk",Table3[[#This Row],[Flight Risk Score]] &lt; 30,"Very Low Risk")</f>
        <v>NA</v>
      </c>
    </row>
    <row r="1000" spans="1:18" x14ac:dyDescent="0.2">
      <c r="A1000">
        <f>Table1[[#This Row],[Age]]</f>
        <v>26</v>
      </c>
      <c r="B1000">
        <f>IF(Table3[[#This Row],[Attrition]] = "Yes", 1,0)</f>
        <v>0</v>
      </c>
      <c r="C1000" t="str">
        <f>Table1[[#This Row],[Attrition]]</f>
        <v>No</v>
      </c>
      <c r="D1000" t="str">
        <f>Table1[[#This Row],[Department]]</f>
        <v>Research &amp; Development</v>
      </c>
      <c r="E1000">
        <f>Table1[[#This Row],[EnvironmentSatisfaction]]</f>
        <v>1</v>
      </c>
      <c r="F1000">
        <f>Table1[[#This Row],[HourlyRate]]</f>
        <v>36</v>
      </c>
      <c r="G1000" t="str">
        <f>Table1[[#This Row],[JobRole]]</f>
        <v>Research Scientist</v>
      </c>
      <c r="H1000">
        <f>Table1[[#This Row],[JobSatisfaction]]</f>
        <v>4</v>
      </c>
      <c r="I1000">
        <f>Table1[[#This Row],[YearsAtCompany]]</f>
        <v>4</v>
      </c>
      <c r="J1000">
        <f>Table1[[#This Row],[YearsSinceLastPromotion]]</f>
        <v>1</v>
      </c>
      <c r="K1000">
        <f>Table1[[#This Row],[EmployeeNumber]]</f>
        <v>1407</v>
      </c>
      <c r="L1000">
        <f>Table1[[#This Row],[DistanceFromHome]]</f>
        <v>2</v>
      </c>
      <c r="M1000" t="str">
        <f>Table1[[#This Row],[OverTime]]</f>
        <v>No</v>
      </c>
      <c r="N1000">
        <f>Table1[[#This Row],[WorkLifeBalance]]</f>
        <v>3</v>
      </c>
      <c r="O1000" t="str" cm="1">
        <f t="array" ref="O1000">_xlfn.IFS(A1000&lt;=30,"18-30",A1000&lt;=40,"31-40",A1000&lt;=50,"41-50",A1000&gt;50,"51+")</f>
        <v>18-30</v>
      </c>
      <c r="P1000" t="str" cm="1">
        <f t="array" ref="P1000">_xlfn.IFS(F1000&lt;=45,"45 or below",F1000&lt;= 60,"46-60",F1000&lt;=75,"61-75",F1000&lt;=90,"76-90",F1000&gt;90,"91 or above")</f>
        <v>45 or below</v>
      </c>
      <c r="Q10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00" t="str" cm="1">
        <f t="array" ref="R10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1" spans="1:18" x14ac:dyDescent="0.2">
      <c r="A1001">
        <f>Table1[[#This Row],[Age]]</f>
        <v>42</v>
      </c>
      <c r="B1001">
        <f>IF(Table3[[#This Row],[Attrition]] = "Yes", 1,0)</f>
        <v>0</v>
      </c>
      <c r="C1001" t="str">
        <f>Table1[[#This Row],[Attrition]]</f>
        <v>No</v>
      </c>
      <c r="D1001" t="str">
        <f>Table1[[#This Row],[Department]]</f>
        <v>Human Resources</v>
      </c>
      <c r="E1001">
        <f>Table1[[#This Row],[EnvironmentSatisfaction]]</f>
        <v>3</v>
      </c>
      <c r="F1001">
        <f>Table1[[#This Row],[HourlyRate]]</f>
        <v>31</v>
      </c>
      <c r="G1001" t="str">
        <f>Table1[[#This Row],[JobRole]]</f>
        <v>Manager</v>
      </c>
      <c r="H1001">
        <f>Table1[[#This Row],[JobSatisfaction]]</f>
        <v>1</v>
      </c>
      <c r="I1001">
        <f>Table1[[#This Row],[YearsAtCompany]]</f>
        <v>20</v>
      </c>
      <c r="J1001">
        <f>Table1[[#This Row],[YearsSinceLastPromotion]]</f>
        <v>0</v>
      </c>
      <c r="K1001">
        <f>Table1[[#This Row],[EmployeeNumber]]</f>
        <v>1408</v>
      </c>
      <c r="L1001">
        <f>Table1[[#This Row],[DistanceFromHome]]</f>
        <v>10</v>
      </c>
      <c r="M1001" t="str">
        <f>Table1[[#This Row],[OverTime]]</f>
        <v>No</v>
      </c>
      <c r="N1001">
        <f>Table1[[#This Row],[WorkLifeBalance]]</f>
        <v>3</v>
      </c>
      <c r="O1001" t="str" cm="1">
        <f t="array" ref="O1001">_xlfn.IFS(A1001&lt;=30,"18-30",A1001&lt;=40,"31-40",A1001&lt;=50,"41-50",A1001&gt;50,"51+")</f>
        <v>41-50</v>
      </c>
      <c r="P1001" t="str" cm="1">
        <f t="array" ref="P1001">_xlfn.IFS(F1001&lt;=45,"45 or below",F1001&lt;= 60,"46-60",F1001&lt;=75,"61-75",F1001&lt;=90,"76-90",F1001&gt;90,"91 or above")</f>
        <v>45 or below</v>
      </c>
      <c r="Q10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01" t="str" cm="1">
        <f t="array" ref="R10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2" spans="1:18" x14ac:dyDescent="0.2">
      <c r="A1002">
        <f>Table1[[#This Row],[Age]]</f>
        <v>52</v>
      </c>
      <c r="B1002">
        <f>IF(Table3[[#This Row],[Attrition]] = "Yes", 1,0)</f>
        <v>0</v>
      </c>
      <c r="C1002" t="str">
        <f>Table1[[#This Row],[Attrition]]</f>
        <v>No</v>
      </c>
      <c r="D1002" t="str">
        <f>Table1[[#This Row],[Department]]</f>
        <v>Research &amp; Development</v>
      </c>
      <c r="E1002">
        <f>Table1[[#This Row],[EnvironmentSatisfaction]]</f>
        <v>3</v>
      </c>
      <c r="F1002">
        <f>Table1[[#This Row],[HourlyRate]]</f>
        <v>54</v>
      </c>
      <c r="G1002" t="str">
        <f>Table1[[#This Row],[JobRole]]</f>
        <v>Laboratory Technician</v>
      </c>
      <c r="H1002">
        <f>Table1[[#This Row],[JobSatisfaction]]</f>
        <v>1</v>
      </c>
      <c r="I1002">
        <f>Table1[[#This Row],[YearsAtCompany]]</f>
        <v>5</v>
      </c>
      <c r="J1002">
        <f>Table1[[#This Row],[YearsSinceLastPromotion]]</f>
        <v>0</v>
      </c>
      <c r="K1002">
        <f>Table1[[#This Row],[EmployeeNumber]]</f>
        <v>1409</v>
      </c>
      <c r="L1002">
        <f>Table1[[#This Row],[DistanceFromHome]]</f>
        <v>8</v>
      </c>
      <c r="M1002" t="str">
        <f>Table1[[#This Row],[OverTime]]</f>
        <v>No</v>
      </c>
      <c r="N1002">
        <f>Table1[[#This Row],[WorkLifeBalance]]</f>
        <v>1</v>
      </c>
      <c r="O1002" t="str" cm="1">
        <f t="array" ref="O1002">_xlfn.IFS(A1002&lt;=30,"18-30",A1002&lt;=40,"31-40",A1002&lt;=50,"41-50",A1002&gt;50,"51+")</f>
        <v>51+</v>
      </c>
      <c r="P1002" t="str" cm="1">
        <f t="array" ref="P1002">_xlfn.IFS(F1002&lt;=45,"45 or below",F1002&lt;= 60,"46-60",F1002&lt;=75,"61-75",F1002&lt;=90,"76-90",F1002&gt;90,"91 or above")</f>
        <v>46-60</v>
      </c>
      <c r="Q10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02" t="str" cm="1">
        <f t="array" ref="R100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03" spans="1:18" x14ac:dyDescent="0.2">
      <c r="A1003">
        <f>Table1[[#This Row],[Age]]</f>
        <v>37</v>
      </c>
      <c r="B1003">
        <f>IF(Table3[[#This Row],[Attrition]] = "Yes", 1,0)</f>
        <v>0</v>
      </c>
      <c r="C1003" t="str">
        <f>Table1[[#This Row],[Attrition]]</f>
        <v>No</v>
      </c>
      <c r="D1003" t="str">
        <f>Table1[[#This Row],[Department]]</f>
        <v>Research &amp; Development</v>
      </c>
      <c r="E1003">
        <f>Table1[[#This Row],[EnvironmentSatisfaction]]</f>
        <v>1</v>
      </c>
      <c r="F1003">
        <f>Table1[[#This Row],[HourlyRate]]</f>
        <v>94</v>
      </c>
      <c r="G1003" t="str">
        <f>Table1[[#This Row],[JobRole]]</f>
        <v>Laboratory Technician</v>
      </c>
      <c r="H1003">
        <f>Table1[[#This Row],[JobSatisfaction]]</f>
        <v>3</v>
      </c>
      <c r="I1003">
        <f>Table1[[#This Row],[YearsAtCompany]]</f>
        <v>3</v>
      </c>
      <c r="J1003">
        <f>Table1[[#This Row],[YearsSinceLastPromotion]]</f>
        <v>0</v>
      </c>
      <c r="K1003">
        <f>Table1[[#This Row],[EmployeeNumber]]</f>
        <v>1411</v>
      </c>
      <c r="L1003">
        <f>Table1[[#This Row],[DistanceFromHome]]</f>
        <v>11</v>
      </c>
      <c r="M1003" t="str">
        <f>Table1[[#This Row],[OverTime]]</f>
        <v>No</v>
      </c>
      <c r="N1003">
        <f>Table1[[#This Row],[WorkLifeBalance]]</f>
        <v>3</v>
      </c>
      <c r="O1003" t="str" cm="1">
        <f t="array" ref="O1003">_xlfn.IFS(A1003&lt;=30,"18-30",A1003&lt;=40,"31-40",A1003&lt;=50,"41-50",A1003&gt;50,"51+")</f>
        <v>31-40</v>
      </c>
      <c r="P1003" t="str" cm="1">
        <f t="array" ref="P1003">_xlfn.IFS(F1003&lt;=45,"45 or below",F1003&lt;= 60,"46-60",F1003&lt;=75,"61-75",F1003&lt;=90,"76-90",F1003&gt;90,"91 or above")</f>
        <v>91 or above</v>
      </c>
      <c r="Q10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03" t="str" cm="1">
        <f t="array" ref="R10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4" spans="1:18" x14ac:dyDescent="0.2">
      <c r="A1004">
        <f>Table1[[#This Row],[Age]]</f>
        <v>35</v>
      </c>
      <c r="B1004">
        <f>IF(Table3[[#This Row],[Attrition]] = "Yes", 1,0)</f>
        <v>0</v>
      </c>
      <c r="C1004" t="str">
        <f>Table1[[#This Row],[Attrition]]</f>
        <v>No</v>
      </c>
      <c r="D1004" t="str">
        <f>Table1[[#This Row],[Department]]</f>
        <v>Research &amp; Development</v>
      </c>
      <c r="E1004">
        <f>Table1[[#This Row],[EnvironmentSatisfaction]]</f>
        <v>3</v>
      </c>
      <c r="F1004">
        <f>Table1[[#This Row],[HourlyRate]]</f>
        <v>60</v>
      </c>
      <c r="G1004" t="str">
        <f>Table1[[#This Row],[JobRole]]</f>
        <v>Manufacturing Director</v>
      </c>
      <c r="H1004">
        <f>Table1[[#This Row],[JobSatisfaction]]</f>
        <v>4</v>
      </c>
      <c r="I1004">
        <f>Table1[[#This Row],[YearsAtCompany]]</f>
        <v>2</v>
      </c>
      <c r="J1004">
        <f>Table1[[#This Row],[YearsSinceLastPromotion]]</f>
        <v>2</v>
      </c>
      <c r="K1004">
        <f>Table1[[#This Row],[EmployeeNumber]]</f>
        <v>1412</v>
      </c>
      <c r="L1004">
        <f>Table1[[#This Row],[DistanceFromHome]]</f>
        <v>18</v>
      </c>
      <c r="M1004" t="str">
        <f>Table1[[#This Row],[OverTime]]</f>
        <v>No</v>
      </c>
      <c r="N1004">
        <f>Table1[[#This Row],[WorkLifeBalance]]</f>
        <v>3</v>
      </c>
      <c r="O1004" t="str" cm="1">
        <f t="array" ref="O1004">_xlfn.IFS(A1004&lt;=30,"18-30",A1004&lt;=40,"31-40",A1004&lt;=50,"41-50",A1004&gt;50,"51+")</f>
        <v>31-40</v>
      </c>
      <c r="P1004" t="str" cm="1">
        <f t="array" ref="P1004">_xlfn.IFS(F1004&lt;=45,"45 or below",F1004&lt;= 60,"46-60",F1004&lt;=75,"61-75",F1004&lt;=90,"76-90",F1004&gt;90,"91 or above")</f>
        <v>46-60</v>
      </c>
      <c r="Q10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04" t="str" cm="1">
        <f t="array" ref="R10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5" spans="1:18" x14ac:dyDescent="0.2">
      <c r="A1005">
        <f>Table1[[#This Row],[Age]]</f>
        <v>25</v>
      </c>
      <c r="B1005">
        <f>IF(Table3[[#This Row],[Attrition]] = "Yes", 1,0)</f>
        <v>0</v>
      </c>
      <c r="C1005" t="str">
        <f>Table1[[#This Row],[Attrition]]</f>
        <v>No</v>
      </c>
      <c r="D1005" t="str">
        <f>Table1[[#This Row],[Department]]</f>
        <v>Research &amp; Development</v>
      </c>
      <c r="E1005">
        <f>Table1[[#This Row],[EnvironmentSatisfaction]]</f>
        <v>1</v>
      </c>
      <c r="F1005">
        <f>Table1[[#This Row],[HourlyRate]]</f>
        <v>81</v>
      </c>
      <c r="G1005" t="str">
        <f>Table1[[#This Row],[JobRole]]</f>
        <v>Laboratory Technician</v>
      </c>
      <c r="H1005">
        <f>Table1[[#This Row],[JobSatisfaction]]</f>
        <v>4</v>
      </c>
      <c r="I1005">
        <f>Table1[[#This Row],[YearsAtCompany]]</f>
        <v>3</v>
      </c>
      <c r="J1005">
        <f>Table1[[#This Row],[YearsSinceLastPromotion]]</f>
        <v>0</v>
      </c>
      <c r="K1005">
        <f>Table1[[#This Row],[EmployeeNumber]]</f>
        <v>1415</v>
      </c>
      <c r="L1005">
        <f>Table1[[#This Row],[DistanceFromHome]]</f>
        <v>1</v>
      </c>
      <c r="M1005" t="str">
        <f>Table1[[#This Row],[OverTime]]</f>
        <v>No</v>
      </c>
      <c r="N1005">
        <f>Table1[[#This Row],[WorkLifeBalance]]</f>
        <v>2</v>
      </c>
      <c r="O1005" t="str" cm="1">
        <f t="array" ref="O1005">_xlfn.IFS(A1005&lt;=30,"18-30",A1005&lt;=40,"31-40",A1005&lt;=50,"41-50",A1005&gt;50,"51+")</f>
        <v>18-30</v>
      </c>
      <c r="P1005" t="str" cm="1">
        <f t="array" ref="P1005">_xlfn.IFS(F1005&lt;=45,"45 or below",F1005&lt;= 60,"46-60",F1005&lt;=75,"61-75",F1005&lt;=90,"76-90",F1005&gt;90,"91 or above")</f>
        <v>76-90</v>
      </c>
      <c r="Q10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05" t="str" cm="1">
        <f t="array" ref="R10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6" spans="1:18" x14ac:dyDescent="0.2">
      <c r="A1006">
        <f>Table1[[#This Row],[Age]]</f>
        <v>26</v>
      </c>
      <c r="B1006">
        <f>IF(Table3[[#This Row],[Attrition]] = "Yes", 1,0)</f>
        <v>0</v>
      </c>
      <c r="C1006" t="str">
        <f>Table1[[#This Row],[Attrition]]</f>
        <v>No</v>
      </c>
      <c r="D1006" t="str">
        <f>Table1[[#This Row],[Department]]</f>
        <v>Research &amp; Development</v>
      </c>
      <c r="E1006">
        <f>Table1[[#This Row],[EnvironmentSatisfaction]]</f>
        <v>3</v>
      </c>
      <c r="F1006">
        <f>Table1[[#This Row],[HourlyRate]]</f>
        <v>100</v>
      </c>
      <c r="G1006" t="str">
        <f>Table1[[#This Row],[JobRole]]</f>
        <v>Laboratory Technician</v>
      </c>
      <c r="H1006">
        <f>Table1[[#This Row],[JobSatisfaction]]</f>
        <v>1</v>
      </c>
      <c r="I1006">
        <f>Table1[[#This Row],[YearsAtCompany]]</f>
        <v>7</v>
      </c>
      <c r="J1006">
        <f>Table1[[#This Row],[YearsSinceLastPromotion]]</f>
        <v>0</v>
      </c>
      <c r="K1006">
        <f>Table1[[#This Row],[EmployeeNumber]]</f>
        <v>1417</v>
      </c>
      <c r="L1006">
        <f>Table1[[#This Row],[DistanceFromHome]]</f>
        <v>7</v>
      </c>
      <c r="M1006" t="str">
        <f>Table1[[#This Row],[OverTime]]</f>
        <v>No</v>
      </c>
      <c r="N1006">
        <f>Table1[[#This Row],[WorkLifeBalance]]</f>
        <v>3</v>
      </c>
      <c r="O1006" t="str" cm="1">
        <f t="array" ref="O1006">_xlfn.IFS(A1006&lt;=30,"18-30",A1006&lt;=40,"31-40",A1006&lt;=50,"41-50",A1006&gt;50,"51+")</f>
        <v>18-30</v>
      </c>
      <c r="P1006" t="str" cm="1">
        <f t="array" ref="P1006">_xlfn.IFS(F1006&lt;=45,"45 or below",F1006&lt;= 60,"46-60",F1006&lt;=75,"61-75",F1006&lt;=90,"76-90",F1006&gt;90,"91 or above")</f>
        <v>91 or above</v>
      </c>
      <c r="Q10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06" t="str" cm="1">
        <f t="array" ref="R10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07" spans="1:18" x14ac:dyDescent="0.2">
      <c r="A1007">
        <f>Table1[[#This Row],[Age]]</f>
        <v>29</v>
      </c>
      <c r="B1007">
        <f>IF(Table3[[#This Row],[Attrition]] = "Yes", 1,0)</f>
        <v>0</v>
      </c>
      <c r="C1007" t="str">
        <f>Table1[[#This Row],[Attrition]]</f>
        <v>No</v>
      </c>
      <c r="D1007" t="str">
        <f>Table1[[#This Row],[Department]]</f>
        <v>Human Resources</v>
      </c>
      <c r="E1007">
        <f>Table1[[#This Row],[EnvironmentSatisfaction]]</f>
        <v>2</v>
      </c>
      <c r="F1007">
        <f>Table1[[#This Row],[HourlyRate]]</f>
        <v>51</v>
      </c>
      <c r="G1007" t="str">
        <f>Table1[[#This Row],[JobRole]]</f>
        <v>Human Resources</v>
      </c>
      <c r="H1007">
        <f>Table1[[#This Row],[JobSatisfaction]]</f>
        <v>1</v>
      </c>
      <c r="I1007">
        <f>Table1[[#This Row],[YearsAtCompany]]</f>
        <v>10</v>
      </c>
      <c r="J1007">
        <f>Table1[[#This Row],[YearsSinceLastPromotion]]</f>
        <v>0</v>
      </c>
      <c r="K1007">
        <f>Table1[[#This Row],[EmployeeNumber]]</f>
        <v>1419</v>
      </c>
      <c r="L1007">
        <f>Table1[[#This Row],[DistanceFromHome]]</f>
        <v>17</v>
      </c>
      <c r="M1007" t="str">
        <f>Table1[[#This Row],[OverTime]]</f>
        <v>No</v>
      </c>
      <c r="N1007">
        <f>Table1[[#This Row],[WorkLifeBalance]]</f>
        <v>2</v>
      </c>
      <c r="O1007" t="str" cm="1">
        <f t="array" ref="O1007">_xlfn.IFS(A1007&lt;=30,"18-30",A1007&lt;=40,"31-40",A1007&lt;=50,"41-50",A1007&gt;50,"51+")</f>
        <v>18-30</v>
      </c>
      <c r="P1007" t="str" cm="1">
        <f t="array" ref="P1007">_xlfn.IFS(F1007&lt;=45,"45 or below",F1007&lt;= 60,"46-60",F1007&lt;=75,"61-75",F1007&lt;=90,"76-90",F1007&gt;90,"91 or above")</f>
        <v>46-60</v>
      </c>
      <c r="Q10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07" t="str" cm="1">
        <f t="array" ref="R100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08" spans="1:18" hidden="1" x14ac:dyDescent="0.2">
      <c r="A1008">
        <f>Table1[[#This Row],[Age]]</f>
        <v>49</v>
      </c>
      <c r="B1008">
        <f>IF(Table3[[#This Row],[Attrition]] = "Yes", 1,0)</f>
        <v>1</v>
      </c>
      <c r="C1008" t="str">
        <f>Table1[[#This Row],[Attrition]]</f>
        <v>Yes</v>
      </c>
      <c r="D1008" t="str">
        <f>Table1[[#This Row],[Department]]</f>
        <v>Research &amp; Development</v>
      </c>
      <c r="E1008">
        <f>Table1[[#This Row],[EnvironmentSatisfaction]]</f>
        <v>1</v>
      </c>
      <c r="F1008">
        <f>Table1[[#This Row],[HourlyRate]]</f>
        <v>97</v>
      </c>
      <c r="G1008" t="str">
        <f>Table1[[#This Row],[JobRole]]</f>
        <v>Laboratory Technician</v>
      </c>
      <c r="H1008">
        <f>Table1[[#This Row],[JobSatisfaction]]</f>
        <v>1</v>
      </c>
      <c r="I1008">
        <f>Table1[[#This Row],[YearsAtCompany]]</f>
        <v>4</v>
      </c>
      <c r="J1008">
        <f>Table1[[#This Row],[YearsSinceLastPromotion]]</f>
        <v>1</v>
      </c>
      <c r="K1008">
        <f>Table1[[#This Row],[EmployeeNumber]]</f>
        <v>1420</v>
      </c>
      <c r="L1008">
        <f>Table1[[#This Row],[DistanceFromHome]]</f>
        <v>28</v>
      </c>
      <c r="M1008" t="str">
        <f>Table1[[#This Row],[OverTime]]</f>
        <v>No</v>
      </c>
      <c r="N1008">
        <f>Table1[[#This Row],[WorkLifeBalance]]</f>
        <v>3</v>
      </c>
      <c r="O1008" t="str" cm="1">
        <f t="array" ref="O1008">_xlfn.IFS(A1008&lt;=30,"18-30",A1008&lt;=40,"31-40",A1008&lt;=50,"41-50",A1008&gt;50,"51+")</f>
        <v>41-50</v>
      </c>
      <c r="P1008" t="str" cm="1">
        <f t="array" ref="P1008">_xlfn.IFS(F1008&lt;=45,"45 or below",F1008&lt;= 60,"46-60",F1008&lt;=75,"61-75",F1008&lt;=90,"76-90",F1008&gt;90,"91 or above")</f>
        <v>91 or above</v>
      </c>
      <c r="Q100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08" t="str" cm="1">
        <f t="array" ref="R1008" xml:space="preserve"> _xlfn.IFS(Table3[[#This Row],[Flight Risk Score]] = "NA","NA",Table3[[#This Row],[Flight Risk Score]] &gt;= 70,"High Risk",Table3[[#This Row],[Flight Risk Score]] &gt;= 50, "Medium Risk", Table3[[#This Row],[Flight Risk Score]] &gt;= 30,"Low Risk",Table3[[#This Row],[Flight Risk Score]] &lt; 30,"Very Low Risk")</f>
        <v>NA</v>
      </c>
    </row>
    <row r="1009" spans="1:18" hidden="1" x14ac:dyDescent="0.2">
      <c r="A1009">
        <f>Table1[[#This Row],[Age]]</f>
        <v>29</v>
      </c>
      <c r="B1009">
        <f>IF(Table3[[#This Row],[Attrition]] = "Yes", 1,0)</f>
        <v>1</v>
      </c>
      <c r="C1009" t="str">
        <f>Table1[[#This Row],[Attrition]]</f>
        <v>Yes</v>
      </c>
      <c r="D1009" t="str">
        <f>Table1[[#This Row],[Department]]</f>
        <v>Research &amp; Development</v>
      </c>
      <c r="E1009">
        <f>Table1[[#This Row],[EnvironmentSatisfaction]]</f>
        <v>3</v>
      </c>
      <c r="F1009">
        <f>Table1[[#This Row],[HourlyRate]]</f>
        <v>84</v>
      </c>
      <c r="G1009" t="str">
        <f>Table1[[#This Row],[JobRole]]</f>
        <v>Healthcare Representative</v>
      </c>
      <c r="H1009">
        <f>Table1[[#This Row],[JobSatisfaction]]</f>
        <v>4</v>
      </c>
      <c r="I1009">
        <f>Table1[[#This Row],[YearsAtCompany]]</f>
        <v>8</v>
      </c>
      <c r="J1009">
        <f>Table1[[#This Row],[YearsSinceLastPromotion]]</f>
        <v>7</v>
      </c>
      <c r="K1009">
        <f>Table1[[#This Row],[EmployeeNumber]]</f>
        <v>1421</v>
      </c>
      <c r="L1009">
        <f>Table1[[#This Row],[DistanceFromHome]]</f>
        <v>14</v>
      </c>
      <c r="M1009" t="str">
        <f>Table1[[#This Row],[OverTime]]</f>
        <v>Yes</v>
      </c>
      <c r="N1009">
        <f>Table1[[#This Row],[WorkLifeBalance]]</f>
        <v>3</v>
      </c>
      <c r="O1009" t="str" cm="1">
        <f t="array" ref="O1009">_xlfn.IFS(A1009&lt;=30,"18-30",A1009&lt;=40,"31-40",A1009&lt;=50,"41-50",A1009&gt;50,"51+")</f>
        <v>18-30</v>
      </c>
      <c r="P1009" t="str" cm="1">
        <f t="array" ref="P1009">_xlfn.IFS(F1009&lt;=45,"45 or below",F1009&lt;= 60,"46-60",F1009&lt;=75,"61-75",F1009&lt;=90,"76-90",F1009&gt;90,"91 or above")</f>
        <v>76-90</v>
      </c>
      <c r="Q100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09" t="str" cm="1">
        <f t="array" ref="R1009" xml:space="preserve"> _xlfn.IFS(Table3[[#This Row],[Flight Risk Score]] = "NA","NA",Table3[[#This Row],[Flight Risk Score]] &gt;= 70,"High Risk",Table3[[#This Row],[Flight Risk Score]] &gt;= 50, "Medium Risk", Table3[[#This Row],[Flight Risk Score]] &gt;= 30,"Low Risk",Table3[[#This Row],[Flight Risk Score]] &lt; 30,"Very Low Risk")</f>
        <v>NA</v>
      </c>
    </row>
    <row r="1010" spans="1:18" x14ac:dyDescent="0.2">
      <c r="A1010">
        <f>Table1[[#This Row],[Age]]</f>
        <v>54</v>
      </c>
      <c r="B1010">
        <f>IF(Table3[[#This Row],[Attrition]] = "Yes", 1,0)</f>
        <v>0</v>
      </c>
      <c r="C1010" t="str">
        <f>Table1[[#This Row],[Attrition]]</f>
        <v>No</v>
      </c>
      <c r="D1010" t="str">
        <f>Table1[[#This Row],[Department]]</f>
        <v>Research &amp; Development</v>
      </c>
      <c r="E1010">
        <f>Table1[[#This Row],[EnvironmentSatisfaction]]</f>
        <v>4</v>
      </c>
      <c r="F1010">
        <f>Table1[[#This Row],[HourlyRate]]</f>
        <v>54</v>
      </c>
      <c r="G1010" t="str">
        <f>Table1[[#This Row],[JobRole]]</f>
        <v>Research Director</v>
      </c>
      <c r="H1010">
        <f>Table1[[#This Row],[JobSatisfaction]]</f>
        <v>4</v>
      </c>
      <c r="I1010">
        <f>Table1[[#This Row],[YearsAtCompany]]</f>
        <v>20</v>
      </c>
      <c r="J1010">
        <f>Table1[[#This Row],[YearsSinceLastPromotion]]</f>
        <v>12</v>
      </c>
      <c r="K1010">
        <f>Table1[[#This Row],[EmployeeNumber]]</f>
        <v>1422</v>
      </c>
      <c r="L1010">
        <f>Table1[[#This Row],[DistanceFromHome]]</f>
        <v>1</v>
      </c>
      <c r="M1010" t="str">
        <f>Table1[[#This Row],[OverTime]]</f>
        <v>No</v>
      </c>
      <c r="N1010">
        <f>Table1[[#This Row],[WorkLifeBalance]]</f>
        <v>2</v>
      </c>
      <c r="O1010" t="str" cm="1">
        <f t="array" ref="O1010">_xlfn.IFS(A1010&lt;=30,"18-30",A1010&lt;=40,"31-40",A1010&lt;=50,"41-50",A1010&gt;50,"51+")</f>
        <v>51+</v>
      </c>
      <c r="P1010" t="str" cm="1">
        <f t="array" ref="P1010">_xlfn.IFS(F1010&lt;=45,"45 or below",F1010&lt;= 60,"46-60",F1010&lt;=75,"61-75",F1010&lt;=90,"76-90",F1010&gt;90,"91 or above")</f>
        <v>46-60</v>
      </c>
      <c r="Q10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10" t="str" cm="1">
        <f t="array" ref="R10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11" spans="1:18" x14ac:dyDescent="0.2">
      <c r="A1011">
        <f>Table1[[#This Row],[Age]]</f>
        <v>58</v>
      </c>
      <c r="B1011">
        <f>IF(Table3[[#This Row],[Attrition]] = "Yes", 1,0)</f>
        <v>0</v>
      </c>
      <c r="C1011" t="str">
        <f>Table1[[#This Row],[Attrition]]</f>
        <v>No</v>
      </c>
      <c r="D1011" t="str">
        <f>Table1[[#This Row],[Department]]</f>
        <v>Research &amp; Development</v>
      </c>
      <c r="E1011">
        <f>Table1[[#This Row],[EnvironmentSatisfaction]]</f>
        <v>4</v>
      </c>
      <c r="F1011">
        <f>Table1[[#This Row],[HourlyRate]]</f>
        <v>76</v>
      </c>
      <c r="G1011" t="str">
        <f>Table1[[#This Row],[JobRole]]</f>
        <v>Research Director</v>
      </c>
      <c r="H1011">
        <f>Table1[[#This Row],[JobSatisfaction]]</f>
        <v>1</v>
      </c>
      <c r="I1011">
        <f>Table1[[#This Row],[YearsAtCompany]]</f>
        <v>9</v>
      </c>
      <c r="J1011">
        <f>Table1[[#This Row],[YearsSinceLastPromotion]]</f>
        <v>1</v>
      </c>
      <c r="K1011">
        <f>Table1[[#This Row],[EmployeeNumber]]</f>
        <v>1423</v>
      </c>
      <c r="L1011">
        <f>Table1[[#This Row],[DistanceFromHome]]</f>
        <v>1</v>
      </c>
      <c r="M1011" t="str">
        <f>Table1[[#This Row],[OverTime]]</f>
        <v>Yes</v>
      </c>
      <c r="N1011">
        <f>Table1[[#This Row],[WorkLifeBalance]]</f>
        <v>3</v>
      </c>
      <c r="O1011" t="str" cm="1">
        <f t="array" ref="O1011">_xlfn.IFS(A1011&lt;=30,"18-30",A1011&lt;=40,"31-40",A1011&lt;=50,"41-50",A1011&gt;50,"51+")</f>
        <v>51+</v>
      </c>
      <c r="P1011" t="str" cm="1">
        <f t="array" ref="P1011">_xlfn.IFS(F1011&lt;=45,"45 or below",F1011&lt;= 60,"46-60",F1011&lt;=75,"61-75",F1011&lt;=90,"76-90",F1011&gt;90,"91 or above")</f>
        <v>76-90</v>
      </c>
      <c r="Q10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11" t="str" cm="1">
        <f t="array" ref="R101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12" spans="1:18" x14ac:dyDescent="0.2">
      <c r="A1012">
        <f>Table1[[#This Row],[Age]]</f>
        <v>55</v>
      </c>
      <c r="B1012">
        <f>IF(Table3[[#This Row],[Attrition]] = "Yes", 1,0)</f>
        <v>0</v>
      </c>
      <c r="C1012" t="str">
        <f>Table1[[#This Row],[Attrition]]</f>
        <v>No</v>
      </c>
      <c r="D1012" t="str">
        <f>Table1[[#This Row],[Department]]</f>
        <v>Research &amp; Development</v>
      </c>
      <c r="E1012">
        <f>Table1[[#This Row],[EnvironmentSatisfaction]]</f>
        <v>2</v>
      </c>
      <c r="F1012">
        <f>Table1[[#This Row],[HourlyRate]]</f>
        <v>81</v>
      </c>
      <c r="G1012" t="str">
        <f>Table1[[#This Row],[JobRole]]</f>
        <v>Research Director</v>
      </c>
      <c r="H1012">
        <f>Table1[[#This Row],[JobSatisfaction]]</f>
        <v>4</v>
      </c>
      <c r="I1012">
        <f>Table1[[#This Row],[YearsAtCompany]]</f>
        <v>7</v>
      </c>
      <c r="J1012">
        <f>Table1[[#This Row],[YearsSinceLastPromotion]]</f>
        <v>0</v>
      </c>
      <c r="K1012">
        <f>Table1[[#This Row],[EmployeeNumber]]</f>
        <v>1424</v>
      </c>
      <c r="L1012">
        <f>Table1[[#This Row],[DistanceFromHome]]</f>
        <v>1</v>
      </c>
      <c r="M1012" t="str">
        <f>Table1[[#This Row],[OverTime]]</f>
        <v>No</v>
      </c>
      <c r="N1012">
        <f>Table1[[#This Row],[WorkLifeBalance]]</f>
        <v>4</v>
      </c>
      <c r="O1012" t="str" cm="1">
        <f t="array" ref="O1012">_xlfn.IFS(A1012&lt;=30,"18-30",A1012&lt;=40,"31-40",A1012&lt;=50,"41-50",A1012&gt;50,"51+")</f>
        <v>51+</v>
      </c>
      <c r="P1012" t="str" cm="1">
        <f t="array" ref="P1012">_xlfn.IFS(F1012&lt;=45,"45 or below",F1012&lt;= 60,"46-60",F1012&lt;=75,"61-75",F1012&lt;=90,"76-90",F1012&gt;90,"91 or above")</f>
        <v>76-90</v>
      </c>
      <c r="Q10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12" t="str" cm="1">
        <f t="array" ref="R101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13" spans="1:18" x14ac:dyDescent="0.2">
      <c r="A1013">
        <f>Table1[[#This Row],[Age]]</f>
        <v>36</v>
      </c>
      <c r="B1013">
        <f>IF(Table3[[#This Row],[Attrition]] = "Yes", 1,0)</f>
        <v>0</v>
      </c>
      <c r="C1013" t="str">
        <f>Table1[[#This Row],[Attrition]]</f>
        <v>No</v>
      </c>
      <c r="D1013" t="str">
        <f>Table1[[#This Row],[Department]]</f>
        <v>Sales</v>
      </c>
      <c r="E1013">
        <f>Table1[[#This Row],[EnvironmentSatisfaction]]</f>
        <v>1</v>
      </c>
      <c r="F1013">
        <f>Table1[[#This Row],[HourlyRate]]</f>
        <v>99</v>
      </c>
      <c r="G1013" t="str">
        <f>Table1[[#This Row],[JobRole]]</f>
        <v>Sales Executive</v>
      </c>
      <c r="H1013">
        <f>Table1[[#This Row],[JobSatisfaction]]</f>
        <v>2</v>
      </c>
      <c r="I1013">
        <f>Table1[[#This Row],[YearsAtCompany]]</f>
        <v>5</v>
      </c>
      <c r="J1013">
        <f>Table1[[#This Row],[YearsSinceLastPromotion]]</f>
        <v>0</v>
      </c>
      <c r="K1013">
        <f>Table1[[#This Row],[EmployeeNumber]]</f>
        <v>1425</v>
      </c>
      <c r="L1013">
        <f>Table1[[#This Row],[DistanceFromHome]]</f>
        <v>3</v>
      </c>
      <c r="M1013" t="str">
        <f>Table1[[#This Row],[OverTime]]</f>
        <v>Yes</v>
      </c>
      <c r="N1013">
        <f>Table1[[#This Row],[WorkLifeBalance]]</f>
        <v>3</v>
      </c>
      <c r="O1013" t="str" cm="1">
        <f t="array" ref="O1013">_xlfn.IFS(A1013&lt;=30,"18-30",A1013&lt;=40,"31-40",A1013&lt;=50,"41-50",A1013&gt;50,"51+")</f>
        <v>31-40</v>
      </c>
      <c r="P1013" t="str" cm="1">
        <f t="array" ref="P1013">_xlfn.IFS(F1013&lt;=45,"45 or below",F1013&lt;= 60,"46-60",F1013&lt;=75,"61-75",F1013&lt;=90,"76-90",F1013&gt;90,"91 or above")</f>
        <v>91 or above</v>
      </c>
      <c r="Q10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013" t="str" cm="1">
        <f t="array" ref="R101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14" spans="1:18" hidden="1" x14ac:dyDescent="0.2">
      <c r="A1014">
        <f>Table1[[#This Row],[Age]]</f>
        <v>31</v>
      </c>
      <c r="B1014">
        <f>IF(Table3[[#This Row],[Attrition]] = "Yes", 1,0)</f>
        <v>1</v>
      </c>
      <c r="C1014" t="str">
        <f>Table1[[#This Row],[Attrition]]</f>
        <v>Yes</v>
      </c>
      <c r="D1014" t="str">
        <f>Table1[[#This Row],[Department]]</f>
        <v>Sales</v>
      </c>
      <c r="E1014">
        <f>Table1[[#This Row],[EnvironmentSatisfaction]]</f>
        <v>2</v>
      </c>
      <c r="F1014">
        <f>Table1[[#This Row],[HourlyRate]]</f>
        <v>50</v>
      </c>
      <c r="G1014" t="str">
        <f>Table1[[#This Row],[JobRole]]</f>
        <v>Sales Representative</v>
      </c>
      <c r="H1014">
        <f>Table1[[#This Row],[JobSatisfaction]]</f>
        <v>3</v>
      </c>
      <c r="I1014">
        <f>Table1[[#This Row],[YearsAtCompany]]</f>
        <v>1</v>
      </c>
      <c r="J1014">
        <f>Table1[[#This Row],[YearsSinceLastPromotion]]</f>
        <v>0</v>
      </c>
      <c r="K1014">
        <f>Table1[[#This Row],[EmployeeNumber]]</f>
        <v>1427</v>
      </c>
      <c r="L1014">
        <f>Table1[[#This Row],[DistanceFromHome]]</f>
        <v>1</v>
      </c>
      <c r="M1014" t="str">
        <f>Table1[[#This Row],[OverTime]]</f>
        <v>No</v>
      </c>
      <c r="N1014">
        <f>Table1[[#This Row],[WorkLifeBalance]]</f>
        <v>3</v>
      </c>
      <c r="O1014" t="str" cm="1">
        <f t="array" ref="O1014">_xlfn.IFS(A1014&lt;=30,"18-30",A1014&lt;=40,"31-40",A1014&lt;=50,"41-50",A1014&gt;50,"51+")</f>
        <v>31-40</v>
      </c>
      <c r="P1014" t="str" cm="1">
        <f t="array" ref="P1014">_xlfn.IFS(F1014&lt;=45,"45 or below",F1014&lt;= 60,"46-60",F1014&lt;=75,"61-75",F1014&lt;=90,"76-90",F1014&gt;90,"91 or above")</f>
        <v>46-60</v>
      </c>
      <c r="Q101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14" t="str" cm="1">
        <f t="array" ref="R1014" xml:space="preserve"> _xlfn.IFS(Table3[[#This Row],[Flight Risk Score]] = "NA","NA",Table3[[#This Row],[Flight Risk Score]] &gt;= 70,"High Risk",Table3[[#This Row],[Flight Risk Score]] &gt;= 50, "Medium Risk", Table3[[#This Row],[Flight Risk Score]] &gt;= 30,"Low Risk",Table3[[#This Row],[Flight Risk Score]] &lt; 30,"Very Low Risk")</f>
        <v>NA</v>
      </c>
    </row>
    <row r="1015" spans="1:18" x14ac:dyDescent="0.2">
      <c r="A1015">
        <f>Table1[[#This Row],[Age]]</f>
        <v>30</v>
      </c>
      <c r="B1015">
        <f>IF(Table3[[#This Row],[Attrition]] = "Yes", 1,0)</f>
        <v>0</v>
      </c>
      <c r="C1015" t="str">
        <f>Table1[[#This Row],[Attrition]]</f>
        <v>No</v>
      </c>
      <c r="D1015" t="str">
        <f>Table1[[#This Row],[Department]]</f>
        <v>Sales</v>
      </c>
      <c r="E1015">
        <f>Table1[[#This Row],[EnvironmentSatisfaction]]</f>
        <v>4</v>
      </c>
      <c r="F1015">
        <f>Table1[[#This Row],[HourlyRate]]</f>
        <v>73</v>
      </c>
      <c r="G1015" t="str">
        <f>Table1[[#This Row],[JobRole]]</f>
        <v>Sales Executive</v>
      </c>
      <c r="H1015">
        <f>Table1[[#This Row],[JobSatisfaction]]</f>
        <v>1</v>
      </c>
      <c r="I1015">
        <f>Table1[[#This Row],[YearsAtCompany]]</f>
        <v>3</v>
      </c>
      <c r="J1015">
        <f>Table1[[#This Row],[YearsSinceLastPromotion]]</f>
        <v>0</v>
      </c>
      <c r="K1015">
        <f>Table1[[#This Row],[EmployeeNumber]]</f>
        <v>1428</v>
      </c>
      <c r="L1015">
        <f>Table1[[#This Row],[DistanceFromHome]]</f>
        <v>7</v>
      </c>
      <c r="M1015" t="str">
        <f>Table1[[#This Row],[OverTime]]</f>
        <v>No</v>
      </c>
      <c r="N1015">
        <f>Table1[[#This Row],[WorkLifeBalance]]</f>
        <v>3</v>
      </c>
      <c r="O1015" t="str" cm="1">
        <f t="array" ref="O1015">_xlfn.IFS(A1015&lt;=30,"18-30",A1015&lt;=40,"31-40",A1015&lt;=50,"41-50",A1015&gt;50,"51+")</f>
        <v>18-30</v>
      </c>
      <c r="P1015" t="str" cm="1">
        <f t="array" ref="P1015">_xlfn.IFS(F1015&lt;=45,"45 or below",F1015&lt;= 60,"46-60",F1015&lt;=75,"61-75",F1015&lt;=90,"76-90",F1015&gt;90,"91 or above")</f>
        <v>61-75</v>
      </c>
      <c r="Q10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15" t="str" cm="1">
        <f t="array" ref="R10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16" spans="1:18" x14ac:dyDescent="0.2">
      <c r="A1016">
        <f>Table1[[#This Row],[Age]]</f>
        <v>31</v>
      </c>
      <c r="B1016">
        <f>IF(Table3[[#This Row],[Attrition]] = "Yes", 1,0)</f>
        <v>0</v>
      </c>
      <c r="C1016" t="str">
        <f>Table1[[#This Row],[Attrition]]</f>
        <v>No</v>
      </c>
      <c r="D1016" t="str">
        <f>Table1[[#This Row],[Department]]</f>
        <v>Research &amp; Development</v>
      </c>
      <c r="E1016">
        <f>Table1[[#This Row],[EnvironmentSatisfaction]]</f>
        <v>1</v>
      </c>
      <c r="F1016">
        <f>Table1[[#This Row],[HourlyRate]]</f>
        <v>93</v>
      </c>
      <c r="G1016" t="str">
        <f>Table1[[#This Row],[JobRole]]</f>
        <v>Research Director</v>
      </c>
      <c r="H1016">
        <f>Table1[[#This Row],[JobSatisfaction]]</f>
        <v>2</v>
      </c>
      <c r="I1016">
        <f>Table1[[#This Row],[YearsAtCompany]]</f>
        <v>3</v>
      </c>
      <c r="J1016">
        <f>Table1[[#This Row],[YearsSinceLastPromotion]]</f>
        <v>1</v>
      </c>
      <c r="K1016">
        <f>Table1[[#This Row],[EmployeeNumber]]</f>
        <v>1430</v>
      </c>
      <c r="L1016">
        <f>Table1[[#This Row],[DistanceFromHome]]</f>
        <v>8</v>
      </c>
      <c r="M1016" t="str">
        <f>Table1[[#This Row],[OverTime]]</f>
        <v>No</v>
      </c>
      <c r="N1016">
        <f>Table1[[#This Row],[WorkLifeBalance]]</f>
        <v>4</v>
      </c>
      <c r="O1016" t="str" cm="1">
        <f t="array" ref="O1016">_xlfn.IFS(A1016&lt;=30,"18-30",A1016&lt;=40,"31-40",A1016&lt;=50,"41-50",A1016&gt;50,"51+")</f>
        <v>31-40</v>
      </c>
      <c r="P1016" t="str" cm="1">
        <f t="array" ref="P1016">_xlfn.IFS(F1016&lt;=45,"45 or below",F1016&lt;= 60,"46-60",F1016&lt;=75,"61-75",F1016&lt;=90,"76-90",F1016&gt;90,"91 or above")</f>
        <v>91 or above</v>
      </c>
      <c r="Q10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16" t="str" cm="1">
        <f t="array" ref="R101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17" spans="1:18" x14ac:dyDescent="0.2">
      <c r="A1017">
        <f>Table1[[#This Row],[Age]]</f>
        <v>34</v>
      </c>
      <c r="B1017">
        <f>IF(Table3[[#This Row],[Attrition]] = "Yes", 1,0)</f>
        <v>0</v>
      </c>
      <c r="C1017" t="str">
        <f>Table1[[#This Row],[Attrition]]</f>
        <v>No</v>
      </c>
      <c r="D1017" t="str">
        <f>Table1[[#This Row],[Department]]</f>
        <v>Research &amp; Development</v>
      </c>
      <c r="E1017">
        <f>Table1[[#This Row],[EnvironmentSatisfaction]]</f>
        <v>4</v>
      </c>
      <c r="F1017">
        <f>Table1[[#This Row],[HourlyRate]]</f>
        <v>91</v>
      </c>
      <c r="G1017" t="str">
        <f>Table1[[#This Row],[JobRole]]</f>
        <v>Research Scientist</v>
      </c>
      <c r="H1017">
        <f>Table1[[#This Row],[JobSatisfaction]]</f>
        <v>1</v>
      </c>
      <c r="I1017">
        <f>Table1[[#This Row],[YearsAtCompany]]</f>
        <v>4</v>
      </c>
      <c r="J1017">
        <f>Table1[[#This Row],[YearsSinceLastPromotion]]</f>
        <v>1</v>
      </c>
      <c r="K1017">
        <f>Table1[[#This Row],[EmployeeNumber]]</f>
        <v>1431</v>
      </c>
      <c r="L1017">
        <f>Table1[[#This Row],[DistanceFromHome]]</f>
        <v>1</v>
      </c>
      <c r="M1017" t="str">
        <f>Table1[[#This Row],[OverTime]]</f>
        <v>No</v>
      </c>
      <c r="N1017">
        <f>Table1[[#This Row],[WorkLifeBalance]]</f>
        <v>3</v>
      </c>
      <c r="O1017" t="str" cm="1">
        <f t="array" ref="O1017">_xlfn.IFS(A1017&lt;=30,"18-30",A1017&lt;=40,"31-40",A1017&lt;=50,"41-50",A1017&gt;50,"51+")</f>
        <v>31-40</v>
      </c>
      <c r="P1017" t="str" cm="1">
        <f t="array" ref="P1017">_xlfn.IFS(F1017&lt;=45,"45 or below",F1017&lt;= 60,"46-60",F1017&lt;=75,"61-75",F1017&lt;=90,"76-90",F1017&gt;90,"91 or above")</f>
        <v>91 or above</v>
      </c>
      <c r="Q10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17" t="str" cm="1">
        <f t="array" ref="R101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18" spans="1:18" hidden="1" x14ac:dyDescent="0.2">
      <c r="A1018">
        <f>Table1[[#This Row],[Age]]</f>
        <v>31</v>
      </c>
      <c r="B1018">
        <f>IF(Table3[[#This Row],[Attrition]] = "Yes", 1,0)</f>
        <v>1</v>
      </c>
      <c r="C1018" t="str">
        <f>Table1[[#This Row],[Attrition]]</f>
        <v>Yes</v>
      </c>
      <c r="D1018" t="str">
        <f>Table1[[#This Row],[Department]]</f>
        <v>Research &amp; Development</v>
      </c>
      <c r="E1018">
        <f>Table1[[#This Row],[EnvironmentSatisfaction]]</f>
        <v>1</v>
      </c>
      <c r="F1018">
        <f>Table1[[#This Row],[HourlyRate]]</f>
        <v>34</v>
      </c>
      <c r="G1018" t="str">
        <f>Table1[[#This Row],[JobRole]]</f>
        <v>Research Scientist</v>
      </c>
      <c r="H1018">
        <f>Table1[[#This Row],[JobSatisfaction]]</f>
        <v>2</v>
      </c>
      <c r="I1018">
        <f>Table1[[#This Row],[YearsAtCompany]]</f>
        <v>1</v>
      </c>
      <c r="J1018">
        <f>Table1[[#This Row],[YearsSinceLastPromotion]]</f>
        <v>0</v>
      </c>
      <c r="K1018">
        <f>Table1[[#This Row],[EmployeeNumber]]</f>
        <v>1433</v>
      </c>
      <c r="L1018">
        <f>Table1[[#This Row],[DistanceFromHome]]</f>
        <v>8</v>
      </c>
      <c r="M1018" t="str">
        <f>Table1[[#This Row],[OverTime]]</f>
        <v>No</v>
      </c>
      <c r="N1018">
        <f>Table1[[#This Row],[WorkLifeBalance]]</f>
        <v>4</v>
      </c>
      <c r="O1018" t="str" cm="1">
        <f t="array" ref="O1018">_xlfn.IFS(A1018&lt;=30,"18-30",A1018&lt;=40,"31-40",A1018&lt;=50,"41-50",A1018&gt;50,"51+")</f>
        <v>31-40</v>
      </c>
      <c r="P1018" t="str" cm="1">
        <f t="array" ref="P1018">_xlfn.IFS(F1018&lt;=45,"45 or below",F1018&lt;= 60,"46-60",F1018&lt;=75,"61-75",F1018&lt;=90,"76-90",F1018&gt;90,"91 or above")</f>
        <v>45 or below</v>
      </c>
      <c r="Q101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18" t="str" cm="1">
        <f t="array" ref="R1018" xml:space="preserve"> _xlfn.IFS(Table3[[#This Row],[Flight Risk Score]] = "NA","NA",Table3[[#This Row],[Flight Risk Score]] &gt;= 70,"High Risk",Table3[[#This Row],[Flight Risk Score]] &gt;= 50, "Medium Risk", Table3[[#This Row],[Flight Risk Score]] &gt;= 30,"Low Risk",Table3[[#This Row],[Flight Risk Score]] &lt; 30,"Very Low Risk")</f>
        <v>NA</v>
      </c>
    </row>
    <row r="1019" spans="1:18" x14ac:dyDescent="0.2">
      <c r="A1019">
        <f>Table1[[#This Row],[Age]]</f>
        <v>27</v>
      </c>
      <c r="B1019">
        <f>IF(Table3[[#This Row],[Attrition]] = "Yes", 1,0)</f>
        <v>0</v>
      </c>
      <c r="C1019" t="str">
        <f>Table1[[#This Row],[Attrition]]</f>
        <v>No</v>
      </c>
      <c r="D1019" t="str">
        <f>Table1[[#This Row],[Department]]</f>
        <v>Research &amp; Development</v>
      </c>
      <c r="E1019">
        <f>Table1[[#This Row],[EnvironmentSatisfaction]]</f>
        <v>2</v>
      </c>
      <c r="F1019">
        <f>Table1[[#This Row],[HourlyRate]]</f>
        <v>91</v>
      </c>
      <c r="G1019" t="str">
        <f>Table1[[#This Row],[JobRole]]</f>
        <v>Laboratory Technician</v>
      </c>
      <c r="H1019">
        <f>Table1[[#This Row],[JobSatisfaction]]</f>
        <v>1</v>
      </c>
      <c r="I1019">
        <f>Table1[[#This Row],[YearsAtCompany]]</f>
        <v>5</v>
      </c>
      <c r="J1019">
        <f>Table1[[#This Row],[YearsSinceLastPromotion]]</f>
        <v>1</v>
      </c>
      <c r="K1019">
        <f>Table1[[#This Row],[EmployeeNumber]]</f>
        <v>1434</v>
      </c>
      <c r="L1019">
        <f>Table1[[#This Row],[DistanceFromHome]]</f>
        <v>11</v>
      </c>
      <c r="M1019" t="str">
        <f>Table1[[#This Row],[OverTime]]</f>
        <v>No</v>
      </c>
      <c r="N1019">
        <f>Table1[[#This Row],[WorkLifeBalance]]</f>
        <v>4</v>
      </c>
      <c r="O1019" t="str" cm="1">
        <f t="array" ref="O1019">_xlfn.IFS(A1019&lt;=30,"18-30",A1019&lt;=40,"31-40",A1019&lt;=50,"41-50",A1019&gt;50,"51+")</f>
        <v>18-30</v>
      </c>
      <c r="P1019" t="str" cm="1">
        <f t="array" ref="P1019">_xlfn.IFS(F1019&lt;=45,"45 or below",F1019&lt;= 60,"46-60",F1019&lt;=75,"61-75",F1019&lt;=90,"76-90",F1019&gt;90,"91 or above")</f>
        <v>91 or above</v>
      </c>
      <c r="Q10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19" t="str" cm="1">
        <f t="array" ref="R101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20" spans="1:18" x14ac:dyDescent="0.2">
      <c r="A1020">
        <f>Table1[[#This Row],[Age]]</f>
        <v>36</v>
      </c>
      <c r="B1020">
        <f>IF(Table3[[#This Row],[Attrition]] = "Yes", 1,0)</f>
        <v>0</v>
      </c>
      <c r="C1020" t="str">
        <f>Table1[[#This Row],[Attrition]]</f>
        <v>No</v>
      </c>
      <c r="D1020" t="str">
        <f>Table1[[#This Row],[Department]]</f>
        <v>Research &amp; Development</v>
      </c>
      <c r="E1020">
        <f>Table1[[#This Row],[EnvironmentSatisfaction]]</f>
        <v>1</v>
      </c>
      <c r="F1020">
        <f>Table1[[#This Row],[HourlyRate]]</f>
        <v>37</v>
      </c>
      <c r="G1020" t="str">
        <f>Table1[[#This Row],[JobRole]]</f>
        <v>Laboratory Technician</v>
      </c>
      <c r="H1020">
        <f>Table1[[#This Row],[JobSatisfaction]]</f>
        <v>4</v>
      </c>
      <c r="I1020">
        <f>Table1[[#This Row],[YearsAtCompany]]</f>
        <v>10</v>
      </c>
      <c r="J1020">
        <f>Table1[[#This Row],[YearsSinceLastPromotion]]</f>
        <v>1</v>
      </c>
      <c r="K1020">
        <f>Table1[[#This Row],[EmployeeNumber]]</f>
        <v>1435</v>
      </c>
      <c r="L1020">
        <f>Table1[[#This Row],[DistanceFromHome]]</f>
        <v>4</v>
      </c>
      <c r="M1020" t="str">
        <f>Table1[[#This Row],[OverTime]]</f>
        <v>No</v>
      </c>
      <c r="N1020">
        <f>Table1[[#This Row],[WorkLifeBalance]]</f>
        <v>2</v>
      </c>
      <c r="O1020" t="str" cm="1">
        <f t="array" ref="O1020">_xlfn.IFS(A1020&lt;=30,"18-30",A1020&lt;=40,"31-40",A1020&lt;=50,"41-50",A1020&gt;50,"51+")</f>
        <v>31-40</v>
      </c>
      <c r="P1020" t="str" cm="1">
        <f t="array" ref="P1020">_xlfn.IFS(F1020&lt;=45,"45 or below",F1020&lt;= 60,"46-60",F1020&lt;=75,"61-75",F1020&lt;=90,"76-90",F1020&gt;90,"91 or above")</f>
        <v>45 or below</v>
      </c>
      <c r="Q10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20" t="str" cm="1">
        <f t="array" ref="R10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21" spans="1:18" x14ac:dyDescent="0.2">
      <c r="A1021">
        <f>Table1[[#This Row],[Age]]</f>
        <v>36</v>
      </c>
      <c r="B1021">
        <f>IF(Table3[[#This Row],[Attrition]] = "Yes", 1,0)</f>
        <v>0</v>
      </c>
      <c r="C1021" t="str">
        <f>Table1[[#This Row],[Attrition]]</f>
        <v>No</v>
      </c>
      <c r="D1021" t="str">
        <f>Table1[[#This Row],[Department]]</f>
        <v>Sales</v>
      </c>
      <c r="E1021">
        <f>Table1[[#This Row],[EnvironmentSatisfaction]]</f>
        <v>3</v>
      </c>
      <c r="F1021">
        <f>Table1[[#This Row],[HourlyRate]]</f>
        <v>98</v>
      </c>
      <c r="G1021" t="str">
        <f>Table1[[#This Row],[JobRole]]</f>
        <v>Sales Executive</v>
      </c>
      <c r="H1021">
        <f>Table1[[#This Row],[JobSatisfaction]]</f>
        <v>1</v>
      </c>
      <c r="I1021">
        <f>Table1[[#This Row],[YearsAtCompany]]</f>
        <v>3</v>
      </c>
      <c r="J1021">
        <f>Table1[[#This Row],[YearsSinceLastPromotion]]</f>
        <v>0</v>
      </c>
      <c r="K1021">
        <f>Table1[[#This Row],[EmployeeNumber]]</f>
        <v>1436</v>
      </c>
      <c r="L1021">
        <f>Table1[[#This Row],[DistanceFromHome]]</f>
        <v>16</v>
      </c>
      <c r="M1021" t="str">
        <f>Table1[[#This Row],[OverTime]]</f>
        <v>No</v>
      </c>
      <c r="N1021">
        <f>Table1[[#This Row],[WorkLifeBalance]]</f>
        <v>2</v>
      </c>
      <c r="O1021" t="str" cm="1">
        <f t="array" ref="O1021">_xlfn.IFS(A1021&lt;=30,"18-30",A1021&lt;=40,"31-40",A1021&lt;=50,"41-50",A1021&gt;50,"51+")</f>
        <v>31-40</v>
      </c>
      <c r="P1021" t="str" cm="1">
        <f t="array" ref="P1021">_xlfn.IFS(F1021&lt;=45,"45 or below",F1021&lt;= 60,"46-60",F1021&lt;=75,"61-75",F1021&lt;=90,"76-90",F1021&gt;90,"91 or above")</f>
        <v>91 or above</v>
      </c>
      <c r="Q10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21" t="str" cm="1">
        <f t="array" ref="R10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22" spans="1:18" x14ac:dyDescent="0.2">
      <c r="A1022">
        <f>Table1[[#This Row],[Age]]</f>
        <v>47</v>
      </c>
      <c r="B1022">
        <f>IF(Table3[[#This Row],[Attrition]] = "Yes", 1,0)</f>
        <v>0</v>
      </c>
      <c r="C1022" t="str">
        <f>Table1[[#This Row],[Attrition]]</f>
        <v>No</v>
      </c>
      <c r="D1022" t="str">
        <f>Table1[[#This Row],[Department]]</f>
        <v>Research &amp; Development</v>
      </c>
      <c r="E1022">
        <f>Table1[[#This Row],[EnvironmentSatisfaction]]</f>
        <v>1</v>
      </c>
      <c r="F1022">
        <f>Table1[[#This Row],[HourlyRate]]</f>
        <v>74</v>
      </c>
      <c r="G1022" t="str">
        <f>Table1[[#This Row],[JobRole]]</f>
        <v>Research Scientist</v>
      </c>
      <c r="H1022">
        <f>Table1[[#This Row],[JobSatisfaction]]</f>
        <v>4</v>
      </c>
      <c r="I1022">
        <f>Table1[[#This Row],[YearsAtCompany]]</f>
        <v>6</v>
      </c>
      <c r="J1022">
        <f>Table1[[#This Row],[YearsSinceLastPromotion]]</f>
        <v>1</v>
      </c>
      <c r="K1022">
        <f>Table1[[#This Row],[EmployeeNumber]]</f>
        <v>1438</v>
      </c>
      <c r="L1022">
        <f>Table1[[#This Row],[DistanceFromHome]]</f>
        <v>1</v>
      </c>
      <c r="M1022" t="str">
        <f>Table1[[#This Row],[OverTime]]</f>
        <v>No</v>
      </c>
      <c r="N1022">
        <f>Table1[[#This Row],[WorkLifeBalance]]</f>
        <v>2</v>
      </c>
      <c r="O1022" t="str" cm="1">
        <f t="array" ref="O1022">_xlfn.IFS(A1022&lt;=30,"18-30",A1022&lt;=40,"31-40",A1022&lt;=50,"41-50",A1022&gt;50,"51+")</f>
        <v>41-50</v>
      </c>
      <c r="P1022" t="str" cm="1">
        <f t="array" ref="P1022">_xlfn.IFS(F1022&lt;=45,"45 or below",F1022&lt;= 60,"46-60",F1022&lt;=75,"61-75",F1022&lt;=90,"76-90",F1022&gt;90,"91 or above")</f>
        <v>61-75</v>
      </c>
      <c r="Q10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22" t="str" cm="1">
        <f t="array" ref="R10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23" spans="1:18" hidden="1" x14ac:dyDescent="0.2">
      <c r="A1023">
        <f>Table1[[#This Row],[Age]]</f>
        <v>25</v>
      </c>
      <c r="B1023">
        <f>IF(Table3[[#This Row],[Attrition]] = "Yes", 1,0)</f>
        <v>1</v>
      </c>
      <c r="C1023" t="str">
        <f>Table1[[#This Row],[Attrition]]</f>
        <v>Yes</v>
      </c>
      <c r="D1023" t="str">
        <f>Table1[[#This Row],[Department]]</f>
        <v>Sales</v>
      </c>
      <c r="E1023">
        <f>Table1[[#This Row],[EnvironmentSatisfaction]]</f>
        <v>1</v>
      </c>
      <c r="F1023">
        <f>Table1[[#This Row],[HourlyRate]]</f>
        <v>68</v>
      </c>
      <c r="G1023" t="str">
        <f>Table1[[#This Row],[JobRole]]</f>
        <v>Sales Representative</v>
      </c>
      <c r="H1023">
        <f>Table1[[#This Row],[JobSatisfaction]]</f>
        <v>1</v>
      </c>
      <c r="I1023">
        <f>Table1[[#This Row],[YearsAtCompany]]</f>
        <v>3</v>
      </c>
      <c r="J1023">
        <f>Table1[[#This Row],[YearsSinceLastPromotion]]</f>
        <v>2</v>
      </c>
      <c r="K1023">
        <f>Table1[[#This Row],[EmployeeNumber]]</f>
        <v>1439</v>
      </c>
      <c r="L1023">
        <f>Table1[[#This Row],[DistanceFromHome]]</f>
        <v>9</v>
      </c>
      <c r="M1023" t="str">
        <f>Table1[[#This Row],[OverTime]]</f>
        <v>No</v>
      </c>
      <c r="N1023">
        <f>Table1[[#This Row],[WorkLifeBalance]]</f>
        <v>3</v>
      </c>
      <c r="O1023" t="str" cm="1">
        <f t="array" ref="O1023">_xlfn.IFS(A1023&lt;=30,"18-30",A1023&lt;=40,"31-40",A1023&lt;=50,"41-50",A1023&gt;50,"51+")</f>
        <v>18-30</v>
      </c>
      <c r="P1023" t="str" cm="1">
        <f t="array" ref="P1023">_xlfn.IFS(F1023&lt;=45,"45 or below",F1023&lt;= 60,"46-60",F1023&lt;=75,"61-75",F1023&lt;=90,"76-90",F1023&gt;90,"91 or above")</f>
        <v>61-75</v>
      </c>
      <c r="Q102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23" t="str" cm="1">
        <f t="array" ref="R1023" xml:space="preserve"> _xlfn.IFS(Table3[[#This Row],[Flight Risk Score]] = "NA","NA",Table3[[#This Row],[Flight Risk Score]] &gt;= 70,"High Risk",Table3[[#This Row],[Flight Risk Score]] &gt;= 50, "Medium Risk", Table3[[#This Row],[Flight Risk Score]] &gt;= 30,"Low Risk",Table3[[#This Row],[Flight Risk Score]] &lt; 30,"Very Low Risk")</f>
        <v>NA</v>
      </c>
    </row>
    <row r="1024" spans="1:18" x14ac:dyDescent="0.2">
      <c r="A1024">
        <f>Table1[[#This Row],[Age]]</f>
        <v>37</v>
      </c>
      <c r="B1024">
        <f>IF(Table3[[#This Row],[Attrition]] = "Yes", 1,0)</f>
        <v>0</v>
      </c>
      <c r="C1024" t="str">
        <f>Table1[[#This Row],[Attrition]]</f>
        <v>No</v>
      </c>
      <c r="D1024" t="str">
        <f>Table1[[#This Row],[Department]]</f>
        <v>Research &amp; Development</v>
      </c>
      <c r="E1024">
        <f>Table1[[#This Row],[EnvironmentSatisfaction]]</f>
        <v>3</v>
      </c>
      <c r="F1024">
        <f>Table1[[#This Row],[HourlyRate]]</f>
        <v>84</v>
      </c>
      <c r="G1024" t="str">
        <f>Table1[[#This Row],[JobRole]]</f>
        <v>Laboratory Technician</v>
      </c>
      <c r="H1024">
        <f>Table1[[#This Row],[JobSatisfaction]]</f>
        <v>3</v>
      </c>
      <c r="I1024">
        <f>Table1[[#This Row],[YearsAtCompany]]</f>
        <v>6</v>
      </c>
      <c r="J1024">
        <f>Table1[[#This Row],[YearsSinceLastPromotion]]</f>
        <v>1</v>
      </c>
      <c r="K1024">
        <f>Table1[[#This Row],[EmployeeNumber]]</f>
        <v>1440</v>
      </c>
      <c r="L1024">
        <f>Table1[[#This Row],[DistanceFromHome]]</f>
        <v>5</v>
      </c>
      <c r="M1024" t="str">
        <f>Table1[[#This Row],[OverTime]]</f>
        <v>No</v>
      </c>
      <c r="N1024">
        <f>Table1[[#This Row],[WorkLifeBalance]]</f>
        <v>1</v>
      </c>
      <c r="O1024" t="str" cm="1">
        <f t="array" ref="O1024">_xlfn.IFS(A1024&lt;=30,"18-30",A1024&lt;=40,"31-40",A1024&lt;=50,"41-50",A1024&gt;50,"51+")</f>
        <v>31-40</v>
      </c>
      <c r="P1024" t="str" cm="1">
        <f t="array" ref="P1024">_xlfn.IFS(F1024&lt;=45,"45 or below",F1024&lt;= 60,"46-60",F1024&lt;=75,"61-75",F1024&lt;=90,"76-90",F1024&gt;90,"91 or above")</f>
        <v>76-90</v>
      </c>
      <c r="Q10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24" t="str" cm="1">
        <f t="array" ref="R102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25" spans="1:18" x14ac:dyDescent="0.2">
      <c r="A1025">
        <f>Table1[[#This Row],[Age]]</f>
        <v>56</v>
      </c>
      <c r="B1025">
        <f>IF(Table3[[#This Row],[Attrition]] = "Yes", 1,0)</f>
        <v>0</v>
      </c>
      <c r="C1025" t="str">
        <f>Table1[[#This Row],[Attrition]]</f>
        <v>No</v>
      </c>
      <c r="D1025" t="str">
        <f>Table1[[#This Row],[Department]]</f>
        <v>Research &amp; Development</v>
      </c>
      <c r="E1025">
        <f>Table1[[#This Row],[EnvironmentSatisfaction]]</f>
        <v>1</v>
      </c>
      <c r="F1025">
        <f>Table1[[#This Row],[HourlyRate]]</f>
        <v>90</v>
      </c>
      <c r="G1025" t="str">
        <f>Table1[[#This Row],[JobRole]]</f>
        <v>Research Scientist</v>
      </c>
      <c r="H1025">
        <f>Table1[[#This Row],[JobSatisfaction]]</f>
        <v>1</v>
      </c>
      <c r="I1025">
        <f>Table1[[#This Row],[YearsAtCompany]]</f>
        <v>3</v>
      </c>
      <c r="J1025">
        <f>Table1[[#This Row],[YearsSinceLastPromotion]]</f>
        <v>1</v>
      </c>
      <c r="K1025">
        <f>Table1[[#This Row],[EmployeeNumber]]</f>
        <v>1441</v>
      </c>
      <c r="L1025">
        <f>Table1[[#This Row],[DistanceFromHome]]</f>
        <v>1</v>
      </c>
      <c r="M1025" t="str">
        <f>Table1[[#This Row],[OverTime]]</f>
        <v>No</v>
      </c>
      <c r="N1025">
        <f>Table1[[#This Row],[WorkLifeBalance]]</f>
        <v>4</v>
      </c>
      <c r="O1025" t="str" cm="1">
        <f t="array" ref="O1025">_xlfn.IFS(A1025&lt;=30,"18-30",A1025&lt;=40,"31-40",A1025&lt;=50,"41-50",A1025&gt;50,"51+")</f>
        <v>51+</v>
      </c>
      <c r="P1025" t="str" cm="1">
        <f t="array" ref="P1025">_xlfn.IFS(F1025&lt;=45,"45 or below",F1025&lt;= 60,"46-60",F1025&lt;=75,"61-75",F1025&lt;=90,"76-90",F1025&gt;90,"91 or above")</f>
        <v>76-90</v>
      </c>
      <c r="Q10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25" t="str" cm="1">
        <f t="array" ref="R102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26" spans="1:18" x14ac:dyDescent="0.2">
      <c r="A1026">
        <f>Table1[[#This Row],[Age]]</f>
        <v>47</v>
      </c>
      <c r="B1026">
        <f>IF(Table3[[#This Row],[Attrition]] = "Yes", 1,0)</f>
        <v>0</v>
      </c>
      <c r="C1026" t="str">
        <f>Table1[[#This Row],[Attrition]]</f>
        <v>No</v>
      </c>
      <c r="D1026" t="str">
        <f>Table1[[#This Row],[Department]]</f>
        <v>Research &amp; Development</v>
      </c>
      <c r="E1026">
        <f>Table1[[#This Row],[EnvironmentSatisfaction]]</f>
        <v>1</v>
      </c>
      <c r="F1026">
        <f>Table1[[#This Row],[HourlyRate]]</f>
        <v>82</v>
      </c>
      <c r="G1026" t="str">
        <f>Table1[[#This Row],[JobRole]]</f>
        <v>Research Director</v>
      </c>
      <c r="H1026">
        <f>Table1[[#This Row],[JobSatisfaction]]</f>
        <v>3</v>
      </c>
      <c r="I1026">
        <f>Table1[[#This Row],[YearsAtCompany]]</f>
        <v>20</v>
      </c>
      <c r="J1026">
        <f>Table1[[#This Row],[YearsSinceLastPromotion]]</f>
        <v>5</v>
      </c>
      <c r="K1026">
        <f>Table1[[#This Row],[EmployeeNumber]]</f>
        <v>1443</v>
      </c>
      <c r="L1026">
        <f>Table1[[#This Row],[DistanceFromHome]]</f>
        <v>2</v>
      </c>
      <c r="M1026" t="str">
        <f>Table1[[#This Row],[OverTime]]</f>
        <v>No</v>
      </c>
      <c r="N1026">
        <f>Table1[[#This Row],[WorkLifeBalance]]</f>
        <v>4</v>
      </c>
      <c r="O1026" t="str" cm="1">
        <f t="array" ref="O1026">_xlfn.IFS(A1026&lt;=30,"18-30",A1026&lt;=40,"31-40",A1026&lt;=50,"41-50",A1026&gt;50,"51+")</f>
        <v>41-50</v>
      </c>
      <c r="P1026" t="str" cm="1">
        <f t="array" ref="P1026">_xlfn.IFS(F1026&lt;=45,"45 or below",F1026&lt;= 60,"46-60",F1026&lt;=75,"61-75",F1026&lt;=90,"76-90",F1026&gt;90,"91 or above")</f>
        <v>76-90</v>
      </c>
      <c r="Q10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26" t="str" cm="1">
        <f t="array" ref="R10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27" spans="1:18" x14ac:dyDescent="0.2">
      <c r="A1027">
        <f>Table1[[#This Row],[Age]]</f>
        <v>24</v>
      </c>
      <c r="B1027">
        <f>IF(Table3[[#This Row],[Attrition]] = "Yes", 1,0)</f>
        <v>0</v>
      </c>
      <c r="C1027" t="str">
        <f>Table1[[#This Row],[Attrition]]</f>
        <v>No</v>
      </c>
      <c r="D1027" t="str">
        <f>Table1[[#This Row],[Department]]</f>
        <v>Sales</v>
      </c>
      <c r="E1027">
        <f>Table1[[#This Row],[EnvironmentSatisfaction]]</f>
        <v>4</v>
      </c>
      <c r="F1027">
        <f>Table1[[#This Row],[HourlyRate]]</f>
        <v>42</v>
      </c>
      <c r="G1027" t="str">
        <f>Table1[[#This Row],[JobRole]]</f>
        <v>Sales Executive</v>
      </c>
      <c r="H1027">
        <f>Table1[[#This Row],[JobSatisfaction]]</f>
        <v>3</v>
      </c>
      <c r="I1027">
        <f>Table1[[#This Row],[YearsAtCompany]]</f>
        <v>5</v>
      </c>
      <c r="J1027">
        <f>Table1[[#This Row],[YearsSinceLastPromotion]]</f>
        <v>0</v>
      </c>
      <c r="K1027">
        <f>Table1[[#This Row],[EmployeeNumber]]</f>
        <v>1445</v>
      </c>
      <c r="L1027">
        <f>Table1[[#This Row],[DistanceFromHome]]</f>
        <v>4</v>
      </c>
      <c r="M1027" t="str">
        <f>Table1[[#This Row],[OverTime]]</f>
        <v>Yes</v>
      </c>
      <c r="N1027">
        <f>Table1[[#This Row],[WorkLifeBalance]]</f>
        <v>3</v>
      </c>
      <c r="O1027" t="str" cm="1">
        <f t="array" ref="O1027">_xlfn.IFS(A1027&lt;=30,"18-30",A1027&lt;=40,"31-40",A1027&lt;=50,"41-50",A1027&gt;50,"51+")</f>
        <v>18-30</v>
      </c>
      <c r="P1027" t="str" cm="1">
        <f t="array" ref="P1027">_xlfn.IFS(F1027&lt;=45,"45 or below",F1027&lt;= 60,"46-60",F1027&lt;=75,"61-75",F1027&lt;=90,"76-90",F1027&gt;90,"91 or above")</f>
        <v>45 or below</v>
      </c>
      <c r="Q10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27" t="str" cm="1">
        <f t="array" ref="R102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28" spans="1:18" x14ac:dyDescent="0.2">
      <c r="A1028">
        <f>Table1[[#This Row],[Age]]</f>
        <v>32</v>
      </c>
      <c r="B1028">
        <f>IF(Table3[[#This Row],[Attrition]] = "Yes", 1,0)</f>
        <v>0</v>
      </c>
      <c r="C1028" t="str">
        <f>Table1[[#This Row],[Attrition]]</f>
        <v>No</v>
      </c>
      <c r="D1028" t="str">
        <f>Table1[[#This Row],[Department]]</f>
        <v>Sales</v>
      </c>
      <c r="E1028">
        <f>Table1[[#This Row],[EnvironmentSatisfaction]]</f>
        <v>4</v>
      </c>
      <c r="F1028">
        <f>Table1[[#This Row],[HourlyRate]]</f>
        <v>97</v>
      </c>
      <c r="G1028" t="str">
        <f>Table1[[#This Row],[JobRole]]</f>
        <v>Sales Executive</v>
      </c>
      <c r="H1028">
        <f>Table1[[#This Row],[JobSatisfaction]]</f>
        <v>4</v>
      </c>
      <c r="I1028">
        <f>Table1[[#This Row],[YearsAtCompany]]</f>
        <v>4</v>
      </c>
      <c r="J1028">
        <f>Table1[[#This Row],[YearsSinceLastPromotion]]</f>
        <v>0</v>
      </c>
      <c r="K1028">
        <f>Table1[[#This Row],[EmployeeNumber]]</f>
        <v>1446</v>
      </c>
      <c r="L1028">
        <f>Table1[[#This Row],[DistanceFromHome]]</f>
        <v>7</v>
      </c>
      <c r="M1028" t="str">
        <f>Table1[[#This Row],[OverTime]]</f>
        <v>No</v>
      </c>
      <c r="N1028">
        <f>Table1[[#This Row],[WorkLifeBalance]]</f>
        <v>2</v>
      </c>
      <c r="O1028" t="str" cm="1">
        <f t="array" ref="O1028">_xlfn.IFS(A1028&lt;=30,"18-30",A1028&lt;=40,"31-40",A1028&lt;=50,"41-50",A1028&gt;50,"51+")</f>
        <v>31-40</v>
      </c>
      <c r="P1028" t="str" cm="1">
        <f t="array" ref="P1028">_xlfn.IFS(F1028&lt;=45,"45 or below",F1028&lt;= 60,"46-60",F1028&lt;=75,"61-75",F1028&lt;=90,"76-90",F1028&gt;90,"91 or above")</f>
        <v>91 or above</v>
      </c>
      <c r="Q10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28" t="str" cm="1">
        <f t="array" ref="R10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29" spans="1:18" x14ac:dyDescent="0.2">
      <c r="A1029">
        <f>Table1[[#This Row],[Age]]</f>
        <v>34</v>
      </c>
      <c r="B1029">
        <f>IF(Table3[[#This Row],[Attrition]] = "Yes", 1,0)</f>
        <v>0</v>
      </c>
      <c r="C1029" t="str">
        <f>Table1[[#This Row],[Attrition]]</f>
        <v>No</v>
      </c>
      <c r="D1029" t="str">
        <f>Table1[[#This Row],[Department]]</f>
        <v>Research &amp; Development</v>
      </c>
      <c r="E1029">
        <f>Table1[[#This Row],[EnvironmentSatisfaction]]</f>
        <v>4</v>
      </c>
      <c r="F1029">
        <f>Table1[[#This Row],[HourlyRate]]</f>
        <v>86</v>
      </c>
      <c r="G1029" t="str">
        <f>Table1[[#This Row],[JobRole]]</f>
        <v>Laboratory Technician</v>
      </c>
      <c r="H1029">
        <f>Table1[[#This Row],[JobSatisfaction]]</f>
        <v>2</v>
      </c>
      <c r="I1029">
        <f>Table1[[#This Row],[YearsAtCompany]]</f>
        <v>5</v>
      </c>
      <c r="J1029">
        <f>Table1[[#This Row],[YearsSinceLastPromotion]]</f>
        <v>0</v>
      </c>
      <c r="K1029">
        <f>Table1[[#This Row],[EmployeeNumber]]</f>
        <v>1447</v>
      </c>
      <c r="L1029">
        <f>Table1[[#This Row],[DistanceFromHome]]</f>
        <v>1</v>
      </c>
      <c r="M1029" t="str">
        <f>Table1[[#This Row],[OverTime]]</f>
        <v>No</v>
      </c>
      <c r="N1029">
        <f>Table1[[#This Row],[WorkLifeBalance]]</f>
        <v>2</v>
      </c>
      <c r="O1029" t="str" cm="1">
        <f t="array" ref="O1029">_xlfn.IFS(A1029&lt;=30,"18-30",A1029&lt;=40,"31-40",A1029&lt;=50,"41-50",A1029&gt;50,"51+")</f>
        <v>31-40</v>
      </c>
      <c r="P1029" t="str" cm="1">
        <f t="array" ref="P1029">_xlfn.IFS(F1029&lt;=45,"45 or below",F1029&lt;= 60,"46-60",F1029&lt;=75,"61-75",F1029&lt;=90,"76-90",F1029&gt;90,"91 or above")</f>
        <v>76-90</v>
      </c>
      <c r="Q10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29" t="str" cm="1">
        <f t="array" ref="R10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30" spans="1:18" x14ac:dyDescent="0.2">
      <c r="A1030">
        <f>Table1[[#This Row],[Age]]</f>
        <v>41</v>
      </c>
      <c r="B1030">
        <f>IF(Table3[[#This Row],[Attrition]] = "Yes", 1,0)</f>
        <v>0</v>
      </c>
      <c r="C1030" t="str">
        <f>Table1[[#This Row],[Attrition]]</f>
        <v>No</v>
      </c>
      <c r="D1030" t="str">
        <f>Table1[[#This Row],[Department]]</f>
        <v>Research &amp; Development</v>
      </c>
      <c r="E1030">
        <f>Table1[[#This Row],[EnvironmentSatisfaction]]</f>
        <v>2</v>
      </c>
      <c r="F1030">
        <f>Table1[[#This Row],[HourlyRate]]</f>
        <v>90</v>
      </c>
      <c r="G1030" t="str">
        <f>Table1[[#This Row],[JobRole]]</f>
        <v>Research Scientist</v>
      </c>
      <c r="H1030">
        <f>Table1[[#This Row],[JobSatisfaction]]</f>
        <v>3</v>
      </c>
      <c r="I1030">
        <f>Table1[[#This Row],[YearsAtCompany]]</f>
        <v>4</v>
      </c>
      <c r="J1030">
        <f>Table1[[#This Row],[YearsSinceLastPromotion]]</f>
        <v>0</v>
      </c>
      <c r="K1030">
        <f>Table1[[#This Row],[EmployeeNumber]]</f>
        <v>1448</v>
      </c>
      <c r="L1030">
        <f>Table1[[#This Row],[DistanceFromHome]]</f>
        <v>5</v>
      </c>
      <c r="M1030" t="str">
        <f>Table1[[#This Row],[OverTime]]</f>
        <v>Yes</v>
      </c>
      <c r="N1030">
        <f>Table1[[#This Row],[WorkLifeBalance]]</f>
        <v>2</v>
      </c>
      <c r="O1030" t="str" cm="1">
        <f t="array" ref="O1030">_xlfn.IFS(A1030&lt;=30,"18-30",A1030&lt;=40,"31-40",A1030&lt;=50,"41-50",A1030&gt;50,"51+")</f>
        <v>41-50</v>
      </c>
      <c r="P1030" t="str" cm="1">
        <f t="array" ref="P1030">_xlfn.IFS(F1030&lt;=45,"45 or below",F1030&lt;= 60,"46-60",F1030&lt;=75,"61-75",F1030&lt;=90,"76-90",F1030&gt;90,"91 or above")</f>
        <v>76-90</v>
      </c>
      <c r="Q10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30" t="str" cm="1">
        <f t="array" ref="R103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31" spans="1:18" x14ac:dyDescent="0.2">
      <c r="A1031">
        <f>Table1[[#This Row],[Age]]</f>
        <v>40</v>
      </c>
      <c r="B1031">
        <f>IF(Table3[[#This Row],[Attrition]] = "Yes", 1,0)</f>
        <v>0</v>
      </c>
      <c r="C1031" t="str">
        <f>Table1[[#This Row],[Attrition]]</f>
        <v>No</v>
      </c>
      <c r="D1031" t="str">
        <f>Table1[[#This Row],[Department]]</f>
        <v>Research &amp; Development</v>
      </c>
      <c r="E1031">
        <f>Table1[[#This Row],[EnvironmentSatisfaction]]</f>
        <v>3</v>
      </c>
      <c r="F1031">
        <f>Table1[[#This Row],[HourlyRate]]</f>
        <v>81</v>
      </c>
      <c r="G1031" t="str">
        <f>Table1[[#This Row],[JobRole]]</f>
        <v>Laboratory Technician</v>
      </c>
      <c r="H1031">
        <f>Table1[[#This Row],[JobSatisfaction]]</f>
        <v>3</v>
      </c>
      <c r="I1031">
        <f>Table1[[#This Row],[YearsAtCompany]]</f>
        <v>8</v>
      </c>
      <c r="J1031">
        <f>Table1[[#This Row],[YearsSinceLastPromotion]]</f>
        <v>0</v>
      </c>
      <c r="K1031">
        <f>Table1[[#This Row],[EmployeeNumber]]</f>
        <v>1449</v>
      </c>
      <c r="L1031">
        <f>Table1[[#This Row],[DistanceFromHome]]</f>
        <v>9</v>
      </c>
      <c r="M1031" t="str">
        <f>Table1[[#This Row],[OverTime]]</f>
        <v>No</v>
      </c>
      <c r="N1031">
        <f>Table1[[#This Row],[WorkLifeBalance]]</f>
        <v>4</v>
      </c>
      <c r="O1031" t="str" cm="1">
        <f t="array" ref="O1031">_xlfn.IFS(A1031&lt;=30,"18-30",A1031&lt;=40,"31-40",A1031&lt;=50,"41-50",A1031&gt;50,"51+")</f>
        <v>31-40</v>
      </c>
      <c r="P1031" t="str" cm="1">
        <f t="array" ref="P1031">_xlfn.IFS(F1031&lt;=45,"45 or below",F1031&lt;= 60,"46-60",F1031&lt;=75,"61-75",F1031&lt;=90,"76-90",F1031&gt;90,"91 or above")</f>
        <v>76-90</v>
      </c>
      <c r="Q10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31" t="str" cm="1">
        <f t="array" ref="R10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32" spans="1:18" x14ac:dyDescent="0.2">
      <c r="A1032">
        <f>Table1[[#This Row],[Age]]</f>
        <v>31</v>
      </c>
      <c r="B1032">
        <f>IF(Table3[[#This Row],[Attrition]] = "Yes", 1,0)</f>
        <v>0</v>
      </c>
      <c r="C1032" t="str">
        <f>Table1[[#This Row],[Attrition]]</f>
        <v>No</v>
      </c>
      <c r="D1032" t="str">
        <f>Table1[[#This Row],[Department]]</f>
        <v>Sales</v>
      </c>
      <c r="E1032">
        <f>Table1[[#This Row],[EnvironmentSatisfaction]]</f>
        <v>1</v>
      </c>
      <c r="F1032">
        <f>Table1[[#This Row],[HourlyRate]]</f>
        <v>31</v>
      </c>
      <c r="G1032" t="str">
        <f>Table1[[#This Row],[JobRole]]</f>
        <v>Sales Executive</v>
      </c>
      <c r="H1032">
        <f>Table1[[#This Row],[JobSatisfaction]]</f>
        <v>4</v>
      </c>
      <c r="I1032">
        <f>Table1[[#This Row],[YearsAtCompany]]</f>
        <v>13</v>
      </c>
      <c r="J1032">
        <f>Table1[[#This Row],[YearsSinceLastPromotion]]</f>
        <v>9</v>
      </c>
      <c r="K1032">
        <f>Table1[[#This Row],[EmployeeNumber]]</f>
        <v>1453</v>
      </c>
      <c r="L1032">
        <f>Table1[[#This Row],[DistanceFromHome]]</f>
        <v>8</v>
      </c>
      <c r="M1032" t="str">
        <f>Table1[[#This Row],[OverTime]]</f>
        <v>No</v>
      </c>
      <c r="N1032">
        <f>Table1[[#This Row],[WorkLifeBalance]]</f>
        <v>3</v>
      </c>
      <c r="O1032" t="str" cm="1">
        <f t="array" ref="O1032">_xlfn.IFS(A1032&lt;=30,"18-30",A1032&lt;=40,"31-40",A1032&lt;=50,"41-50",A1032&gt;50,"51+")</f>
        <v>31-40</v>
      </c>
      <c r="P1032" t="str" cm="1">
        <f t="array" ref="P1032">_xlfn.IFS(F1032&lt;=45,"45 or below",F1032&lt;= 60,"46-60",F1032&lt;=75,"61-75",F1032&lt;=90,"76-90",F1032&gt;90,"91 or above")</f>
        <v>45 or below</v>
      </c>
      <c r="Q10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32" t="str" cm="1">
        <f t="array" ref="R10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33" spans="1:18" hidden="1" x14ac:dyDescent="0.2">
      <c r="A1033">
        <f>Table1[[#This Row],[Age]]</f>
        <v>46</v>
      </c>
      <c r="B1033">
        <f>IF(Table3[[#This Row],[Attrition]] = "Yes", 1,0)</f>
        <v>1</v>
      </c>
      <c r="C1033" t="str">
        <f>Table1[[#This Row],[Attrition]]</f>
        <v>Yes</v>
      </c>
      <c r="D1033" t="str">
        <f>Table1[[#This Row],[Department]]</f>
        <v>Sales</v>
      </c>
      <c r="E1033">
        <f>Table1[[#This Row],[EnvironmentSatisfaction]]</f>
        <v>1</v>
      </c>
      <c r="F1033">
        <f>Table1[[#This Row],[HourlyRate]]</f>
        <v>52</v>
      </c>
      <c r="G1033" t="str">
        <f>Table1[[#This Row],[JobRole]]</f>
        <v>Sales Executive</v>
      </c>
      <c r="H1033">
        <f>Table1[[#This Row],[JobSatisfaction]]</f>
        <v>4</v>
      </c>
      <c r="I1033">
        <f>Table1[[#This Row],[YearsAtCompany]]</f>
        <v>7</v>
      </c>
      <c r="J1033">
        <f>Table1[[#This Row],[YearsSinceLastPromotion]]</f>
        <v>4</v>
      </c>
      <c r="K1033">
        <f>Table1[[#This Row],[EmployeeNumber]]</f>
        <v>1457</v>
      </c>
      <c r="L1033">
        <f>Table1[[#This Row],[DistanceFromHome]]</f>
        <v>9</v>
      </c>
      <c r="M1033" t="str">
        <f>Table1[[#This Row],[OverTime]]</f>
        <v>No</v>
      </c>
      <c r="N1033">
        <f>Table1[[#This Row],[WorkLifeBalance]]</f>
        <v>4</v>
      </c>
      <c r="O1033" t="str" cm="1">
        <f t="array" ref="O1033">_xlfn.IFS(A1033&lt;=30,"18-30",A1033&lt;=40,"31-40",A1033&lt;=50,"41-50",A1033&gt;50,"51+")</f>
        <v>41-50</v>
      </c>
      <c r="P1033" t="str" cm="1">
        <f t="array" ref="P1033">_xlfn.IFS(F1033&lt;=45,"45 or below",F1033&lt;= 60,"46-60",F1033&lt;=75,"61-75",F1033&lt;=90,"76-90",F1033&gt;90,"91 or above")</f>
        <v>46-60</v>
      </c>
      <c r="Q103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33" t="str" cm="1">
        <f t="array" ref="R1033" xml:space="preserve"> _xlfn.IFS(Table3[[#This Row],[Flight Risk Score]] = "NA","NA",Table3[[#This Row],[Flight Risk Score]] &gt;= 70,"High Risk",Table3[[#This Row],[Flight Risk Score]] &gt;= 50, "Medium Risk", Table3[[#This Row],[Flight Risk Score]] &gt;= 30,"Low Risk",Table3[[#This Row],[Flight Risk Score]] &lt; 30,"Very Low Risk")</f>
        <v>NA</v>
      </c>
    </row>
    <row r="1034" spans="1:18" hidden="1" x14ac:dyDescent="0.2">
      <c r="A1034">
        <f>Table1[[#This Row],[Age]]</f>
        <v>39</v>
      </c>
      <c r="B1034">
        <f>IF(Table3[[#This Row],[Attrition]] = "Yes", 1,0)</f>
        <v>1</v>
      </c>
      <c r="C1034" t="str">
        <f>Table1[[#This Row],[Attrition]]</f>
        <v>Yes</v>
      </c>
      <c r="D1034" t="str">
        <f>Table1[[#This Row],[Department]]</f>
        <v>Research &amp; Development</v>
      </c>
      <c r="E1034">
        <f>Table1[[#This Row],[EnvironmentSatisfaction]]</f>
        <v>1</v>
      </c>
      <c r="F1034">
        <f>Table1[[#This Row],[HourlyRate]]</f>
        <v>54</v>
      </c>
      <c r="G1034" t="str">
        <f>Table1[[#This Row],[JobRole]]</f>
        <v>Laboratory Technician</v>
      </c>
      <c r="H1034">
        <f>Table1[[#This Row],[JobSatisfaction]]</f>
        <v>1</v>
      </c>
      <c r="I1034">
        <f>Table1[[#This Row],[YearsAtCompany]]</f>
        <v>1</v>
      </c>
      <c r="J1034">
        <f>Table1[[#This Row],[YearsSinceLastPromotion]]</f>
        <v>0</v>
      </c>
      <c r="K1034">
        <f>Table1[[#This Row],[EmployeeNumber]]</f>
        <v>1458</v>
      </c>
      <c r="L1034">
        <f>Table1[[#This Row],[DistanceFromHome]]</f>
        <v>2</v>
      </c>
      <c r="M1034" t="str">
        <f>Table1[[#This Row],[OverTime]]</f>
        <v>Yes</v>
      </c>
      <c r="N1034">
        <f>Table1[[#This Row],[WorkLifeBalance]]</f>
        <v>4</v>
      </c>
      <c r="O1034" t="str" cm="1">
        <f t="array" ref="O1034">_xlfn.IFS(A1034&lt;=30,"18-30",A1034&lt;=40,"31-40",A1034&lt;=50,"41-50",A1034&gt;50,"51+")</f>
        <v>31-40</v>
      </c>
      <c r="P1034" t="str" cm="1">
        <f t="array" ref="P1034">_xlfn.IFS(F1034&lt;=45,"45 or below",F1034&lt;= 60,"46-60",F1034&lt;=75,"61-75",F1034&lt;=90,"76-90",F1034&gt;90,"91 or above")</f>
        <v>46-60</v>
      </c>
      <c r="Q103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34" t="str" cm="1">
        <f t="array" ref="R1034" xml:space="preserve"> _xlfn.IFS(Table3[[#This Row],[Flight Risk Score]] = "NA","NA",Table3[[#This Row],[Flight Risk Score]] &gt;= 70,"High Risk",Table3[[#This Row],[Flight Risk Score]] &gt;= 50, "Medium Risk", Table3[[#This Row],[Flight Risk Score]] &gt;= 30,"Low Risk",Table3[[#This Row],[Flight Risk Score]] &lt; 30,"Very Low Risk")</f>
        <v>NA</v>
      </c>
    </row>
    <row r="1035" spans="1:18" hidden="1" x14ac:dyDescent="0.2">
      <c r="A1035">
        <f>Table1[[#This Row],[Age]]</f>
        <v>31</v>
      </c>
      <c r="B1035">
        <f>IF(Table3[[#This Row],[Attrition]] = "Yes", 1,0)</f>
        <v>1</v>
      </c>
      <c r="C1035" t="str">
        <f>Table1[[#This Row],[Attrition]]</f>
        <v>Yes</v>
      </c>
      <c r="D1035" t="str">
        <f>Table1[[#This Row],[Department]]</f>
        <v>Research &amp; Development</v>
      </c>
      <c r="E1035">
        <f>Table1[[#This Row],[EnvironmentSatisfaction]]</f>
        <v>3</v>
      </c>
      <c r="F1035">
        <f>Table1[[#This Row],[HourlyRate]]</f>
        <v>100</v>
      </c>
      <c r="G1035" t="str">
        <f>Table1[[#This Row],[JobRole]]</f>
        <v>Manufacturing Director</v>
      </c>
      <c r="H1035">
        <f>Table1[[#This Row],[JobSatisfaction]]</f>
        <v>2</v>
      </c>
      <c r="I1035">
        <f>Table1[[#This Row],[YearsAtCompany]]</f>
        <v>10</v>
      </c>
      <c r="J1035">
        <f>Table1[[#This Row],[YearsSinceLastPromotion]]</f>
        <v>4</v>
      </c>
      <c r="K1035">
        <f>Table1[[#This Row],[EmployeeNumber]]</f>
        <v>1459</v>
      </c>
      <c r="L1035">
        <f>Table1[[#This Row],[DistanceFromHome]]</f>
        <v>1</v>
      </c>
      <c r="M1035" t="str">
        <f>Table1[[#This Row],[OverTime]]</f>
        <v>No</v>
      </c>
      <c r="N1035">
        <f>Table1[[#This Row],[WorkLifeBalance]]</f>
        <v>3</v>
      </c>
      <c r="O1035" t="str" cm="1">
        <f t="array" ref="O1035">_xlfn.IFS(A1035&lt;=30,"18-30",A1035&lt;=40,"31-40",A1035&lt;=50,"41-50",A1035&gt;50,"51+")</f>
        <v>31-40</v>
      </c>
      <c r="P1035" t="str" cm="1">
        <f t="array" ref="P1035">_xlfn.IFS(F1035&lt;=45,"45 or below",F1035&lt;= 60,"46-60",F1035&lt;=75,"61-75",F1035&lt;=90,"76-90",F1035&gt;90,"91 or above")</f>
        <v>91 or above</v>
      </c>
      <c r="Q103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35" t="str" cm="1">
        <f t="array" ref="R1035" xml:space="preserve"> _xlfn.IFS(Table3[[#This Row],[Flight Risk Score]] = "NA","NA",Table3[[#This Row],[Flight Risk Score]] &gt;= 70,"High Risk",Table3[[#This Row],[Flight Risk Score]] &gt;= 50, "Medium Risk", Table3[[#This Row],[Flight Risk Score]] &gt;= 30,"Low Risk",Table3[[#This Row],[Flight Risk Score]] &lt; 30,"Very Low Risk")</f>
        <v>NA</v>
      </c>
    </row>
    <row r="1036" spans="1:18" x14ac:dyDescent="0.2">
      <c r="A1036">
        <f>Table1[[#This Row],[Age]]</f>
        <v>45</v>
      </c>
      <c r="B1036">
        <f>IF(Table3[[#This Row],[Attrition]] = "Yes", 1,0)</f>
        <v>0</v>
      </c>
      <c r="C1036" t="str">
        <f>Table1[[#This Row],[Attrition]]</f>
        <v>No</v>
      </c>
      <c r="D1036" t="str">
        <f>Table1[[#This Row],[Department]]</f>
        <v>Research &amp; Development</v>
      </c>
      <c r="E1036">
        <f>Table1[[#This Row],[EnvironmentSatisfaction]]</f>
        <v>2</v>
      </c>
      <c r="F1036">
        <f>Table1[[#This Row],[HourlyRate]]</f>
        <v>95</v>
      </c>
      <c r="G1036" t="str">
        <f>Table1[[#This Row],[JobRole]]</f>
        <v>Healthcare Representative</v>
      </c>
      <c r="H1036">
        <f>Table1[[#This Row],[JobSatisfaction]]</f>
        <v>1</v>
      </c>
      <c r="I1036">
        <f>Table1[[#This Row],[YearsAtCompany]]</f>
        <v>7</v>
      </c>
      <c r="J1036">
        <f>Table1[[#This Row],[YearsSinceLastPromotion]]</f>
        <v>0</v>
      </c>
      <c r="K1036">
        <f>Table1[[#This Row],[EmployeeNumber]]</f>
        <v>1460</v>
      </c>
      <c r="L1036">
        <f>Table1[[#This Row],[DistanceFromHome]]</f>
        <v>20</v>
      </c>
      <c r="M1036" t="str">
        <f>Table1[[#This Row],[OverTime]]</f>
        <v>Yes</v>
      </c>
      <c r="N1036">
        <f>Table1[[#This Row],[WorkLifeBalance]]</f>
        <v>3</v>
      </c>
      <c r="O1036" t="str" cm="1">
        <f t="array" ref="O1036">_xlfn.IFS(A1036&lt;=30,"18-30",A1036&lt;=40,"31-40",A1036&lt;=50,"41-50",A1036&gt;50,"51+")</f>
        <v>41-50</v>
      </c>
      <c r="P1036" t="str" cm="1">
        <f t="array" ref="P1036">_xlfn.IFS(F1036&lt;=45,"45 or below",F1036&lt;= 60,"46-60",F1036&lt;=75,"61-75",F1036&lt;=90,"76-90",F1036&gt;90,"91 or above")</f>
        <v>91 or above</v>
      </c>
      <c r="Q10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036" t="str" cm="1">
        <f t="array" ref="R103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37" spans="1:18" x14ac:dyDescent="0.2">
      <c r="A1037">
        <f>Table1[[#This Row],[Age]]</f>
        <v>31</v>
      </c>
      <c r="B1037">
        <f>IF(Table3[[#This Row],[Attrition]] = "Yes", 1,0)</f>
        <v>0</v>
      </c>
      <c r="C1037" t="str">
        <f>Table1[[#This Row],[Attrition]]</f>
        <v>No</v>
      </c>
      <c r="D1037" t="str">
        <f>Table1[[#This Row],[Department]]</f>
        <v>Human Resources</v>
      </c>
      <c r="E1037">
        <f>Table1[[#This Row],[EnvironmentSatisfaction]]</f>
        <v>4</v>
      </c>
      <c r="F1037">
        <f>Table1[[#This Row],[HourlyRate]]</f>
        <v>96</v>
      </c>
      <c r="G1037" t="str">
        <f>Table1[[#This Row],[JobRole]]</f>
        <v>Human Resources</v>
      </c>
      <c r="H1037">
        <f>Table1[[#This Row],[JobSatisfaction]]</f>
        <v>2</v>
      </c>
      <c r="I1037">
        <f>Table1[[#This Row],[YearsAtCompany]]</f>
        <v>3</v>
      </c>
      <c r="J1037">
        <f>Table1[[#This Row],[YearsSinceLastPromotion]]</f>
        <v>0</v>
      </c>
      <c r="K1037">
        <f>Table1[[#This Row],[EmployeeNumber]]</f>
        <v>1461</v>
      </c>
      <c r="L1037">
        <f>Table1[[#This Row],[DistanceFromHome]]</f>
        <v>8</v>
      </c>
      <c r="M1037" t="str">
        <f>Table1[[#This Row],[OverTime]]</f>
        <v>No</v>
      </c>
      <c r="N1037">
        <f>Table1[[#This Row],[WorkLifeBalance]]</f>
        <v>3</v>
      </c>
      <c r="O1037" t="str" cm="1">
        <f t="array" ref="O1037">_xlfn.IFS(A1037&lt;=30,"18-30",A1037&lt;=40,"31-40",A1037&lt;=50,"41-50",A1037&gt;50,"51+")</f>
        <v>31-40</v>
      </c>
      <c r="P1037" t="str" cm="1">
        <f t="array" ref="P1037">_xlfn.IFS(F1037&lt;=45,"45 or below",F1037&lt;= 60,"46-60",F1037&lt;=75,"61-75",F1037&lt;=90,"76-90",F1037&gt;90,"91 or above")</f>
        <v>91 or above</v>
      </c>
      <c r="Q10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37" t="str" cm="1">
        <f t="array" ref="R103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38" spans="1:18" hidden="1" x14ac:dyDescent="0.2">
      <c r="A1038">
        <f>Table1[[#This Row],[Age]]</f>
        <v>31</v>
      </c>
      <c r="B1038">
        <f>IF(Table3[[#This Row],[Attrition]] = "Yes", 1,0)</f>
        <v>1</v>
      </c>
      <c r="C1038" t="str">
        <f>Table1[[#This Row],[Attrition]]</f>
        <v>Yes</v>
      </c>
      <c r="D1038" t="str">
        <f>Table1[[#This Row],[Department]]</f>
        <v>Research &amp; Development</v>
      </c>
      <c r="E1038">
        <f>Table1[[#This Row],[EnvironmentSatisfaction]]</f>
        <v>2</v>
      </c>
      <c r="F1038">
        <f>Table1[[#This Row],[HourlyRate]]</f>
        <v>94</v>
      </c>
      <c r="G1038" t="str">
        <f>Table1[[#This Row],[JobRole]]</f>
        <v>Laboratory Technician</v>
      </c>
      <c r="H1038">
        <f>Table1[[#This Row],[JobSatisfaction]]</f>
        <v>4</v>
      </c>
      <c r="I1038">
        <f>Table1[[#This Row],[YearsAtCompany]]</f>
        <v>2</v>
      </c>
      <c r="J1038">
        <f>Table1[[#This Row],[YearsSinceLastPromotion]]</f>
        <v>2</v>
      </c>
      <c r="K1038">
        <f>Table1[[#This Row],[EmployeeNumber]]</f>
        <v>1464</v>
      </c>
      <c r="L1038">
        <f>Table1[[#This Row],[DistanceFromHome]]</f>
        <v>2</v>
      </c>
      <c r="M1038" t="str">
        <f>Table1[[#This Row],[OverTime]]</f>
        <v>Yes</v>
      </c>
      <c r="N1038">
        <f>Table1[[#This Row],[WorkLifeBalance]]</f>
        <v>1</v>
      </c>
      <c r="O1038" t="str" cm="1">
        <f t="array" ref="O1038">_xlfn.IFS(A1038&lt;=30,"18-30",A1038&lt;=40,"31-40",A1038&lt;=50,"41-50",A1038&gt;50,"51+")</f>
        <v>31-40</v>
      </c>
      <c r="P1038" t="str" cm="1">
        <f t="array" ref="P1038">_xlfn.IFS(F1038&lt;=45,"45 or below",F1038&lt;= 60,"46-60",F1038&lt;=75,"61-75",F1038&lt;=90,"76-90",F1038&gt;90,"91 or above")</f>
        <v>91 or above</v>
      </c>
      <c r="Q10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38" t="str" cm="1">
        <f t="array" ref="R1038" xml:space="preserve"> _xlfn.IFS(Table3[[#This Row],[Flight Risk Score]] = "NA","NA",Table3[[#This Row],[Flight Risk Score]] &gt;= 70,"High Risk",Table3[[#This Row],[Flight Risk Score]] &gt;= 50, "Medium Risk", Table3[[#This Row],[Flight Risk Score]] &gt;= 30,"Low Risk",Table3[[#This Row],[Flight Risk Score]] &lt; 30,"Very Low Risk")</f>
        <v>NA</v>
      </c>
    </row>
    <row r="1039" spans="1:18" x14ac:dyDescent="0.2">
      <c r="A1039">
        <f>Table1[[#This Row],[Age]]</f>
        <v>45</v>
      </c>
      <c r="B1039">
        <f>IF(Table3[[#This Row],[Attrition]] = "Yes", 1,0)</f>
        <v>0</v>
      </c>
      <c r="C1039" t="str">
        <f>Table1[[#This Row],[Attrition]]</f>
        <v>No</v>
      </c>
      <c r="D1039" t="str">
        <f>Table1[[#This Row],[Department]]</f>
        <v>Research &amp; Development</v>
      </c>
      <c r="E1039">
        <f>Table1[[#This Row],[EnvironmentSatisfaction]]</f>
        <v>2</v>
      </c>
      <c r="F1039">
        <f>Table1[[#This Row],[HourlyRate]]</f>
        <v>55</v>
      </c>
      <c r="G1039" t="str">
        <f>Table1[[#This Row],[JobRole]]</f>
        <v>Manufacturing Director</v>
      </c>
      <c r="H1039">
        <f>Table1[[#This Row],[JobSatisfaction]]</f>
        <v>4</v>
      </c>
      <c r="I1039">
        <f>Table1[[#This Row],[YearsAtCompany]]</f>
        <v>3</v>
      </c>
      <c r="J1039">
        <f>Table1[[#This Row],[YearsSinceLastPromotion]]</f>
        <v>1</v>
      </c>
      <c r="K1039">
        <f>Table1[[#This Row],[EmployeeNumber]]</f>
        <v>1465</v>
      </c>
      <c r="L1039">
        <f>Table1[[#This Row],[DistanceFromHome]]</f>
        <v>29</v>
      </c>
      <c r="M1039" t="str">
        <f>Table1[[#This Row],[OverTime]]</f>
        <v>Yes</v>
      </c>
      <c r="N1039">
        <f>Table1[[#This Row],[WorkLifeBalance]]</f>
        <v>4</v>
      </c>
      <c r="O1039" t="str" cm="1">
        <f t="array" ref="O1039">_xlfn.IFS(A1039&lt;=30,"18-30",A1039&lt;=40,"31-40",A1039&lt;=50,"41-50",A1039&gt;50,"51+")</f>
        <v>41-50</v>
      </c>
      <c r="P1039" t="str" cm="1">
        <f t="array" ref="P1039">_xlfn.IFS(F1039&lt;=45,"45 or below",F1039&lt;= 60,"46-60",F1039&lt;=75,"61-75",F1039&lt;=90,"76-90",F1039&gt;90,"91 or above")</f>
        <v>46-60</v>
      </c>
      <c r="Q10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39" t="str" cm="1">
        <f t="array" ref="R103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40" spans="1:18" x14ac:dyDescent="0.2">
      <c r="A1040">
        <f>Table1[[#This Row],[Age]]</f>
        <v>48</v>
      </c>
      <c r="B1040">
        <f>IF(Table3[[#This Row],[Attrition]] = "Yes", 1,0)</f>
        <v>0</v>
      </c>
      <c r="C1040" t="str">
        <f>Table1[[#This Row],[Attrition]]</f>
        <v>No</v>
      </c>
      <c r="D1040" t="str">
        <f>Table1[[#This Row],[Department]]</f>
        <v>Sales</v>
      </c>
      <c r="E1040">
        <f>Table1[[#This Row],[EnvironmentSatisfaction]]</f>
        <v>3</v>
      </c>
      <c r="F1040">
        <f>Table1[[#This Row],[HourlyRate]]</f>
        <v>96</v>
      </c>
      <c r="G1040" t="str">
        <f>Table1[[#This Row],[JobRole]]</f>
        <v>Sales Executive</v>
      </c>
      <c r="H1040">
        <f>Table1[[#This Row],[JobSatisfaction]]</f>
        <v>1</v>
      </c>
      <c r="I1040">
        <f>Table1[[#This Row],[YearsAtCompany]]</f>
        <v>2</v>
      </c>
      <c r="J1040">
        <f>Table1[[#This Row],[YearsSinceLastPromotion]]</f>
        <v>2</v>
      </c>
      <c r="K1040">
        <f>Table1[[#This Row],[EmployeeNumber]]</f>
        <v>1466</v>
      </c>
      <c r="L1040">
        <f>Table1[[#This Row],[DistanceFromHome]]</f>
        <v>7</v>
      </c>
      <c r="M1040" t="str">
        <f>Table1[[#This Row],[OverTime]]</f>
        <v>No</v>
      </c>
      <c r="N1040">
        <f>Table1[[#This Row],[WorkLifeBalance]]</f>
        <v>3</v>
      </c>
      <c r="O1040" t="str" cm="1">
        <f t="array" ref="O1040">_xlfn.IFS(A1040&lt;=30,"18-30",A1040&lt;=40,"31-40",A1040&lt;=50,"41-50",A1040&gt;50,"51+")</f>
        <v>41-50</v>
      </c>
      <c r="P1040" t="str" cm="1">
        <f t="array" ref="P1040">_xlfn.IFS(F1040&lt;=45,"45 or below",F1040&lt;= 60,"46-60",F1040&lt;=75,"61-75",F1040&lt;=90,"76-90",F1040&gt;90,"91 or above")</f>
        <v>91 or above</v>
      </c>
      <c r="Q10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0" t="str" cm="1">
        <f t="array" ref="R104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1" spans="1:18" hidden="1" x14ac:dyDescent="0.2">
      <c r="A1041">
        <f>Table1[[#This Row],[Age]]</f>
        <v>34</v>
      </c>
      <c r="B1041">
        <f>IF(Table3[[#This Row],[Attrition]] = "Yes", 1,0)</f>
        <v>1</v>
      </c>
      <c r="C1041" t="str">
        <f>Table1[[#This Row],[Attrition]]</f>
        <v>Yes</v>
      </c>
      <c r="D1041" t="str">
        <f>Table1[[#This Row],[Department]]</f>
        <v>Human Resources</v>
      </c>
      <c r="E1041">
        <f>Table1[[#This Row],[EnvironmentSatisfaction]]</f>
        <v>1</v>
      </c>
      <c r="F1041">
        <f>Table1[[#This Row],[HourlyRate]]</f>
        <v>52</v>
      </c>
      <c r="G1041" t="str">
        <f>Table1[[#This Row],[JobRole]]</f>
        <v>Human Resources</v>
      </c>
      <c r="H1041">
        <f>Table1[[#This Row],[JobSatisfaction]]</f>
        <v>3</v>
      </c>
      <c r="I1041">
        <f>Table1[[#This Row],[YearsAtCompany]]</f>
        <v>2</v>
      </c>
      <c r="J1041">
        <f>Table1[[#This Row],[YearsSinceLastPromotion]]</f>
        <v>2</v>
      </c>
      <c r="K1041">
        <f>Table1[[#This Row],[EmployeeNumber]]</f>
        <v>1467</v>
      </c>
      <c r="L1041">
        <f>Table1[[#This Row],[DistanceFromHome]]</f>
        <v>9</v>
      </c>
      <c r="M1041" t="str">
        <f>Table1[[#This Row],[OverTime]]</f>
        <v>No</v>
      </c>
      <c r="N1041">
        <f>Table1[[#This Row],[WorkLifeBalance]]</f>
        <v>3</v>
      </c>
      <c r="O1041" t="str" cm="1">
        <f t="array" ref="O1041">_xlfn.IFS(A1041&lt;=30,"18-30",A1041&lt;=40,"31-40",A1041&lt;=50,"41-50",A1041&gt;50,"51+")</f>
        <v>31-40</v>
      </c>
      <c r="P1041" t="str" cm="1">
        <f t="array" ref="P1041">_xlfn.IFS(F1041&lt;=45,"45 or below",F1041&lt;= 60,"46-60",F1041&lt;=75,"61-75",F1041&lt;=90,"76-90",F1041&gt;90,"91 or above")</f>
        <v>46-60</v>
      </c>
      <c r="Q104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41" t="str" cm="1">
        <f t="array" ref="R1041" xml:space="preserve"> _xlfn.IFS(Table3[[#This Row],[Flight Risk Score]] = "NA","NA",Table3[[#This Row],[Flight Risk Score]] &gt;= 70,"High Risk",Table3[[#This Row],[Flight Risk Score]] &gt;= 50, "Medium Risk", Table3[[#This Row],[Flight Risk Score]] &gt;= 30,"Low Risk",Table3[[#This Row],[Flight Risk Score]] &lt; 30,"Very Low Risk")</f>
        <v>NA</v>
      </c>
    </row>
    <row r="1042" spans="1:18" x14ac:dyDescent="0.2">
      <c r="A1042">
        <f>Table1[[#This Row],[Age]]</f>
        <v>40</v>
      </c>
      <c r="B1042">
        <f>IF(Table3[[#This Row],[Attrition]] = "Yes", 1,0)</f>
        <v>0</v>
      </c>
      <c r="C1042" t="str">
        <f>Table1[[#This Row],[Attrition]]</f>
        <v>No</v>
      </c>
      <c r="D1042" t="str">
        <f>Table1[[#This Row],[Department]]</f>
        <v>Research &amp; Development</v>
      </c>
      <c r="E1042">
        <f>Table1[[#This Row],[EnvironmentSatisfaction]]</f>
        <v>4</v>
      </c>
      <c r="F1042">
        <f>Table1[[#This Row],[HourlyRate]]</f>
        <v>55</v>
      </c>
      <c r="G1042" t="str">
        <f>Table1[[#This Row],[JobRole]]</f>
        <v>Research Director</v>
      </c>
      <c r="H1042">
        <f>Table1[[#This Row],[JobSatisfaction]]</f>
        <v>2</v>
      </c>
      <c r="I1042">
        <f>Table1[[#This Row],[YearsAtCompany]]</f>
        <v>9</v>
      </c>
      <c r="J1042">
        <f>Table1[[#This Row],[YearsSinceLastPromotion]]</f>
        <v>4</v>
      </c>
      <c r="K1042">
        <f>Table1[[#This Row],[EmployeeNumber]]</f>
        <v>1468</v>
      </c>
      <c r="L1042">
        <f>Table1[[#This Row],[DistanceFromHome]]</f>
        <v>8</v>
      </c>
      <c r="M1042" t="str">
        <f>Table1[[#This Row],[OverTime]]</f>
        <v>No</v>
      </c>
      <c r="N1042">
        <f>Table1[[#This Row],[WorkLifeBalance]]</f>
        <v>3</v>
      </c>
      <c r="O1042" t="str" cm="1">
        <f t="array" ref="O1042">_xlfn.IFS(A1042&lt;=30,"18-30",A1042&lt;=40,"31-40",A1042&lt;=50,"41-50",A1042&gt;50,"51+")</f>
        <v>31-40</v>
      </c>
      <c r="P1042" t="str" cm="1">
        <f t="array" ref="P1042">_xlfn.IFS(F1042&lt;=45,"45 or below",F1042&lt;= 60,"46-60",F1042&lt;=75,"61-75",F1042&lt;=90,"76-90",F1042&gt;90,"91 or above")</f>
        <v>46-60</v>
      </c>
      <c r="Q10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2" t="str" cm="1">
        <f t="array" ref="R10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3" spans="1:18" x14ac:dyDescent="0.2">
      <c r="A1043">
        <f>Table1[[#This Row],[Age]]</f>
        <v>28</v>
      </c>
      <c r="B1043">
        <f>IF(Table3[[#This Row],[Attrition]] = "Yes", 1,0)</f>
        <v>0</v>
      </c>
      <c r="C1043" t="str">
        <f>Table1[[#This Row],[Attrition]]</f>
        <v>No</v>
      </c>
      <c r="D1043" t="str">
        <f>Table1[[#This Row],[Department]]</f>
        <v>Sales</v>
      </c>
      <c r="E1043">
        <f>Table1[[#This Row],[EnvironmentSatisfaction]]</f>
        <v>4</v>
      </c>
      <c r="F1043">
        <f>Table1[[#This Row],[HourlyRate]]</f>
        <v>84</v>
      </c>
      <c r="G1043" t="str">
        <f>Table1[[#This Row],[JobRole]]</f>
        <v>Sales Executive</v>
      </c>
      <c r="H1043">
        <f>Table1[[#This Row],[JobSatisfaction]]</f>
        <v>1</v>
      </c>
      <c r="I1043">
        <f>Table1[[#This Row],[YearsAtCompany]]</f>
        <v>5</v>
      </c>
      <c r="J1043">
        <f>Table1[[#This Row],[YearsSinceLastPromotion]]</f>
        <v>1</v>
      </c>
      <c r="K1043">
        <f>Table1[[#This Row],[EmployeeNumber]]</f>
        <v>1469</v>
      </c>
      <c r="L1043">
        <f>Table1[[#This Row],[DistanceFromHome]]</f>
        <v>5</v>
      </c>
      <c r="M1043" t="str">
        <f>Table1[[#This Row],[OverTime]]</f>
        <v>No</v>
      </c>
      <c r="N1043">
        <f>Table1[[#This Row],[WorkLifeBalance]]</f>
        <v>3</v>
      </c>
      <c r="O1043" t="str" cm="1">
        <f t="array" ref="O1043">_xlfn.IFS(A1043&lt;=30,"18-30",A1043&lt;=40,"31-40",A1043&lt;=50,"41-50",A1043&gt;50,"51+")</f>
        <v>18-30</v>
      </c>
      <c r="P1043" t="str" cm="1">
        <f t="array" ref="P1043">_xlfn.IFS(F1043&lt;=45,"45 or below",F1043&lt;= 60,"46-60",F1043&lt;=75,"61-75",F1043&lt;=90,"76-90",F1043&gt;90,"91 or above")</f>
        <v>76-90</v>
      </c>
      <c r="Q10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3" t="str" cm="1">
        <f t="array" ref="R10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4" spans="1:18" x14ac:dyDescent="0.2">
      <c r="A1044">
        <f>Table1[[#This Row],[Age]]</f>
        <v>44</v>
      </c>
      <c r="B1044">
        <f>IF(Table3[[#This Row],[Attrition]] = "Yes", 1,0)</f>
        <v>0</v>
      </c>
      <c r="C1044" t="str">
        <f>Table1[[#This Row],[Attrition]]</f>
        <v>No</v>
      </c>
      <c r="D1044" t="str">
        <f>Table1[[#This Row],[Department]]</f>
        <v>Research &amp; Development</v>
      </c>
      <c r="E1044">
        <f>Table1[[#This Row],[EnvironmentSatisfaction]]</f>
        <v>3</v>
      </c>
      <c r="F1044">
        <f>Table1[[#This Row],[HourlyRate]]</f>
        <v>90</v>
      </c>
      <c r="G1044" t="str">
        <f>Table1[[#This Row],[JobRole]]</f>
        <v>Laboratory Technician</v>
      </c>
      <c r="H1044">
        <f>Table1[[#This Row],[JobSatisfaction]]</f>
        <v>3</v>
      </c>
      <c r="I1044">
        <f>Table1[[#This Row],[YearsAtCompany]]</f>
        <v>5</v>
      </c>
      <c r="J1044">
        <f>Table1[[#This Row],[YearsSinceLastPromotion]]</f>
        <v>0</v>
      </c>
      <c r="K1044">
        <f>Table1[[#This Row],[EmployeeNumber]]</f>
        <v>1471</v>
      </c>
      <c r="L1044">
        <f>Table1[[#This Row],[DistanceFromHome]]</f>
        <v>5</v>
      </c>
      <c r="M1044" t="str">
        <f>Table1[[#This Row],[OverTime]]</f>
        <v>No</v>
      </c>
      <c r="N1044">
        <f>Table1[[#This Row],[WorkLifeBalance]]</f>
        <v>3</v>
      </c>
      <c r="O1044" t="str" cm="1">
        <f t="array" ref="O1044">_xlfn.IFS(A1044&lt;=30,"18-30",A1044&lt;=40,"31-40",A1044&lt;=50,"41-50",A1044&gt;50,"51+")</f>
        <v>41-50</v>
      </c>
      <c r="P1044" t="str" cm="1">
        <f t="array" ref="P1044">_xlfn.IFS(F1044&lt;=45,"45 or below",F1044&lt;= 60,"46-60",F1044&lt;=75,"61-75",F1044&lt;=90,"76-90",F1044&gt;90,"91 or above")</f>
        <v>76-90</v>
      </c>
      <c r="Q10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44" t="str" cm="1">
        <f t="array" ref="R104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5" spans="1:18" x14ac:dyDescent="0.2">
      <c r="A1045">
        <f>Table1[[#This Row],[Age]]</f>
        <v>53</v>
      </c>
      <c r="B1045">
        <f>IF(Table3[[#This Row],[Attrition]] = "Yes", 1,0)</f>
        <v>0</v>
      </c>
      <c r="C1045" t="str">
        <f>Table1[[#This Row],[Attrition]]</f>
        <v>No</v>
      </c>
      <c r="D1045" t="str">
        <f>Table1[[#This Row],[Department]]</f>
        <v>Research &amp; Development</v>
      </c>
      <c r="E1045">
        <f>Table1[[#This Row],[EnvironmentSatisfaction]]</f>
        <v>4</v>
      </c>
      <c r="F1045">
        <f>Table1[[#This Row],[HourlyRate]]</f>
        <v>39</v>
      </c>
      <c r="G1045" t="str">
        <f>Table1[[#This Row],[JobRole]]</f>
        <v>Research Director</v>
      </c>
      <c r="H1045">
        <f>Table1[[#This Row],[JobSatisfaction]]</f>
        <v>2</v>
      </c>
      <c r="I1045">
        <f>Table1[[#This Row],[YearsAtCompany]]</f>
        <v>9</v>
      </c>
      <c r="J1045">
        <f>Table1[[#This Row],[YearsSinceLastPromotion]]</f>
        <v>8</v>
      </c>
      <c r="K1045">
        <f>Table1[[#This Row],[EmployeeNumber]]</f>
        <v>1472</v>
      </c>
      <c r="L1045">
        <f>Table1[[#This Row],[DistanceFromHome]]</f>
        <v>2</v>
      </c>
      <c r="M1045" t="str">
        <f>Table1[[#This Row],[OverTime]]</f>
        <v>No</v>
      </c>
      <c r="N1045">
        <f>Table1[[#This Row],[WorkLifeBalance]]</f>
        <v>2</v>
      </c>
      <c r="O1045" t="str" cm="1">
        <f t="array" ref="O1045">_xlfn.IFS(A1045&lt;=30,"18-30",A1045&lt;=40,"31-40",A1045&lt;=50,"41-50",A1045&gt;50,"51+")</f>
        <v>51+</v>
      </c>
      <c r="P1045" t="str" cm="1">
        <f t="array" ref="P1045">_xlfn.IFS(F1045&lt;=45,"45 or below",F1045&lt;= 60,"46-60",F1045&lt;=75,"61-75",F1045&lt;=90,"76-90",F1045&gt;90,"91 or above")</f>
        <v>45 or below</v>
      </c>
      <c r="Q10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5" t="str" cm="1">
        <f t="array" ref="R10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6" spans="1:18" x14ac:dyDescent="0.2">
      <c r="A1046">
        <f>Table1[[#This Row],[Age]]</f>
        <v>49</v>
      </c>
      <c r="B1046">
        <f>IF(Table3[[#This Row],[Attrition]] = "Yes", 1,0)</f>
        <v>0</v>
      </c>
      <c r="C1046" t="str">
        <f>Table1[[#This Row],[Attrition]]</f>
        <v>No</v>
      </c>
      <c r="D1046" t="str">
        <f>Table1[[#This Row],[Department]]</f>
        <v>Research &amp; Development</v>
      </c>
      <c r="E1046">
        <f>Table1[[#This Row],[EnvironmentSatisfaction]]</f>
        <v>1</v>
      </c>
      <c r="F1046">
        <f>Table1[[#This Row],[HourlyRate]]</f>
        <v>96</v>
      </c>
      <c r="G1046" t="str">
        <f>Table1[[#This Row],[JobRole]]</f>
        <v>Healthcare Representative</v>
      </c>
      <c r="H1046">
        <f>Table1[[#This Row],[JobSatisfaction]]</f>
        <v>3</v>
      </c>
      <c r="I1046">
        <f>Table1[[#This Row],[YearsAtCompany]]</f>
        <v>3</v>
      </c>
      <c r="J1046">
        <f>Table1[[#This Row],[YearsSinceLastPromotion]]</f>
        <v>1</v>
      </c>
      <c r="K1046">
        <f>Table1[[#This Row],[EmployeeNumber]]</f>
        <v>1473</v>
      </c>
      <c r="L1046">
        <f>Table1[[#This Row],[DistanceFromHome]]</f>
        <v>5</v>
      </c>
      <c r="M1046" t="str">
        <f>Table1[[#This Row],[OverTime]]</f>
        <v>No</v>
      </c>
      <c r="N1046">
        <f>Table1[[#This Row],[WorkLifeBalance]]</f>
        <v>2</v>
      </c>
      <c r="O1046" t="str" cm="1">
        <f t="array" ref="O1046">_xlfn.IFS(A1046&lt;=30,"18-30",A1046&lt;=40,"31-40",A1046&lt;=50,"41-50",A1046&gt;50,"51+")</f>
        <v>41-50</v>
      </c>
      <c r="P1046" t="str" cm="1">
        <f t="array" ref="P1046">_xlfn.IFS(F1046&lt;=45,"45 or below",F1046&lt;= 60,"46-60",F1046&lt;=75,"61-75",F1046&lt;=90,"76-90",F1046&gt;90,"91 or above")</f>
        <v>91 or above</v>
      </c>
      <c r="Q10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6" t="str" cm="1">
        <f t="array" ref="R10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7" spans="1:18" x14ac:dyDescent="0.2">
      <c r="A1047">
        <f>Table1[[#This Row],[Age]]</f>
        <v>40</v>
      </c>
      <c r="B1047">
        <f>IF(Table3[[#This Row],[Attrition]] = "Yes", 1,0)</f>
        <v>0</v>
      </c>
      <c r="C1047" t="str">
        <f>Table1[[#This Row],[Attrition]]</f>
        <v>No</v>
      </c>
      <c r="D1047" t="str">
        <f>Table1[[#This Row],[Department]]</f>
        <v>Research &amp; Development</v>
      </c>
      <c r="E1047">
        <f>Table1[[#This Row],[EnvironmentSatisfaction]]</f>
        <v>3</v>
      </c>
      <c r="F1047">
        <f>Table1[[#This Row],[HourlyRate]]</f>
        <v>68</v>
      </c>
      <c r="G1047" t="str">
        <f>Table1[[#This Row],[JobRole]]</f>
        <v>Research Scientist</v>
      </c>
      <c r="H1047">
        <f>Table1[[#This Row],[JobSatisfaction]]</f>
        <v>3</v>
      </c>
      <c r="I1047">
        <f>Table1[[#This Row],[YearsAtCompany]]</f>
        <v>3</v>
      </c>
      <c r="J1047">
        <f>Table1[[#This Row],[YearsSinceLastPromotion]]</f>
        <v>1</v>
      </c>
      <c r="K1047">
        <f>Table1[[#This Row],[EmployeeNumber]]</f>
        <v>1474</v>
      </c>
      <c r="L1047">
        <f>Table1[[#This Row],[DistanceFromHome]]</f>
        <v>2</v>
      </c>
      <c r="M1047" t="str">
        <f>Table1[[#This Row],[OverTime]]</f>
        <v>No</v>
      </c>
      <c r="N1047">
        <f>Table1[[#This Row],[WorkLifeBalance]]</f>
        <v>4</v>
      </c>
      <c r="O1047" t="str" cm="1">
        <f t="array" ref="O1047">_xlfn.IFS(A1047&lt;=30,"18-30",A1047&lt;=40,"31-40",A1047&lt;=50,"41-50",A1047&gt;50,"51+")</f>
        <v>31-40</v>
      </c>
      <c r="P1047" t="str" cm="1">
        <f t="array" ref="P1047">_xlfn.IFS(F1047&lt;=45,"45 or below",F1047&lt;= 60,"46-60",F1047&lt;=75,"61-75",F1047&lt;=90,"76-90",F1047&gt;90,"91 or above")</f>
        <v>61-75</v>
      </c>
      <c r="Q10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47" t="str" cm="1">
        <f t="array" ref="R104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8" spans="1:18" x14ac:dyDescent="0.2">
      <c r="A1048">
        <f>Table1[[#This Row],[Age]]</f>
        <v>44</v>
      </c>
      <c r="B1048">
        <f>IF(Table3[[#This Row],[Attrition]] = "Yes", 1,0)</f>
        <v>0</v>
      </c>
      <c r="C1048" t="str">
        <f>Table1[[#This Row],[Attrition]]</f>
        <v>No</v>
      </c>
      <c r="D1048" t="str">
        <f>Table1[[#This Row],[Department]]</f>
        <v>Research &amp; Development</v>
      </c>
      <c r="E1048">
        <f>Table1[[#This Row],[EnvironmentSatisfaction]]</f>
        <v>4</v>
      </c>
      <c r="F1048">
        <f>Table1[[#This Row],[HourlyRate]]</f>
        <v>49</v>
      </c>
      <c r="G1048" t="str">
        <f>Table1[[#This Row],[JobRole]]</f>
        <v>Research Scientist</v>
      </c>
      <c r="H1048">
        <f>Table1[[#This Row],[JobSatisfaction]]</f>
        <v>2</v>
      </c>
      <c r="I1048">
        <f>Table1[[#This Row],[YearsAtCompany]]</f>
        <v>5</v>
      </c>
      <c r="J1048">
        <f>Table1[[#This Row],[YearsSinceLastPromotion]]</f>
        <v>1</v>
      </c>
      <c r="K1048">
        <f>Table1[[#This Row],[EmployeeNumber]]</f>
        <v>1475</v>
      </c>
      <c r="L1048">
        <f>Table1[[#This Row],[DistanceFromHome]]</f>
        <v>20</v>
      </c>
      <c r="M1048" t="str">
        <f>Table1[[#This Row],[OverTime]]</f>
        <v>No</v>
      </c>
      <c r="N1048">
        <f>Table1[[#This Row],[WorkLifeBalance]]</f>
        <v>2</v>
      </c>
      <c r="O1048" t="str" cm="1">
        <f t="array" ref="O1048">_xlfn.IFS(A1048&lt;=30,"18-30",A1048&lt;=40,"31-40",A1048&lt;=50,"41-50",A1048&gt;50,"51+")</f>
        <v>41-50</v>
      </c>
      <c r="P1048" t="str" cm="1">
        <f t="array" ref="P1048">_xlfn.IFS(F1048&lt;=45,"45 or below",F1048&lt;= 60,"46-60",F1048&lt;=75,"61-75",F1048&lt;=90,"76-90",F1048&gt;90,"91 or above")</f>
        <v>46-60</v>
      </c>
      <c r="Q10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8" t="str" cm="1">
        <f t="array" ref="R10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49" spans="1:18" x14ac:dyDescent="0.2">
      <c r="A1049">
        <f>Table1[[#This Row],[Age]]</f>
        <v>33</v>
      </c>
      <c r="B1049">
        <f>IF(Table3[[#This Row],[Attrition]] = "Yes", 1,0)</f>
        <v>0</v>
      </c>
      <c r="C1049" t="str">
        <f>Table1[[#This Row],[Attrition]]</f>
        <v>No</v>
      </c>
      <c r="D1049" t="str">
        <f>Table1[[#This Row],[Department]]</f>
        <v>Sales</v>
      </c>
      <c r="E1049">
        <f>Table1[[#This Row],[EnvironmentSatisfaction]]</f>
        <v>4</v>
      </c>
      <c r="F1049">
        <f>Table1[[#This Row],[HourlyRate]]</f>
        <v>54</v>
      </c>
      <c r="G1049" t="str">
        <f>Table1[[#This Row],[JobRole]]</f>
        <v>Sales Executive</v>
      </c>
      <c r="H1049">
        <f>Table1[[#This Row],[JobSatisfaction]]</f>
        <v>1</v>
      </c>
      <c r="I1049">
        <f>Table1[[#This Row],[YearsAtCompany]]</f>
        <v>4</v>
      </c>
      <c r="J1049">
        <f>Table1[[#This Row],[YearsSinceLastPromotion]]</f>
        <v>0</v>
      </c>
      <c r="K1049">
        <f>Table1[[#This Row],[EmployeeNumber]]</f>
        <v>1477</v>
      </c>
      <c r="L1049">
        <f>Table1[[#This Row],[DistanceFromHome]]</f>
        <v>7</v>
      </c>
      <c r="M1049" t="str">
        <f>Table1[[#This Row],[OverTime]]</f>
        <v>No</v>
      </c>
      <c r="N1049">
        <f>Table1[[#This Row],[WorkLifeBalance]]</f>
        <v>3</v>
      </c>
      <c r="O1049" t="str" cm="1">
        <f t="array" ref="O1049">_xlfn.IFS(A1049&lt;=30,"18-30",A1049&lt;=40,"31-40",A1049&lt;=50,"41-50",A1049&gt;50,"51+")</f>
        <v>31-40</v>
      </c>
      <c r="P1049" t="str" cm="1">
        <f t="array" ref="P1049">_xlfn.IFS(F1049&lt;=45,"45 or below",F1049&lt;= 60,"46-60",F1049&lt;=75,"61-75",F1049&lt;=90,"76-90",F1049&gt;90,"91 or above")</f>
        <v>46-60</v>
      </c>
      <c r="Q10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49" t="str" cm="1">
        <f t="array" ref="R10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0" spans="1:18" x14ac:dyDescent="0.2">
      <c r="A1050">
        <f>Table1[[#This Row],[Age]]</f>
        <v>34</v>
      </c>
      <c r="B1050">
        <f>IF(Table3[[#This Row],[Attrition]] = "Yes", 1,0)</f>
        <v>0</v>
      </c>
      <c r="C1050" t="str">
        <f>Table1[[#This Row],[Attrition]]</f>
        <v>No</v>
      </c>
      <c r="D1050" t="str">
        <f>Table1[[#This Row],[Department]]</f>
        <v>Sales</v>
      </c>
      <c r="E1050">
        <f>Table1[[#This Row],[EnvironmentSatisfaction]]</f>
        <v>4</v>
      </c>
      <c r="F1050">
        <f>Table1[[#This Row],[HourlyRate]]</f>
        <v>81</v>
      </c>
      <c r="G1050" t="str">
        <f>Table1[[#This Row],[JobRole]]</f>
        <v>Sales Executive</v>
      </c>
      <c r="H1050">
        <f>Table1[[#This Row],[JobSatisfaction]]</f>
        <v>1</v>
      </c>
      <c r="I1050">
        <f>Table1[[#This Row],[YearsAtCompany]]</f>
        <v>13</v>
      </c>
      <c r="J1050">
        <f>Table1[[#This Row],[YearsSinceLastPromotion]]</f>
        <v>3</v>
      </c>
      <c r="K1050">
        <f>Table1[[#This Row],[EmployeeNumber]]</f>
        <v>1478</v>
      </c>
      <c r="L1050">
        <f>Table1[[#This Row],[DistanceFromHome]]</f>
        <v>3</v>
      </c>
      <c r="M1050" t="str">
        <f>Table1[[#This Row],[OverTime]]</f>
        <v>No</v>
      </c>
      <c r="N1050">
        <f>Table1[[#This Row],[WorkLifeBalance]]</f>
        <v>3</v>
      </c>
      <c r="O1050" t="str" cm="1">
        <f t="array" ref="O1050">_xlfn.IFS(A1050&lt;=30,"18-30",A1050&lt;=40,"31-40",A1050&lt;=50,"41-50",A1050&gt;50,"51+")</f>
        <v>31-40</v>
      </c>
      <c r="P1050" t="str" cm="1">
        <f t="array" ref="P1050">_xlfn.IFS(F1050&lt;=45,"45 or below",F1050&lt;= 60,"46-60",F1050&lt;=75,"61-75",F1050&lt;=90,"76-90",F1050&gt;90,"91 or above")</f>
        <v>76-90</v>
      </c>
      <c r="Q10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50" t="str" cm="1">
        <f t="array" ref="R10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1" spans="1:18" x14ac:dyDescent="0.2">
      <c r="A1051">
        <f>Table1[[#This Row],[Age]]</f>
        <v>30</v>
      </c>
      <c r="B1051">
        <f>IF(Table3[[#This Row],[Attrition]] = "Yes", 1,0)</f>
        <v>0</v>
      </c>
      <c r="C1051" t="str">
        <f>Table1[[#This Row],[Attrition]]</f>
        <v>No</v>
      </c>
      <c r="D1051" t="str">
        <f>Table1[[#This Row],[Department]]</f>
        <v>Sales</v>
      </c>
      <c r="E1051">
        <f>Table1[[#This Row],[EnvironmentSatisfaction]]</f>
        <v>4</v>
      </c>
      <c r="F1051">
        <f>Table1[[#This Row],[HourlyRate]]</f>
        <v>96</v>
      </c>
      <c r="G1051" t="str">
        <f>Table1[[#This Row],[JobRole]]</f>
        <v>Sales Executive</v>
      </c>
      <c r="H1051">
        <f>Table1[[#This Row],[JobSatisfaction]]</f>
        <v>3</v>
      </c>
      <c r="I1051">
        <f>Table1[[#This Row],[YearsAtCompany]]</f>
        <v>2</v>
      </c>
      <c r="J1051">
        <f>Table1[[#This Row],[YearsSinceLastPromotion]]</f>
        <v>2</v>
      </c>
      <c r="K1051">
        <f>Table1[[#This Row],[EmployeeNumber]]</f>
        <v>1479</v>
      </c>
      <c r="L1051">
        <f>Table1[[#This Row],[DistanceFromHome]]</f>
        <v>16</v>
      </c>
      <c r="M1051" t="str">
        <f>Table1[[#This Row],[OverTime]]</f>
        <v>No</v>
      </c>
      <c r="N1051">
        <f>Table1[[#This Row],[WorkLifeBalance]]</f>
        <v>2</v>
      </c>
      <c r="O1051" t="str" cm="1">
        <f t="array" ref="O1051">_xlfn.IFS(A1051&lt;=30,"18-30",A1051&lt;=40,"31-40",A1051&lt;=50,"41-50",A1051&gt;50,"51+")</f>
        <v>18-30</v>
      </c>
      <c r="P1051" t="str" cm="1">
        <f t="array" ref="P1051">_xlfn.IFS(F1051&lt;=45,"45 or below",F1051&lt;= 60,"46-60",F1051&lt;=75,"61-75",F1051&lt;=90,"76-90",F1051&gt;90,"91 or above")</f>
        <v>91 or above</v>
      </c>
      <c r="Q10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51" t="str" cm="1">
        <f t="array" ref="R10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2" spans="1:18" x14ac:dyDescent="0.2">
      <c r="A1052">
        <f>Table1[[#This Row],[Age]]</f>
        <v>42</v>
      </c>
      <c r="B1052">
        <f>IF(Table3[[#This Row],[Attrition]] = "Yes", 1,0)</f>
        <v>0</v>
      </c>
      <c r="C1052" t="str">
        <f>Table1[[#This Row],[Attrition]]</f>
        <v>No</v>
      </c>
      <c r="D1052" t="str">
        <f>Table1[[#This Row],[Department]]</f>
        <v>Research &amp; Development</v>
      </c>
      <c r="E1052">
        <f>Table1[[#This Row],[EnvironmentSatisfaction]]</f>
        <v>1</v>
      </c>
      <c r="F1052">
        <f>Table1[[#This Row],[HourlyRate]]</f>
        <v>74</v>
      </c>
      <c r="G1052" t="str">
        <f>Table1[[#This Row],[JobRole]]</f>
        <v>Laboratory Technician</v>
      </c>
      <c r="H1052">
        <f>Table1[[#This Row],[JobSatisfaction]]</f>
        <v>4</v>
      </c>
      <c r="I1052">
        <f>Table1[[#This Row],[YearsAtCompany]]</f>
        <v>12</v>
      </c>
      <c r="J1052">
        <f>Table1[[#This Row],[YearsSinceLastPromotion]]</f>
        <v>5</v>
      </c>
      <c r="K1052">
        <f>Table1[[#This Row],[EmployeeNumber]]</f>
        <v>1480</v>
      </c>
      <c r="L1052">
        <f>Table1[[#This Row],[DistanceFromHome]]</f>
        <v>9</v>
      </c>
      <c r="M1052" t="str">
        <f>Table1[[#This Row],[OverTime]]</f>
        <v>No</v>
      </c>
      <c r="N1052">
        <f>Table1[[#This Row],[WorkLifeBalance]]</f>
        <v>3</v>
      </c>
      <c r="O1052" t="str" cm="1">
        <f t="array" ref="O1052">_xlfn.IFS(A1052&lt;=30,"18-30",A1052&lt;=40,"31-40",A1052&lt;=50,"41-50",A1052&gt;50,"51+")</f>
        <v>41-50</v>
      </c>
      <c r="P1052" t="str" cm="1">
        <f t="array" ref="P1052">_xlfn.IFS(F1052&lt;=45,"45 or below",F1052&lt;= 60,"46-60",F1052&lt;=75,"61-75",F1052&lt;=90,"76-90",F1052&gt;90,"91 or above")</f>
        <v>61-75</v>
      </c>
      <c r="Q10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52" t="str" cm="1">
        <f t="array" ref="R105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3" spans="1:18" x14ac:dyDescent="0.2">
      <c r="A1053">
        <f>Table1[[#This Row],[Age]]</f>
        <v>44</v>
      </c>
      <c r="B1053">
        <f>IF(Table3[[#This Row],[Attrition]] = "Yes", 1,0)</f>
        <v>0</v>
      </c>
      <c r="C1053" t="str">
        <f>Table1[[#This Row],[Attrition]]</f>
        <v>No</v>
      </c>
      <c r="D1053" t="str">
        <f>Table1[[#This Row],[Department]]</f>
        <v>Sales</v>
      </c>
      <c r="E1053">
        <f>Table1[[#This Row],[EnvironmentSatisfaction]]</f>
        <v>1</v>
      </c>
      <c r="F1053">
        <f>Table1[[#This Row],[HourlyRate]]</f>
        <v>79</v>
      </c>
      <c r="G1053" t="str">
        <f>Table1[[#This Row],[JobRole]]</f>
        <v>Sales Executive</v>
      </c>
      <c r="H1053">
        <f>Table1[[#This Row],[JobSatisfaction]]</f>
        <v>3</v>
      </c>
      <c r="I1053">
        <f>Table1[[#This Row],[YearsAtCompany]]</f>
        <v>1</v>
      </c>
      <c r="J1053">
        <f>Table1[[#This Row],[YearsSinceLastPromotion]]</f>
        <v>0</v>
      </c>
      <c r="K1053">
        <f>Table1[[#This Row],[EmployeeNumber]]</f>
        <v>1481</v>
      </c>
      <c r="L1053">
        <f>Table1[[#This Row],[DistanceFromHome]]</f>
        <v>1</v>
      </c>
      <c r="M1053" t="str">
        <f>Table1[[#This Row],[OverTime]]</f>
        <v>No</v>
      </c>
      <c r="N1053">
        <f>Table1[[#This Row],[WorkLifeBalance]]</f>
        <v>2</v>
      </c>
      <c r="O1053" t="str" cm="1">
        <f t="array" ref="O1053">_xlfn.IFS(A1053&lt;=30,"18-30",A1053&lt;=40,"31-40",A1053&lt;=50,"41-50",A1053&gt;50,"51+")</f>
        <v>41-50</v>
      </c>
      <c r="P1053" t="str" cm="1">
        <f t="array" ref="P1053">_xlfn.IFS(F1053&lt;=45,"45 or below",F1053&lt;= 60,"46-60",F1053&lt;=75,"61-75",F1053&lt;=90,"76-90",F1053&gt;90,"91 or above")</f>
        <v>76-90</v>
      </c>
      <c r="Q10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53" t="str" cm="1">
        <f t="array" ref="R10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4" spans="1:18" x14ac:dyDescent="0.2">
      <c r="A1054">
        <f>Table1[[#This Row],[Age]]</f>
        <v>30</v>
      </c>
      <c r="B1054">
        <f>IF(Table3[[#This Row],[Attrition]] = "Yes", 1,0)</f>
        <v>0</v>
      </c>
      <c r="C1054" t="str">
        <f>Table1[[#This Row],[Attrition]]</f>
        <v>No</v>
      </c>
      <c r="D1054" t="str">
        <f>Table1[[#This Row],[Department]]</f>
        <v>Research &amp; Development</v>
      </c>
      <c r="E1054">
        <f>Table1[[#This Row],[EnvironmentSatisfaction]]</f>
        <v>3</v>
      </c>
      <c r="F1054">
        <f>Table1[[#This Row],[HourlyRate]]</f>
        <v>64</v>
      </c>
      <c r="G1054" t="str">
        <f>Table1[[#This Row],[JobRole]]</f>
        <v>Research Scientist</v>
      </c>
      <c r="H1054">
        <f>Table1[[#This Row],[JobSatisfaction]]</f>
        <v>3</v>
      </c>
      <c r="I1054">
        <f>Table1[[#This Row],[YearsAtCompany]]</f>
        <v>1</v>
      </c>
      <c r="J1054">
        <f>Table1[[#This Row],[YearsSinceLastPromotion]]</f>
        <v>0</v>
      </c>
      <c r="K1054">
        <f>Table1[[#This Row],[EmployeeNumber]]</f>
        <v>1482</v>
      </c>
      <c r="L1054">
        <f>Table1[[#This Row],[DistanceFromHome]]</f>
        <v>7</v>
      </c>
      <c r="M1054" t="str">
        <f>Table1[[#This Row],[OverTime]]</f>
        <v>No</v>
      </c>
      <c r="N1054">
        <f>Table1[[#This Row],[WorkLifeBalance]]</f>
        <v>2</v>
      </c>
      <c r="O1054" t="str" cm="1">
        <f t="array" ref="O1054">_xlfn.IFS(A1054&lt;=30,"18-30",A1054&lt;=40,"31-40",A1054&lt;=50,"41-50",A1054&gt;50,"51+")</f>
        <v>18-30</v>
      </c>
      <c r="P1054" t="str" cm="1">
        <f t="array" ref="P1054">_xlfn.IFS(F1054&lt;=45,"45 or below",F1054&lt;= 60,"46-60",F1054&lt;=75,"61-75",F1054&lt;=90,"76-90",F1054&gt;90,"91 or above")</f>
        <v>61-75</v>
      </c>
      <c r="Q10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54" t="str" cm="1">
        <f t="array" ref="R105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5" spans="1:18" x14ac:dyDescent="0.2">
      <c r="A1055">
        <f>Table1[[#This Row],[Age]]</f>
        <v>57</v>
      </c>
      <c r="B1055">
        <f>IF(Table3[[#This Row],[Attrition]] = "Yes", 1,0)</f>
        <v>0</v>
      </c>
      <c r="C1055" t="str">
        <f>Table1[[#This Row],[Attrition]]</f>
        <v>No</v>
      </c>
      <c r="D1055" t="str">
        <f>Table1[[#This Row],[Department]]</f>
        <v>Research &amp; Development</v>
      </c>
      <c r="E1055">
        <f>Table1[[#This Row],[EnvironmentSatisfaction]]</f>
        <v>2</v>
      </c>
      <c r="F1055">
        <f>Table1[[#This Row],[HourlyRate]]</f>
        <v>93</v>
      </c>
      <c r="G1055" t="str">
        <f>Table1[[#This Row],[JobRole]]</f>
        <v>Research Scientist</v>
      </c>
      <c r="H1055">
        <f>Table1[[#This Row],[JobSatisfaction]]</f>
        <v>3</v>
      </c>
      <c r="I1055">
        <f>Table1[[#This Row],[YearsAtCompany]]</f>
        <v>12</v>
      </c>
      <c r="J1055">
        <f>Table1[[#This Row],[YearsSinceLastPromotion]]</f>
        <v>2</v>
      </c>
      <c r="K1055">
        <f>Table1[[#This Row],[EmployeeNumber]]</f>
        <v>1483</v>
      </c>
      <c r="L1055">
        <f>Table1[[#This Row],[DistanceFromHome]]</f>
        <v>1</v>
      </c>
      <c r="M1055" t="str">
        <f>Table1[[#This Row],[OverTime]]</f>
        <v>No</v>
      </c>
      <c r="N1055">
        <f>Table1[[#This Row],[WorkLifeBalance]]</f>
        <v>2</v>
      </c>
      <c r="O1055" t="str" cm="1">
        <f t="array" ref="O1055">_xlfn.IFS(A1055&lt;=30,"18-30",A1055&lt;=40,"31-40",A1055&lt;=50,"41-50",A1055&gt;50,"51+")</f>
        <v>51+</v>
      </c>
      <c r="P1055" t="str" cm="1">
        <f t="array" ref="P1055">_xlfn.IFS(F1055&lt;=45,"45 or below",F1055&lt;= 60,"46-60",F1055&lt;=75,"61-75",F1055&lt;=90,"76-90",F1055&gt;90,"91 or above")</f>
        <v>91 or above</v>
      </c>
      <c r="Q10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55" t="str" cm="1">
        <f t="array" ref="R105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6" spans="1:18" x14ac:dyDescent="0.2">
      <c r="A1056">
        <f>Table1[[#This Row],[Age]]</f>
        <v>49</v>
      </c>
      <c r="B1056">
        <f>IF(Table3[[#This Row],[Attrition]] = "Yes", 1,0)</f>
        <v>0</v>
      </c>
      <c r="C1056" t="str">
        <f>Table1[[#This Row],[Attrition]]</f>
        <v>No</v>
      </c>
      <c r="D1056" t="str">
        <f>Table1[[#This Row],[Department]]</f>
        <v>Research &amp; Development</v>
      </c>
      <c r="E1056">
        <f>Table1[[#This Row],[EnvironmentSatisfaction]]</f>
        <v>3</v>
      </c>
      <c r="F1056">
        <f>Table1[[#This Row],[HourlyRate]]</f>
        <v>35</v>
      </c>
      <c r="G1056" t="str">
        <f>Table1[[#This Row],[JobRole]]</f>
        <v>Healthcare Representative</v>
      </c>
      <c r="H1056">
        <f>Table1[[#This Row],[JobSatisfaction]]</f>
        <v>2</v>
      </c>
      <c r="I1056">
        <f>Table1[[#This Row],[YearsAtCompany]]</f>
        <v>8</v>
      </c>
      <c r="J1056">
        <f>Table1[[#This Row],[YearsSinceLastPromotion]]</f>
        <v>0</v>
      </c>
      <c r="K1056">
        <f>Table1[[#This Row],[EmployeeNumber]]</f>
        <v>1484</v>
      </c>
      <c r="L1056">
        <f>Table1[[#This Row],[DistanceFromHome]]</f>
        <v>7</v>
      </c>
      <c r="M1056" t="str">
        <f>Table1[[#This Row],[OverTime]]</f>
        <v>No</v>
      </c>
      <c r="N1056">
        <f>Table1[[#This Row],[WorkLifeBalance]]</f>
        <v>3</v>
      </c>
      <c r="O1056" t="str" cm="1">
        <f t="array" ref="O1056">_xlfn.IFS(A1056&lt;=30,"18-30",A1056&lt;=40,"31-40",A1056&lt;=50,"41-50",A1056&gt;50,"51+")</f>
        <v>41-50</v>
      </c>
      <c r="P1056" t="str" cm="1">
        <f t="array" ref="P1056">_xlfn.IFS(F1056&lt;=45,"45 or below",F1056&lt;= 60,"46-60",F1056&lt;=75,"61-75",F1056&lt;=90,"76-90",F1056&gt;90,"91 or above")</f>
        <v>45 or below</v>
      </c>
      <c r="Q10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56" t="str" cm="1">
        <f t="array" ref="R10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57" spans="1:18" x14ac:dyDescent="0.2">
      <c r="A1057">
        <f>Table1[[#This Row],[Age]]</f>
        <v>34</v>
      </c>
      <c r="B1057">
        <f>IF(Table3[[#This Row],[Attrition]] = "Yes", 1,0)</f>
        <v>0</v>
      </c>
      <c r="C1057" t="str">
        <f>Table1[[#This Row],[Attrition]]</f>
        <v>No</v>
      </c>
      <c r="D1057" t="str">
        <f>Table1[[#This Row],[Department]]</f>
        <v>Research &amp; Development</v>
      </c>
      <c r="E1057">
        <f>Table1[[#This Row],[EnvironmentSatisfaction]]</f>
        <v>2</v>
      </c>
      <c r="F1057">
        <f>Table1[[#This Row],[HourlyRate]]</f>
        <v>71</v>
      </c>
      <c r="G1057" t="str">
        <f>Table1[[#This Row],[JobRole]]</f>
        <v>Research Director</v>
      </c>
      <c r="H1057">
        <f>Table1[[#This Row],[JobSatisfaction]]</f>
        <v>1</v>
      </c>
      <c r="I1057">
        <f>Table1[[#This Row],[YearsAtCompany]]</f>
        <v>14</v>
      </c>
      <c r="J1057">
        <f>Table1[[#This Row],[YearsSinceLastPromotion]]</f>
        <v>6</v>
      </c>
      <c r="K1057">
        <f>Table1[[#This Row],[EmployeeNumber]]</f>
        <v>1485</v>
      </c>
      <c r="L1057">
        <f>Table1[[#This Row],[DistanceFromHome]]</f>
        <v>15</v>
      </c>
      <c r="M1057" t="str">
        <f>Table1[[#This Row],[OverTime]]</f>
        <v>No</v>
      </c>
      <c r="N1057">
        <f>Table1[[#This Row],[WorkLifeBalance]]</f>
        <v>2</v>
      </c>
      <c r="O1057" t="str" cm="1">
        <f t="array" ref="O1057">_xlfn.IFS(A1057&lt;=30,"18-30",A1057&lt;=40,"31-40",A1057&lt;=50,"41-50",A1057&gt;50,"51+")</f>
        <v>31-40</v>
      </c>
      <c r="P1057" t="str" cm="1">
        <f t="array" ref="P1057">_xlfn.IFS(F1057&lt;=45,"45 or below",F1057&lt;= 60,"46-60",F1057&lt;=75,"61-75",F1057&lt;=90,"76-90",F1057&gt;90,"91 or above")</f>
        <v>61-75</v>
      </c>
      <c r="Q10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57" t="str" cm="1">
        <f t="array" ref="R105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58" spans="1:18" hidden="1" x14ac:dyDescent="0.2">
      <c r="A1058">
        <f>Table1[[#This Row],[Age]]</f>
        <v>28</v>
      </c>
      <c r="B1058">
        <f>IF(Table3[[#This Row],[Attrition]] = "Yes", 1,0)</f>
        <v>1</v>
      </c>
      <c r="C1058" t="str">
        <f>Table1[[#This Row],[Attrition]]</f>
        <v>Yes</v>
      </c>
      <c r="D1058" t="str">
        <f>Table1[[#This Row],[Department]]</f>
        <v>Sales</v>
      </c>
      <c r="E1058">
        <f>Table1[[#This Row],[EnvironmentSatisfaction]]</f>
        <v>1</v>
      </c>
      <c r="F1058">
        <f>Table1[[#This Row],[HourlyRate]]</f>
        <v>92</v>
      </c>
      <c r="G1058" t="str">
        <f>Table1[[#This Row],[JobRole]]</f>
        <v>Sales Representative</v>
      </c>
      <c r="H1058">
        <f>Table1[[#This Row],[JobSatisfaction]]</f>
        <v>3</v>
      </c>
      <c r="I1058">
        <f>Table1[[#This Row],[YearsAtCompany]]</f>
        <v>3</v>
      </c>
      <c r="J1058">
        <f>Table1[[#This Row],[YearsSinceLastPromotion]]</f>
        <v>1</v>
      </c>
      <c r="K1058">
        <f>Table1[[#This Row],[EmployeeNumber]]</f>
        <v>1486</v>
      </c>
      <c r="L1058">
        <f>Table1[[#This Row],[DistanceFromHome]]</f>
        <v>1</v>
      </c>
      <c r="M1058" t="str">
        <f>Table1[[#This Row],[OverTime]]</f>
        <v>No</v>
      </c>
      <c r="N1058">
        <f>Table1[[#This Row],[WorkLifeBalance]]</f>
        <v>4</v>
      </c>
      <c r="O1058" t="str" cm="1">
        <f t="array" ref="O1058">_xlfn.IFS(A1058&lt;=30,"18-30",A1058&lt;=40,"31-40",A1058&lt;=50,"41-50",A1058&gt;50,"51+")</f>
        <v>18-30</v>
      </c>
      <c r="P1058" t="str" cm="1">
        <f t="array" ref="P1058">_xlfn.IFS(F1058&lt;=45,"45 or below",F1058&lt;= 60,"46-60",F1058&lt;=75,"61-75",F1058&lt;=90,"76-90",F1058&gt;90,"91 or above")</f>
        <v>91 or above</v>
      </c>
      <c r="Q105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58" t="str" cm="1">
        <f t="array" ref="R1058" xml:space="preserve"> _xlfn.IFS(Table3[[#This Row],[Flight Risk Score]] = "NA","NA",Table3[[#This Row],[Flight Risk Score]] &gt;= 70,"High Risk",Table3[[#This Row],[Flight Risk Score]] &gt;= 50, "Medium Risk", Table3[[#This Row],[Flight Risk Score]] &gt;= 30,"Low Risk",Table3[[#This Row],[Flight Risk Score]] &lt; 30,"Very Low Risk")</f>
        <v>NA</v>
      </c>
    </row>
    <row r="1059" spans="1:18" hidden="1" x14ac:dyDescent="0.2">
      <c r="A1059">
        <f>Table1[[#This Row],[Age]]</f>
        <v>29</v>
      </c>
      <c r="B1059">
        <f>IF(Table3[[#This Row],[Attrition]] = "Yes", 1,0)</f>
        <v>1</v>
      </c>
      <c r="C1059" t="str">
        <f>Table1[[#This Row],[Attrition]]</f>
        <v>Yes</v>
      </c>
      <c r="D1059" t="str">
        <f>Table1[[#This Row],[Department]]</f>
        <v>Sales</v>
      </c>
      <c r="E1059">
        <f>Table1[[#This Row],[EnvironmentSatisfaction]]</f>
        <v>1</v>
      </c>
      <c r="F1059">
        <f>Table1[[#This Row],[HourlyRate]]</f>
        <v>51</v>
      </c>
      <c r="G1059" t="str">
        <f>Table1[[#This Row],[JobRole]]</f>
        <v>Sales Executive</v>
      </c>
      <c r="H1059">
        <f>Table1[[#This Row],[JobSatisfaction]]</f>
        <v>2</v>
      </c>
      <c r="I1059">
        <f>Table1[[#This Row],[YearsAtCompany]]</f>
        <v>5</v>
      </c>
      <c r="J1059">
        <f>Table1[[#This Row],[YearsSinceLastPromotion]]</f>
        <v>0</v>
      </c>
      <c r="K1059">
        <f>Table1[[#This Row],[EmployeeNumber]]</f>
        <v>1487</v>
      </c>
      <c r="L1059">
        <f>Table1[[#This Row],[DistanceFromHome]]</f>
        <v>13</v>
      </c>
      <c r="M1059" t="str">
        <f>Table1[[#This Row],[OverTime]]</f>
        <v>No</v>
      </c>
      <c r="N1059">
        <f>Table1[[#This Row],[WorkLifeBalance]]</f>
        <v>1</v>
      </c>
      <c r="O1059" t="str" cm="1">
        <f t="array" ref="O1059">_xlfn.IFS(A1059&lt;=30,"18-30",A1059&lt;=40,"31-40",A1059&lt;=50,"41-50",A1059&gt;50,"51+")</f>
        <v>18-30</v>
      </c>
      <c r="P1059" t="str" cm="1">
        <f t="array" ref="P1059">_xlfn.IFS(F1059&lt;=45,"45 or below",F1059&lt;= 60,"46-60",F1059&lt;=75,"61-75",F1059&lt;=90,"76-90",F1059&gt;90,"91 or above")</f>
        <v>46-60</v>
      </c>
      <c r="Q105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59" t="str" cm="1">
        <f t="array" ref="R1059" xml:space="preserve"> _xlfn.IFS(Table3[[#This Row],[Flight Risk Score]] = "NA","NA",Table3[[#This Row],[Flight Risk Score]] &gt;= 70,"High Risk",Table3[[#This Row],[Flight Risk Score]] &gt;= 50, "Medium Risk", Table3[[#This Row],[Flight Risk Score]] &gt;= 30,"Low Risk",Table3[[#This Row],[Flight Risk Score]] &lt; 30,"Very Low Risk")</f>
        <v>NA</v>
      </c>
    </row>
    <row r="1060" spans="1:18" hidden="1" x14ac:dyDescent="0.2">
      <c r="A1060">
        <f>Table1[[#This Row],[Age]]</f>
        <v>34</v>
      </c>
      <c r="B1060">
        <f>IF(Table3[[#This Row],[Attrition]] = "Yes", 1,0)</f>
        <v>1</v>
      </c>
      <c r="C1060" t="str">
        <f>Table1[[#This Row],[Attrition]]</f>
        <v>Yes</v>
      </c>
      <c r="D1060" t="str">
        <f>Table1[[#This Row],[Department]]</f>
        <v>Sales</v>
      </c>
      <c r="E1060">
        <f>Table1[[#This Row],[EnvironmentSatisfaction]]</f>
        <v>1</v>
      </c>
      <c r="F1060">
        <f>Table1[[#This Row],[HourlyRate]]</f>
        <v>40</v>
      </c>
      <c r="G1060" t="str">
        <f>Table1[[#This Row],[JobRole]]</f>
        <v>Sales Executive</v>
      </c>
      <c r="H1060">
        <f>Table1[[#This Row],[JobSatisfaction]]</f>
        <v>2</v>
      </c>
      <c r="I1060">
        <f>Table1[[#This Row],[YearsAtCompany]]</f>
        <v>15</v>
      </c>
      <c r="J1060">
        <f>Table1[[#This Row],[YearsSinceLastPromotion]]</f>
        <v>10</v>
      </c>
      <c r="K1060">
        <f>Table1[[#This Row],[EmployeeNumber]]</f>
        <v>1489</v>
      </c>
      <c r="L1060">
        <f>Table1[[#This Row],[DistanceFromHome]]</f>
        <v>24</v>
      </c>
      <c r="M1060" t="str">
        <f>Table1[[#This Row],[OverTime]]</f>
        <v>Yes</v>
      </c>
      <c r="N1060">
        <f>Table1[[#This Row],[WorkLifeBalance]]</f>
        <v>4</v>
      </c>
      <c r="O1060" t="str" cm="1">
        <f t="array" ref="O1060">_xlfn.IFS(A1060&lt;=30,"18-30",A1060&lt;=40,"31-40",A1060&lt;=50,"41-50",A1060&gt;50,"51+")</f>
        <v>31-40</v>
      </c>
      <c r="P1060" t="str" cm="1">
        <f t="array" ref="P1060">_xlfn.IFS(F1060&lt;=45,"45 or below",F1060&lt;= 60,"46-60",F1060&lt;=75,"61-75",F1060&lt;=90,"76-90",F1060&gt;90,"91 or above")</f>
        <v>45 or below</v>
      </c>
      <c r="Q106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60" t="str" cm="1">
        <f t="array" ref="R1060" xml:space="preserve"> _xlfn.IFS(Table3[[#This Row],[Flight Risk Score]] = "NA","NA",Table3[[#This Row],[Flight Risk Score]] &gt;= 70,"High Risk",Table3[[#This Row],[Flight Risk Score]] &gt;= 50, "Medium Risk", Table3[[#This Row],[Flight Risk Score]] &gt;= 30,"Low Risk",Table3[[#This Row],[Flight Risk Score]] &lt; 30,"Very Low Risk")</f>
        <v>NA</v>
      </c>
    </row>
    <row r="1061" spans="1:18" x14ac:dyDescent="0.2">
      <c r="A1061">
        <f>Table1[[#This Row],[Age]]</f>
        <v>35</v>
      </c>
      <c r="B1061">
        <f>IF(Table3[[#This Row],[Attrition]] = "Yes", 1,0)</f>
        <v>0</v>
      </c>
      <c r="C1061" t="str">
        <f>Table1[[#This Row],[Attrition]]</f>
        <v>No</v>
      </c>
      <c r="D1061" t="str">
        <f>Table1[[#This Row],[Department]]</f>
        <v>Sales</v>
      </c>
      <c r="E1061">
        <f>Table1[[#This Row],[EnvironmentSatisfaction]]</f>
        <v>4</v>
      </c>
      <c r="F1061">
        <f>Table1[[#This Row],[HourlyRate]]</f>
        <v>76</v>
      </c>
      <c r="G1061" t="str">
        <f>Table1[[#This Row],[JobRole]]</f>
        <v>Sales Representative</v>
      </c>
      <c r="H1061">
        <f>Table1[[#This Row],[JobSatisfaction]]</f>
        <v>3</v>
      </c>
      <c r="I1061">
        <f>Table1[[#This Row],[YearsAtCompany]]</f>
        <v>1</v>
      </c>
      <c r="J1061">
        <f>Table1[[#This Row],[YearsSinceLastPromotion]]</f>
        <v>0</v>
      </c>
      <c r="K1061">
        <f>Table1[[#This Row],[EmployeeNumber]]</f>
        <v>1492</v>
      </c>
      <c r="L1061">
        <f>Table1[[#This Row],[DistanceFromHome]]</f>
        <v>7</v>
      </c>
      <c r="M1061" t="str">
        <f>Table1[[#This Row],[OverTime]]</f>
        <v>No</v>
      </c>
      <c r="N1061">
        <f>Table1[[#This Row],[WorkLifeBalance]]</f>
        <v>3</v>
      </c>
      <c r="O1061" t="str" cm="1">
        <f t="array" ref="O1061">_xlfn.IFS(A1061&lt;=30,"18-30",A1061&lt;=40,"31-40",A1061&lt;=50,"41-50",A1061&gt;50,"51+")</f>
        <v>31-40</v>
      </c>
      <c r="P1061" t="str" cm="1">
        <f t="array" ref="P1061">_xlfn.IFS(F1061&lt;=45,"45 or below",F1061&lt;= 60,"46-60",F1061&lt;=75,"61-75",F1061&lt;=90,"76-90",F1061&gt;90,"91 or above")</f>
        <v>76-90</v>
      </c>
      <c r="Q10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61" t="str" cm="1">
        <f t="array" ref="R10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62" spans="1:18" hidden="1" x14ac:dyDescent="0.2">
      <c r="A1062">
        <f>Table1[[#This Row],[Age]]</f>
        <v>24</v>
      </c>
      <c r="B1062">
        <f>IF(Table3[[#This Row],[Attrition]] = "Yes", 1,0)</f>
        <v>1</v>
      </c>
      <c r="C1062" t="str">
        <f>Table1[[#This Row],[Attrition]]</f>
        <v>Yes</v>
      </c>
      <c r="D1062" t="str">
        <f>Table1[[#This Row],[Department]]</f>
        <v>Research &amp; Development</v>
      </c>
      <c r="E1062">
        <f>Table1[[#This Row],[EnvironmentSatisfaction]]</f>
        <v>2</v>
      </c>
      <c r="F1062">
        <f>Table1[[#This Row],[HourlyRate]]</f>
        <v>89</v>
      </c>
      <c r="G1062" t="str">
        <f>Table1[[#This Row],[JobRole]]</f>
        <v>Laboratory Technician</v>
      </c>
      <c r="H1062">
        <f>Table1[[#This Row],[JobSatisfaction]]</f>
        <v>1</v>
      </c>
      <c r="I1062">
        <f>Table1[[#This Row],[YearsAtCompany]]</f>
        <v>0</v>
      </c>
      <c r="J1062">
        <f>Table1[[#This Row],[YearsSinceLastPromotion]]</f>
        <v>0</v>
      </c>
      <c r="K1062">
        <f>Table1[[#This Row],[EmployeeNumber]]</f>
        <v>1494</v>
      </c>
      <c r="L1062">
        <f>Table1[[#This Row],[DistanceFromHome]]</f>
        <v>9</v>
      </c>
      <c r="M1062" t="str">
        <f>Table1[[#This Row],[OverTime]]</f>
        <v>Yes</v>
      </c>
      <c r="N1062">
        <f>Table1[[#This Row],[WorkLifeBalance]]</f>
        <v>2</v>
      </c>
      <c r="O1062" t="str" cm="1">
        <f t="array" ref="O1062">_xlfn.IFS(A1062&lt;=30,"18-30",A1062&lt;=40,"31-40",A1062&lt;=50,"41-50",A1062&gt;50,"51+")</f>
        <v>18-30</v>
      </c>
      <c r="P1062" t="str" cm="1">
        <f t="array" ref="P1062">_xlfn.IFS(F1062&lt;=45,"45 or below",F1062&lt;= 60,"46-60",F1062&lt;=75,"61-75",F1062&lt;=90,"76-90",F1062&gt;90,"91 or above")</f>
        <v>76-90</v>
      </c>
      <c r="Q106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62" t="str" cm="1">
        <f t="array" ref="R1062" xml:space="preserve"> _xlfn.IFS(Table3[[#This Row],[Flight Risk Score]] = "NA","NA",Table3[[#This Row],[Flight Risk Score]] &gt;= 70,"High Risk",Table3[[#This Row],[Flight Risk Score]] &gt;= 50, "Medium Risk", Table3[[#This Row],[Flight Risk Score]] &gt;= 30,"Low Risk",Table3[[#This Row],[Flight Risk Score]] &lt; 30,"Very Low Risk")</f>
        <v>NA</v>
      </c>
    </row>
    <row r="1063" spans="1:18" x14ac:dyDescent="0.2">
      <c r="A1063">
        <f>Table1[[#This Row],[Age]]</f>
        <v>24</v>
      </c>
      <c r="B1063">
        <f>IF(Table3[[#This Row],[Attrition]] = "Yes", 1,0)</f>
        <v>0</v>
      </c>
      <c r="C1063" t="str">
        <f>Table1[[#This Row],[Attrition]]</f>
        <v>No</v>
      </c>
      <c r="D1063" t="str">
        <f>Table1[[#This Row],[Department]]</f>
        <v>Sales</v>
      </c>
      <c r="E1063">
        <f>Table1[[#This Row],[EnvironmentSatisfaction]]</f>
        <v>4</v>
      </c>
      <c r="F1063">
        <f>Table1[[#This Row],[HourlyRate]]</f>
        <v>78</v>
      </c>
      <c r="G1063" t="str">
        <f>Table1[[#This Row],[JobRole]]</f>
        <v>Sales Representative</v>
      </c>
      <c r="H1063">
        <f>Table1[[#This Row],[JobSatisfaction]]</f>
        <v>2</v>
      </c>
      <c r="I1063">
        <f>Table1[[#This Row],[YearsAtCompany]]</f>
        <v>1</v>
      </c>
      <c r="J1063">
        <f>Table1[[#This Row],[YearsSinceLastPromotion]]</f>
        <v>0</v>
      </c>
      <c r="K1063">
        <f>Table1[[#This Row],[EmployeeNumber]]</f>
        <v>1495</v>
      </c>
      <c r="L1063">
        <f>Table1[[#This Row],[DistanceFromHome]]</f>
        <v>13</v>
      </c>
      <c r="M1063" t="str">
        <f>Table1[[#This Row],[OverTime]]</f>
        <v>No</v>
      </c>
      <c r="N1063">
        <f>Table1[[#This Row],[WorkLifeBalance]]</f>
        <v>3</v>
      </c>
      <c r="O1063" t="str" cm="1">
        <f t="array" ref="O1063">_xlfn.IFS(A1063&lt;=30,"18-30",A1063&lt;=40,"31-40",A1063&lt;=50,"41-50",A1063&gt;50,"51+")</f>
        <v>18-30</v>
      </c>
      <c r="P1063" t="str" cm="1">
        <f t="array" ref="P1063">_xlfn.IFS(F1063&lt;=45,"45 or below",F1063&lt;= 60,"46-60",F1063&lt;=75,"61-75",F1063&lt;=90,"76-90",F1063&gt;90,"91 or above")</f>
        <v>76-90</v>
      </c>
      <c r="Q10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63" t="str" cm="1">
        <f t="array" ref="R10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64" spans="1:18" x14ac:dyDescent="0.2">
      <c r="A1064">
        <f>Table1[[#This Row],[Age]]</f>
        <v>44</v>
      </c>
      <c r="B1064">
        <f>IF(Table3[[#This Row],[Attrition]] = "Yes", 1,0)</f>
        <v>0</v>
      </c>
      <c r="C1064" t="str">
        <f>Table1[[#This Row],[Attrition]]</f>
        <v>No</v>
      </c>
      <c r="D1064" t="str">
        <f>Table1[[#This Row],[Department]]</f>
        <v>Research &amp; Development</v>
      </c>
      <c r="E1064">
        <f>Table1[[#This Row],[EnvironmentSatisfaction]]</f>
        <v>2</v>
      </c>
      <c r="F1064">
        <f>Table1[[#This Row],[HourlyRate]]</f>
        <v>86</v>
      </c>
      <c r="G1064" t="str">
        <f>Table1[[#This Row],[JobRole]]</f>
        <v>Manufacturing Director</v>
      </c>
      <c r="H1064">
        <f>Table1[[#This Row],[JobSatisfaction]]</f>
        <v>3</v>
      </c>
      <c r="I1064">
        <f>Table1[[#This Row],[YearsAtCompany]]</f>
        <v>2</v>
      </c>
      <c r="J1064">
        <f>Table1[[#This Row],[YearsSinceLastPromotion]]</f>
        <v>2</v>
      </c>
      <c r="K1064">
        <f>Table1[[#This Row],[EmployeeNumber]]</f>
        <v>1496</v>
      </c>
      <c r="L1064">
        <f>Table1[[#This Row],[DistanceFromHome]]</f>
        <v>2</v>
      </c>
      <c r="M1064" t="str">
        <f>Table1[[#This Row],[OverTime]]</f>
        <v>Yes</v>
      </c>
      <c r="N1064">
        <f>Table1[[#This Row],[WorkLifeBalance]]</f>
        <v>2</v>
      </c>
      <c r="O1064" t="str" cm="1">
        <f t="array" ref="O1064">_xlfn.IFS(A1064&lt;=30,"18-30",A1064&lt;=40,"31-40",A1064&lt;=50,"41-50",A1064&gt;50,"51+")</f>
        <v>41-50</v>
      </c>
      <c r="P1064" t="str" cm="1">
        <f t="array" ref="P1064">_xlfn.IFS(F1064&lt;=45,"45 or below",F1064&lt;= 60,"46-60",F1064&lt;=75,"61-75",F1064&lt;=90,"76-90",F1064&gt;90,"91 or above")</f>
        <v>76-90</v>
      </c>
      <c r="Q10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64" t="str" cm="1">
        <f t="array" ref="R106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65" spans="1:18" x14ac:dyDescent="0.2">
      <c r="A1065">
        <f>Table1[[#This Row],[Age]]</f>
        <v>29</v>
      </c>
      <c r="B1065">
        <f>IF(Table3[[#This Row],[Attrition]] = "Yes", 1,0)</f>
        <v>0</v>
      </c>
      <c r="C1065" t="str">
        <f>Table1[[#This Row],[Attrition]]</f>
        <v>No</v>
      </c>
      <c r="D1065" t="str">
        <f>Table1[[#This Row],[Department]]</f>
        <v>Sales</v>
      </c>
      <c r="E1065">
        <f>Table1[[#This Row],[EnvironmentSatisfaction]]</f>
        <v>3</v>
      </c>
      <c r="F1065">
        <f>Table1[[#This Row],[HourlyRate]]</f>
        <v>77</v>
      </c>
      <c r="G1065" t="str">
        <f>Table1[[#This Row],[JobRole]]</f>
        <v>Sales Executive</v>
      </c>
      <c r="H1065">
        <f>Table1[[#This Row],[JobSatisfaction]]</f>
        <v>3</v>
      </c>
      <c r="I1065">
        <f>Table1[[#This Row],[YearsAtCompany]]</f>
        <v>10</v>
      </c>
      <c r="J1065">
        <f>Table1[[#This Row],[YearsSinceLastPromotion]]</f>
        <v>0</v>
      </c>
      <c r="K1065">
        <f>Table1[[#This Row],[EmployeeNumber]]</f>
        <v>1497</v>
      </c>
      <c r="L1065">
        <f>Table1[[#This Row],[DistanceFromHome]]</f>
        <v>19</v>
      </c>
      <c r="M1065" t="str">
        <f>Table1[[#This Row],[OverTime]]</f>
        <v>No</v>
      </c>
      <c r="N1065">
        <f>Table1[[#This Row],[WorkLifeBalance]]</f>
        <v>3</v>
      </c>
      <c r="O1065" t="str" cm="1">
        <f t="array" ref="O1065">_xlfn.IFS(A1065&lt;=30,"18-30",A1065&lt;=40,"31-40",A1065&lt;=50,"41-50",A1065&gt;50,"51+")</f>
        <v>18-30</v>
      </c>
      <c r="P1065" t="str" cm="1">
        <f t="array" ref="P1065">_xlfn.IFS(F1065&lt;=45,"45 or below",F1065&lt;= 60,"46-60",F1065&lt;=75,"61-75",F1065&lt;=90,"76-90",F1065&gt;90,"91 or above")</f>
        <v>76-90</v>
      </c>
      <c r="Q10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65" t="str" cm="1">
        <f t="array" ref="R106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66" spans="1:18" x14ac:dyDescent="0.2">
      <c r="A1066">
        <f>Table1[[#This Row],[Age]]</f>
        <v>30</v>
      </c>
      <c r="B1066">
        <f>IF(Table3[[#This Row],[Attrition]] = "Yes", 1,0)</f>
        <v>0</v>
      </c>
      <c r="C1066" t="str">
        <f>Table1[[#This Row],[Attrition]]</f>
        <v>No</v>
      </c>
      <c r="D1066" t="str">
        <f>Table1[[#This Row],[Department]]</f>
        <v>Human Resources</v>
      </c>
      <c r="E1066">
        <f>Table1[[#This Row],[EnvironmentSatisfaction]]</f>
        <v>3</v>
      </c>
      <c r="F1066">
        <f>Table1[[#This Row],[HourlyRate]]</f>
        <v>46</v>
      </c>
      <c r="G1066" t="str">
        <f>Table1[[#This Row],[JobRole]]</f>
        <v>Human Resources</v>
      </c>
      <c r="H1066">
        <f>Table1[[#This Row],[JobSatisfaction]]</f>
        <v>3</v>
      </c>
      <c r="I1066">
        <f>Table1[[#This Row],[YearsAtCompany]]</f>
        <v>5</v>
      </c>
      <c r="J1066">
        <f>Table1[[#This Row],[YearsSinceLastPromotion]]</f>
        <v>1</v>
      </c>
      <c r="K1066">
        <f>Table1[[#This Row],[EmployeeNumber]]</f>
        <v>1499</v>
      </c>
      <c r="L1066">
        <f>Table1[[#This Row],[DistanceFromHome]]</f>
        <v>1</v>
      </c>
      <c r="M1066" t="str">
        <f>Table1[[#This Row],[OverTime]]</f>
        <v>No</v>
      </c>
      <c r="N1066">
        <f>Table1[[#This Row],[WorkLifeBalance]]</f>
        <v>4</v>
      </c>
      <c r="O1066" t="str" cm="1">
        <f t="array" ref="O1066">_xlfn.IFS(A1066&lt;=30,"18-30",A1066&lt;=40,"31-40",A1066&lt;=50,"41-50",A1066&gt;50,"51+")</f>
        <v>18-30</v>
      </c>
      <c r="P1066" t="str" cm="1">
        <f t="array" ref="P1066">_xlfn.IFS(F1066&lt;=45,"45 or below",F1066&lt;= 60,"46-60",F1066&lt;=75,"61-75",F1066&lt;=90,"76-90",F1066&gt;90,"91 or above")</f>
        <v>46-60</v>
      </c>
      <c r="Q10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66" t="str" cm="1">
        <f t="array" ref="R10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67" spans="1:18" x14ac:dyDescent="0.2">
      <c r="A1067">
        <f>Table1[[#This Row],[Age]]</f>
        <v>55</v>
      </c>
      <c r="B1067">
        <f>IF(Table3[[#This Row],[Attrition]] = "Yes", 1,0)</f>
        <v>0</v>
      </c>
      <c r="C1067" t="str">
        <f>Table1[[#This Row],[Attrition]]</f>
        <v>No</v>
      </c>
      <c r="D1067" t="str">
        <f>Table1[[#This Row],[Department]]</f>
        <v>Research &amp; Development</v>
      </c>
      <c r="E1067">
        <f>Table1[[#This Row],[EnvironmentSatisfaction]]</f>
        <v>4</v>
      </c>
      <c r="F1067">
        <f>Table1[[#This Row],[HourlyRate]]</f>
        <v>30</v>
      </c>
      <c r="G1067" t="str">
        <f>Table1[[#This Row],[JobRole]]</f>
        <v>Healthcare Representative</v>
      </c>
      <c r="H1067">
        <f>Table1[[#This Row],[JobSatisfaction]]</f>
        <v>3</v>
      </c>
      <c r="I1067">
        <f>Table1[[#This Row],[YearsAtCompany]]</f>
        <v>3</v>
      </c>
      <c r="J1067">
        <f>Table1[[#This Row],[YearsSinceLastPromotion]]</f>
        <v>1</v>
      </c>
      <c r="K1067">
        <f>Table1[[#This Row],[EmployeeNumber]]</f>
        <v>1501</v>
      </c>
      <c r="L1067">
        <f>Table1[[#This Row],[DistanceFromHome]]</f>
        <v>4</v>
      </c>
      <c r="M1067" t="str">
        <f>Table1[[#This Row],[OverTime]]</f>
        <v>Yes</v>
      </c>
      <c r="N1067">
        <f>Table1[[#This Row],[WorkLifeBalance]]</f>
        <v>3</v>
      </c>
      <c r="O1067" t="str" cm="1">
        <f t="array" ref="O1067">_xlfn.IFS(A1067&lt;=30,"18-30",A1067&lt;=40,"31-40",A1067&lt;=50,"41-50",A1067&gt;50,"51+")</f>
        <v>51+</v>
      </c>
      <c r="P1067" t="str" cm="1">
        <f t="array" ref="P1067">_xlfn.IFS(F1067&lt;=45,"45 or below",F1067&lt;= 60,"46-60",F1067&lt;=75,"61-75",F1067&lt;=90,"76-90",F1067&gt;90,"91 or above")</f>
        <v>45 or below</v>
      </c>
      <c r="Q10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67" t="str" cm="1">
        <f t="array" ref="R106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68" spans="1:18" x14ac:dyDescent="0.2">
      <c r="A1068">
        <f>Table1[[#This Row],[Age]]</f>
        <v>33</v>
      </c>
      <c r="B1068">
        <f>IF(Table3[[#This Row],[Attrition]] = "Yes", 1,0)</f>
        <v>0</v>
      </c>
      <c r="C1068" t="str">
        <f>Table1[[#This Row],[Attrition]]</f>
        <v>No</v>
      </c>
      <c r="D1068" t="str">
        <f>Table1[[#This Row],[Department]]</f>
        <v>Research &amp; Development</v>
      </c>
      <c r="E1068">
        <f>Table1[[#This Row],[EnvironmentSatisfaction]]</f>
        <v>1</v>
      </c>
      <c r="F1068">
        <f>Table1[[#This Row],[HourlyRate]]</f>
        <v>82</v>
      </c>
      <c r="G1068" t="str">
        <f>Table1[[#This Row],[JobRole]]</f>
        <v>Laboratory Technician</v>
      </c>
      <c r="H1068">
        <f>Table1[[#This Row],[JobSatisfaction]]</f>
        <v>2</v>
      </c>
      <c r="I1068">
        <f>Table1[[#This Row],[YearsAtCompany]]</f>
        <v>5</v>
      </c>
      <c r="J1068">
        <f>Table1[[#This Row],[YearsSinceLastPromotion]]</f>
        <v>0</v>
      </c>
      <c r="K1068">
        <f>Table1[[#This Row],[EmployeeNumber]]</f>
        <v>1502</v>
      </c>
      <c r="L1068">
        <f>Table1[[#This Row],[DistanceFromHome]]</f>
        <v>4</v>
      </c>
      <c r="M1068" t="str">
        <f>Table1[[#This Row],[OverTime]]</f>
        <v>No</v>
      </c>
      <c r="N1068">
        <f>Table1[[#This Row],[WorkLifeBalance]]</f>
        <v>3</v>
      </c>
      <c r="O1068" t="str" cm="1">
        <f t="array" ref="O1068">_xlfn.IFS(A1068&lt;=30,"18-30",A1068&lt;=40,"31-40",A1068&lt;=50,"41-50",A1068&gt;50,"51+")</f>
        <v>31-40</v>
      </c>
      <c r="P1068" t="str" cm="1">
        <f t="array" ref="P1068">_xlfn.IFS(F1068&lt;=45,"45 or below",F1068&lt;= 60,"46-60",F1068&lt;=75,"61-75",F1068&lt;=90,"76-90",F1068&gt;90,"91 or above")</f>
        <v>76-90</v>
      </c>
      <c r="Q10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68" t="str" cm="1">
        <f t="array" ref="R106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69" spans="1:18" x14ac:dyDescent="0.2">
      <c r="A1069">
        <f>Table1[[#This Row],[Age]]</f>
        <v>47</v>
      </c>
      <c r="B1069">
        <f>IF(Table3[[#This Row],[Attrition]] = "Yes", 1,0)</f>
        <v>0</v>
      </c>
      <c r="C1069" t="str">
        <f>Table1[[#This Row],[Attrition]]</f>
        <v>No</v>
      </c>
      <c r="D1069" t="str">
        <f>Table1[[#This Row],[Department]]</f>
        <v>Sales</v>
      </c>
      <c r="E1069">
        <f>Table1[[#This Row],[EnvironmentSatisfaction]]</f>
        <v>3</v>
      </c>
      <c r="F1069">
        <f>Table1[[#This Row],[HourlyRate]]</f>
        <v>78</v>
      </c>
      <c r="G1069" t="str">
        <f>Table1[[#This Row],[JobRole]]</f>
        <v>Sales Executive</v>
      </c>
      <c r="H1069">
        <f>Table1[[#This Row],[JobSatisfaction]]</f>
        <v>3</v>
      </c>
      <c r="I1069">
        <f>Table1[[#This Row],[YearsAtCompany]]</f>
        <v>5</v>
      </c>
      <c r="J1069">
        <f>Table1[[#This Row],[YearsSinceLastPromotion]]</f>
        <v>1</v>
      </c>
      <c r="K1069">
        <f>Table1[[#This Row],[EmployeeNumber]]</f>
        <v>1503</v>
      </c>
      <c r="L1069">
        <f>Table1[[#This Row],[DistanceFromHome]]</f>
        <v>14</v>
      </c>
      <c r="M1069" t="str">
        <f>Table1[[#This Row],[OverTime]]</f>
        <v>Yes</v>
      </c>
      <c r="N1069">
        <f>Table1[[#This Row],[WorkLifeBalance]]</f>
        <v>2</v>
      </c>
      <c r="O1069" t="str" cm="1">
        <f t="array" ref="O1069">_xlfn.IFS(A1069&lt;=30,"18-30",A1069&lt;=40,"31-40",A1069&lt;=50,"41-50",A1069&gt;50,"51+")</f>
        <v>41-50</v>
      </c>
      <c r="P1069" t="str" cm="1">
        <f t="array" ref="P1069">_xlfn.IFS(F1069&lt;=45,"45 or below",F1069&lt;= 60,"46-60",F1069&lt;=75,"61-75",F1069&lt;=90,"76-90",F1069&gt;90,"91 or above")</f>
        <v>76-90</v>
      </c>
      <c r="Q10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69" t="str" cm="1">
        <f t="array" ref="R10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70" spans="1:18" hidden="1" x14ac:dyDescent="0.2">
      <c r="A1070">
        <f>Table1[[#This Row],[Age]]</f>
        <v>28</v>
      </c>
      <c r="B1070">
        <f>IF(Table3[[#This Row],[Attrition]] = "Yes", 1,0)</f>
        <v>1</v>
      </c>
      <c r="C1070" t="str">
        <f>Table1[[#This Row],[Attrition]]</f>
        <v>Yes</v>
      </c>
      <c r="D1070" t="str">
        <f>Table1[[#This Row],[Department]]</f>
        <v>Research &amp; Development</v>
      </c>
      <c r="E1070">
        <f>Table1[[#This Row],[EnvironmentSatisfaction]]</f>
        <v>3</v>
      </c>
      <c r="F1070">
        <f>Table1[[#This Row],[HourlyRate]]</f>
        <v>38</v>
      </c>
      <c r="G1070" t="str">
        <f>Table1[[#This Row],[JobRole]]</f>
        <v>Laboratory Technician</v>
      </c>
      <c r="H1070">
        <f>Table1[[#This Row],[JobSatisfaction]]</f>
        <v>1</v>
      </c>
      <c r="I1070">
        <f>Table1[[#This Row],[YearsAtCompany]]</f>
        <v>0</v>
      </c>
      <c r="J1070">
        <f>Table1[[#This Row],[YearsSinceLastPromotion]]</f>
        <v>0</v>
      </c>
      <c r="K1070">
        <f>Table1[[#This Row],[EmployeeNumber]]</f>
        <v>1504</v>
      </c>
      <c r="L1070">
        <f>Table1[[#This Row],[DistanceFromHome]]</f>
        <v>2</v>
      </c>
      <c r="M1070" t="str">
        <f>Table1[[#This Row],[OverTime]]</f>
        <v>No</v>
      </c>
      <c r="N1070">
        <f>Table1[[#This Row],[WorkLifeBalance]]</f>
        <v>2</v>
      </c>
      <c r="O1070" t="str" cm="1">
        <f t="array" ref="O1070">_xlfn.IFS(A1070&lt;=30,"18-30",A1070&lt;=40,"31-40",A1070&lt;=50,"41-50",A1070&gt;50,"51+")</f>
        <v>18-30</v>
      </c>
      <c r="P1070" t="str" cm="1">
        <f t="array" ref="P1070">_xlfn.IFS(F1070&lt;=45,"45 or below",F1070&lt;= 60,"46-60",F1070&lt;=75,"61-75",F1070&lt;=90,"76-90",F1070&gt;90,"91 or above")</f>
        <v>45 or below</v>
      </c>
      <c r="Q107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70" t="str" cm="1">
        <f t="array" ref="R1070" xml:space="preserve"> _xlfn.IFS(Table3[[#This Row],[Flight Risk Score]] = "NA","NA",Table3[[#This Row],[Flight Risk Score]] &gt;= 70,"High Risk",Table3[[#This Row],[Flight Risk Score]] &gt;= 50, "Medium Risk", Table3[[#This Row],[Flight Risk Score]] &gt;= 30,"Low Risk",Table3[[#This Row],[Flight Risk Score]] &lt; 30,"Very Low Risk")</f>
        <v>NA</v>
      </c>
    </row>
    <row r="1071" spans="1:18" x14ac:dyDescent="0.2">
      <c r="A1071">
        <f>Table1[[#This Row],[Age]]</f>
        <v>28</v>
      </c>
      <c r="B1071">
        <f>IF(Table3[[#This Row],[Attrition]] = "Yes", 1,0)</f>
        <v>0</v>
      </c>
      <c r="C1071" t="str">
        <f>Table1[[#This Row],[Attrition]]</f>
        <v>No</v>
      </c>
      <c r="D1071" t="str">
        <f>Table1[[#This Row],[Department]]</f>
        <v>Research &amp; Development</v>
      </c>
      <c r="E1071">
        <f>Table1[[#This Row],[EnvironmentSatisfaction]]</f>
        <v>1</v>
      </c>
      <c r="F1071">
        <f>Table1[[#This Row],[HourlyRate]]</f>
        <v>72</v>
      </c>
      <c r="G1071" t="str">
        <f>Table1[[#This Row],[JobRole]]</f>
        <v>Research Scientist</v>
      </c>
      <c r="H1071">
        <f>Table1[[#This Row],[JobSatisfaction]]</f>
        <v>3</v>
      </c>
      <c r="I1071">
        <f>Table1[[#This Row],[YearsAtCompany]]</f>
        <v>1</v>
      </c>
      <c r="J1071">
        <f>Table1[[#This Row],[YearsSinceLastPromotion]]</f>
        <v>0</v>
      </c>
      <c r="K1071">
        <f>Table1[[#This Row],[EmployeeNumber]]</f>
        <v>1506</v>
      </c>
      <c r="L1071">
        <f>Table1[[#This Row],[DistanceFromHome]]</f>
        <v>1</v>
      </c>
      <c r="M1071" t="str">
        <f>Table1[[#This Row],[OverTime]]</f>
        <v>No</v>
      </c>
      <c r="N1071">
        <f>Table1[[#This Row],[WorkLifeBalance]]</f>
        <v>1</v>
      </c>
      <c r="O1071" t="str" cm="1">
        <f t="array" ref="O1071">_xlfn.IFS(A1071&lt;=30,"18-30",A1071&lt;=40,"31-40",A1071&lt;=50,"41-50",A1071&gt;50,"51+")</f>
        <v>18-30</v>
      </c>
      <c r="P1071" t="str" cm="1">
        <f t="array" ref="P1071">_xlfn.IFS(F1071&lt;=45,"45 or below",F1071&lt;= 60,"46-60",F1071&lt;=75,"61-75",F1071&lt;=90,"76-90",F1071&gt;90,"91 or above")</f>
        <v>61-75</v>
      </c>
      <c r="Q10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71" t="str" cm="1">
        <f t="array" ref="R107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72" spans="1:18" x14ac:dyDescent="0.2">
      <c r="A1072">
        <f>Table1[[#This Row],[Age]]</f>
        <v>28</v>
      </c>
      <c r="B1072">
        <f>IF(Table3[[#This Row],[Attrition]] = "Yes", 1,0)</f>
        <v>0</v>
      </c>
      <c r="C1072" t="str">
        <f>Table1[[#This Row],[Attrition]]</f>
        <v>No</v>
      </c>
      <c r="D1072" t="str">
        <f>Table1[[#This Row],[Department]]</f>
        <v>Sales</v>
      </c>
      <c r="E1072">
        <f>Table1[[#This Row],[EnvironmentSatisfaction]]</f>
        <v>3</v>
      </c>
      <c r="F1072">
        <f>Table1[[#This Row],[HourlyRate]]</f>
        <v>55</v>
      </c>
      <c r="G1072" t="str">
        <f>Table1[[#This Row],[JobRole]]</f>
        <v>Sales Executive</v>
      </c>
      <c r="H1072">
        <f>Table1[[#This Row],[JobSatisfaction]]</f>
        <v>1</v>
      </c>
      <c r="I1072">
        <f>Table1[[#This Row],[YearsAtCompany]]</f>
        <v>4</v>
      </c>
      <c r="J1072">
        <f>Table1[[#This Row],[YearsSinceLastPromotion]]</f>
        <v>1</v>
      </c>
      <c r="K1072">
        <f>Table1[[#This Row],[EmployeeNumber]]</f>
        <v>1507</v>
      </c>
      <c r="L1072">
        <f>Table1[[#This Row],[DistanceFromHome]]</f>
        <v>7</v>
      </c>
      <c r="M1072" t="str">
        <f>Table1[[#This Row],[OverTime]]</f>
        <v>No</v>
      </c>
      <c r="N1072">
        <f>Table1[[#This Row],[WorkLifeBalance]]</f>
        <v>3</v>
      </c>
      <c r="O1072" t="str" cm="1">
        <f t="array" ref="O1072">_xlfn.IFS(A1072&lt;=30,"18-30",A1072&lt;=40,"31-40",A1072&lt;=50,"41-50",A1072&gt;50,"51+")</f>
        <v>18-30</v>
      </c>
      <c r="P1072" t="str" cm="1">
        <f t="array" ref="P1072">_xlfn.IFS(F1072&lt;=45,"45 or below",F1072&lt;= 60,"46-60",F1072&lt;=75,"61-75",F1072&lt;=90,"76-90",F1072&gt;90,"91 or above")</f>
        <v>46-60</v>
      </c>
      <c r="Q10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72" t="str" cm="1">
        <f t="array" ref="R10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3" spans="1:18" x14ac:dyDescent="0.2">
      <c r="A1073">
        <f>Table1[[#This Row],[Age]]</f>
        <v>49</v>
      </c>
      <c r="B1073">
        <f>IF(Table3[[#This Row],[Attrition]] = "Yes", 1,0)</f>
        <v>0</v>
      </c>
      <c r="C1073" t="str">
        <f>Table1[[#This Row],[Attrition]]</f>
        <v>No</v>
      </c>
      <c r="D1073" t="str">
        <f>Table1[[#This Row],[Department]]</f>
        <v>Research &amp; Development</v>
      </c>
      <c r="E1073">
        <f>Table1[[#This Row],[EnvironmentSatisfaction]]</f>
        <v>3</v>
      </c>
      <c r="F1073">
        <f>Table1[[#This Row],[HourlyRate]]</f>
        <v>43</v>
      </c>
      <c r="G1073" t="str">
        <f>Table1[[#This Row],[JobRole]]</f>
        <v>Laboratory Technician</v>
      </c>
      <c r="H1073">
        <f>Table1[[#This Row],[JobSatisfaction]]</f>
        <v>1</v>
      </c>
      <c r="I1073">
        <f>Table1[[#This Row],[YearsAtCompany]]</f>
        <v>3</v>
      </c>
      <c r="J1073">
        <f>Table1[[#This Row],[YearsSinceLastPromotion]]</f>
        <v>1</v>
      </c>
      <c r="K1073">
        <f>Table1[[#This Row],[EmployeeNumber]]</f>
        <v>1509</v>
      </c>
      <c r="L1073">
        <f>Table1[[#This Row],[DistanceFromHome]]</f>
        <v>3</v>
      </c>
      <c r="M1073" t="str">
        <f>Table1[[#This Row],[OverTime]]</f>
        <v>No</v>
      </c>
      <c r="N1073">
        <f>Table1[[#This Row],[WorkLifeBalance]]</f>
        <v>3</v>
      </c>
      <c r="O1073" t="str" cm="1">
        <f t="array" ref="O1073">_xlfn.IFS(A1073&lt;=30,"18-30",A1073&lt;=40,"31-40",A1073&lt;=50,"41-50",A1073&gt;50,"51+")</f>
        <v>41-50</v>
      </c>
      <c r="P1073" t="str" cm="1">
        <f t="array" ref="P1073">_xlfn.IFS(F1073&lt;=45,"45 or below",F1073&lt;= 60,"46-60",F1073&lt;=75,"61-75",F1073&lt;=90,"76-90",F1073&gt;90,"91 or above")</f>
        <v>45 or below</v>
      </c>
      <c r="Q10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73" t="str" cm="1">
        <f t="array" ref="R10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4" spans="1:18" x14ac:dyDescent="0.2">
      <c r="A1074">
        <f>Table1[[#This Row],[Age]]</f>
        <v>29</v>
      </c>
      <c r="B1074">
        <f>IF(Table3[[#This Row],[Attrition]] = "Yes", 1,0)</f>
        <v>0</v>
      </c>
      <c r="C1074" t="str">
        <f>Table1[[#This Row],[Attrition]]</f>
        <v>No</v>
      </c>
      <c r="D1074" t="str">
        <f>Table1[[#This Row],[Department]]</f>
        <v>Research &amp; Development</v>
      </c>
      <c r="E1074">
        <f>Table1[[#This Row],[EnvironmentSatisfaction]]</f>
        <v>4</v>
      </c>
      <c r="F1074">
        <f>Table1[[#This Row],[HourlyRate]]</f>
        <v>97</v>
      </c>
      <c r="G1074" t="str">
        <f>Table1[[#This Row],[JobRole]]</f>
        <v>Laboratory Technician</v>
      </c>
      <c r="H1074">
        <f>Table1[[#This Row],[JobSatisfaction]]</f>
        <v>2</v>
      </c>
      <c r="I1074">
        <f>Table1[[#This Row],[YearsAtCompany]]</f>
        <v>3</v>
      </c>
      <c r="J1074">
        <f>Table1[[#This Row],[YearsSinceLastPromotion]]</f>
        <v>0</v>
      </c>
      <c r="K1074">
        <f>Table1[[#This Row],[EmployeeNumber]]</f>
        <v>1513</v>
      </c>
      <c r="L1074">
        <f>Table1[[#This Row],[DistanceFromHome]]</f>
        <v>2</v>
      </c>
      <c r="M1074" t="str">
        <f>Table1[[#This Row],[OverTime]]</f>
        <v>No</v>
      </c>
      <c r="N1074">
        <f>Table1[[#This Row],[WorkLifeBalance]]</f>
        <v>3</v>
      </c>
      <c r="O1074" t="str" cm="1">
        <f t="array" ref="O1074">_xlfn.IFS(A1074&lt;=30,"18-30",A1074&lt;=40,"31-40",A1074&lt;=50,"41-50",A1074&gt;50,"51+")</f>
        <v>18-30</v>
      </c>
      <c r="P1074" t="str" cm="1">
        <f t="array" ref="P1074">_xlfn.IFS(F1074&lt;=45,"45 or below",F1074&lt;= 60,"46-60",F1074&lt;=75,"61-75",F1074&lt;=90,"76-90",F1074&gt;90,"91 or above")</f>
        <v>91 or above</v>
      </c>
      <c r="Q10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74" t="str" cm="1">
        <f t="array" ref="R10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5" spans="1:18" x14ac:dyDescent="0.2">
      <c r="A1075">
        <f>Table1[[#This Row],[Age]]</f>
        <v>28</v>
      </c>
      <c r="B1075">
        <f>IF(Table3[[#This Row],[Attrition]] = "Yes", 1,0)</f>
        <v>0</v>
      </c>
      <c r="C1075" t="str">
        <f>Table1[[#This Row],[Attrition]]</f>
        <v>No</v>
      </c>
      <c r="D1075" t="str">
        <f>Table1[[#This Row],[Department]]</f>
        <v>Research &amp; Development</v>
      </c>
      <c r="E1075">
        <f>Table1[[#This Row],[EnvironmentSatisfaction]]</f>
        <v>3</v>
      </c>
      <c r="F1075">
        <f>Table1[[#This Row],[HourlyRate]]</f>
        <v>96</v>
      </c>
      <c r="G1075" t="str">
        <f>Table1[[#This Row],[JobRole]]</f>
        <v>Manufacturing Director</v>
      </c>
      <c r="H1075">
        <f>Table1[[#This Row],[JobSatisfaction]]</f>
        <v>2</v>
      </c>
      <c r="I1075">
        <f>Table1[[#This Row],[YearsAtCompany]]</f>
        <v>8</v>
      </c>
      <c r="J1075">
        <f>Table1[[#This Row],[YearsSinceLastPromotion]]</f>
        <v>1</v>
      </c>
      <c r="K1075">
        <f>Table1[[#This Row],[EmployeeNumber]]</f>
        <v>1514</v>
      </c>
      <c r="L1075">
        <f>Table1[[#This Row],[DistanceFromHome]]</f>
        <v>29</v>
      </c>
      <c r="M1075" t="str">
        <f>Table1[[#This Row],[OverTime]]</f>
        <v>No</v>
      </c>
      <c r="N1075">
        <f>Table1[[#This Row],[WorkLifeBalance]]</f>
        <v>2</v>
      </c>
      <c r="O1075" t="str" cm="1">
        <f t="array" ref="O1075">_xlfn.IFS(A1075&lt;=30,"18-30",A1075&lt;=40,"31-40",A1075&lt;=50,"41-50",A1075&gt;50,"51+")</f>
        <v>18-30</v>
      </c>
      <c r="P1075" t="str" cm="1">
        <f t="array" ref="P1075">_xlfn.IFS(F1075&lt;=45,"45 or below",F1075&lt;= 60,"46-60",F1075&lt;=75,"61-75",F1075&lt;=90,"76-90",F1075&gt;90,"91 or above")</f>
        <v>91 or above</v>
      </c>
      <c r="Q10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75" t="str" cm="1">
        <f t="array" ref="R107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6" spans="1:18" x14ac:dyDescent="0.2">
      <c r="A1076">
        <f>Table1[[#This Row],[Age]]</f>
        <v>33</v>
      </c>
      <c r="B1076">
        <f>IF(Table3[[#This Row],[Attrition]] = "Yes", 1,0)</f>
        <v>0</v>
      </c>
      <c r="C1076" t="str">
        <f>Table1[[#This Row],[Attrition]]</f>
        <v>No</v>
      </c>
      <c r="D1076" t="str">
        <f>Table1[[#This Row],[Department]]</f>
        <v>Research &amp; Development</v>
      </c>
      <c r="E1076">
        <f>Table1[[#This Row],[EnvironmentSatisfaction]]</f>
        <v>4</v>
      </c>
      <c r="F1076">
        <f>Table1[[#This Row],[HourlyRate]]</f>
        <v>69</v>
      </c>
      <c r="G1076" t="str">
        <f>Table1[[#This Row],[JobRole]]</f>
        <v>Healthcare Representative</v>
      </c>
      <c r="H1076">
        <f>Table1[[#This Row],[JobSatisfaction]]</f>
        <v>3</v>
      </c>
      <c r="I1076">
        <f>Table1[[#This Row],[YearsAtCompany]]</f>
        <v>0</v>
      </c>
      <c r="J1076">
        <f>Table1[[#This Row],[YearsSinceLastPromotion]]</f>
        <v>0</v>
      </c>
      <c r="K1076">
        <f>Table1[[#This Row],[EmployeeNumber]]</f>
        <v>1515</v>
      </c>
      <c r="L1076">
        <f>Table1[[#This Row],[DistanceFromHome]]</f>
        <v>8</v>
      </c>
      <c r="M1076" t="str">
        <f>Table1[[#This Row],[OverTime]]</f>
        <v>Yes</v>
      </c>
      <c r="N1076">
        <f>Table1[[#This Row],[WorkLifeBalance]]</f>
        <v>3</v>
      </c>
      <c r="O1076" t="str" cm="1">
        <f t="array" ref="O1076">_xlfn.IFS(A1076&lt;=30,"18-30",A1076&lt;=40,"31-40",A1076&lt;=50,"41-50",A1076&gt;50,"51+")</f>
        <v>31-40</v>
      </c>
      <c r="P1076" t="str" cm="1">
        <f t="array" ref="P1076">_xlfn.IFS(F1076&lt;=45,"45 or below",F1076&lt;= 60,"46-60",F1076&lt;=75,"61-75",F1076&lt;=90,"76-90",F1076&gt;90,"91 or above")</f>
        <v>61-75</v>
      </c>
      <c r="Q10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76" t="str" cm="1">
        <f t="array" ref="R107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77" spans="1:18" x14ac:dyDescent="0.2">
      <c r="A1077">
        <f>Table1[[#This Row],[Age]]</f>
        <v>32</v>
      </c>
      <c r="B1077">
        <f>IF(Table3[[#This Row],[Attrition]] = "Yes", 1,0)</f>
        <v>0</v>
      </c>
      <c r="C1077" t="str">
        <f>Table1[[#This Row],[Attrition]]</f>
        <v>No</v>
      </c>
      <c r="D1077" t="str">
        <f>Table1[[#This Row],[Department]]</f>
        <v>Research &amp; Development</v>
      </c>
      <c r="E1077">
        <f>Table1[[#This Row],[EnvironmentSatisfaction]]</f>
        <v>3</v>
      </c>
      <c r="F1077">
        <f>Table1[[#This Row],[HourlyRate]]</f>
        <v>64</v>
      </c>
      <c r="G1077" t="str">
        <f>Table1[[#This Row],[JobRole]]</f>
        <v>Manager</v>
      </c>
      <c r="H1077">
        <f>Table1[[#This Row],[JobSatisfaction]]</f>
        <v>4</v>
      </c>
      <c r="I1077">
        <f>Table1[[#This Row],[YearsAtCompany]]</f>
        <v>5</v>
      </c>
      <c r="J1077">
        <f>Table1[[#This Row],[YearsSinceLastPromotion]]</f>
        <v>0</v>
      </c>
      <c r="K1077">
        <f>Table1[[#This Row],[EmployeeNumber]]</f>
        <v>1516</v>
      </c>
      <c r="L1077">
        <f>Table1[[#This Row],[DistanceFromHome]]</f>
        <v>10</v>
      </c>
      <c r="M1077" t="str">
        <f>Table1[[#This Row],[OverTime]]</f>
        <v>No</v>
      </c>
      <c r="N1077">
        <f>Table1[[#This Row],[WorkLifeBalance]]</f>
        <v>4</v>
      </c>
      <c r="O1077" t="str" cm="1">
        <f t="array" ref="O1077">_xlfn.IFS(A1077&lt;=30,"18-30",A1077&lt;=40,"31-40",A1077&lt;=50,"41-50",A1077&gt;50,"51+")</f>
        <v>31-40</v>
      </c>
      <c r="P1077" t="str" cm="1">
        <f t="array" ref="P1077">_xlfn.IFS(F1077&lt;=45,"45 or below",F1077&lt;= 60,"46-60",F1077&lt;=75,"61-75",F1077&lt;=90,"76-90",F1077&gt;90,"91 or above")</f>
        <v>61-75</v>
      </c>
      <c r="Q10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77" t="str" cm="1">
        <f t="array" ref="R10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8" spans="1:18" x14ac:dyDescent="0.2">
      <c r="A1078">
        <f>Table1[[#This Row],[Age]]</f>
        <v>54</v>
      </c>
      <c r="B1078">
        <f>IF(Table3[[#This Row],[Attrition]] = "Yes", 1,0)</f>
        <v>0</v>
      </c>
      <c r="C1078" t="str">
        <f>Table1[[#This Row],[Attrition]]</f>
        <v>No</v>
      </c>
      <c r="D1078" t="str">
        <f>Table1[[#This Row],[Department]]</f>
        <v>Research &amp; Development</v>
      </c>
      <c r="E1078">
        <f>Table1[[#This Row],[EnvironmentSatisfaction]]</f>
        <v>2</v>
      </c>
      <c r="F1078">
        <f>Table1[[#This Row],[HourlyRate]]</f>
        <v>87</v>
      </c>
      <c r="G1078" t="str">
        <f>Table1[[#This Row],[JobRole]]</f>
        <v>Manager</v>
      </c>
      <c r="H1078">
        <f>Table1[[#This Row],[JobSatisfaction]]</f>
        <v>4</v>
      </c>
      <c r="I1078">
        <f>Table1[[#This Row],[YearsAtCompany]]</f>
        <v>14</v>
      </c>
      <c r="J1078">
        <f>Table1[[#This Row],[YearsSinceLastPromotion]]</f>
        <v>1</v>
      </c>
      <c r="K1078">
        <f>Table1[[#This Row],[EmployeeNumber]]</f>
        <v>1520</v>
      </c>
      <c r="L1078">
        <f>Table1[[#This Row],[DistanceFromHome]]</f>
        <v>11</v>
      </c>
      <c r="M1078" t="str">
        <f>Table1[[#This Row],[OverTime]]</f>
        <v>No</v>
      </c>
      <c r="N1078">
        <f>Table1[[#This Row],[WorkLifeBalance]]</f>
        <v>3</v>
      </c>
      <c r="O1078" t="str" cm="1">
        <f t="array" ref="O1078">_xlfn.IFS(A1078&lt;=30,"18-30",A1078&lt;=40,"31-40",A1078&lt;=50,"41-50",A1078&gt;50,"51+")</f>
        <v>51+</v>
      </c>
      <c r="P1078" t="str" cm="1">
        <f t="array" ref="P1078">_xlfn.IFS(F1078&lt;=45,"45 or below",F1078&lt;= 60,"46-60",F1078&lt;=75,"61-75",F1078&lt;=90,"76-90",F1078&gt;90,"91 or above")</f>
        <v>76-90</v>
      </c>
      <c r="Q10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78" t="str" cm="1">
        <f t="array" ref="R10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79" spans="1:18" hidden="1" x14ac:dyDescent="0.2">
      <c r="A1079">
        <f>Table1[[#This Row],[Age]]</f>
        <v>29</v>
      </c>
      <c r="B1079">
        <f>IF(Table3[[#This Row],[Attrition]] = "Yes", 1,0)</f>
        <v>1</v>
      </c>
      <c r="C1079" t="str">
        <f>Table1[[#This Row],[Attrition]]</f>
        <v>Yes</v>
      </c>
      <c r="D1079" t="str">
        <f>Table1[[#This Row],[Department]]</f>
        <v>Research &amp; Development</v>
      </c>
      <c r="E1079">
        <f>Table1[[#This Row],[EnvironmentSatisfaction]]</f>
        <v>1</v>
      </c>
      <c r="F1079">
        <f>Table1[[#This Row],[HourlyRate]]</f>
        <v>100</v>
      </c>
      <c r="G1079" t="str">
        <f>Table1[[#This Row],[JobRole]]</f>
        <v>Research Scientist</v>
      </c>
      <c r="H1079">
        <f>Table1[[#This Row],[JobSatisfaction]]</f>
        <v>1</v>
      </c>
      <c r="I1079">
        <f>Table1[[#This Row],[YearsAtCompany]]</f>
        <v>9</v>
      </c>
      <c r="J1079">
        <f>Table1[[#This Row],[YearsSinceLastPromotion]]</f>
        <v>0</v>
      </c>
      <c r="K1079">
        <f>Table1[[#This Row],[EmployeeNumber]]</f>
        <v>1522</v>
      </c>
      <c r="L1079">
        <f>Table1[[#This Row],[DistanceFromHome]]</f>
        <v>1</v>
      </c>
      <c r="M1079" t="str">
        <f>Table1[[#This Row],[OverTime]]</f>
        <v>No</v>
      </c>
      <c r="N1079">
        <f>Table1[[#This Row],[WorkLifeBalance]]</f>
        <v>1</v>
      </c>
      <c r="O1079" t="str" cm="1">
        <f t="array" ref="O1079">_xlfn.IFS(A1079&lt;=30,"18-30",A1079&lt;=40,"31-40",A1079&lt;=50,"41-50",A1079&gt;50,"51+")</f>
        <v>18-30</v>
      </c>
      <c r="P1079" t="str" cm="1">
        <f t="array" ref="P1079">_xlfn.IFS(F1079&lt;=45,"45 or below",F1079&lt;= 60,"46-60",F1079&lt;=75,"61-75",F1079&lt;=90,"76-90",F1079&gt;90,"91 or above")</f>
        <v>91 or above</v>
      </c>
      <c r="Q107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79" t="str" cm="1">
        <f t="array" ref="R1079" xml:space="preserve"> _xlfn.IFS(Table3[[#This Row],[Flight Risk Score]] = "NA","NA",Table3[[#This Row],[Flight Risk Score]] &gt;= 70,"High Risk",Table3[[#This Row],[Flight Risk Score]] &gt;= 50, "Medium Risk", Table3[[#This Row],[Flight Risk Score]] &gt;= 30,"Low Risk",Table3[[#This Row],[Flight Risk Score]] &lt; 30,"Very Low Risk")</f>
        <v>NA</v>
      </c>
    </row>
    <row r="1080" spans="1:18" x14ac:dyDescent="0.2">
      <c r="A1080">
        <f>Table1[[#This Row],[Age]]</f>
        <v>44</v>
      </c>
      <c r="B1080">
        <f>IF(Table3[[#This Row],[Attrition]] = "Yes", 1,0)</f>
        <v>0</v>
      </c>
      <c r="C1080" t="str">
        <f>Table1[[#This Row],[Attrition]]</f>
        <v>No</v>
      </c>
      <c r="D1080" t="str">
        <f>Table1[[#This Row],[Department]]</f>
        <v>Research &amp; Development</v>
      </c>
      <c r="E1080">
        <f>Table1[[#This Row],[EnvironmentSatisfaction]]</f>
        <v>4</v>
      </c>
      <c r="F1080">
        <f>Table1[[#This Row],[HourlyRate]]</f>
        <v>32</v>
      </c>
      <c r="G1080" t="str">
        <f>Table1[[#This Row],[JobRole]]</f>
        <v>Research Director</v>
      </c>
      <c r="H1080">
        <f>Table1[[#This Row],[JobSatisfaction]]</f>
        <v>1</v>
      </c>
      <c r="I1080">
        <f>Table1[[#This Row],[YearsAtCompany]]</f>
        <v>20</v>
      </c>
      <c r="J1080">
        <f>Table1[[#This Row],[YearsSinceLastPromotion]]</f>
        <v>14</v>
      </c>
      <c r="K1080">
        <f>Table1[[#This Row],[EmployeeNumber]]</f>
        <v>1523</v>
      </c>
      <c r="L1080">
        <f>Table1[[#This Row],[DistanceFromHome]]</f>
        <v>28</v>
      </c>
      <c r="M1080" t="str">
        <f>Table1[[#This Row],[OverTime]]</f>
        <v>No</v>
      </c>
      <c r="N1080">
        <f>Table1[[#This Row],[WorkLifeBalance]]</f>
        <v>4</v>
      </c>
      <c r="O1080" t="str" cm="1">
        <f t="array" ref="O1080">_xlfn.IFS(A1080&lt;=30,"18-30",A1080&lt;=40,"31-40",A1080&lt;=50,"41-50",A1080&gt;50,"51+")</f>
        <v>41-50</v>
      </c>
      <c r="P1080" t="str" cm="1">
        <f t="array" ref="P1080">_xlfn.IFS(F1080&lt;=45,"45 or below",F1080&lt;= 60,"46-60",F1080&lt;=75,"61-75",F1080&lt;=90,"76-90",F1080&gt;90,"91 or above")</f>
        <v>45 or below</v>
      </c>
      <c r="Q10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80" t="str" cm="1">
        <f t="array" ref="R10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81" spans="1:18" x14ac:dyDescent="0.2">
      <c r="A1081">
        <f>Table1[[#This Row],[Age]]</f>
        <v>39</v>
      </c>
      <c r="B1081">
        <f>IF(Table3[[#This Row],[Attrition]] = "Yes", 1,0)</f>
        <v>0</v>
      </c>
      <c r="C1081" t="str">
        <f>Table1[[#This Row],[Attrition]]</f>
        <v>No</v>
      </c>
      <c r="D1081" t="str">
        <f>Table1[[#This Row],[Department]]</f>
        <v>Research &amp; Development</v>
      </c>
      <c r="E1081">
        <f>Table1[[#This Row],[EnvironmentSatisfaction]]</f>
        <v>2</v>
      </c>
      <c r="F1081">
        <f>Table1[[#This Row],[HourlyRate]]</f>
        <v>32</v>
      </c>
      <c r="G1081" t="str">
        <f>Table1[[#This Row],[JobRole]]</f>
        <v>Manufacturing Director</v>
      </c>
      <c r="H1081">
        <f>Table1[[#This Row],[JobSatisfaction]]</f>
        <v>2</v>
      </c>
      <c r="I1081">
        <f>Table1[[#This Row],[YearsAtCompany]]</f>
        <v>2</v>
      </c>
      <c r="J1081">
        <f>Table1[[#This Row],[YearsSinceLastPromotion]]</f>
        <v>2</v>
      </c>
      <c r="K1081">
        <f>Table1[[#This Row],[EmployeeNumber]]</f>
        <v>1525</v>
      </c>
      <c r="L1081">
        <f>Table1[[#This Row],[DistanceFromHome]]</f>
        <v>6</v>
      </c>
      <c r="M1081" t="str">
        <f>Table1[[#This Row],[OverTime]]</f>
        <v>No</v>
      </c>
      <c r="N1081">
        <f>Table1[[#This Row],[WorkLifeBalance]]</f>
        <v>3</v>
      </c>
      <c r="O1081" t="str" cm="1">
        <f t="array" ref="O1081">_xlfn.IFS(A1081&lt;=30,"18-30",A1081&lt;=40,"31-40",A1081&lt;=50,"41-50",A1081&gt;50,"51+")</f>
        <v>31-40</v>
      </c>
      <c r="P1081" t="str" cm="1">
        <f t="array" ref="P1081">_xlfn.IFS(F1081&lt;=45,"45 or below",F1081&lt;= 60,"46-60",F1081&lt;=75,"61-75",F1081&lt;=90,"76-90",F1081&gt;90,"91 or above")</f>
        <v>45 or below</v>
      </c>
      <c r="Q10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81" t="str" cm="1">
        <f t="array" ref="R108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82" spans="1:18" x14ac:dyDescent="0.2">
      <c r="A1082">
        <f>Table1[[#This Row],[Age]]</f>
        <v>46</v>
      </c>
      <c r="B1082">
        <f>IF(Table3[[#This Row],[Attrition]] = "Yes", 1,0)</f>
        <v>0</v>
      </c>
      <c r="C1082" t="str">
        <f>Table1[[#This Row],[Attrition]]</f>
        <v>No</v>
      </c>
      <c r="D1082" t="str">
        <f>Table1[[#This Row],[Department]]</f>
        <v>Sales</v>
      </c>
      <c r="E1082">
        <f>Table1[[#This Row],[EnvironmentSatisfaction]]</f>
        <v>3</v>
      </c>
      <c r="F1082">
        <f>Table1[[#This Row],[HourlyRate]]</f>
        <v>51</v>
      </c>
      <c r="G1082" t="str">
        <f>Table1[[#This Row],[JobRole]]</f>
        <v>Manager</v>
      </c>
      <c r="H1082">
        <f>Table1[[#This Row],[JobSatisfaction]]</f>
        <v>2</v>
      </c>
      <c r="I1082">
        <f>Table1[[#This Row],[YearsAtCompany]]</f>
        <v>13</v>
      </c>
      <c r="J1082">
        <f>Table1[[#This Row],[YearsSinceLastPromotion]]</f>
        <v>5</v>
      </c>
      <c r="K1082">
        <f>Table1[[#This Row],[EmployeeNumber]]</f>
        <v>1527</v>
      </c>
      <c r="L1082">
        <f>Table1[[#This Row],[DistanceFromHome]]</f>
        <v>3</v>
      </c>
      <c r="M1082" t="str">
        <f>Table1[[#This Row],[OverTime]]</f>
        <v>No</v>
      </c>
      <c r="N1082">
        <f>Table1[[#This Row],[WorkLifeBalance]]</f>
        <v>4</v>
      </c>
      <c r="O1082" t="str" cm="1">
        <f t="array" ref="O1082">_xlfn.IFS(A1082&lt;=30,"18-30",A1082&lt;=40,"31-40",A1082&lt;=50,"41-50",A1082&gt;50,"51+")</f>
        <v>41-50</v>
      </c>
      <c r="P1082" t="str" cm="1">
        <f t="array" ref="P1082">_xlfn.IFS(F1082&lt;=45,"45 or below",F1082&lt;= 60,"46-60",F1082&lt;=75,"61-75",F1082&lt;=90,"76-90",F1082&gt;90,"91 or above")</f>
        <v>46-60</v>
      </c>
      <c r="Q10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82" t="str" cm="1">
        <f t="array" ref="R108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83" spans="1:18" x14ac:dyDescent="0.2">
      <c r="A1083">
        <f>Table1[[#This Row],[Age]]</f>
        <v>35</v>
      </c>
      <c r="B1083">
        <f>IF(Table3[[#This Row],[Attrition]] = "Yes", 1,0)</f>
        <v>0</v>
      </c>
      <c r="C1083" t="str">
        <f>Table1[[#This Row],[Attrition]]</f>
        <v>No</v>
      </c>
      <c r="D1083" t="str">
        <f>Table1[[#This Row],[Department]]</f>
        <v>Research &amp; Development</v>
      </c>
      <c r="E1083">
        <f>Table1[[#This Row],[EnvironmentSatisfaction]]</f>
        <v>4</v>
      </c>
      <c r="F1083">
        <f>Table1[[#This Row],[HourlyRate]]</f>
        <v>91</v>
      </c>
      <c r="G1083" t="str">
        <f>Table1[[#This Row],[JobRole]]</f>
        <v>Healthcare Representative</v>
      </c>
      <c r="H1083">
        <f>Table1[[#This Row],[JobSatisfaction]]</f>
        <v>2</v>
      </c>
      <c r="I1083">
        <f>Table1[[#This Row],[YearsAtCompany]]</f>
        <v>11</v>
      </c>
      <c r="J1083">
        <f>Table1[[#This Row],[YearsSinceLastPromotion]]</f>
        <v>3</v>
      </c>
      <c r="K1083">
        <f>Table1[[#This Row],[EmployeeNumber]]</f>
        <v>1529</v>
      </c>
      <c r="L1083">
        <f>Table1[[#This Row],[DistanceFromHome]]</f>
        <v>16</v>
      </c>
      <c r="M1083" t="str">
        <f>Table1[[#This Row],[OverTime]]</f>
        <v>No</v>
      </c>
      <c r="N1083">
        <f>Table1[[#This Row],[WorkLifeBalance]]</f>
        <v>1</v>
      </c>
      <c r="O1083" t="str" cm="1">
        <f t="array" ref="O1083">_xlfn.IFS(A1083&lt;=30,"18-30",A1083&lt;=40,"31-40",A1083&lt;=50,"41-50",A1083&gt;50,"51+")</f>
        <v>31-40</v>
      </c>
      <c r="P1083" t="str" cm="1">
        <f t="array" ref="P1083">_xlfn.IFS(F1083&lt;=45,"45 or below",F1083&lt;= 60,"46-60",F1083&lt;=75,"61-75",F1083&lt;=90,"76-90",F1083&gt;90,"91 or above")</f>
        <v>91 or above</v>
      </c>
      <c r="Q10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83" t="str" cm="1">
        <f t="array" ref="R108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84" spans="1:18" x14ac:dyDescent="0.2">
      <c r="A1084">
        <f>Table1[[#This Row],[Age]]</f>
        <v>23</v>
      </c>
      <c r="B1084">
        <f>IF(Table3[[#This Row],[Attrition]] = "Yes", 1,0)</f>
        <v>0</v>
      </c>
      <c r="C1084" t="str">
        <f>Table1[[#This Row],[Attrition]]</f>
        <v>No</v>
      </c>
      <c r="D1084" t="str">
        <f>Table1[[#This Row],[Department]]</f>
        <v>Research &amp; Development</v>
      </c>
      <c r="E1084">
        <f>Table1[[#This Row],[EnvironmentSatisfaction]]</f>
        <v>1</v>
      </c>
      <c r="F1084">
        <f>Table1[[#This Row],[HourlyRate]]</f>
        <v>97</v>
      </c>
      <c r="G1084" t="str">
        <f>Table1[[#This Row],[JobRole]]</f>
        <v>Laboratory Technician</v>
      </c>
      <c r="H1084">
        <f>Table1[[#This Row],[JobSatisfaction]]</f>
        <v>3</v>
      </c>
      <c r="I1084">
        <f>Table1[[#This Row],[YearsAtCompany]]</f>
        <v>4</v>
      </c>
      <c r="J1084">
        <f>Table1[[#This Row],[YearsSinceLastPromotion]]</f>
        <v>1</v>
      </c>
      <c r="K1084">
        <f>Table1[[#This Row],[EmployeeNumber]]</f>
        <v>1533</v>
      </c>
      <c r="L1084">
        <f>Table1[[#This Row],[DistanceFromHome]]</f>
        <v>20</v>
      </c>
      <c r="M1084" t="str">
        <f>Table1[[#This Row],[OverTime]]</f>
        <v>No</v>
      </c>
      <c r="N1084">
        <f>Table1[[#This Row],[WorkLifeBalance]]</f>
        <v>3</v>
      </c>
      <c r="O1084" t="str" cm="1">
        <f t="array" ref="O1084">_xlfn.IFS(A1084&lt;=30,"18-30",A1084&lt;=40,"31-40",A1084&lt;=50,"41-50",A1084&gt;50,"51+")</f>
        <v>18-30</v>
      </c>
      <c r="P1084" t="str" cm="1">
        <f t="array" ref="P1084">_xlfn.IFS(F1084&lt;=45,"45 or below",F1084&lt;= 60,"46-60",F1084&lt;=75,"61-75",F1084&lt;=90,"76-90",F1084&gt;90,"91 or above")</f>
        <v>91 or above</v>
      </c>
      <c r="Q10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84" t="str" cm="1">
        <f t="array" ref="R10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85" spans="1:18" hidden="1" x14ac:dyDescent="0.2">
      <c r="A1085">
        <f>Table1[[#This Row],[Age]]</f>
        <v>40</v>
      </c>
      <c r="B1085">
        <f>IF(Table3[[#This Row],[Attrition]] = "Yes", 1,0)</f>
        <v>1</v>
      </c>
      <c r="C1085" t="str">
        <f>Table1[[#This Row],[Attrition]]</f>
        <v>Yes</v>
      </c>
      <c r="D1085" t="str">
        <f>Table1[[#This Row],[Department]]</f>
        <v>Research &amp; Development</v>
      </c>
      <c r="E1085">
        <f>Table1[[#This Row],[EnvironmentSatisfaction]]</f>
        <v>4</v>
      </c>
      <c r="F1085">
        <f>Table1[[#This Row],[HourlyRate]]</f>
        <v>86</v>
      </c>
      <c r="G1085" t="str">
        <f>Table1[[#This Row],[JobRole]]</f>
        <v>Laboratory Technician</v>
      </c>
      <c r="H1085">
        <f>Table1[[#This Row],[JobSatisfaction]]</f>
        <v>1</v>
      </c>
      <c r="I1085">
        <f>Table1[[#This Row],[YearsAtCompany]]</f>
        <v>5</v>
      </c>
      <c r="J1085">
        <f>Table1[[#This Row],[YearsSinceLastPromotion]]</f>
        <v>1</v>
      </c>
      <c r="K1085">
        <f>Table1[[#This Row],[EmployeeNumber]]</f>
        <v>1534</v>
      </c>
      <c r="L1085">
        <f>Table1[[#This Row],[DistanceFromHome]]</f>
        <v>9</v>
      </c>
      <c r="M1085" t="str">
        <f>Table1[[#This Row],[OverTime]]</f>
        <v>No</v>
      </c>
      <c r="N1085">
        <f>Table1[[#This Row],[WorkLifeBalance]]</f>
        <v>1</v>
      </c>
      <c r="O1085" t="str" cm="1">
        <f t="array" ref="O1085">_xlfn.IFS(A1085&lt;=30,"18-30",A1085&lt;=40,"31-40",A1085&lt;=50,"41-50",A1085&gt;50,"51+")</f>
        <v>31-40</v>
      </c>
      <c r="P1085" t="str" cm="1">
        <f t="array" ref="P1085">_xlfn.IFS(F1085&lt;=45,"45 or below",F1085&lt;= 60,"46-60",F1085&lt;=75,"61-75",F1085&lt;=90,"76-90",F1085&gt;90,"91 or above")</f>
        <v>76-90</v>
      </c>
      <c r="Q108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85" t="str" cm="1">
        <f t="array" ref="R1085" xml:space="preserve"> _xlfn.IFS(Table3[[#This Row],[Flight Risk Score]] = "NA","NA",Table3[[#This Row],[Flight Risk Score]] &gt;= 70,"High Risk",Table3[[#This Row],[Flight Risk Score]] &gt;= 50, "Medium Risk", Table3[[#This Row],[Flight Risk Score]] &gt;= 30,"Low Risk",Table3[[#This Row],[Flight Risk Score]] &lt; 30,"Very Low Risk")</f>
        <v>NA</v>
      </c>
    </row>
    <row r="1086" spans="1:18" x14ac:dyDescent="0.2">
      <c r="A1086">
        <f>Table1[[#This Row],[Age]]</f>
        <v>34</v>
      </c>
      <c r="B1086">
        <f>IF(Table3[[#This Row],[Attrition]] = "Yes", 1,0)</f>
        <v>0</v>
      </c>
      <c r="C1086" t="str">
        <f>Table1[[#This Row],[Attrition]]</f>
        <v>No</v>
      </c>
      <c r="D1086" t="str">
        <f>Table1[[#This Row],[Department]]</f>
        <v>Sales</v>
      </c>
      <c r="E1086">
        <f>Table1[[#This Row],[EnvironmentSatisfaction]]</f>
        <v>4</v>
      </c>
      <c r="F1086">
        <f>Table1[[#This Row],[HourlyRate]]</f>
        <v>64</v>
      </c>
      <c r="G1086" t="str">
        <f>Table1[[#This Row],[JobRole]]</f>
        <v>Sales Executive</v>
      </c>
      <c r="H1086">
        <f>Table1[[#This Row],[JobSatisfaction]]</f>
        <v>3</v>
      </c>
      <c r="I1086">
        <f>Table1[[#This Row],[YearsAtCompany]]</f>
        <v>10</v>
      </c>
      <c r="J1086">
        <f>Table1[[#This Row],[YearsSinceLastPromotion]]</f>
        <v>8</v>
      </c>
      <c r="K1086">
        <f>Table1[[#This Row],[EmployeeNumber]]</f>
        <v>1535</v>
      </c>
      <c r="L1086">
        <f>Table1[[#This Row],[DistanceFromHome]]</f>
        <v>1</v>
      </c>
      <c r="M1086" t="str">
        <f>Table1[[#This Row],[OverTime]]</f>
        <v>Yes</v>
      </c>
      <c r="N1086">
        <f>Table1[[#This Row],[WorkLifeBalance]]</f>
        <v>3</v>
      </c>
      <c r="O1086" t="str" cm="1">
        <f t="array" ref="O1086">_xlfn.IFS(A1086&lt;=30,"18-30",A1086&lt;=40,"31-40",A1086&lt;=50,"41-50",A1086&gt;50,"51+")</f>
        <v>31-40</v>
      </c>
      <c r="P1086" t="str" cm="1">
        <f t="array" ref="P1086">_xlfn.IFS(F1086&lt;=45,"45 or below",F1086&lt;= 60,"46-60",F1086&lt;=75,"61-75",F1086&lt;=90,"76-90",F1086&gt;90,"91 or above")</f>
        <v>61-75</v>
      </c>
      <c r="Q10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86" t="str" cm="1">
        <f t="array" ref="R108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87" spans="1:18" hidden="1" x14ac:dyDescent="0.2">
      <c r="A1087">
        <f>Table1[[#This Row],[Age]]</f>
        <v>31</v>
      </c>
      <c r="B1087">
        <f>IF(Table3[[#This Row],[Attrition]] = "Yes", 1,0)</f>
        <v>1</v>
      </c>
      <c r="C1087" t="str">
        <f>Table1[[#This Row],[Attrition]]</f>
        <v>Yes</v>
      </c>
      <c r="D1087" t="str">
        <f>Table1[[#This Row],[Department]]</f>
        <v>Research &amp; Development</v>
      </c>
      <c r="E1087">
        <f>Table1[[#This Row],[EnvironmentSatisfaction]]</f>
        <v>4</v>
      </c>
      <c r="F1087">
        <f>Table1[[#This Row],[HourlyRate]]</f>
        <v>33</v>
      </c>
      <c r="G1087" t="str">
        <f>Table1[[#This Row],[JobRole]]</f>
        <v>Research Scientist</v>
      </c>
      <c r="H1087">
        <f>Table1[[#This Row],[JobSatisfaction]]</f>
        <v>3</v>
      </c>
      <c r="I1087">
        <f>Table1[[#This Row],[YearsAtCompany]]</f>
        <v>7</v>
      </c>
      <c r="J1087">
        <f>Table1[[#This Row],[YearsSinceLastPromotion]]</f>
        <v>7</v>
      </c>
      <c r="K1087">
        <f>Table1[[#This Row],[EmployeeNumber]]</f>
        <v>1537</v>
      </c>
      <c r="L1087">
        <f>Table1[[#This Row],[DistanceFromHome]]</f>
        <v>3</v>
      </c>
      <c r="M1087" t="str">
        <f>Table1[[#This Row],[OverTime]]</f>
        <v>No</v>
      </c>
      <c r="N1087">
        <f>Table1[[#This Row],[WorkLifeBalance]]</f>
        <v>1</v>
      </c>
      <c r="O1087" t="str" cm="1">
        <f t="array" ref="O1087">_xlfn.IFS(A1087&lt;=30,"18-30",A1087&lt;=40,"31-40",A1087&lt;=50,"41-50",A1087&gt;50,"51+")</f>
        <v>31-40</v>
      </c>
      <c r="P1087" t="str" cm="1">
        <f t="array" ref="P1087">_xlfn.IFS(F1087&lt;=45,"45 or below",F1087&lt;= 60,"46-60",F1087&lt;=75,"61-75",F1087&lt;=90,"76-90",F1087&gt;90,"91 or above")</f>
        <v>45 or below</v>
      </c>
      <c r="Q108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087" t="str" cm="1">
        <f t="array" ref="R1087" xml:space="preserve"> _xlfn.IFS(Table3[[#This Row],[Flight Risk Score]] = "NA","NA",Table3[[#This Row],[Flight Risk Score]] &gt;= 70,"High Risk",Table3[[#This Row],[Flight Risk Score]] &gt;= 50, "Medium Risk", Table3[[#This Row],[Flight Risk Score]] &gt;= 30,"Low Risk",Table3[[#This Row],[Flight Risk Score]] &lt; 30,"Very Low Risk")</f>
        <v>NA</v>
      </c>
    </row>
    <row r="1088" spans="1:18" x14ac:dyDescent="0.2">
      <c r="A1088">
        <f>Table1[[#This Row],[Age]]</f>
        <v>50</v>
      </c>
      <c r="B1088">
        <f>IF(Table3[[#This Row],[Attrition]] = "Yes", 1,0)</f>
        <v>0</v>
      </c>
      <c r="C1088" t="str">
        <f>Table1[[#This Row],[Attrition]]</f>
        <v>No</v>
      </c>
      <c r="D1088" t="str">
        <f>Table1[[#This Row],[Department]]</f>
        <v>Research &amp; Development</v>
      </c>
      <c r="E1088">
        <f>Table1[[#This Row],[EnvironmentSatisfaction]]</f>
        <v>3</v>
      </c>
      <c r="F1088">
        <f>Table1[[#This Row],[HourlyRate]]</f>
        <v>88</v>
      </c>
      <c r="G1088" t="str">
        <f>Table1[[#This Row],[JobRole]]</f>
        <v>Research Director</v>
      </c>
      <c r="H1088">
        <f>Table1[[#This Row],[JobSatisfaction]]</f>
        <v>4</v>
      </c>
      <c r="I1088">
        <f>Table1[[#This Row],[YearsAtCompany]]</f>
        <v>32</v>
      </c>
      <c r="J1088">
        <f>Table1[[#This Row],[YearsSinceLastPromotion]]</f>
        <v>13</v>
      </c>
      <c r="K1088">
        <f>Table1[[#This Row],[EmployeeNumber]]</f>
        <v>1539</v>
      </c>
      <c r="L1088">
        <f>Table1[[#This Row],[DistanceFromHome]]</f>
        <v>22</v>
      </c>
      <c r="M1088" t="str">
        <f>Table1[[#This Row],[OverTime]]</f>
        <v>Yes</v>
      </c>
      <c r="N1088">
        <f>Table1[[#This Row],[WorkLifeBalance]]</f>
        <v>3</v>
      </c>
      <c r="O1088" t="str" cm="1">
        <f t="array" ref="O1088">_xlfn.IFS(A1088&lt;=30,"18-30",A1088&lt;=40,"31-40",A1088&lt;=50,"41-50",A1088&gt;50,"51+")</f>
        <v>41-50</v>
      </c>
      <c r="P1088" t="str" cm="1">
        <f t="array" ref="P1088">_xlfn.IFS(F1088&lt;=45,"45 or below",F1088&lt;= 60,"46-60",F1088&lt;=75,"61-75",F1088&lt;=90,"76-90",F1088&gt;90,"91 or above")</f>
        <v>76-90</v>
      </c>
      <c r="Q10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88" t="str" cm="1">
        <f t="array" ref="R108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89" spans="1:18" x14ac:dyDescent="0.2">
      <c r="A1089">
        <f>Table1[[#This Row],[Age]]</f>
        <v>34</v>
      </c>
      <c r="B1089">
        <f>IF(Table3[[#This Row],[Attrition]] = "Yes", 1,0)</f>
        <v>0</v>
      </c>
      <c r="C1089" t="str">
        <f>Table1[[#This Row],[Attrition]]</f>
        <v>No</v>
      </c>
      <c r="D1089" t="str">
        <f>Table1[[#This Row],[Department]]</f>
        <v>Sales</v>
      </c>
      <c r="E1089">
        <f>Table1[[#This Row],[EnvironmentSatisfaction]]</f>
        <v>2</v>
      </c>
      <c r="F1089">
        <f>Table1[[#This Row],[HourlyRate]]</f>
        <v>55</v>
      </c>
      <c r="G1089" t="str">
        <f>Table1[[#This Row],[JobRole]]</f>
        <v>Sales Representative</v>
      </c>
      <c r="H1089">
        <f>Table1[[#This Row],[JobSatisfaction]]</f>
        <v>3</v>
      </c>
      <c r="I1089">
        <f>Table1[[#This Row],[YearsAtCompany]]</f>
        <v>11</v>
      </c>
      <c r="J1089">
        <f>Table1[[#This Row],[YearsSinceLastPromotion]]</f>
        <v>5</v>
      </c>
      <c r="K1089">
        <f>Table1[[#This Row],[EmployeeNumber]]</f>
        <v>1541</v>
      </c>
      <c r="L1089">
        <f>Table1[[#This Row],[DistanceFromHome]]</f>
        <v>7</v>
      </c>
      <c r="M1089" t="str">
        <f>Table1[[#This Row],[OverTime]]</f>
        <v>Yes</v>
      </c>
      <c r="N1089">
        <f>Table1[[#This Row],[WorkLifeBalance]]</f>
        <v>3</v>
      </c>
      <c r="O1089" t="str" cm="1">
        <f t="array" ref="O1089">_xlfn.IFS(A1089&lt;=30,"18-30",A1089&lt;=40,"31-40",A1089&lt;=50,"41-50",A1089&gt;50,"51+")</f>
        <v>31-40</v>
      </c>
      <c r="P1089" t="str" cm="1">
        <f t="array" ref="P1089">_xlfn.IFS(F1089&lt;=45,"45 or below",F1089&lt;= 60,"46-60",F1089&lt;=75,"61-75",F1089&lt;=90,"76-90",F1089&gt;90,"91 or above")</f>
        <v>46-60</v>
      </c>
      <c r="Q10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89" t="str" cm="1">
        <f t="array" ref="R108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90" spans="1:18" x14ac:dyDescent="0.2">
      <c r="A1090">
        <f>Table1[[#This Row],[Age]]</f>
        <v>42</v>
      </c>
      <c r="B1090">
        <f>IF(Table3[[#This Row],[Attrition]] = "Yes", 1,0)</f>
        <v>0</v>
      </c>
      <c r="C1090" t="str">
        <f>Table1[[#This Row],[Attrition]]</f>
        <v>No</v>
      </c>
      <c r="D1090" t="str">
        <f>Table1[[#This Row],[Department]]</f>
        <v>Research &amp; Development</v>
      </c>
      <c r="E1090">
        <f>Table1[[#This Row],[EnvironmentSatisfaction]]</f>
        <v>3</v>
      </c>
      <c r="F1090">
        <f>Table1[[#This Row],[HourlyRate]]</f>
        <v>68</v>
      </c>
      <c r="G1090" t="str">
        <f>Table1[[#This Row],[JobRole]]</f>
        <v>Laboratory Technician</v>
      </c>
      <c r="H1090">
        <f>Table1[[#This Row],[JobSatisfaction]]</f>
        <v>2</v>
      </c>
      <c r="I1090">
        <f>Table1[[#This Row],[YearsAtCompany]]</f>
        <v>1</v>
      </c>
      <c r="J1090">
        <f>Table1[[#This Row],[YearsSinceLastPromotion]]</f>
        <v>0</v>
      </c>
      <c r="K1090">
        <f>Table1[[#This Row],[EmployeeNumber]]</f>
        <v>1542</v>
      </c>
      <c r="L1090">
        <f>Table1[[#This Row],[DistanceFromHome]]</f>
        <v>2</v>
      </c>
      <c r="M1090" t="str">
        <f>Table1[[#This Row],[OverTime]]</f>
        <v>No</v>
      </c>
      <c r="N1090">
        <f>Table1[[#This Row],[WorkLifeBalance]]</f>
        <v>3</v>
      </c>
      <c r="O1090" t="str" cm="1">
        <f t="array" ref="O1090">_xlfn.IFS(A1090&lt;=30,"18-30",A1090&lt;=40,"31-40",A1090&lt;=50,"41-50",A1090&gt;50,"51+")</f>
        <v>41-50</v>
      </c>
      <c r="P1090" t="str" cm="1">
        <f t="array" ref="P1090">_xlfn.IFS(F1090&lt;=45,"45 or below",F1090&lt;= 60,"46-60",F1090&lt;=75,"61-75",F1090&lt;=90,"76-90",F1090&gt;90,"91 or above")</f>
        <v>61-75</v>
      </c>
      <c r="Q10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90" t="str" cm="1">
        <f t="array" ref="R10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91" spans="1:18" x14ac:dyDescent="0.2">
      <c r="A1091">
        <f>Table1[[#This Row],[Age]]</f>
        <v>37</v>
      </c>
      <c r="B1091">
        <f>IF(Table3[[#This Row],[Attrition]] = "Yes", 1,0)</f>
        <v>0</v>
      </c>
      <c r="C1091" t="str">
        <f>Table1[[#This Row],[Attrition]]</f>
        <v>No</v>
      </c>
      <c r="D1091" t="str">
        <f>Table1[[#This Row],[Department]]</f>
        <v>Research &amp; Development</v>
      </c>
      <c r="E1091">
        <f>Table1[[#This Row],[EnvironmentSatisfaction]]</f>
        <v>1</v>
      </c>
      <c r="F1091">
        <f>Table1[[#This Row],[HourlyRate]]</f>
        <v>47</v>
      </c>
      <c r="G1091" t="str">
        <f>Table1[[#This Row],[JobRole]]</f>
        <v>Research Scientist</v>
      </c>
      <c r="H1091">
        <f>Table1[[#This Row],[JobSatisfaction]]</f>
        <v>4</v>
      </c>
      <c r="I1091">
        <f>Table1[[#This Row],[YearsAtCompany]]</f>
        <v>10</v>
      </c>
      <c r="J1091">
        <f>Table1[[#This Row],[YearsSinceLastPromotion]]</f>
        <v>3</v>
      </c>
      <c r="K1091">
        <f>Table1[[#This Row],[EmployeeNumber]]</f>
        <v>1543</v>
      </c>
      <c r="L1091">
        <f>Table1[[#This Row],[DistanceFromHome]]</f>
        <v>13</v>
      </c>
      <c r="M1091" t="str">
        <f>Table1[[#This Row],[OverTime]]</f>
        <v>No</v>
      </c>
      <c r="N1091">
        <f>Table1[[#This Row],[WorkLifeBalance]]</f>
        <v>3</v>
      </c>
      <c r="O1091" t="str" cm="1">
        <f t="array" ref="O1091">_xlfn.IFS(A1091&lt;=30,"18-30",A1091&lt;=40,"31-40",A1091&lt;=50,"41-50",A1091&gt;50,"51+")</f>
        <v>31-40</v>
      </c>
      <c r="P1091" t="str" cm="1">
        <f t="array" ref="P1091">_xlfn.IFS(F1091&lt;=45,"45 or below",F1091&lt;= 60,"46-60",F1091&lt;=75,"61-75",F1091&lt;=90,"76-90",F1091&gt;90,"91 or above")</f>
        <v>46-60</v>
      </c>
      <c r="Q10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91" t="str" cm="1">
        <f t="array" ref="R109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92" spans="1:18" x14ac:dyDescent="0.2">
      <c r="A1092">
        <f>Table1[[#This Row],[Age]]</f>
        <v>29</v>
      </c>
      <c r="B1092">
        <f>IF(Table3[[#This Row],[Attrition]] = "Yes", 1,0)</f>
        <v>0</v>
      </c>
      <c r="C1092" t="str">
        <f>Table1[[#This Row],[Attrition]]</f>
        <v>No</v>
      </c>
      <c r="D1092" t="str">
        <f>Table1[[#This Row],[Department]]</f>
        <v>Research &amp; Development</v>
      </c>
      <c r="E1092">
        <f>Table1[[#This Row],[EnvironmentSatisfaction]]</f>
        <v>3</v>
      </c>
      <c r="F1092">
        <f>Table1[[#This Row],[HourlyRate]]</f>
        <v>39</v>
      </c>
      <c r="G1092" t="str">
        <f>Table1[[#This Row],[JobRole]]</f>
        <v>Healthcare Representative</v>
      </c>
      <c r="H1092">
        <f>Table1[[#This Row],[JobSatisfaction]]</f>
        <v>1</v>
      </c>
      <c r="I1092">
        <f>Table1[[#This Row],[YearsAtCompany]]</f>
        <v>7</v>
      </c>
      <c r="J1092">
        <f>Table1[[#This Row],[YearsSinceLastPromotion]]</f>
        <v>0</v>
      </c>
      <c r="K1092">
        <f>Table1[[#This Row],[EmployeeNumber]]</f>
        <v>1544</v>
      </c>
      <c r="L1092">
        <f>Table1[[#This Row],[DistanceFromHome]]</f>
        <v>8</v>
      </c>
      <c r="M1092" t="str">
        <f>Table1[[#This Row],[OverTime]]</f>
        <v>No</v>
      </c>
      <c r="N1092">
        <f>Table1[[#This Row],[WorkLifeBalance]]</f>
        <v>3</v>
      </c>
      <c r="O1092" t="str" cm="1">
        <f t="array" ref="O1092">_xlfn.IFS(A1092&lt;=30,"18-30",A1092&lt;=40,"31-40",A1092&lt;=50,"41-50",A1092&gt;50,"51+")</f>
        <v>18-30</v>
      </c>
      <c r="P1092" t="str" cm="1">
        <f t="array" ref="P1092">_xlfn.IFS(F1092&lt;=45,"45 or below",F1092&lt;= 60,"46-60",F1092&lt;=75,"61-75",F1092&lt;=90,"76-90",F1092&gt;90,"91 or above")</f>
        <v>45 or below</v>
      </c>
      <c r="Q10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92" t="str" cm="1">
        <f t="array" ref="R10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93" spans="1:18" x14ac:dyDescent="0.2">
      <c r="A1093">
        <f>Table1[[#This Row],[Age]]</f>
        <v>33</v>
      </c>
      <c r="B1093">
        <f>IF(Table3[[#This Row],[Attrition]] = "Yes", 1,0)</f>
        <v>0</v>
      </c>
      <c r="C1093" t="str">
        <f>Table1[[#This Row],[Attrition]]</f>
        <v>No</v>
      </c>
      <c r="D1093" t="str">
        <f>Table1[[#This Row],[Department]]</f>
        <v>Research &amp; Development</v>
      </c>
      <c r="E1093">
        <f>Table1[[#This Row],[EnvironmentSatisfaction]]</f>
        <v>4</v>
      </c>
      <c r="F1093">
        <f>Table1[[#This Row],[HourlyRate]]</f>
        <v>44</v>
      </c>
      <c r="G1093" t="str">
        <f>Table1[[#This Row],[JobRole]]</f>
        <v>Manufacturing Director</v>
      </c>
      <c r="H1093">
        <f>Table1[[#This Row],[JobSatisfaction]]</f>
        <v>2</v>
      </c>
      <c r="I1093">
        <f>Table1[[#This Row],[YearsAtCompany]]</f>
        <v>5</v>
      </c>
      <c r="J1093">
        <f>Table1[[#This Row],[YearsSinceLastPromotion]]</f>
        <v>0</v>
      </c>
      <c r="K1093">
        <f>Table1[[#This Row],[EmployeeNumber]]</f>
        <v>1545</v>
      </c>
      <c r="L1093">
        <f>Table1[[#This Row],[DistanceFromHome]]</f>
        <v>25</v>
      </c>
      <c r="M1093" t="str">
        <f>Table1[[#This Row],[OverTime]]</f>
        <v>No</v>
      </c>
      <c r="N1093">
        <f>Table1[[#This Row],[WorkLifeBalance]]</f>
        <v>3</v>
      </c>
      <c r="O1093" t="str" cm="1">
        <f t="array" ref="O1093">_xlfn.IFS(A1093&lt;=30,"18-30",A1093&lt;=40,"31-40",A1093&lt;=50,"41-50",A1093&gt;50,"51+")</f>
        <v>31-40</v>
      </c>
      <c r="P1093" t="str" cm="1">
        <f t="array" ref="P1093">_xlfn.IFS(F1093&lt;=45,"45 or below",F1093&lt;= 60,"46-60",F1093&lt;=75,"61-75",F1093&lt;=90,"76-90",F1093&gt;90,"91 or above")</f>
        <v>45 or below</v>
      </c>
      <c r="Q10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93" t="str" cm="1">
        <f t="array" ref="R109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94" spans="1:18" x14ac:dyDescent="0.2">
      <c r="A1094">
        <f>Table1[[#This Row],[Age]]</f>
        <v>45</v>
      </c>
      <c r="B1094">
        <f>IF(Table3[[#This Row],[Attrition]] = "Yes", 1,0)</f>
        <v>0</v>
      </c>
      <c r="C1094" t="str">
        <f>Table1[[#This Row],[Attrition]]</f>
        <v>No</v>
      </c>
      <c r="D1094" t="str">
        <f>Table1[[#This Row],[Department]]</f>
        <v>Research &amp; Development</v>
      </c>
      <c r="E1094">
        <f>Table1[[#This Row],[EnvironmentSatisfaction]]</f>
        <v>4</v>
      </c>
      <c r="F1094">
        <f>Table1[[#This Row],[HourlyRate]]</f>
        <v>97</v>
      </c>
      <c r="G1094" t="str">
        <f>Table1[[#This Row],[JobRole]]</f>
        <v>Research Scientist</v>
      </c>
      <c r="H1094">
        <f>Table1[[#This Row],[JobSatisfaction]]</f>
        <v>4</v>
      </c>
      <c r="I1094">
        <f>Table1[[#This Row],[YearsAtCompany]]</f>
        <v>5</v>
      </c>
      <c r="J1094">
        <f>Table1[[#This Row],[YearsSinceLastPromotion]]</f>
        <v>0</v>
      </c>
      <c r="K1094">
        <f>Table1[[#This Row],[EmployeeNumber]]</f>
        <v>1546</v>
      </c>
      <c r="L1094">
        <f>Table1[[#This Row],[DistanceFromHome]]</f>
        <v>28</v>
      </c>
      <c r="M1094" t="str">
        <f>Table1[[#This Row],[OverTime]]</f>
        <v>No</v>
      </c>
      <c r="N1094">
        <f>Table1[[#This Row],[WorkLifeBalance]]</f>
        <v>3</v>
      </c>
      <c r="O1094" t="str" cm="1">
        <f t="array" ref="O1094">_xlfn.IFS(A1094&lt;=30,"18-30",A1094&lt;=40,"31-40",A1094&lt;=50,"41-50",A1094&gt;50,"51+")</f>
        <v>41-50</v>
      </c>
      <c r="P1094" t="str" cm="1">
        <f t="array" ref="P1094">_xlfn.IFS(F1094&lt;=45,"45 or below",F1094&lt;= 60,"46-60",F1094&lt;=75,"61-75",F1094&lt;=90,"76-90",F1094&gt;90,"91 or above")</f>
        <v>91 or above</v>
      </c>
      <c r="Q10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094" t="str" cm="1">
        <f t="array" ref="R109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095" spans="1:18" x14ac:dyDescent="0.2">
      <c r="A1095">
        <f>Table1[[#This Row],[Age]]</f>
        <v>42</v>
      </c>
      <c r="B1095">
        <f>IF(Table3[[#This Row],[Attrition]] = "Yes", 1,0)</f>
        <v>0</v>
      </c>
      <c r="C1095" t="str">
        <f>Table1[[#This Row],[Attrition]]</f>
        <v>No</v>
      </c>
      <c r="D1095" t="str">
        <f>Table1[[#This Row],[Department]]</f>
        <v>Research &amp; Development</v>
      </c>
      <c r="E1095">
        <f>Table1[[#This Row],[EnvironmentSatisfaction]]</f>
        <v>4</v>
      </c>
      <c r="F1095">
        <f>Table1[[#This Row],[HourlyRate]]</f>
        <v>40</v>
      </c>
      <c r="G1095" t="str">
        <f>Table1[[#This Row],[JobRole]]</f>
        <v>Healthcare Representative</v>
      </c>
      <c r="H1095">
        <f>Table1[[#This Row],[JobSatisfaction]]</f>
        <v>4</v>
      </c>
      <c r="I1095">
        <f>Table1[[#This Row],[YearsAtCompany]]</f>
        <v>20</v>
      </c>
      <c r="J1095">
        <f>Table1[[#This Row],[YearsSinceLastPromotion]]</f>
        <v>13</v>
      </c>
      <c r="K1095">
        <f>Table1[[#This Row],[EmployeeNumber]]</f>
        <v>1547</v>
      </c>
      <c r="L1095">
        <f>Table1[[#This Row],[DistanceFromHome]]</f>
        <v>2</v>
      </c>
      <c r="M1095" t="str">
        <f>Table1[[#This Row],[OverTime]]</f>
        <v>Yes</v>
      </c>
      <c r="N1095">
        <f>Table1[[#This Row],[WorkLifeBalance]]</f>
        <v>1</v>
      </c>
      <c r="O1095" t="str" cm="1">
        <f t="array" ref="O1095">_xlfn.IFS(A1095&lt;=30,"18-30",A1095&lt;=40,"31-40",A1095&lt;=50,"41-50",A1095&gt;50,"51+")</f>
        <v>41-50</v>
      </c>
      <c r="P1095" t="str" cm="1">
        <f t="array" ref="P1095">_xlfn.IFS(F1095&lt;=45,"45 or below",F1095&lt;= 60,"46-60",F1095&lt;=75,"61-75",F1095&lt;=90,"76-90",F1095&gt;90,"91 or above")</f>
        <v>45 or below</v>
      </c>
      <c r="Q10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70</v>
      </c>
      <c r="R1095" t="str" cm="1">
        <f t="array" ref="R1095" xml:space="preserve"> _xlfn.IFS(Table3[[#This Row],[Flight Risk Score]] = "NA","NA",Table3[[#This Row],[Flight Risk Score]] &gt;= 70,"High Risk",Table3[[#This Row],[Flight Risk Score]] &gt;= 50, "Medium Risk", Table3[[#This Row],[Flight Risk Score]] &gt;= 30,"Low Risk",Table3[[#This Row],[Flight Risk Score]] &lt; 30,"Very Low Risk")</f>
        <v>High Risk</v>
      </c>
    </row>
    <row r="1096" spans="1:18" x14ac:dyDescent="0.2">
      <c r="A1096">
        <f>Table1[[#This Row],[Age]]</f>
        <v>40</v>
      </c>
      <c r="B1096">
        <f>IF(Table3[[#This Row],[Attrition]] = "Yes", 1,0)</f>
        <v>0</v>
      </c>
      <c r="C1096" t="str">
        <f>Table1[[#This Row],[Attrition]]</f>
        <v>No</v>
      </c>
      <c r="D1096" t="str">
        <f>Table1[[#This Row],[Department]]</f>
        <v>Sales</v>
      </c>
      <c r="E1096">
        <f>Table1[[#This Row],[EnvironmentSatisfaction]]</f>
        <v>1</v>
      </c>
      <c r="F1096">
        <f>Table1[[#This Row],[HourlyRate]]</f>
        <v>47</v>
      </c>
      <c r="G1096" t="str">
        <f>Table1[[#This Row],[JobRole]]</f>
        <v>Sales Executive</v>
      </c>
      <c r="H1096">
        <f>Table1[[#This Row],[JobSatisfaction]]</f>
        <v>1</v>
      </c>
      <c r="I1096">
        <f>Table1[[#This Row],[YearsAtCompany]]</f>
        <v>8</v>
      </c>
      <c r="J1096">
        <f>Table1[[#This Row],[YearsSinceLastPromotion]]</f>
        <v>7</v>
      </c>
      <c r="K1096">
        <f>Table1[[#This Row],[EmployeeNumber]]</f>
        <v>1548</v>
      </c>
      <c r="L1096">
        <f>Table1[[#This Row],[DistanceFromHome]]</f>
        <v>9</v>
      </c>
      <c r="M1096" t="str">
        <f>Table1[[#This Row],[OverTime]]</f>
        <v>No</v>
      </c>
      <c r="N1096">
        <f>Table1[[#This Row],[WorkLifeBalance]]</f>
        <v>4</v>
      </c>
      <c r="O1096" t="str" cm="1">
        <f t="array" ref="O1096">_xlfn.IFS(A1096&lt;=30,"18-30",A1096&lt;=40,"31-40",A1096&lt;=50,"41-50",A1096&gt;50,"51+")</f>
        <v>31-40</v>
      </c>
      <c r="P1096" t="str" cm="1">
        <f t="array" ref="P1096">_xlfn.IFS(F1096&lt;=45,"45 or below",F1096&lt;= 60,"46-60",F1096&lt;=75,"61-75",F1096&lt;=90,"76-90",F1096&gt;90,"91 or above")</f>
        <v>46-60</v>
      </c>
      <c r="Q10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096" t="str" cm="1">
        <f t="array" ref="R109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97" spans="1:18" x14ac:dyDescent="0.2">
      <c r="A1097">
        <f>Table1[[#This Row],[Age]]</f>
        <v>33</v>
      </c>
      <c r="B1097">
        <f>IF(Table3[[#This Row],[Attrition]] = "Yes", 1,0)</f>
        <v>0</v>
      </c>
      <c r="C1097" t="str">
        <f>Table1[[#This Row],[Attrition]]</f>
        <v>No</v>
      </c>
      <c r="D1097" t="str">
        <f>Table1[[#This Row],[Department]]</f>
        <v>Research &amp; Development</v>
      </c>
      <c r="E1097">
        <f>Table1[[#This Row],[EnvironmentSatisfaction]]</f>
        <v>2</v>
      </c>
      <c r="F1097">
        <f>Table1[[#This Row],[HourlyRate]]</f>
        <v>79</v>
      </c>
      <c r="G1097" t="str">
        <f>Table1[[#This Row],[JobRole]]</f>
        <v>Laboratory Technician</v>
      </c>
      <c r="H1097">
        <f>Table1[[#This Row],[JobSatisfaction]]</f>
        <v>3</v>
      </c>
      <c r="I1097">
        <f>Table1[[#This Row],[YearsAtCompany]]</f>
        <v>15</v>
      </c>
      <c r="J1097">
        <f>Table1[[#This Row],[YearsSinceLastPromotion]]</f>
        <v>5</v>
      </c>
      <c r="K1097">
        <f>Table1[[#This Row],[EmployeeNumber]]</f>
        <v>1549</v>
      </c>
      <c r="L1097">
        <f>Table1[[#This Row],[DistanceFromHome]]</f>
        <v>28</v>
      </c>
      <c r="M1097" t="str">
        <f>Table1[[#This Row],[OverTime]]</f>
        <v>Yes</v>
      </c>
      <c r="N1097">
        <f>Table1[[#This Row],[WorkLifeBalance]]</f>
        <v>3</v>
      </c>
      <c r="O1097" t="str" cm="1">
        <f t="array" ref="O1097">_xlfn.IFS(A1097&lt;=30,"18-30",A1097&lt;=40,"31-40",A1097&lt;=50,"41-50",A1097&gt;50,"51+")</f>
        <v>31-40</v>
      </c>
      <c r="P1097" t="str" cm="1">
        <f t="array" ref="P1097">_xlfn.IFS(F1097&lt;=45,"45 or below",F1097&lt;= 60,"46-60",F1097&lt;=75,"61-75",F1097&lt;=90,"76-90",F1097&gt;90,"91 or above")</f>
        <v>76-90</v>
      </c>
      <c r="Q10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097" t="str" cm="1">
        <f t="array" ref="R109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098" spans="1:18" x14ac:dyDescent="0.2">
      <c r="A1098">
        <f>Table1[[#This Row],[Age]]</f>
        <v>40</v>
      </c>
      <c r="B1098">
        <f>IF(Table3[[#This Row],[Attrition]] = "Yes", 1,0)</f>
        <v>0</v>
      </c>
      <c r="C1098" t="str">
        <f>Table1[[#This Row],[Attrition]]</f>
        <v>No</v>
      </c>
      <c r="D1098" t="str">
        <f>Table1[[#This Row],[Department]]</f>
        <v>Human Resources</v>
      </c>
      <c r="E1098">
        <f>Table1[[#This Row],[EnvironmentSatisfaction]]</f>
        <v>3</v>
      </c>
      <c r="F1098">
        <f>Table1[[#This Row],[HourlyRate]]</f>
        <v>38</v>
      </c>
      <c r="G1098" t="str">
        <f>Table1[[#This Row],[JobRole]]</f>
        <v>Manager</v>
      </c>
      <c r="H1098">
        <f>Table1[[#This Row],[JobSatisfaction]]</f>
        <v>4</v>
      </c>
      <c r="I1098">
        <f>Table1[[#This Row],[YearsAtCompany]]</f>
        <v>21</v>
      </c>
      <c r="J1098">
        <f>Table1[[#This Row],[YearsSinceLastPromotion]]</f>
        <v>7</v>
      </c>
      <c r="K1098">
        <f>Table1[[#This Row],[EmployeeNumber]]</f>
        <v>1550</v>
      </c>
      <c r="L1098">
        <f>Table1[[#This Row],[DistanceFromHome]]</f>
        <v>6</v>
      </c>
      <c r="M1098" t="str">
        <f>Table1[[#This Row],[OverTime]]</f>
        <v>Yes</v>
      </c>
      <c r="N1098">
        <f>Table1[[#This Row],[WorkLifeBalance]]</f>
        <v>3</v>
      </c>
      <c r="O1098" t="str" cm="1">
        <f t="array" ref="O1098">_xlfn.IFS(A1098&lt;=30,"18-30",A1098&lt;=40,"31-40",A1098&lt;=50,"41-50",A1098&gt;50,"51+")</f>
        <v>31-40</v>
      </c>
      <c r="P1098" t="str" cm="1">
        <f t="array" ref="P1098">_xlfn.IFS(F1098&lt;=45,"45 or below",F1098&lt;= 60,"46-60",F1098&lt;=75,"61-75",F1098&lt;=90,"76-90",F1098&gt;90,"91 or above")</f>
        <v>45 or below</v>
      </c>
      <c r="Q10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098" t="str" cm="1">
        <f t="array" ref="R109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099" spans="1:18" x14ac:dyDescent="0.2">
      <c r="A1099">
        <f>Table1[[#This Row],[Age]]</f>
        <v>24</v>
      </c>
      <c r="B1099">
        <f>IF(Table3[[#This Row],[Attrition]] = "Yes", 1,0)</f>
        <v>0</v>
      </c>
      <c r="C1099" t="str">
        <f>Table1[[#This Row],[Attrition]]</f>
        <v>No</v>
      </c>
      <c r="D1099" t="str">
        <f>Table1[[#This Row],[Department]]</f>
        <v>Research &amp; Development</v>
      </c>
      <c r="E1099">
        <f>Table1[[#This Row],[EnvironmentSatisfaction]]</f>
        <v>3</v>
      </c>
      <c r="F1099">
        <f>Table1[[#This Row],[HourlyRate]]</f>
        <v>57</v>
      </c>
      <c r="G1099" t="str">
        <f>Table1[[#This Row],[JobRole]]</f>
        <v>Laboratory Technician</v>
      </c>
      <c r="H1099">
        <f>Table1[[#This Row],[JobSatisfaction]]</f>
        <v>1</v>
      </c>
      <c r="I1099">
        <f>Table1[[#This Row],[YearsAtCompany]]</f>
        <v>1</v>
      </c>
      <c r="J1099">
        <f>Table1[[#This Row],[YearsSinceLastPromotion]]</f>
        <v>0</v>
      </c>
      <c r="K1099">
        <f>Table1[[#This Row],[EmployeeNumber]]</f>
        <v>1551</v>
      </c>
      <c r="L1099">
        <f>Table1[[#This Row],[DistanceFromHome]]</f>
        <v>21</v>
      </c>
      <c r="M1099" t="str">
        <f>Table1[[#This Row],[OverTime]]</f>
        <v>No</v>
      </c>
      <c r="N1099">
        <f>Table1[[#This Row],[WorkLifeBalance]]</f>
        <v>3</v>
      </c>
      <c r="O1099" t="str" cm="1">
        <f t="array" ref="O1099">_xlfn.IFS(A1099&lt;=30,"18-30",A1099&lt;=40,"31-40",A1099&lt;=50,"41-50",A1099&gt;50,"51+")</f>
        <v>18-30</v>
      </c>
      <c r="P1099" t="str" cm="1">
        <f t="array" ref="P1099">_xlfn.IFS(F1099&lt;=45,"45 or below",F1099&lt;= 60,"46-60",F1099&lt;=75,"61-75",F1099&lt;=90,"76-90",F1099&gt;90,"91 or above")</f>
        <v>46-60</v>
      </c>
      <c r="Q10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099" t="str" cm="1">
        <f t="array" ref="R10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00" spans="1:18" x14ac:dyDescent="0.2">
      <c r="A1100">
        <f>Table1[[#This Row],[Age]]</f>
        <v>40</v>
      </c>
      <c r="B1100">
        <f>IF(Table3[[#This Row],[Attrition]] = "Yes", 1,0)</f>
        <v>0</v>
      </c>
      <c r="C1100" t="str">
        <f>Table1[[#This Row],[Attrition]]</f>
        <v>No</v>
      </c>
      <c r="D1100" t="str">
        <f>Table1[[#This Row],[Department]]</f>
        <v>Research &amp; Development</v>
      </c>
      <c r="E1100">
        <f>Table1[[#This Row],[EnvironmentSatisfaction]]</f>
        <v>4</v>
      </c>
      <c r="F1100">
        <f>Table1[[#This Row],[HourlyRate]]</f>
        <v>72</v>
      </c>
      <c r="G1100" t="str">
        <f>Table1[[#This Row],[JobRole]]</f>
        <v>Healthcare Representative</v>
      </c>
      <c r="H1100">
        <f>Table1[[#This Row],[JobSatisfaction]]</f>
        <v>4</v>
      </c>
      <c r="I1100">
        <f>Table1[[#This Row],[YearsAtCompany]]</f>
        <v>2</v>
      </c>
      <c r="J1100">
        <f>Table1[[#This Row],[YearsSinceLastPromotion]]</f>
        <v>2</v>
      </c>
      <c r="K1100">
        <f>Table1[[#This Row],[EmployeeNumber]]</f>
        <v>1552</v>
      </c>
      <c r="L1100">
        <f>Table1[[#This Row],[DistanceFromHome]]</f>
        <v>8</v>
      </c>
      <c r="M1100" t="str">
        <f>Table1[[#This Row],[OverTime]]</f>
        <v>Yes</v>
      </c>
      <c r="N1100">
        <f>Table1[[#This Row],[WorkLifeBalance]]</f>
        <v>3</v>
      </c>
      <c r="O1100" t="str" cm="1">
        <f t="array" ref="O1100">_xlfn.IFS(A1100&lt;=30,"18-30",A1100&lt;=40,"31-40",A1100&lt;=50,"41-50",A1100&gt;50,"51+")</f>
        <v>31-40</v>
      </c>
      <c r="P1100" t="str" cm="1">
        <f t="array" ref="P1100">_xlfn.IFS(F1100&lt;=45,"45 or below",F1100&lt;= 60,"46-60",F1100&lt;=75,"61-75",F1100&lt;=90,"76-90",F1100&gt;90,"91 or above")</f>
        <v>61-75</v>
      </c>
      <c r="Q11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00" t="str" cm="1">
        <f t="array" ref="R110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01" spans="1:18" x14ac:dyDescent="0.2">
      <c r="A1101">
        <f>Table1[[#This Row],[Age]]</f>
        <v>45</v>
      </c>
      <c r="B1101">
        <f>IF(Table3[[#This Row],[Attrition]] = "Yes", 1,0)</f>
        <v>0</v>
      </c>
      <c r="C1101" t="str">
        <f>Table1[[#This Row],[Attrition]]</f>
        <v>No</v>
      </c>
      <c r="D1101" t="str">
        <f>Table1[[#This Row],[Department]]</f>
        <v>Research &amp; Development</v>
      </c>
      <c r="E1101">
        <f>Table1[[#This Row],[EnvironmentSatisfaction]]</f>
        <v>1</v>
      </c>
      <c r="F1101">
        <f>Table1[[#This Row],[HourlyRate]]</f>
        <v>66</v>
      </c>
      <c r="G1101" t="str">
        <f>Table1[[#This Row],[JobRole]]</f>
        <v>Healthcare Representative</v>
      </c>
      <c r="H1101">
        <f>Table1[[#This Row],[JobSatisfaction]]</f>
        <v>2</v>
      </c>
      <c r="I1101">
        <f>Table1[[#This Row],[YearsAtCompany]]</f>
        <v>10</v>
      </c>
      <c r="J1101">
        <f>Table1[[#This Row],[YearsSinceLastPromotion]]</f>
        <v>7</v>
      </c>
      <c r="K1101">
        <f>Table1[[#This Row],[EmployeeNumber]]</f>
        <v>1553</v>
      </c>
      <c r="L1101">
        <f>Table1[[#This Row],[DistanceFromHome]]</f>
        <v>1</v>
      </c>
      <c r="M1101" t="str">
        <f>Table1[[#This Row],[OverTime]]</f>
        <v>No</v>
      </c>
      <c r="N1101">
        <f>Table1[[#This Row],[WorkLifeBalance]]</f>
        <v>3</v>
      </c>
      <c r="O1101" t="str" cm="1">
        <f t="array" ref="O1101">_xlfn.IFS(A1101&lt;=30,"18-30",A1101&lt;=40,"31-40",A1101&lt;=50,"41-50",A1101&gt;50,"51+")</f>
        <v>41-50</v>
      </c>
      <c r="P1101" t="str" cm="1">
        <f t="array" ref="P1101">_xlfn.IFS(F1101&lt;=45,"45 or below",F1101&lt;= 60,"46-60",F1101&lt;=75,"61-75",F1101&lt;=90,"76-90",F1101&gt;90,"91 or above")</f>
        <v>61-75</v>
      </c>
      <c r="Q11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01" t="str" cm="1">
        <f t="array" ref="R110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02" spans="1:18" x14ac:dyDescent="0.2">
      <c r="A1102">
        <f>Table1[[#This Row],[Age]]</f>
        <v>35</v>
      </c>
      <c r="B1102">
        <f>IF(Table3[[#This Row],[Attrition]] = "Yes", 1,0)</f>
        <v>0</v>
      </c>
      <c r="C1102" t="str">
        <f>Table1[[#This Row],[Attrition]]</f>
        <v>No</v>
      </c>
      <c r="D1102" t="str">
        <f>Table1[[#This Row],[Department]]</f>
        <v>Sales</v>
      </c>
      <c r="E1102">
        <f>Table1[[#This Row],[EnvironmentSatisfaction]]</f>
        <v>2</v>
      </c>
      <c r="F1102">
        <f>Table1[[#This Row],[HourlyRate]]</f>
        <v>98</v>
      </c>
      <c r="G1102" t="str">
        <f>Table1[[#This Row],[JobRole]]</f>
        <v>Sales Representative</v>
      </c>
      <c r="H1102">
        <f>Table1[[#This Row],[JobSatisfaction]]</f>
        <v>3</v>
      </c>
      <c r="I1102">
        <f>Table1[[#This Row],[YearsAtCompany]]</f>
        <v>5</v>
      </c>
      <c r="J1102">
        <f>Table1[[#This Row],[YearsSinceLastPromotion]]</f>
        <v>4</v>
      </c>
      <c r="K1102">
        <f>Table1[[#This Row],[EmployeeNumber]]</f>
        <v>1554</v>
      </c>
      <c r="L1102">
        <f>Table1[[#This Row],[DistanceFromHome]]</f>
        <v>28</v>
      </c>
      <c r="M1102" t="str">
        <f>Table1[[#This Row],[OverTime]]</f>
        <v>No</v>
      </c>
      <c r="N1102">
        <f>Table1[[#This Row],[WorkLifeBalance]]</f>
        <v>3</v>
      </c>
      <c r="O1102" t="str" cm="1">
        <f t="array" ref="O1102">_xlfn.IFS(A1102&lt;=30,"18-30",A1102&lt;=40,"31-40",A1102&lt;=50,"41-50",A1102&gt;50,"51+")</f>
        <v>31-40</v>
      </c>
      <c r="P1102" t="str" cm="1">
        <f t="array" ref="P1102">_xlfn.IFS(F1102&lt;=45,"45 or below",F1102&lt;= 60,"46-60",F1102&lt;=75,"61-75",F1102&lt;=90,"76-90",F1102&gt;90,"91 or above")</f>
        <v>91 or above</v>
      </c>
      <c r="Q11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02" t="str" cm="1">
        <f t="array" ref="R110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03" spans="1:18" x14ac:dyDescent="0.2">
      <c r="A1103">
        <f>Table1[[#This Row],[Age]]</f>
        <v>32</v>
      </c>
      <c r="B1103">
        <f>IF(Table3[[#This Row],[Attrition]] = "Yes", 1,0)</f>
        <v>0</v>
      </c>
      <c r="C1103" t="str">
        <f>Table1[[#This Row],[Attrition]]</f>
        <v>No</v>
      </c>
      <c r="D1103" t="str">
        <f>Table1[[#This Row],[Department]]</f>
        <v>Research &amp; Development</v>
      </c>
      <c r="E1103">
        <f>Table1[[#This Row],[EnvironmentSatisfaction]]</f>
        <v>4</v>
      </c>
      <c r="F1103">
        <f>Table1[[#This Row],[HourlyRate]]</f>
        <v>67</v>
      </c>
      <c r="G1103" t="str">
        <f>Table1[[#This Row],[JobRole]]</f>
        <v>Research Scientist</v>
      </c>
      <c r="H1103">
        <f>Table1[[#This Row],[JobSatisfaction]]</f>
        <v>2</v>
      </c>
      <c r="I1103">
        <f>Table1[[#This Row],[YearsAtCompany]]</f>
        <v>7</v>
      </c>
      <c r="J1103">
        <f>Table1[[#This Row],[YearsSinceLastPromotion]]</f>
        <v>2</v>
      </c>
      <c r="K1103">
        <f>Table1[[#This Row],[EmployeeNumber]]</f>
        <v>1555</v>
      </c>
      <c r="L1103">
        <f>Table1[[#This Row],[DistanceFromHome]]</f>
        <v>5</v>
      </c>
      <c r="M1103" t="str">
        <f>Table1[[#This Row],[OverTime]]</f>
        <v>No</v>
      </c>
      <c r="N1103">
        <f>Table1[[#This Row],[WorkLifeBalance]]</f>
        <v>3</v>
      </c>
      <c r="O1103" t="str" cm="1">
        <f t="array" ref="O1103">_xlfn.IFS(A1103&lt;=30,"18-30",A1103&lt;=40,"31-40",A1103&lt;=50,"41-50",A1103&gt;50,"51+")</f>
        <v>31-40</v>
      </c>
      <c r="P1103" t="str" cm="1">
        <f t="array" ref="P1103">_xlfn.IFS(F1103&lt;=45,"45 or below",F1103&lt;= 60,"46-60",F1103&lt;=75,"61-75",F1103&lt;=90,"76-90",F1103&gt;90,"91 or above")</f>
        <v>61-75</v>
      </c>
      <c r="Q11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03" t="str" cm="1">
        <f t="array" ref="R110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04" spans="1:18" x14ac:dyDescent="0.2">
      <c r="A1104">
        <f>Table1[[#This Row],[Age]]</f>
        <v>36</v>
      </c>
      <c r="B1104">
        <f>IF(Table3[[#This Row],[Attrition]] = "Yes", 1,0)</f>
        <v>0</v>
      </c>
      <c r="C1104" t="str">
        <f>Table1[[#This Row],[Attrition]]</f>
        <v>No</v>
      </c>
      <c r="D1104" t="str">
        <f>Table1[[#This Row],[Department]]</f>
        <v>Sales</v>
      </c>
      <c r="E1104">
        <f>Table1[[#This Row],[EnvironmentSatisfaction]]</f>
        <v>3</v>
      </c>
      <c r="F1104">
        <f>Table1[[#This Row],[HourlyRate]]</f>
        <v>70</v>
      </c>
      <c r="G1104" t="str">
        <f>Table1[[#This Row],[JobRole]]</f>
        <v>Sales Representative</v>
      </c>
      <c r="H1104">
        <f>Table1[[#This Row],[JobSatisfaction]]</f>
        <v>4</v>
      </c>
      <c r="I1104">
        <f>Table1[[#This Row],[YearsAtCompany]]</f>
        <v>3</v>
      </c>
      <c r="J1104">
        <f>Table1[[#This Row],[YearsSinceLastPromotion]]</f>
        <v>1</v>
      </c>
      <c r="K1104">
        <f>Table1[[#This Row],[EmployeeNumber]]</f>
        <v>1556</v>
      </c>
      <c r="L1104">
        <f>Table1[[#This Row],[DistanceFromHome]]</f>
        <v>2</v>
      </c>
      <c r="M1104" t="str">
        <f>Table1[[#This Row],[OverTime]]</f>
        <v>Yes</v>
      </c>
      <c r="N1104">
        <f>Table1[[#This Row],[WorkLifeBalance]]</f>
        <v>2</v>
      </c>
      <c r="O1104" t="str" cm="1">
        <f t="array" ref="O1104">_xlfn.IFS(A1104&lt;=30,"18-30",A1104&lt;=40,"31-40",A1104&lt;=50,"41-50",A1104&gt;50,"51+")</f>
        <v>31-40</v>
      </c>
      <c r="P1104" t="str" cm="1">
        <f t="array" ref="P1104">_xlfn.IFS(F1104&lt;=45,"45 or below",F1104&lt;= 60,"46-60",F1104&lt;=75,"61-75",F1104&lt;=90,"76-90",F1104&gt;90,"91 or above")</f>
        <v>61-75</v>
      </c>
      <c r="Q11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04" t="str" cm="1">
        <f t="array" ref="R110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05" spans="1:18" x14ac:dyDescent="0.2">
      <c r="A1105">
        <f>Table1[[#This Row],[Age]]</f>
        <v>48</v>
      </c>
      <c r="B1105">
        <f>IF(Table3[[#This Row],[Attrition]] = "Yes", 1,0)</f>
        <v>0</v>
      </c>
      <c r="C1105" t="str">
        <f>Table1[[#This Row],[Attrition]]</f>
        <v>No</v>
      </c>
      <c r="D1105" t="str">
        <f>Table1[[#This Row],[Department]]</f>
        <v>Sales</v>
      </c>
      <c r="E1105">
        <f>Table1[[#This Row],[EnvironmentSatisfaction]]</f>
        <v>3</v>
      </c>
      <c r="F1105">
        <f>Table1[[#This Row],[HourlyRate]]</f>
        <v>96</v>
      </c>
      <c r="G1105" t="str">
        <f>Table1[[#This Row],[JobRole]]</f>
        <v>Sales Executive</v>
      </c>
      <c r="H1105">
        <f>Table1[[#This Row],[JobSatisfaction]]</f>
        <v>3</v>
      </c>
      <c r="I1105">
        <f>Table1[[#This Row],[YearsAtCompany]]</f>
        <v>8</v>
      </c>
      <c r="J1105">
        <f>Table1[[#This Row],[YearsSinceLastPromotion]]</f>
        <v>7</v>
      </c>
      <c r="K1105">
        <f>Table1[[#This Row],[EmployeeNumber]]</f>
        <v>1557</v>
      </c>
      <c r="L1105">
        <f>Table1[[#This Row],[DistanceFromHome]]</f>
        <v>16</v>
      </c>
      <c r="M1105" t="str">
        <f>Table1[[#This Row],[OverTime]]</f>
        <v>No</v>
      </c>
      <c r="N1105">
        <f>Table1[[#This Row],[WorkLifeBalance]]</f>
        <v>3</v>
      </c>
      <c r="O1105" t="str" cm="1">
        <f t="array" ref="O1105">_xlfn.IFS(A1105&lt;=30,"18-30",A1105&lt;=40,"31-40",A1105&lt;=50,"41-50",A1105&gt;50,"51+")</f>
        <v>41-50</v>
      </c>
      <c r="P1105" t="str" cm="1">
        <f t="array" ref="P1105">_xlfn.IFS(F1105&lt;=45,"45 or below",F1105&lt;= 60,"46-60",F1105&lt;=75,"61-75",F1105&lt;=90,"76-90",F1105&gt;90,"91 or above")</f>
        <v>91 or above</v>
      </c>
      <c r="Q11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05" t="str" cm="1">
        <f t="array" ref="R11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06" spans="1:18" x14ac:dyDescent="0.2">
      <c r="A1106">
        <f>Table1[[#This Row],[Age]]</f>
        <v>29</v>
      </c>
      <c r="B1106">
        <f>IF(Table3[[#This Row],[Attrition]] = "Yes", 1,0)</f>
        <v>0</v>
      </c>
      <c r="C1106" t="str">
        <f>Table1[[#This Row],[Attrition]]</f>
        <v>No</v>
      </c>
      <c r="D1106" t="str">
        <f>Table1[[#This Row],[Department]]</f>
        <v>Research &amp; Development</v>
      </c>
      <c r="E1106">
        <f>Table1[[#This Row],[EnvironmentSatisfaction]]</f>
        <v>3</v>
      </c>
      <c r="F1106">
        <f>Table1[[#This Row],[HourlyRate]]</f>
        <v>91</v>
      </c>
      <c r="G1106" t="str">
        <f>Table1[[#This Row],[JobRole]]</f>
        <v>Research Scientist</v>
      </c>
      <c r="H1106">
        <f>Table1[[#This Row],[JobSatisfaction]]</f>
        <v>3</v>
      </c>
      <c r="I1106">
        <f>Table1[[#This Row],[YearsAtCompany]]</f>
        <v>1</v>
      </c>
      <c r="J1106">
        <f>Table1[[#This Row],[YearsSinceLastPromotion]]</f>
        <v>0</v>
      </c>
      <c r="K1106">
        <f>Table1[[#This Row],[EmployeeNumber]]</f>
        <v>1558</v>
      </c>
      <c r="L1106">
        <f>Table1[[#This Row],[DistanceFromHome]]</f>
        <v>9</v>
      </c>
      <c r="M1106" t="str">
        <f>Table1[[#This Row],[OverTime]]</f>
        <v>No</v>
      </c>
      <c r="N1106">
        <f>Table1[[#This Row],[WorkLifeBalance]]</f>
        <v>2</v>
      </c>
      <c r="O1106" t="str" cm="1">
        <f t="array" ref="O1106">_xlfn.IFS(A1106&lt;=30,"18-30",A1106&lt;=40,"31-40",A1106&lt;=50,"41-50",A1106&gt;50,"51+")</f>
        <v>18-30</v>
      </c>
      <c r="P1106" t="str" cm="1">
        <f t="array" ref="P1106">_xlfn.IFS(F1106&lt;=45,"45 or below",F1106&lt;= 60,"46-60",F1106&lt;=75,"61-75",F1106&lt;=90,"76-90",F1106&gt;90,"91 or above")</f>
        <v>91 or above</v>
      </c>
      <c r="Q11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06" t="str" cm="1">
        <f t="array" ref="R11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07" spans="1:18" x14ac:dyDescent="0.2">
      <c r="A1107">
        <f>Table1[[#This Row],[Age]]</f>
        <v>33</v>
      </c>
      <c r="B1107">
        <f>IF(Table3[[#This Row],[Attrition]] = "Yes", 1,0)</f>
        <v>0</v>
      </c>
      <c r="C1107" t="str">
        <f>Table1[[#This Row],[Attrition]]</f>
        <v>No</v>
      </c>
      <c r="D1107" t="str">
        <f>Table1[[#This Row],[Department]]</f>
        <v>Sales</v>
      </c>
      <c r="E1107">
        <f>Table1[[#This Row],[EnvironmentSatisfaction]]</f>
        <v>1</v>
      </c>
      <c r="F1107">
        <f>Table1[[#This Row],[HourlyRate]]</f>
        <v>46</v>
      </c>
      <c r="G1107" t="str">
        <f>Table1[[#This Row],[JobRole]]</f>
        <v>Sales Executive</v>
      </c>
      <c r="H1107">
        <f>Table1[[#This Row],[JobSatisfaction]]</f>
        <v>1</v>
      </c>
      <c r="I1107">
        <f>Table1[[#This Row],[YearsAtCompany]]</f>
        <v>2</v>
      </c>
      <c r="J1107">
        <f>Table1[[#This Row],[YearsSinceLastPromotion]]</f>
        <v>2</v>
      </c>
      <c r="K1107">
        <f>Table1[[#This Row],[EmployeeNumber]]</f>
        <v>1560</v>
      </c>
      <c r="L1107">
        <f>Table1[[#This Row],[DistanceFromHome]]</f>
        <v>8</v>
      </c>
      <c r="M1107" t="str">
        <f>Table1[[#This Row],[OverTime]]</f>
        <v>No</v>
      </c>
      <c r="N1107">
        <f>Table1[[#This Row],[WorkLifeBalance]]</f>
        <v>1</v>
      </c>
      <c r="O1107" t="str" cm="1">
        <f t="array" ref="O1107">_xlfn.IFS(A1107&lt;=30,"18-30",A1107&lt;=40,"31-40",A1107&lt;=50,"41-50",A1107&gt;50,"51+")</f>
        <v>31-40</v>
      </c>
      <c r="P1107" t="str" cm="1">
        <f t="array" ref="P1107">_xlfn.IFS(F1107&lt;=45,"45 or below",F1107&lt;= 60,"46-60",F1107&lt;=75,"61-75",F1107&lt;=90,"76-90",F1107&gt;90,"91 or above")</f>
        <v>46-60</v>
      </c>
      <c r="Q11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107" t="str" cm="1">
        <f t="array" ref="R110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08" spans="1:18" hidden="1" x14ac:dyDescent="0.2">
      <c r="A1108">
        <f>Table1[[#This Row],[Age]]</f>
        <v>30</v>
      </c>
      <c r="B1108">
        <f>IF(Table3[[#This Row],[Attrition]] = "Yes", 1,0)</f>
        <v>1</v>
      </c>
      <c r="C1108" t="str">
        <f>Table1[[#This Row],[Attrition]]</f>
        <v>Yes</v>
      </c>
      <c r="D1108" t="str">
        <f>Table1[[#This Row],[Department]]</f>
        <v>Sales</v>
      </c>
      <c r="E1108">
        <f>Table1[[#This Row],[EnvironmentSatisfaction]]</f>
        <v>2</v>
      </c>
      <c r="F1108">
        <f>Table1[[#This Row],[HourlyRate]]</f>
        <v>64</v>
      </c>
      <c r="G1108" t="str">
        <f>Table1[[#This Row],[JobRole]]</f>
        <v>Sales Executive</v>
      </c>
      <c r="H1108">
        <f>Table1[[#This Row],[JobSatisfaction]]</f>
        <v>1</v>
      </c>
      <c r="I1108">
        <f>Table1[[#This Row],[YearsAtCompany]]</f>
        <v>10</v>
      </c>
      <c r="J1108">
        <f>Table1[[#This Row],[YearsSinceLastPromotion]]</f>
        <v>6</v>
      </c>
      <c r="K1108">
        <f>Table1[[#This Row],[EmployeeNumber]]</f>
        <v>1562</v>
      </c>
      <c r="L1108">
        <f>Table1[[#This Row],[DistanceFromHome]]</f>
        <v>1</v>
      </c>
      <c r="M1108" t="str">
        <f>Table1[[#This Row],[OverTime]]</f>
        <v>No</v>
      </c>
      <c r="N1108">
        <f>Table1[[#This Row],[WorkLifeBalance]]</f>
        <v>3</v>
      </c>
      <c r="O1108" t="str" cm="1">
        <f t="array" ref="O1108">_xlfn.IFS(A1108&lt;=30,"18-30",A1108&lt;=40,"31-40",A1108&lt;=50,"41-50",A1108&gt;50,"51+")</f>
        <v>18-30</v>
      </c>
      <c r="P1108" t="str" cm="1">
        <f t="array" ref="P1108">_xlfn.IFS(F1108&lt;=45,"45 or below",F1108&lt;= 60,"46-60",F1108&lt;=75,"61-75",F1108&lt;=90,"76-90",F1108&gt;90,"91 or above")</f>
        <v>61-75</v>
      </c>
      <c r="Q110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08" t="str" cm="1">
        <f t="array" ref="R1108" xml:space="preserve"> _xlfn.IFS(Table3[[#This Row],[Flight Risk Score]] = "NA","NA",Table3[[#This Row],[Flight Risk Score]] &gt;= 70,"High Risk",Table3[[#This Row],[Flight Risk Score]] &gt;= 50, "Medium Risk", Table3[[#This Row],[Flight Risk Score]] &gt;= 30,"Low Risk",Table3[[#This Row],[Flight Risk Score]] &lt; 30,"Very Low Risk")</f>
        <v>NA</v>
      </c>
    </row>
    <row r="1109" spans="1:18" x14ac:dyDescent="0.2">
      <c r="A1109">
        <f>Table1[[#This Row],[Age]]</f>
        <v>38</v>
      </c>
      <c r="B1109">
        <f>IF(Table3[[#This Row],[Attrition]] = "Yes", 1,0)</f>
        <v>0</v>
      </c>
      <c r="C1109" t="str">
        <f>Table1[[#This Row],[Attrition]]</f>
        <v>No</v>
      </c>
      <c r="D1109" t="str">
        <f>Table1[[#This Row],[Department]]</f>
        <v>Human Resources</v>
      </c>
      <c r="E1109">
        <f>Table1[[#This Row],[EnvironmentSatisfaction]]</f>
        <v>3</v>
      </c>
      <c r="F1109">
        <f>Table1[[#This Row],[HourlyRate]]</f>
        <v>71</v>
      </c>
      <c r="G1109" t="str">
        <f>Table1[[#This Row],[JobRole]]</f>
        <v>Human Resources</v>
      </c>
      <c r="H1109">
        <f>Table1[[#This Row],[JobSatisfaction]]</f>
        <v>3</v>
      </c>
      <c r="I1109">
        <f>Table1[[#This Row],[YearsAtCompany]]</f>
        <v>6</v>
      </c>
      <c r="J1109">
        <f>Table1[[#This Row],[YearsSinceLastPromotion]]</f>
        <v>1</v>
      </c>
      <c r="K1109">
        <f>Table1[[#This Row],[EmployeeNumber]]</f>
        <v>1563</v>
      </c>
      <c r="L1109">
        <f>Table1[[#This Row],[DistanceFromHome]]</f>
        <v>10</v>
      </c>
      <c r="M1109" t="str">
        <f>Table1[[#This Row],[OverTime]]</f>
        <v>No</v>
      </c>
      <c r="N1109">
        <f>Table1[[#This Row],[WorkLifeBalance]]</f>
        <v>3</v>
      </c>
      <c r="O1109" t="str" cm="1">
        <f t="array" ref="O1109">_xlfn.IFS(A1109&lt;=30,"18-30",A1109&lt;=40,"31-40",A1109&lt;=50,"41-50",A1109&gt;50,"51+")</f>
        <v>31-40</v>
      </c>
      <c r="P1109" t="str" cm="1">
        <f t="array" ref="P1109">_xlfn.IFS(F1109&lt;=45,"45 or below",F1109&lt;= 60,"46-60",F1109&lt;=75,"61-75",F1109&lt;=90,"76-90",F1109&gt;90,"91 or above")</f>
        <v>61-75</v>
      </c>
      <c r="Q11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09" t="str" cm="1">
        <f t="array" ref="R110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0" spans="1:18" x14ac:dyDescent="0.2">
      <c r="A1110">
        <f>Table1[[#This Row],[Age]]</f>
        <v>35</v>
      </c>
      <c r="B1110">
        <f>IF(Table3[[#This Row],[Attrition]] = "Yes", 1,0)</f>
        <v>0</v>
      </c>
      <c r="C1110" t="str">
        <f>Table1[[#This Row],[Attrition]]</f>
        <v>No</v>
      </c>
      <c r="D1110" t="str">
        <f>Table1[[#This Row],[Department]]</f>
        <v>Research &amp; Development</v>
      </c>
      <c r="E1110">
        <f>Table1[[#This Row],[EnvironmentSatisfaction]]</f>
        <v>4</v>
      </c>
      <c r="F1110">
        <f>Table1[[#This Row],[HourlyRate]]</f>
        <v>68</v>
      </c>
      <c r="G1110" t="str">
        <f>Table1[[#This Row],[JobRole]]</f>
        <v>Laboratory Technician</v>
      </c>
      <c r="H1110">
        <f>Table1[[#This Row],[JobSatisfaction]]</f>
        <v>1</v>
      </c>
      <c r="I1110">
        <f>Table1[[#This Row],[YearsAtCompany]]</f>
        <v>3</v>
      </c>
      <c r="J1110">
        <f>Table1[[#This Row],[YearsSinceLastPromotion]]</f>
        <v>1</v>
      </c>
      <c r="K1110">
        <f>Table1[[#This Row],[EmployeeNumber]]</f>
        <v>1564</v>
      </c>
      <c r="L1110">
        <f>Table1[[#This Row],[DistanceFromHome]]</f>
        <v>1</v>
      </c>
      <c r="M1110" t="str">
        <f>Table1[[#This Row],[OverTime]]</f>
        <v>No</v>
      </c>
      <c r="N1110">
        <f>Table1[[#This Row],[WorkLifeBalance]]</f>
        <v>3</v>
      </c>
      <c r="O1110" t="str" cm="1">
        <f t="array" ref="O1110">_xlfn.IFS(A1110&lt;=30,"18-30",A1110&lt;=40,"31-40",A1110&lt;=50,"41-50",A1110&gt;50,"51+")</f>
        <v>31-40</v>
      </c>
      <c r="P1110" t="str" cm="1">
        <f t="array" ref="P1110">_xlfn.IFS(F1110&lt;=45,"45 or below",F1110&lt;= 60,"46-60",F1110&lt;=75,"61-75",F1110&lt;=90,"76-90",F1110&gt;90,"91 or above")</f>
        <v>61-75</v>
      </c>
      <c r="Q11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10" t="str" cm="1">
        <f t="array" ref="R11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1" spans="1:18" x14ac:dyDescent="0.2">
      <c r="A1111">
        <f>Table1[[#This Row],[Age]]</f>
        <v>30</v>
      </c>
      <c r="B1111">
        <f>IF(Table3[[#This Row],[Attrition]] = "Yes", 1,0)</f>
        <v>0</v>
      </c>
      <c r="C1111" t="str">
        <f>Table1[[#This Row],[Attrition]]</f>
        <v>No</v>
      </c>
      <c r="D1111" t="str">
        <f>Table1[[#This Row],[Department]]</f>
        <v>Sales</v>
      </c>
      <c r="E1111">
        <f>Table1[[#This Row],[EnvironmentSatisfaction]]</f>
        <v>3</v>
      </c>
      <c r="F1111">
        <f>Table1[[#This Row],[HourlyRate]]</f>
        <v>33</v>
      </c>
      <c r="G1111" t="str">
        <f>Table1[[#This Row],[JobRole]]</f>
        <v>Sales Executive</v>
      </c>
      <c r="H1111">
        <f>Table1[[#This Row],[JobSatisfaction]]</f>
        <v>2</v>
      </c>
      <c r="I1111">
        <f>Table1[[#This Row],[YearsAtCompany]]</f>
        <v>4</v>
      </c>
      <c r="J1111">
        <f>Table1[[#This Row],[YearsSinceLastPromotion]]</f>
        <v>1</v>
      </c>
      <c r="K1111">
        <f>Table1[[#This Row],[EmployeeNumber]]</f>
        <v>1568</v>
      </c>
      <c r="L1111">
        <f>Table1[[#This Row],[DistanceFromHome]]</f>
        <v>29</v>
      </c>
      <c r="M1111" t="str">
        <f>Table1[[#This Row],[OverTime]]</f>
        <v>No</v>
      </c>
      <c r="N1111">
        <f>Table1[[#This Row],[WorkLifeBalance]]</f>
        <v>3</v>
      </c>
      <c r="O1111" t="str" cm="1">
        <f t="array" ref="O1111">_xlfn.IFS(A1111&lt;=30,"18-30",A1111&lt;=40,"31-40",A1111&lt;=50,"41-50",A1111&gt;50,"51+")</f>
        <v>18-30</v>
      </c>
      <c r="P1111" t="str" cm="1">
        <f t="array" ref="P1111">_xlfn.IFS(F1111&lt;=45,"45 or below",F1111&lt;= 60,"46-60",F1111&lt;=75,"61-75",F1111&lt;=90,"76-90",F1111&gt;90,"91 or above")</f>
        <v>45 or below</v>
      </c>
      <c r="Q11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11" t="str" cm="1">
        <f t="array" ref="R11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2" spans="1:18" hidden="1" x14ac:dyDescent="0.2">
      <c r="A1112">
        <f>Table1[[#This Row],[Age]]</f>
        <v>35</v>
      </c>
      <c r="B1112">
        <f>IF(Table3[[#This Row],[Attrition]] = "Yes", 1,0)</f>
        <v>1</v>
      </c>
      <c r="C1112" t="str">
        <f>Table1[[#This Row],[Attrition]]</f>
        <v>Yes</v>
      </c>
      <c r="D1112" t="str">
        <f>Table1[[#This Row],[Department]]</f>
        <v>Research &amp; Development</v>
      </c>
      <c r="E1112">
        <f>Table1[[#This Row],[EnvironmentSatisfaction]]</f>
        <v>1</v>
      </c>
      <c r="F1112">
        <f>Table1[[#This Row],[HourlyRate]]</f>
        <v>69</v>
      </c>
      <c r="G1112" t="str">
        <f>Table1[[#This Row],[JobRole]]</f>
        <v>Laboratory Technician</v>
      </c>
      <c r="H1112">
        <f>Table1[[#This Row],[JobSatisfaction]]</f>
        <v>1</v>
      </c>
      <c r="I1112">
        <f>Table1[[#This Row],[YearsAtCompany]]</f>
        <v>1</v>
      </c>
      <c r="J1112">
        <f>Table1[[#This Row],[YearsSinceLastPromotion]]</f>
        <v>0</v>
      </c>
      <c r="K1112">
        <f>Table1[[#This Row],[EmployeeNumber]]</f>
        <v>1569</v>
      </c>
      <c r="L1112">
        <f>Table1[[#This Row],[DistanceFromHome]]</f>
        <v>2</v>
      </c>
      <c r="M1112" t="str">
        <f>Table1[[#This Row],[OverTime]]</f>
        <v>Yes</v>
      </c>
      <c r="N1112">
        <f>Table1[[#This Row],[WorkLifeBalance]]</f>
        <v>3</v>
      </c>
      <c r="O1112" t="str" cm="1">
        <f t="array" ref="O1112">_xlfn.IFS(A1112&lt;=30,"18-30",A1112&lt;=40,"31-40",A1112&lt;=50,"41-50",A1112&gt;50,"51+")</f>
        <v>31-40</v>
      </c>
      <c r="P1112" t="str" cm="1">
        <f t="array" ref="P1112">_xlfn.IFS(F1112&lt;=45,"45 or below",F1112&lt;= 60,"46-60",F1112&lt;=75,"61-75",F1112&lt;=90,"76-90",F1112&gt;90,"91 or above")</f>
        <v>61-75</v>
      </c>
      <c r="Q111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12" t="str" cm="1">
        <f t="array" ref="R1112" xml:space="preserve"> _xlfn.IFS(Table3[[#This Row],[Flight Risk Score]] = "NA","NA",Table3[[#This Row],[Flight Risk Score]] &gt;= 70,"High Risk",Table3[[#This Row],[Flight Risk Score]] &gt;= 50, "Medium Risk", Table3[[#This Row],[Flight Risk Score]] &gt;= 30,"Low Risk",Table3[[#This Row],[Flight Risk Score]] &lt; 30,"Very Low Risk")</f>
        <v>NA</v>
      </c>
    </row>
    <row r="1113" spans="1:18" hidden="1" x14ac:dyDescent="0.2">
      <c r="A1113">
        <f>Table1[[#This Row],[Age]]</f>
        <v>53</v>
      </c>
      <c r="B1113">
        <f>IF(Table3[[#This Row],[Attrition]] = "Yes", 1,0)</f>
        <v>1</v>
      </c>
      <c r="C1113" t="str">
        <f>Table1[[#This Row],[Attrition]]</f>
        <v>Yes</v>
      </c>
      <c r="D1113" t="str">
        <f>Table1[[#This Row],[Department]]</f>
        <v>Research &amp; Development</v>
      </c>
      <c r="E1113">
        <f>Table1[[#This Row],[EnvironmentSatisfaction]]</f>
        <v>3</v>
      </c>
      <c r="F1113">
        <f>Table1[[#This Row],[HourlyRate]]</f>
        <v>78</v>
      </c>
      <c r="G1113" t="str">
        <f>Table1[[#This Row],[JobRole]]</f>
        <v>Manufacturing Director</v>
      </c>
      <c r="H1113">
        <f>Table1[[#This Row],[JobSatisfaction]]</f>
        <v>4</v>
      </c>
      <c r="I1113">
        <f>Table1[[#This Row],[YearsAtCompany]]</f>
        <v>33</v>
      </c>
      <c r="J1113">
        <f>Table1[[#This Row],[YearsSinceLastPromotion]]</f>
        <v>1</v>
      </c>
      <c r="K1113">
        <f>Table1[[#This Row],[EmployeeNumber]]</f>
        <v>1572</v>
      </c>
      <c r="L1113">
        <f>Table1[[#This Row],[DistanceFromHome]]</f>
        <v>2</v>
      </c>
      <c r="M1113" t="str">
        <f>Table1[[#This Row],[OverTime]]</f>
        <v>No</v>
      </c>
      <c r="N1113">
        <f>Table1[[#This Row],[WorkLifeBalance]]</f>
        <v>3</v>
      </c>
      <c r="O1113" t="str" cm="1">
        <f t="array" ref="O1113">_xlfn.IFS(A1113&lt;=30,"18-30",A1113&lt;=40,"31-40",A1113&lt;=50,"41-50",A1113&gt;50,"51+")</f>
        <v>51+</v>
      </c>
      <c r="P1113" t="str" cm="1">
        <f t="array" ref="P1113">_xlfn.IFS(F1113&lt;=45,"45 or below",F1113&lt;= 60,"46-60",F1113&lt;=75,"61-75",F1113&lt;=90,"76-90",F1113&gt;90,"91 or above")</f>
        <v>76-90</v>
      </c>
      <c r="Q111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13" t="str" cm="1">
        <f t="array" ref="R1113" xml:space="preserve"> _xlfn.IFS(Table3[[#This Row],[Flight Risk Score]] = "NA","NA",Table3[[#This Row],[Flight Risk Score]] &gt;= 70,"High Risk",Table3[[#This Row],[Flight Risk Score]] &gt;= 50, "Medium Risk", Table3[[#This Row],[Flight Risk Score]] &gt;= 30,"Low Risk",Table3[[#This Row],[Flight Risk Score]] &lt; 30,"Very Low Risk")</f>
        <v>NA</v>
      </c>
    </row>
    <row r="1114" spans="1:18" hidden="1" x14ac:dyDescent="0.2">
      <c r="A1114">
        <f>Table1[[#This Row],[Age]]</f>
        <v>38</v>
      </c>
      <c r="B1114">
        <f>IF(Table3[[#This Row],[Attrition]] = "Yes", 1,0)</f>
        <v>1</v>
      </c>
      <c r="C1114" t="str">
        <f>Table1[[#This Row],[Attrition]]</f>
        <v>Yes</v>
      </c>
      <c r="D1114" t="str">
        <f>Table1[[#This Row],[Department]]</f>
        <v>Research &amp; Development</v>
      </c>
      <c r="E1114">
        <f>Table1[[#This Row],[EnvironmentSatisfaction]]</f>
        <v>3</v>
      </c>
      <c r="F1114">
        <f>Table1[[#This Row],[HourlyRate]]</f>
        <v>81</v>
      </c>
      <c r="G1114" t="str">
        <f>Table1[[#This Row],[JobRole]]</f>
        <v>Manufacturing Director</v>
      </c>
      <c r="H1114">
        <f>Table1[[#This Row],[JobSatisfaction]]</f>
        <v>2</v>
      </c>
      <c r="I1114">
        <f>Table1[[#This Row],[YearsAtCompany]]</f>
        <v>5</v>
      </c>
      <c r="J1114">
        <f>Table1[[#This Row],[YearsSinceLastPromotion]]</f>
        <v>1</v>
      </c>
      <c r="K1114">
        <f>Table1[[#This Row],[EmployeeNumber]]</f>
        <v>1573</v>
      </c>
      <c r="L1114">
        <f>Table1[[#This Row],[DistanceFromHome]]</f>
        <v>2</v>
      </c>
      <c r="M1114" t="str">
        <f>Table1[[#This Row],[OverTime]]</f>
        <v>No</v>
      </c>
      <c r="N1114">
        <f>Table1[[#This Row],[WorkLifeBalance]]</f>
        <v>3</v>
      </c>
      <c r="O1114" t="str" cm="1">
        <f t="array" ref="O1114">_xlfn.IFS(A1114&lt;=30,"18-30",A1114&lt;=40,"31-40",A1114&lt;=50,"41-50",A1114&gt;50,"51+")</f>
        <v>31-40</v>
      </c>
      <c r="P1114" t="str" cm="1">
        <f t="array" ref="P1114">_xlfn.IFS(F1114&lt;=45,"45 or below",F1114&lt;= 60,"46-60",F1114&lt;=75,"61-75",F1114&lt;=90,"76-90",F1114&gt;90,"91 or above")</f>
        <v>76-90</v>
      </c>
      <c r="Q111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14" t="str" cm="1">
        <f t="array" ref="R1114" xml:space="preserve"> _xlfn.IFS(Table3[[#This Row],[Flight Risk Score]] = "NA","NA",Table3[[#This Row],[Flight Risk Score]] &gt;= 70,"High Risk",Table3[[#This Row],[Flight Risk Score]] &gt;= 50, "Medium Risk", Table3[[#This Row],[Flight Risk Score]] &gt;= 30,"Low Risk",Table3[[#This Row],[Flight Risk Score]] &lt; 30,"Very Low Risk")</f>
        <v>NA</v>
      </c>
    </row>
    <row r="1115" spans="1:18" x14ac:dyDescent="0.2">
      <c r="A1115">
        <f>Table1[[#This Row],[Age]]</f>
        <v>32</v>
      </c>
      <c r="B1115">
        <f>IF(Table3[[#This Row],[Attrition]] = "Yes", 1,0)</f>
        <v>0</v>
      </c>
      <c r="C1115" t="str">
        <f>Table1[[#This Row],[Attrition]]</f>
        <v>No</v>
      </c>
      <c r="D1115" t="str">
        <f>Table1[[#This Row],[Department]]</f>
        <v>Research &amp; Development</v>
      </c>
      <c r="E1115">
        <f>Table1[[#This Row],[EnvironmentSatisfaction]]</f>
        <v>4</v>
      </c>
      <c r="F1115">
        <f>Table1[[#This Row],[HourlyRate]]</f>
        <v>62</v>
      </c>
      <c r="G1115" t="str">
        <f>Table1[[#This Row],[JobRole]]</f>
        <v>Research Scientist</v>
      </c>
      <c r="H1115">
        <f>Table1[[#This Row],[JobSatisfaction]]</f>
        <v>1</v>
      </c>
      <c r="I1115">
        <f>Table1[[#This Row],[YearsAtCompany]]</f>
        <v>6</v>
      </c>
      <c r="J1115">
        <f>Table1[[#This Row],[YearsSinceLastPromotion]]</f>
        <v>1</v>
      </c>
      <c r="K1115">
        <f>Table1[[#This Row],[EmployeeNumber]]</f>
        <v>1574</v>
      </c>
      <c r="L1115">
        <f>Table1[[#This Row],[DistanceFromHome]]</f>
        <v>1</v>
      </c>
      <c r="M1115" t="str">
        <f>Table1[[#This Row],[OverTime]]</f>
        <v>No</v>
      </c>
      <c r="N1115">
        <f>Table1[[#This Row],[WorkLifeBalance]]</f>
        <v>2</v>
      </c>
      <c r="O1115" t="str" cm="1">
        <f t="array" ref="O1115">_xlfn.IFS(A1115&lt;=30,"18-30",A1115&lt;=40,"31-40",A1115&lt;=50,"41-50",A1115&gt;50,"51+")</f>
        <v>31-40</v>
      </c>
      <c r="P1115" t="str" cm="1">
        <f t="array" ref="P1115">_xlfn.IFS(F1115&lt;=45,"45 or below",F1115&lt;= 60,"46-60",F1115&lt;=75,"61-75",F1115&lt;=90,"76-90",F1115&gt;90,"91 or above")</f>
        <v>61-75</v>
      </c>
      <c r="Q11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15" t="str" cm="1">
        <f t="array" ref="R111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6" spans="1:18" x14ac:dyDescent="0.2">
      <c r="A1116">
        <f>Table1[[#This Row],[Age]]</f>
        <v>48</v>
      </c>
      <c r="B1116">
        <f>IF(Table3[[#This Row],[Attrition]] = "Yes", 1,0)</f>
        <v>0</v>
      </c>
      <c r="C1116" t="str">
        <f>Table1[[#This Row],[Attrition]]</f>
        <v>No</v>
      </c>
      <c r="D1116" t="str">
        <f>Table1[[#This Row],[Department]]</f>
        <v>Research &amp; Development</v>
      </c>
      <c r="E1116">
        <f>Table1[[#This Row],[EnvironmentSatisfaction]]</f>
        <v>3</v>
      </c>
      <c r="F1116">
        <f>Table1[[#This Row],[HourlyRate]]</f>
        <v>65</v>
      </c>
      <c r="G1116" t="str">
        <f>Table1[[#This Row],[JobRole]]</f>
        <v>Research Scientist</v>
      </c>
      <c r="H1116">
        <f>Table1[[#This Row],[JobSatisfaction]]</f>
        <v>1</v>
      </c>
      <c r="I1116">
        <f>Table1[[#This Row],[YearsAtCompany]]</f>
        <v>8</v>
      </c>
      <c r="J1116">
        <f>Table1[[#This Row],[YearsSinceLastPromotion]]</f>
        <v>7</v>
      </c>
      <c r="K1116">
        <f>Table1[[#This Row],[EmployeeNumber]]</f>
        <v>1576</v>
      </c>
      <c r="L1116">
        <f>Table1[[#This Row],[DistanceFromHome]]</f>
        <v>15</v>
      </c>
      <c r="M1116" t="str">
        <f>Table1[[#This Row],[OverTime]]</f>
        <v>No</v>
      </c>
      <c r="N1116">
        <f>Table1[[#This Row],[WorkLifeBalance]]</f>
        <v>2</v>
      </c>
      <c r="O1116" t="str" cm="1">
        <f t="array" ref="O1116">_xlfn.IFS(A1116&lt;=30,"18-30",A1116&lt;=40,"31-40",A1116&lt;=50,"41-50",A1116&gt;50,"51+")</f>
        <v>41-50</v>
      </c>
      <c r="P1116" t="str" cm="1">
        <f t="array" ref="P1116">_xlfn.IFS(F1116&lt;=45,"45 or below",F1116&lt;= 60,"46-60",F1116&lt;=75,"61-75",F1116&lt;=90,"76-90",F1116&gt;90,"91 or above")</f>
        <v>61-75</v>
      </c>
      <c r="Q11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16" t="str" cm="1">
        <f t="array" ref="R111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7" spans="1:18" x14ac:dyDescent="0.2">
      <c r="A1117">
        <f>Table1[[#This Row],[Age]]</f>
        <v>34</v>
      </c>
      <c r="B1117">
        <f>IF(Table3[[#This Row],[Attrition]] = "Yes", 1,0)</f>
        <v>0</v>
      </c>
      <c r="C1117" t="str">
        <f>Table1[[#This Row],[Attrition]]</f>
        <v>No</v>
      </c>
      <c r="D1117" t="str">
        <f>Table1[[#This Row],[Department]]</f>
        <v>Research &amp; Development</v>
      </c>
      <c r="E1117">
        <f>Table1[[#This Row],[EnvironmentSatisfaction]]</f>
        <v>1</v>
      </c>
      <c r="F1117">
        <f>Table1[[#This Row],[HourlyRate]]</f>
        <v>35</v>
      </c>
      <c r="G1117" t="str">
        <f>Table1[[#This Row],[JobRole]]</f>
        <v>Research Scientist</v>
      </c>
      <c r="H1117">
        <f>Table1[[#This Row],[JobSatisfaction]]</f>
        <v>4</v>
      </c>
      <c r="I1117">
        <f>Table1[[#This Row],[YearsAtCompany]]</f>
        <v>1</v>
      </c>
      <c r="J1117">
        <f>Table1[[#This Row],[YearsSinceLastPromotion]]</f>
        <v>0</v>
      </c>
      <c r="K1117">
        <f>Table1[[#This Row],[EmployeeNumber]]</f>
        <v>1577</v>
      </c>
      <c r="L1117">
        <f>Table1[[#This Row],[DistanceFromHome]]</f>
        <v>7</v>
      </c>
      <c r="M1117" t="str">
        <f>Table1[[#This Row],[OverTime]]</f>
        <v>No</v>
      </c>
      <c r="N1117">
        <f>Table1[[#This Row],[WorkLifeBalance]]</f>
        <v>1</v>
      </c>
      <c r="O1117" t="str" cm="1">
        <f t="array" ref="O1117">_xlfn.IFS(A1117&lt;=30,"18-30",A1117&lt;=40,"31-40",A1117&lt;=50,"41-50",A1117&gt;50,"51+")</f>
        <v>31-40</v>
      </c>
      <c r="P1117" t="str" cm="1">
        <f t="array" ref="P1117">_xlfn.IFS(F1117&lt;=45,"45 or below",F1117&lt;= 60,"46-60",F1117&lt;=75,"61-75",F1117&lt;=90,"76-90",F1117&gt;90,"91 or above")</f>
        <v>45 or below</v>
      </c>
      <c r="Q11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17" t="str" cm="1">
        <f t="array" ref="R111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18" spans="1:18" x14ac:dyDescent="0.2">
      <c r="A1118">
        <f>Table1[[#This Row],[Age]]</f>
        <v>55</v>
      </c>
      <c r="B1118">
        <f>IF(Table3[[#This Row],[Attrition]] = "Yes", 1,0)</f>
        <v>0</v>
      </c>
      <c r="C1118" t="str">
        <f>Table1[[#This Row],[Attrition]]</f>
        <v>No</v>
      </c>
      <c r="D1118" t="str">
        <f>Table1[[#This Row],[Department]]</f>
        <v>Sales</v>
      </c>
      <c r="E1118">
        <f>Table1[[#This Row],[EnvironmentSatisfaction]]</f>
        <v>3</v>
      </c>
      <c r="F1118">
        <f>Table1[[#This Row],[HourlyRate]]</f>
        <v>60</v>
      </c>
      <c r="G1118" t="str">
        <f>Table1[[#This Row],[JobRole]]</f>
        <v>Manager</v>
      </c>
      <c r="H1118">
        <f>Table1[[#This Row],[JobSatisfaction]]</f>
        <v>4</v>
      </c>
      <c r="I1118">
        <f>Table1[[#This Row],[YearsAtCompany]]</f>
        <v>36</v>
      </c>
      <c r="J1118">
        <f>Table1[[#This Row],[YearsSinceLastPromotion]]</f>
        <v>2</v>
      </c>
      <c r="K1118">
        <f>Table1[[#This Row],[EmployeeNumber]]</f>
        <v>1578</v>
      </c>
      <c r="L1118">
        <f>Table1[[#This Row],[DistanceFromHome]]</f>
        <v>26</v>
      </c>
      <c r="M1118" t="str">
        <f>Table1[[#This Row],[OverTime]]</f>
        <v>No</v>
      </c>
      <c r="N1118">
        <f>Table1[[#This Row],[WorkLifeBalance]]</f>
        <v>3</v>
      </c>
      <c r="O1118" t="str" cm="1">
        <f t="array" ref="O1118">_xlfn.IFS(A1118&lt;=30,"18-30",A1118&lt;=40,"31-40",A1118&lt;=50,"41-50",A1118&gt;50,"51+")</f>
        <v>51+</v>
      </c>
      <c r="P1118" t="str" cm="1">
        <f t="array" ref="P1118">_xlfn.IFS(F1118&lt;=45,"45 or below",F1118&lt;= 60,"46-60",F1118&lt;=75,"61-75",F1118&lt;=90,"76-90",F1118&gt;90,"91 or above")</f>
        <v>46-60</v>
      </c>
      <c r="Q11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18" t="str" cm="1">
        <f t="array" ref="R11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19" spans="1:18" x14ac:dyDescent="0.2">
      <c r="A1119">
        <f>Table1[[#This Row],[Age]]</f>
        <v>34</v>
      </c>
      <c r="B1119">
        <f>IF(Table3[[#This Row],[Attrition]] = "Yes", 1,0)</f>
        <v>0</v>
      </c>
      <c r="C1119" t="str">
        <f>Table1[[#This Row],[Attrition]]</f>
        <v>No</v>
      </c>
      <c r="D1119" t="str">
        <f>Table1[[#This Row],[Department]]</f>
        <v>Research &amp; Development</v>
      </c>
      <c r="E1119">
        <f>Table1[[#This Row],[EnvironmentSatisfaction]]</f>
        <v>2</v>
      </c>
      <c r="F1119">
        <f>Table1[[#This Row],[HourlyRate]]</f>
        <v>45</v>
      </c>
      <c r="G1119" t="str">
        <f>Table1[[#This Row],[JobRole]]</f>
        <v>Research Scientist</v>
      </c>
      <c r="H1119">
        <f>Table1[[#This Row],[JobSatisfaction]]</f>
        <v>4</v>
      </c>
      <c r="I1119">
        <f>Table1[[#This Row],[YearsAtCompany]]</f>
        <v>2</v>
      </c>
      <c r="J1119">
        <f>Table1[[#This Row],[YearsSinceLastPromotion]]</f>
        <v>2</v>
      </c>
      <c r="K1119">
        <f>Table1[[#This Row],[EmployeeNumber]]</f>
        <v>1580</v>
      </c>
      <c r="L1119">
        <f>Table1[[#This Row],[DistanceFromHome]]</f>
        <v>1</v>
      </c>
      <c r="M1119" t="str">
        <f>Table1[[#This Row],[OverTime]]</f>
        <v>No</v>
      </c>
      <c r="N1119">
        <f>Table1[[#This Row],[WorkLifeBalance]]</f>
        <v>2</v>
      </c>
      <c r="O1119" t="str" cm="1">
        <f t="array" ref="O1119">_xlfn.IFS(A1119&lt;=30,"18-30",A1119&lt;=40,"31-40",A1119&lt;=50,"41-50",A1119&gt;50,"51+")</f>
        <v>31-40</v>
      </c>
      <c r="P1119" t="str" cm="1">
        <f t="array" ref="P1119">_xlfn.IFS(F1119&lt;=45,"45 or below",F1119&lt;= 60,"46-60",F1119&lt;=75,"61-75",F1119&lt;=90,"76-90",F1119&gt;90,"91 or above")</f>
        <v>45 or below</v>
      </c>
      <c r="Q11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19" t="str" cm="1">
        <f t="array" ref="R11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0" spans="1:18" x14ac:dyDescent="0.2">
      <c r="A1120">
        <f>Table1[[#This Row],[Age]]</f>
        <v>26</v>
      </c>
      <c r="B1120">
        <f>IF(Table3[[#This Row],[Attrition]] = "Yes", 1,0)</f>
        <v>0</v>
      </c>
      <c r="C1120" t="str">
        <f>Table1[[#This Row],[Attrition]]</f>
        <v>No</v>
      </c>
      <c r="D1120" t="str">
        <f>Table1[[#This Row],[Department]]</f>
        <v>Research &amp; Development</v>
      </c>
      <c r="E1120">
        <f>Table1[[#This Row],[EnvironmentSatisfaction]]</f>
        <v>1</v>
      </c>
      <c r="F1120">
        <f>Table1[[#This Row],[HourlyRate]]</f>
        <v>89</v>
      </c>
      <c r="G1120" t="str">
        <f>Table1[[#This Row],[JobRole]]</f>
        <v>Research Scientist</v>
      </c>
      <c r="H1120">
        <f>Table1[[#This Row],[JobSatisfaction]]</f>
        <v>4</v>
      </c>
      <c r="I1120">
        <f>Table1[[#This Row],[YearsAtCompany]]</f>
        <v>1</v>
      </c>
      <c r="J1120">
        <f>Table1[[#This Row],[YearsSinceLastPromotion]]</f>
        <v>0</v>
      </c>
      <c r="K1120">
        <f>Table1[[#This Row],[EmployeeNumber]]</f>
        <v>1581</v>
      </c>
      <c r="L1120">
        <f>Table1[[#This Row],[DistanceFromHome]]</f>
        <v>3</v>
      </c>
      <c r="M1120" t="str">
        <f>Table1[[#This Row],[OverTime]]</f>
        <v>No</v>
      </c>
      <c r="N1120">
        <f>Table1[[#This Row],[WorkLifeBalance]]</f>
        <v>3</v>
      </c>
      <c r="O1120" t="str" cm="1">
        <f t="array" ref="O1120">_xlfn.IFS(A1120&lt;=30,"18-30",A1120&lt;=40,"31-40",A1120&lt;=50,"41-50",A1120&gt;50,"51+")</f>
        <v>18-30</v>
      </c>
      <c r="P1120" t="str" cm="1">
        <f t="array" ref="P1120">_xlfn.IFS(F1120&lt;=45,"45 or below",F1120&lt;= 60,"46-60",F1120&lt;=75,"61-75",F1120&lt;=90,"76-90",F1120&gt;90,"91 or above")</f>
        <v>76-90</v>
      </c>
      <c r="Q11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20" t="str" cm="1">
        <f t="array" ref="R11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1" spans="1:18" x14ac:dyDescent="0.2">
      <c r="A1121">
        <f>Table1[[#This Row],[Age]]</f>
        <v>38</v>
      </c>
      <c r="B1121">
        <f>IF(Table3[[#This Row],[Attrition]] = "Yes", 1,0)</f>
        <v>0</v>
      </c>
      <c r="C1121" t="str">
        <f>Table1[[#This Row],[Attrition]]</f>
        <v>No</v>
      </c>
      <c r="D1121" t="str">
        <f>Table1[[#This Row],[Department]]</f>
        <v>Sales</v>
      </c>
      <c r="E1121">
        <f>Table1[[#This Row],[EnvironmentSatisfaction]]</f>
        <v>3</v>
      </c>
      <c r="F1121">
        <f>Table1[[#This Row],[HourlyRate]]</f>
        <v>80</v>
      </c>
      <c r="G1121" t="str">
        <f>Table1[[#This Row],[JobRole]]</f>
        <v>Sales Executive</v>
      </c>
      <c r="H1121">
        <f>Table1[[#This Row],[JobSatisfaction]]</f>
        <v>2</v>
      </c>
      <c r="I1121">
        <f>Table1[[#This Row],[YearsAtCompany]]</f>
        <v>9</v>
      </c>
      <c r="J1121">
        <f>Table1[[#This Row],[YearsSinceLastPromotion]]</f>
        <v>7</v>
      </c>
      <c r="K1121">
        <f>Table1[[#This Row],[EmployeeNumber]]</f>
        <v>1582</v>
      </c>
      <c r="L1121">
        <f>Table1[[#This Row],[DistanceFromHome]]</f>
        <v>14</v>
      </c>
      <c r="M1121" t="str">
        <f>Table1[[#This Row],[OverTime]]</f>
        <v>No</v>
      </c>
      <c r="N1121">
        <f>Table1[[#This Row],[WorkLifeBalance]]</f>
        <v>3</v>
      </c>
      <c r="O1121" t="str" cm="1">
        <f t="array" ref="O1121">_xlfn.IFS(A1121&lt;=30,"18-30",A1121&lt;=40,"31-40",A1121&lt;=50,"41-50",A1121&gt;50,"51+")</f>
        <v>31-40</v>
      </c>
      <c r="P1121" t="str" cm="1">
        <f t="array" ref="P1121">_xlfn.IFS(F1121&lt;=45,"45 or below",F1121&lt;= 60,"46-60",F1121&lt;=75,"61-75",F1121&lt;=90,"76-90",F1121&gt;90,"91 or above")</f>
        <v>76-90</v>
      </c>
      <c r="Q11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21" t="str" cm="1">
        <f t="array" ref="R11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2" spans="1:18" x14ac:dyDescent="0.2">
      <c r="A1122">
        <f>Table1[[#This Row],[Age]]</f>
        <v>38</v>
      </c>
      <c r="B1122">
        <f>IF(Table3[[#This Row],[Attrition]] = "Yes", 1,0)</f>
        <v>0</v>
      </c>
      <c r="C1122" t="str">
        <f>Table1[[#This Row],[Attrition]]</f>
        <v>No</v>
      </c>
      <c r="D1122" t="str">
        <f>Table1[[#This Row],[Department]]</f>
        <v>Sales</v>
      </c>
      <c r="E1122">
        <f>Table1[[#This Row],[EnvironmentSatisfaction]]</f>
        <v>2</v>
      </c>
      <c r="F1122">
        <f>Table1[[#This Row],[HourlyRate]]</f>
        <v>90</v>
      </c>
      <c r="G1122" t="str">
        <f>Table1[[#This Row],[JobRole]]</f>
        <v>Sales Executive</v>
      </c>
      <c r="H1122">
        <f>Table1[[#This Row],[JobSatisfaction]]</f>
        <v>2</v>
      </c>
      <c r="I1122">
        <f>Table1[[#This Row],[YearsAtCompany]]</f>
        <v>3</v>
      </c>
      <c r="J1122">
        <f>Table1[[#This Row],[YearsSinceLastPromotion]]</f>
        <v>1</v>
      </c>
      <c r="K1122">
        <f>Table1[[#This Row],[EmployeeNumber]]</f>
        <v>1583</v>
      </c>
      <c r="L1122">
        <f>Table1[[#This Row],[DistanceFromHome]]</f>
        <v>16</v>
      </c>
      <c r="M1122" t="str">
        <f>Table1[[#This Row],[OverTime]]</f>
        <v>No</v>
      </c>
      <c r="N1122">
        <f>Table1[[#This Row],[WorkLifeBalance]]</f>
        <v>4</v>
      </c>
      <c r="O1122" t="str" cm="1">
        <f t="array" ref="O1122">_xlfn.IFS(A1122&lt;=30,"18-30",A1122&lt;=40,"31-40",A1122&lt;=50,"41-50",A1122&gt;50,"51+")</f>
        <v>31-40</v>
      </c>
      <c r="P1122" t="str" cm="1">
        <f t="array" ref="P1122">_xlfn.IFS(F1122&lt;=45,"45 or below",F1122&lt;= 60,"46-60",F1122&lt;=75,"61-75",F1122&lt;=90,"76-90",F1122&gt;90,"91 or above")</f>
        <v>76-90</v>
      </c>
      <c r="Q11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22" t="str" cm="1">
        <f t="array" ref="R112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23" spans="1:18" x14ac:dyDescent="0.2">
      <c r="A1123">
        <f>Table1[[#This Row],[Age]]</f>
        <v>36</v>
      </c>
      <c r="B1123">
        <f>IF(Table3[[#This Row],[Attrition]] = "Yes", 1,0)</f>
        <v>0</v>
      </c>
      <c r="C1123" t="str">
        <f>Table1[[#This Row],[Attrition]]</f>
        <v>No</v>
      </c>
      <c r="D1123" t="str">
        <f>Table1[[#This Row],[Department]]</f>
        <v>Sales</v>
      </c>
      <c r="E1123">
        <f>Table1[[#This Row],[EnvironmentSatisfaction]]</f>
        <v>2</v>
      </c>
      <c r="F1123">
        <f>Table1[[#This Row],[HourlyRate]]</f>
        <v>73</v>
      </c>
      <c r="G1123" t="str">
        <f>Table1[[#This Row],[JobRole]]</f>
        <v>Sales Executive</v>
      </c>
      <c r="H1123">
        <f>Table1[[#This Row],[JobSatisfaction]]</f>
        <v>3</v>
      </c>
      <c r="I1123">
        <f>Table1[[#This Row],[YearsAtCompany]]</f>
        <v>1</v>
      </c>
      <c r="J1123">
        <f>Table1[[#This Row],[YearsSinceLastPromotion]]</f>
        <v>0</v>
      </c>
      <c r="K1123">
        <f>Table1[[#This Row],[EmployeeNumber]]</f>
        <v>1585</v>
      </c>
      <c r="L1123">
        <f>Table1[[#This Row],[DistanceFromHome]]</f>
        <v>1</v>
      </c>
      <c r="M1123" t="str">
        <f>Table1[[#This Row],[OverTime]]</f>
        <v>No</v>
      </c>
      <c r="N1123">
        <f>Table1[[#This Row],[WorkLifeBalance]]</f>
        <v>3</v>
      </c>
      <c r="O1123" t="str" cm="1">
        <f t="array" ref="O1123">_xlfn.IFS(A1123&lt;=30,"18-30",A1123&lt;=40,"31-40",A1123&lt;=50,"41-50",A1123&gt;50,"51+")</f>
        <v>31-40</v>
      </c>
      <c r="P1123" t="str" cm="1">
        <f t="array" ref="P1123">_xlfn.IFS(F1123&lt;=45,"45 or below",F1123&lt;= 60,"46-60",F1123&lt;=75,"61-75",F1123&lt;=90,"76-90",F1123&gt;90,"91 or above")</f>
        <v>61-75</v>
      </c>
      <c r="Q11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23" t="str" cm="1">
        <f t="array" ref="R11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4" spans="1:18" x14ac:dyDescent="0.2">
      <c r="A1124">
        <f>Table1[[#This Row],[Age]]</f>
        <v>29</v>
      </c>
      <c r="B1124">
        <f>IF(Table3[[#This Row],[Attrition]] = "Yes", 1,0)</f>
        <v>0</v>
      </c>
      <c r="C1124" t="str">
        <f>Table1[[#This Row],[Attrition]]</f>
        <v>No</v>
      </c>
      <c r="D1124" t="str">
        <f>Table1[[#This Row],[Department]]</f>
        <v>Research &amp; Development</v>
      </c>
      <c r="E1124">
        <f>Table1[[#This Row],[EnvironmentSatisfaction]]</f>
        <v>2</v>
      </c>
      <c r="F1124">
        <f>Table1[[#This Row],[HourlyRate]]</f>
        <v>87</v>
      </c>
      <c r="G1124" t="str">
        <f>Table1[[#This Row],[JobRole]]</f>
        <v>Laboratory Technician</v>
      </c>
      <c r="H1124">
        <f>Table1[[#This Row],[JobSatisfaction]]</f>
        <v>1</v>
      </c>
      <c r="I1124">
        <f>Table1[[#This Row],[YearsAtCompany]]</f>
        <v>10</v>
      </c>
      <c r="J1124">
        <f>Table1[[#This Row],[YearsSinceLastPromotion]]</f>
        <v>1</v>
      </c>
      <c r="K1124">
        <f>Table1[[#This Row],[EmployeeNumber]]</f>
        <v>1586</v>
      </c>
      <c r="L1124">
        <f>Table1[[#This Row],[DistanceFromHome]]</f>
        <v>3</v>
      </c>
      <c r="M1124" t="str">
        <f>Table1[[#This Row],[OverTime]]</f>
        <v>Yes</v>
      </c>
      <c r="N1124">
        <f>Table1[[#This Row],[WorkLifeBalance]]</f>
        <v>3</v>
      </c>
      <c r="O1124" t="str" cm="1">
        <f t="array" ref="O1124">_xlfn.IFS(A1124&lt;=30,"18-30",A1124&lt;=40,"31-40",A1124&lt;=50,"41-50",A1124&gt;50,"51+")</f>
        <v>18-30</v>
      </c>
      <c r="P1124" t="str" cm="1">
        <f t="array" ref="P1124">_xlfn.IFS(F1124&lt;=45,"45 or below",F1124&lt;= 60,"46-60",F1124&lt;=75,"61-75",F1124&lt;=90,"76-90",F1124&gt;90,"91 or above")</f>
        <v>76-90</v>
      </c>
      <c r="Q11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124" t="str" cm="1">
        <f t="array" ref="R112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25" spans="1:18" x14ac:dyDescent="0.2">
      <c r="A1125">
        <f>Table1[[#This Row],[Age]]</f>
        <v>35</v>
      </c>
      <c r="B1125">
        <f>IF(Table3[[#This Row],[Attrition]] = "Yes", 1,0)</f>
        <v>0</v>
      </c>
      <c r="C1125" t="str">
        <f>Table1[[#This Row],[Attrition]]</f>
        <v>No</v>
      </c>
      <c r="D1125" t="str">
        <f>Table1[[#This Row],[Department]]</f>
        <v>Research &amp; Development</v>
      </c>
      <c r="E1125">
        <f>Table1[[#This Row],[EnvironmentSatisfaction]]</f>
        <v>1</v>
      </c>
      <c r="F1125">
        <f>Table1[[#This Row],[HourlyRate]]</f>
        <v>51</v>
      </c>
      <c r="G1125" t="str">
        <f>Table1[[#This Row],[JobRole]]</f>
        <v>Healthcare Representative</v>
      </c>
      <c r="H1125">
        <f>Table1[[#This Row],[JobSatisfaction]]</f>
        <v>3</v>
      </c>
      <c r="I1125">
        <f>Table1[[#This Row],[YearsAtCompany]]</f>
        <v>5</v>
      </c>
      <c r="J1125">
        <f>Table1[[#This Row],[YearsSinceLastPromotion]]</f>
        <v>0</v>
      </c>
      <c r="K1125">
        <f>Table1[[#This Row],[EmployeeNumber]]</f>
        <v>1587</v>
      </c>
      <c r="L1125">
        <f>Table1[[#This Row],[DistanceFromHome]]</f>
        <v>10</v>
      </c>
      <c r="M1125" t="str">
        <f>Table1[[#This Row],[OverTime]]</f>
        <v>Yes</v>
      </c>
      <c r="N1125">
        <f>Table1[[#This Row],[WorkLifeBalance]]</f>
        <v>3</v>
      </c>
      <c r="O1125" t="str" cm="1">
        <f t="array" ref="O1125">_xlfn.IFS(A1125&lt;=30,"18-30",A1125&lt;=40,"31-40",A1125&lt;=50,"41-50",A1125&gt;50,"51+")</f>
        <v>31-40</v>
      </c>
      <c r="P1125" t="str" cm="1">
        <f t="array" ref="P1125">_xlfn.IFS(F1125&lt;=45,"45 or below",F1125&lt;= 60,"46-60",F1125&lt;=75,"61-75",F1125&lt;=90,"76-90",F1125&gt;90,"91 or above")</f>
        <v>46-60</v>
      </c>
      <c r="Q11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25" t="str" cm="1">
        <f t="array" ref="R112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26" spans="1:18" x14ac:dyDescent="0.2">
      <c r="A1126">
        <f>Table1[[#This Row],[Age]]</f>
        <v>39</v>
      </c>
      <c r="B1126">
        <f>IF(Table3[[#This Row],[Attrition]] = "Yes", 1,0)</f>
        <v>0</v>
      </c>
      <c r="C1126" t="str">
        <f>Table1[[#This Row],[Attrition]]</f>
        <v>No</v>
      </c>
      <c r="D1126" t="str">
        <f>Table1[[#This Row],[Department]]</f>
        <v>Sales</v>
      </c>
      <c r="E1126">
        <f>Table1[[#This Row],[EnvironmentSatisfaction]]</f>
        <v>4</v>
      </c>
      <c r="F1126">
        <f>Table1[[#This Row],[HourlyRate]]</f>
        <v>38</v>
      </c>
      <c r="G1126" t="str">
        <f>Table1[[#This Row],[JobRole]]</f>
        <v>Sales Executive</v>
      </c>
      <c r="H1126">
        <f>Table1[[#This Row],[JobSatisfaction]]</f>
        <v>3</v>
      </c>
      <c r="I1126">
        <f>Table1[[#This Row],[YearsAtCompany]]</f>
        <v>7</v>
      </c>
      <c r="J1126">
        <f>Table1[[#This Row],[YearsSinceLastPromotion]]</f>
        <v>7</v>
      </c>
      <c r="K1126">
        <f>Table1[[#This Row],[EmployeeNumber]]</f>
        <v>1588</v>
      </c>
      <c r="L1126">
        <f>Table1[[#This Row],[DistanceFromHome]]</f>
        <v>6</v>
      </c>
      <c r="M1126" t="str">
        <f>Table1[[#This Row],[OverTime]]</f>
        <v>No</v>
      </c>
      <c r="N1126">
        <f>Table1[[#This Row],[WorkLifeBalance]]</f>
        <v>3</v>
      </c>
      <c r="O1126" t="str" cm="1">
        <f t="array" ref="O1126">_xlfn.IFS(A1126&lt;=30,"18-30",A1126&lt;=40,"31-40",A1126&lt;=50,"41-50",A1126&gt;50,"51+")</f>
        <v>31-40</v>
      </c>
      <c r="P1126" t="str" cm="1">
        <f t="array" ref="P1126">_xlfn.IFS(F1126&lt;=45,"45 or below",F1126&lt;= 60,"46-60",F1126&lt;=75,"61-75",F1126&lt;=90,"76-90",F1126&gt;90,"91 or above")</f>
        <v>45 or below</v>
      </c>
      <c r="Q11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26" t="str" cm="1">
        <f t="array" ref="R11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7" spans="1:18" x14ac:dyDescent="0.2">
      <c r="A1127">
        <f>Table1[[#This Row],[Age]]</f>
        <v>29</v>
      </c>
      <c r="B1127">
        <f>IF(Table3[[#This Row],[Attrition]] = "Yes", 1,0)</f>
        <v>0</v>
      </c>
      <c r="C1127" t="str">
        <f>Table1[[#This Row],[Attrition]]</f>
        <v>No</v>
      </c>
      <c r="D1127" t="str">
        <f>Table1[[#This Row],[Department]]</f>
        <v>Research &amp; Development</v>
      </c>
      <c r="E1127">
        <f>Table1[[#This Row],[EnvironmentSatisfaction]]</f>
        <v>1</v>
      </c>
      <c r="F1127">
        <f>Table1[[#This Row],[HourlyRate]]</f>
        <v>87</v>
      </c>
      <c r="G1127" t="str">
        <f>Table1[[#This Row],[JobRole]]</f>
        <v>Healthcare Representative</v>
      </c>
      <c r="H1127">
        <f>Table1[[#This Row],[JobSatisfaction]]</f>
        <v>4</v>
      </c>
      <c r="I1127">
        <f>Table1[[#This Row],[YearsAtCompany]]</f>
        <v>6</v>
      </c>
      <c r="J1127">
        <f>Table1[[#This Row],[YearsSinceLastPromotion]]</f>
        <v>1</v>
      </c>
      <c r="K1127">
        <f>Table1[[#This Row],[EmployeeNumber]]</f>
        <v>1590</v>
      </c>
      <c r="L1127">
        <f>Table1[[#This Row],[DistanceFromHome]]</f>
        <v>2</v>
      </c>
      <c r="M1127" t="str">
        <f>Table1[[#This Row],[OverTime]]</f>
        <v>No</v>
      </c>
      <c r="N1127">
        <f>Table1[[#This Row],[WorkLifeBalance]]</f>
        <v>4</v>
      </c>
      <c r="O1127" t="str" cm="1">
        <f t="array" ref="O1127">_xlfn.IFS(A1127&lt;=30,"18-30",A1127&lt;=40,"31-40",A1127&lt;=50,"41-50",A1127&gt;50,"51+")</f>
        <v>18-30</v>
      </c>
      <c r="P1127" t="str" cm="1">
        <f t="array" ref="P1127">_xlfn.IFS(F1127&lt;=45,"45 or below",F1127&lt;= 60,"46-60",F1127&lt;=75,"61-75",F1127&lt;=90,"76-90",F1127&gt;90,"91 or above")</f>
        <v>76-90</v>
      </c>
      <c r="Q11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27" t="str" cm="1">
        <f t="array" ref="R11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28" spans="1:18" x14ac:dyDescent="0.2">
      <c r="A1128">
        <f>Table1[[#This Row],[Age]]</f>
        <v>50</v>
      </c>
      <c r="B1128">
        <f>IF(Table3[[#This Row],[Attrition]] = "Yes", 1,0)</f>
        <v>0</v>
      </c>
      <c r="C1128" t="str">
        <f>Table1[[#This Row],[Attrition]]</f>
        <v>No</v>
      </c>
      <c r="D1128" t="str">
        <f>Table1[[#This Row],[Department]]</f>
        <v>Sales</v>
      </c>
      <c r="E1128">
        <f>Table1[[#This Row],[EnvironmentSatisfaction]]</f>
        <v>3</v>
      </c>
      <c r="F1128">
        <f>Table1[[#This Row],[HourlyRate]]</f>
        <v>59</v>
      </c>
      <c r="G1128" t="str">
        <f>Table1[[#This Row],[JobRole]]</f>
        <v>Manager</v>
      </c>
      <c r="H1128">
        <f>Table1[[#This Row],[JobSatisfaction]]</f>
        <v>3</v>
      </c>
      <c r="I1128">
        <f>Table1[[#This Row],[YearsAtCompany]]</f>
        <v>1</v>
      </c>
      <c r="J1128">
        <f>Table1[[#This Row],[YearsSinceLastPromotion]]</f>
        <v>0</v>
      </c>
      <c r="K1128">
        <f>Table1[[#This Row],[EmployeeNumber]]</f>
        <v>1591</v>
      </c>
      <c r="L1128">
        <f>Table1[[#This Row],[DistanceFromHome]]</f>
        <v>9</v>
      </c>
      <c r="M1128" t="str">
        <f>Table1[[#This Row],[OverTime]]</f>
        <v>Yes</v>
      </c>
      <c r="N1128">
        <f>Table1[[#This Row],[WorkLifeBalance]]</f>
        <v>3</v>
      </c>
      <c r="O1128" t="str" cm="1">
        <f t="array" ref="O1128">_xlfn.IFS(A1128&lt;=30,"18-30",A1128&lt;=40,"31-40",A1128&lt;=50,"41-50",A1128&gt;50,"51+")</f>
        <v>41-50</v>
      </c>
      <c r="P1128" t="str" cm="1">
        <f t="array" ref="P1128">_xlfn.IFS(F1128&lt;=45,"45 or below",F1128&lt;= 60,"46-60",F1128&lt;=75,"61-75",F1128&lt;=90,"76-90",F1128&gt;90,"91 or above")</f>
        <v>46-60</v>
      </c>
      <c r="Q11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28" t="str" cm="1">
        <f t="array" ref="R112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29" spans="1:18" x14ac:dyDescent="0.2">
      <c r="A1129">
        <f>Table1[[#This Row],[Age]]</f>
        <v>23</v>
      </c>
      <c r="B1129">
        <f>IF(Table3[[#This Row],[Attrition]] = "Yes", 1,0)</f>
        <v>0</v>
      </c>
      <c r="C1129" t="str">
        <f>Table1[[#This Row],[Attrition]]</f>
        <v>No</v>
      </c>
      <c r="D1129" t="str">
        <f>Table1[[#This Row],[Department]]</f>
        <v>Research &amp; Development</v>
      </c>
      <c r="E1129">
        <f>Table1[[#This Row],[EnvironmentSatisfaction]]</f>
        <v>4</v>
      </c>
      <c r="F1129">
        <f>Table1[[#This Row],[HourlyRate]]</f>
        <v>45</v>
      </c>
      <c r="G1129" t="str">
        <f>Table1[[#This Row],[JobRole]]</f>
        <v>Research Scientist</v>
      </c>
      <c r="H1129">
        <f>Table1[[#This Row],[JobSatisfaction]]</f>
        <v>3</v>
      </c>
      <c r="I1129">
        <f>Table1[[#This Row],[YearsAtCompany]]</f>
        <v>2</v>
      </c>
      <c r="J1129">
        <f>Table1[[#This Row],[YearsSinceLastPromotion]]</f>
        <v>2</v>
      </c>
      <c r="K1129">
        <f>Table1[[#This Row],[EmployeeNumber]]</f>
        <v>1592</v>
      </c>
      <c r="L1129">
        <f>Table1[[#This Row],[DistanceFromHome]]</f>
        <v>10</v>
      </c>
      <c r="M1129" t="str">
        <f>Table1[[#This Row],[OverTime]]</f>
        <v>No</v>
      </c>
      <c r="N1129">
        <f>Table1[[#This Row],[WorkLifeBalance]]</f>
        <v>3</v>
      </c>
      <c r="O1129" t="str" cm="1">
        <f t="array" ref="O1129">_xlfn.IFS(A1129&lt;=30,"18-30",A1129&lt;=40,"31-40",A1129&lt;=50,"41-50",A1129&gt;50,"51+")</f>
        <v>18-30</v>
      </c>
      <c r="P1129" t="str" cm="1">
        <f t="array" ref="P1129">_xlfn.IFS(F1129&lt;=45,"45 or below",F1129&lt;= 60,"46-60",F1129&lt;=75,"61-75",F1129&lt;=90,"76-90",F1129&gt;90,"91 or above")</f>
        <v>45 or below</v>
      </c>
      <c r="Q11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29" t="str" cm="1">
        <f t="array" ref="R11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0" spans="1:18" x14ac:dyDescent="0.2">
      <c r="A1130">
        <f>Table1[[#This Row],[Age]]</f>
        <v>36</v>
      </c>
      <c r="B1130">
        <f>IF(Table3[[#This Row],[Attrition]] = "Yes", 1,0)</f>
        <v>0</v>
      </c>
      <c r="C1130" t="str">
        <f>Table1[[#This Row],[Attrition]]</f>
        <v>No</v>
      </c>
      <c r="D1130" t="str">
        <f>Table1[[#This Row],[Department]]</f>
        <v>Research &amp; Development</v>
      </c>
      <c r="E1130">
        <f>Table1[[#This Row],[EnvironmentSatisfaction]]</f>
        <v>1</v>
      </c>
      <c r="F1130">
        <f>Table1[[#This Row],[HourlyRate]]</f>
        <v>80</v>
      </c>
      <c r="G1130" t="str">
        <f>Table1[[#This Row],[JobRole]]</f>
        <v>Laboratory Technician</v>
      </c>
      <c r="H1130">
        <f>Table1[[#This Row],[JobSatisfaction]]</f>
        <v>1</v>
      </c>
      <c r="I1130">
        <f>Table1[[#This Row],[YearsAtCompany]]</f>
        <v>3</v>
      </c>
      <c r="J1130">
        <f>Table1[[#This Row],[YearsSinceLastPromotion]]</f>
        <v>0</v>
      </c>
      <c r="K1130">
        <f>Table1[[#This Row],[EmployeeNumber]]</f>
        <v>1594</v>
      </c>
      <c r="L1130">
        <f>Table1[[#This Row],[DistanceFromHome]]</f>
        <v>6</v>
      </c>
      <c r="M1130" t="str">
        <f>Table1[[#This Row],[OverTime]]</f>
        <v>Yes</v>
      </c>
      <c r="N1130">
        <f>Table1[[#This Row],[WorkLifeBalance]]</f>
        <v>3</v>
      </c>
      <c r="O1130" t="str" cm="1">
        <f t="array" ref="O1130">_xlfn.IFS(A1130&lt;=30,"18-30",A1130&lt;=40,"31-40",A1130&lt;=50,"41-50",A1130&gt;50,"51+")</f>
        <v>31-40</v>
      </c>
      <c r="P1130" t="str" cm="1">
        <f t="array" ref="P1130">_xlfn.IFS(F1130&lt;=45,"45 or below",F1130&lt;= 60,"46-60",F1130&lt;=75,"61-75",F1130&lt;=90,"76-90",F1130&gt;90,"91 or above")</f>
        <v>76-90</v>
      </c>
      <c r="Q11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130" t="str" cm="1">
        <f t="array" ref="R113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31" spans="1:18" x14ac:dyDescent="0.2">
      <c r="A1131">
        <f>Table1[[#This Row],[Age]]</f>
        <v>42</v>
      </c>
      <c r="B1131">
        <f>IF(Table3[[#This Row],[Attrition]] = "Yes", 1,0)</f>
        <v>0</v>
      </c>
      <c r="C1131" t="str">
        <f>Table1[[#This Row],[Attrition]]</f>
        <v>No</v>
      </c>
      <c r="D1131" t="str">
        <f>Table1[[#This Row],[Department]]</f>
        <v>Research &amp; Development</v>
      </c>
      <c r="E1131">
        <f>Table1[[#This Row],[EnvironmentSatisfaction]]</f>
        <v>4</v>
      </c>
      <c r="F1131">
        <f>Table1[[#This Row],[HourlyRate]]</f>
        <v>93</v>
      </c>
      <c r="G1131" t="str">
        <f>Table1[[#This Row],[JobRole]]</f>
        <v>Manager</v>
      </c>
      <c r="H1131">
        <f>Table1[[#This Row],[JobSatisfaction]]</f>
        <v>4</v>
      </c>
      <c r="I1131">
        <f>Table1[[#This Row],[YearsAtCompany]]</f>
        <v>1</v>
      </c>
      <c r="J1131">
        <f>Table1[[#This Row],[YearsSinceLastPromotion]]</f>
        <v>0</v>
      </c>
      <c r="K1131">
        <f>Table1[[#This Row],[EmployeeNumber]]</f>
        <v>1595</v>
      </c>
      <c r="L1131">
        <f>Table1[[#This Row],[DistanceFromHome]]</f>
        <v>9</v>
      </c>
      <c r="M1131" t="str">
        <f>Table1[[#This Row],[OverTime]]</f>
        <v>No</v>
      </c>
      <c r="N1131">
        <f>Table1[[#This Row],[WorkLifeBalance]]</f>
        <v>3</v>
      </c>
      <c r="O1131" t="str" cm="1">
        <f t="array" ref="O1131">_xlfn.IFS(A1131&lt;=30,"18-30",A1131&lt;=40,"31-40",A1131&lt;=50,"41-50",A1131&gt;50,"51+")</f>
        <v>41-50</v>
      </c>
      <c r="P1131" t="str" cm="1">
        <f t="array" ref="P1131">_xlfn.IFS(F1131&lt;=45,"45 or below",F1131&lt;= 60,"46-60",F1131&lt;=75,"61-75",F1131&lt;=90,"76-90",F1131&gt;90,"91 or above")</f>
        <v>91 or above</v>
      </c>
      <c r="Q11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31" t="str" cm="1">
        <f t="array" ref="R11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2" spans="1:18" x14ac:dyDescent="0.2">
      <c r="A1132">
        <f>Table1[[#This Row],[Age]]</f>
        <v>35</v>
      </c>
      <c r="B1132">
        <f>IF(Table3[[#This Row],[Attrition]] = "Yes", 1,0)</f>
        <v>0</v>
      </c>
      <c r="C1132" t="str">
        <f>Table1[[#This Row],[Attrition]]</f>
        <v>No</v>
      </c>
      <c r="D1132" t="str">
        <f>Table1[[#This Row],[Department]]</f>
        <v>Research &amp; Development</v>
      </c>
      <c r="E1132">
        <f>Table1[[#This Row],[EnvironmentSatisfaction]]</f>
        <v>2</v>
      </c>
      <c r="F1132">
        <f>Table1[[#This Row],[HourlyRate]]</f>
        <v>46</v>
      </c>
      <c r="G1132" t="str">
        <f>Table1[[#This Row],[JobRole]]</f>
        <v>Laboratory Technician</v>
      </c>
      <c r="H1132">
        <f>Table1[[#This Row],[JobSatisfaction]]</f>
        <v>3</v>
      </c>
      <c r="I1132">
        <f>Table1[[#This Row],[YearsAtCompany]]</f>
        <v>10</v>
      </c>
      <c r="J1132">
        <f>Table1[[#This Row],[YearsSinceLastPromotion]]</f>
        <v>6</v>
      </c>
      <c r="K1132">
        <f>Table1[[#This Row],[EmployeeNumber]]</f>
        <v>1596</v>
      </c>
      <c r="L1132">
        <f>Table1[[#This Row],[DistanceFromHome]]</f>
        <v>28</v>
      </c>
      <c r="M1132" t="str">
        <f>Table1[[#This Row],[OverTime]]</f>
        <v>No</v>
      </c>
      <c r="N1132">
        <f>Table1[[#This Row],[WorkLifeBalance]]</f>
        <v>2</v>
      </c>
      <c r="O1132" t="str" cm="1">
        <f t="array" ref="O1132">_xlfn.IFS(A1132&lt;=30,"18-30",A1132&lt;=40,"31-40",A1132&lt;=50,"41-50",A1132&gt;50,"51+")</f>
        <v>31-40</v>
      </c>
      <c r="P1132" t="str" cm="1">
        <f t="array" ref="P1132">_xlfn.IFS(F1132&lt;=45,"45 or below",F1132&lt;= 60,"46-60",F1132&lt;=75,"61-75",F1132&lt;=90,"76-90",F1132&gt;90,"91 or above")</f>
        <v>46-60</v>
      </c>
      <c r="Q11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32" t="str" cm="1">
        <f t="array" ref="R11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3" spans="1:18" x14ac:dyDescent="0.2">
      <c r="A1133">
        <f>Table1[[#This Row],[Age]]</f>
        <v>34</v>
      </c>
      <c r="B1133">
        <f>IF(Table3[[#This Row],[Attrition]] = "Yes", 1,0)</f>
        <v>0</v>
      </c>
      <c r="C1133" t="str">
        <f>Table1[[#This Row],[Attrition]]</f>
        <v>No</v>
      </c>
      <c r="D1133" t="str">
        <f>Table1[[#This Row],[Department]]</f>
        <v>Research &amp; Development</v>
      </c>
      <c r="E1133">
        <f>Table1[[#This Row],[EnvironmentSatisfaction]]</f>
        <v>4</v>
      </c>
      <c r="F1133">
        <f>Table1[[#This Row],[HourlyRate]]</f>
        <v>92</v>
      </c>
      <c r="G1133" t="str">
        <f>Table1[[#This Row],[JobRole]]</f>
        <v>Healthcare Representative</v>
      </c>
      <c r="H1133">
        <f>Table1[[#This Row],[JobSatisfaction]]</f>
        <v>3</v>
      </c>
      <c r="I1133">
        <f>Table1[[#This Row],[YearsAtCompany]]</f>
        <v>8</v>
      </c>
      <c r="J1133">
        <f>Table1[[#This Row],[YearsSinceLastPromotion]]</f>
        <v>7</v>
      </c>
      <c r="K1133">
        <f>Table1[[#This Row],[EmployeeNumber]]</f>
        <v>1597</v>
      </c>
      <c r="L1133">
        <f>Table1[[#This Row],[DistanceFromHome]]</f>
        <v>10</v>
      </c>
      <c r="M1133" t="str">
        <f>Table1[[#This Row],[OverTime]]</f>
        <v>No</v>
      </c>
      <c r="N1133">
        <f>Table1[[#This Row],[WorkLifeBalance]]</f>
        <v>2</v>
      </c>
      <c r="O1133" t="str" cm="1">
        <f t="array" ref="O1133">_xlfn.IFS(A1133&lt;=30,"18-30",A1133&lt;=40,"31-40",A1133&lt;=50,"41-50",A1133&gt;50,"51+")</f>
        <v>31-40</v>
      </c>
      <c r="P1133" t="str" cm="1">
        <f t="array" ref="P1133">_xlfn.IFS(F1133&lt;=45,"45 or below",F1133&lt;= 60,"46-60",F1133&lt;=75,"61-75",F1133&lt;=90,"76-90",F1133&gt;90,"91 or above")</f>
        <v>91 or above</v>
      </c>
      <c r="Q11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33" t="str" cm="1">
        <f t="array" ref="R11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4" spans="1:18" x14ac:dyDescent="0.2">
      <c r="A1134">
        <f>Table1[[#This Row],[Age]]</f>
        <v>40</v>
      </c>
      <c r="B1134">
        <f>IF(Table3[[#This Row],[Attrition]] = "Yes", 1,0)</f>
        <v>0</v>
      </c>
      <c r="C1134" t="str">
        <f>Table1[[#This Row],[Attrition]]</f>
        <v>No</v>
      </c>
      <c r="D1134" t="str">
        <f>Table1[[#This Row],[Department]]</f>
        <v>Sales</v>
      </c>
      <c r="E1134">
        <f>Table1[[#This Row],[EnvironmentSatisfaction]]</f>
        <v>4</v>
      </c>
      <c r="F1134">
        <f>Table1[[#This Row],[HourlyRate]]</f>
        <v>84</v>
      </c>
      <c r="G1134" t="str">
        <f>Table1[[#This Row],[JobRole]]</f>
        <v>Sales Executive</v>
      </c>
      <c r="H1134">
        <f>Table1[[#This Row],[JobSatisfaction]]</f>
        <v>1</v>
      </c>
      <c r="I1134">
        <f>Table1[[#This Row],[YearsAtCompany]]</f>
        <v>5</v>
      </c>
      <c r="J1134">
        <f>Table1[[#This Row],[YearsSinceLastPromotion]]</f>
        <v>1</v>
      </c>
      <c r="K1134">
        <f>Table1[[#This Row],[EmployeeNumber]]</f>
        <v>1598</v>
      </c>
      <c r="L1134">
        <f>Table1[[#This Row],[DistanceFromHome]]</f>
        <v>14</v>
      </c>
      <c r="M1134" t="str">
        <f>Table1[[#This Row],[OverTime]]</f>
        <v>No</v>
      </c>
      <c r="N1134">
        <f>Table1[[#This Row],[WorkLifeBalance]]</f>
        <v>3</v>
      </c>
      <c r="O1134" t="str" cm="1">
        <f t="array" ref="O1134">_xlfn.IFS(A1134&lt;=30,"18-30",A1134&lt;=40,"31-40",A1134&lt;=50,"41-50",A1134&gt;50,"51+")</f>
        <v>31-40</v>
      </c>
      <c r="P1134" t="str" cm="1">
        <f t="array" ref="P1134">_xlfn.IFS(F1134&lt;=45,"45 or below",F1134&lt;= 60,"46-60",F1134&lt;=75,"61-75",F1134&lt;=90,"76-90",F1134&gt;90,"91 or above")</f>
        <v>76-90</v>
      </c>
      <c r="Q11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34" t="str" cm="1">
        <f t="array" ref="R11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5" spans="1:18" x14ac:dyDescent="0.2">
      <c r="A1135">
        <f>Table1[[#This Row],[Age]]</f>
        <v>43</v>
      </c>
      <c r="B1135">
        <f>IF(Table3[[#This Row],[Attrition]] = "Yes", 1,0)</f>
        <v>0</v>
      </c>
      <c r="C1135" t="str">
        <f>Table1[[#This Row],[Attrition]]</f>
        <v>No</v>
      </c>
      <c r="D1135" t="str">
        <f>Table1[[#This Row],[Department]]</f>
        <v>Research &amp; Development</v>
      </c>
      <c r="E1135">
        <f>Table1[[#This Row],[EnvironmentSatisfaction]]</f>
        <v>4</v>
      </c>
      <c r="F1135">
        <f>Table1[[#This Row],[HourlyRate]]</f>
        <v>87</v>
      </c>
      <c r="G1135" t="str">
        <f>Table1[[#This Row],[JobRole]]</f>
        <v>Laboratory Technician</v>
      </c>
      <c r="H1135">
        <f>Table1[[#This Row],[JobSatisfaction]]</f>
        <v>2</v>
      </c>
      <c r="I1135">
        <f>Table1[[#This Row],[YearsAtCompany]]</f>
        <v>6</v>
      </c>
      <c r="J1135">
        <f>Table1[[#This Row],[YearsSinceLastPromotion]]</f>
        <v>0</v>
      </c>
      <c r="K1135">
        <f>Table1[[#This Row],[EmployeeNumber]]</f>
        <v>1599</v>
      </c>
      <c r="L1135">
        <f>Table1[[#This Row],[DistanceFromHome]]</f>
        <v>27</v>
      </c>
      <c r="M1135" t="str">
        <f>Table1[[#This Row],[OverTime]]</f>
        <v>No</v>
      </c>
      <c r="N1135">
        <f>Table1[[#This Row],[WorkLifeBalance]]</f>
        <v>3</v>
      </c>
      <c r="O1135" t="str" cm="1">
        <f t="array" ref="O1135">_xlfn.IFS(A1135&lt;=30,"18-30",A1135&lt;=40,"31-40",A1135&lt;=50,"41-50",A1135&gt;50,"51+")</f>
        <v>41-50</v>
      </c>
      <c r="P1135" t="str" cm="1">
        <f t="array" ref="P1135">_xlfn.IFS(F1135&lt;=45,"45 or below",F1135&lt;= 60,"46-60",F1135&lt;=75,"61-75",F1135&lt;=90,"76-90",F1135&gt;90,"91 or above")</f>
        <v>76-90</v>
      </c>
      <c r="Q11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35" t="str" cm="1">
        <f t="array" ref="R11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6" spans="1:18" x14ac:dyDescent="0.2">
      <c r="A1136">
        <f>Table1[[#This Row],[Age]]</f>
        <v>35</v>
      </c>
      <c r="B1136">
        <f>IF(Table3[[#This Row],[Attrition]] = "Yes", 1,0)</f>
        <v>0</v>
      </c>
      <c r="C1136" t="str">
        <f>Table1[[#This Row],[Attrition]]</f>
        <v>No</v>
      </c>
      <c r="D1136" t="str">
        <f>Table1[[#This Row],[Department]]</f>
        <v>Research &amp; Development</v>
      </c>
      <c r="E1136">
        <f>Table1[[#This Row],[EnvironmentSatisfaction]]</f>
        <v>3</v>
      </c>
      <c r="F1136">
        <f>Table1[[#This Row],[HourlyRate]]</f>
        <v>63</v>
      </c>
      <c r="G1136" t="str">
        <f>Table1[[#This Row],[JobRole]]</f>
        <v>Laboratory Technician</v>
      </c>
      <c r="H1136">
        <f>Table1[[#This Row],[JobSatisfaction]]</f>
        <v>4</v>
      </c>
      <c r="I1136">
        <f>Table1[[#This Row],[YearsAtCompany]]</f>
        <v>1</v>
      </c>
      <c r="J1136">
        <f>Table1[[#This Row],[YearsSinceLastPromotion]]</f>
        <v>0</v>
      </c>
      <c r="K1136">
        <f>Table1[[#This Row],[EmployeeNumber]]</f>
        <v>1601</v>
      </c>
      <c r="L1136">
        <f>Table1[[#This Row],[DistanceFromHome]]</f>
        <v>7</v>
      </c>
      <c r="M1136" t="str">
        <f>Table1[[#This Row],[OverTime]]</f>
        <v>No</v>
      </c>
      <c r="N1136">
        <f>Table1[[#This Row],[WorkLifeBalance]]</f>
        <v>2</v>
      </c>
      <c r="O1136" t="str" cm="1">
        <f t="array" ref="O1136">_xlfn.IFS(A1136&lt;=30,"18-30",A1136&lt;=40,"31-40",A1136&lt;=50,"41-50",A1136&gt;50,"51+")</f>
        <v>31-40</v>
      </c>
      <c r="P1136" t="str" cm="1">
        <f t="array" ref="P1136">_xlfn.IFS(F1136&lt;=45,"45 or below",F1136&lt;= 60,"46-60",F1136&lt;=75,"61-75",F1136&lt;=90,"76-90",F1136&gt;90,"91 or above")</f>
        <v>61-75</v>
      </c>
      <c r="Q11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36" t="str" cm="1">
        <f t="array" ref="R11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37" spans="1:18" x14ac:dyDescent="0.2">
      <c r="A1137">
        <f>Table1[[#This Row],[Age]]</f>
        <v>46</v>
      </c>
      <c r="B1137">
        <f>IF(Table3[[#This Row],[Attrition]] = "Yes", 1,0)</f>
        <v>0</v>
      </c>
      <c r="C1137" t="str">
        <f>Table1[[#This Row],[Attrition]]</f>
        <v>No</v>
      </c>
      <c r="D1137" t="str">
        <f>Table1[[#This Row],[Department]]</f>
        <v>Sales</v>
      </c>
      <c r="E1137">
        <f>Table1[[#This Row],[EnvironmentSatisfaction]]</f>
        <v>4</v>
      </c>
      <c r="F1137">
        <f>Table1[[#This Row],[HourlyRate]]</f>
        <v>56</v>
      </c>
      <c r="G1137" t="str">
        <f>Table1[[#This Row],[JobRole]]</f>
        <v>Manager</v>
      </c>
      <c r="H1137">
        <f>Table1[[#This Row],[JobSatisfaction]]</f>
        <v>1</v>
      </c>
      <c r="I1137">
        <f>Table1[[#This Row],[YearsAtCompany]]</f>
        <v>26</v>
      </c>
      <c r="J1137">
        <f>Table1[[#This Row],[YearsSinceLastPromotion]]</f>
        <v>0</v>
      </c>
      <c r="K1137">
        <f>Table1[[#This Row],[EmployeeNumber]]</f>
        <v>1602</v>
      </c>
      <c r="L1137">
        <f>Table1[[#This Row],[DistanceFromHome]]</f>
        <v>1</v>
      </c>
      <c r="M1137" t="str">
        <f>Table1[[#This Row],[OverTime]]</f>
        <v>No</v>
      </c>
      <c r="N1137">
        <f>Table1[[#This Row],[WorkLifeBalance]]</f>
        <v>1</v>
      </c>
      <c r="O1137" t="str" cm="1">
        <f t="array" ref="O1137">_xlfn.IFS(A1137&lt;=30,"18-30",A1137&lt;=40,"31-40",A1137&lt;=50,"41-50",A1137&gt;50,"51+")</f>
        <v>41-50</v>
      </c>
      <c r="P1137" t="str" cm="1">
        <f t="array" ref="P1137">_xlfn.IFS(F1137&lt;=45,"45 or below",F1137&lt;= 60,"46-60",F1137&lt;=75,"61-75",F1137&lt;=90,"76-90",F1137&gt;90,"91 or above")</f>
        <v>46-60</v>
      </c>
      <c r="Q11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37" t="str" cm="1">
        <f t="array" ref="R113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38" spans="1:18" hidden="1" x14ac:dyDescent="0.2">
      <c r="A1138">
        <f>Table1[[#This Row],[Age]]</f>
        <v>28</v>
      </c>
      <c r="B1138">
        <f>IF(Table3[[#This Row],[Attrition]] = "Yes", 1,0)</f>
        <v>1</v>
      </c>
      <c r="C1138" t="str">
        <f>Table1[[#This Row],[Attrition]]</f>
        <v>Yes</v>
      </c>
      <c r="D1138" t="str">
        <f>Table1[[#This Row],[Department]]</f>
        <v>Research &amp; Development</v>
      </c>
      <c r="E1138">
        <f>Table1[[#This Row],[EnvironmentSatisfaction]]</f>
        <v>3</v>
      </c>
      <c r="F1138">
        <f>Table1[[#This Row],[HourlyRate]]</f>
        <v>51</v>
      </c>
      <c r="G1138" t="str">
        <f>Table1[[#This Row],[JobRole]]</f>
        <v>Laboratory Technician</v>
      </c>
      <c r="H1138">
        <f>Table1[[#This Row],[JobSatisfaction]]</f>
        <v>2</v>
      </c>
      <c r="I1138">
        <f>Table1[[#This Row],[YearsAtCompany]]</f>
        <v>1</v>
      </c>
      <c r="J1138">
        <f>Table1[[#This Row],[YearsSinceLastPromotion]]</f>
        <v>0</v>
      </c>
      <c r="K1138">
        <f>Table1[[#This Row],[EmployeeNumber]]</f>
        <v>1604</v>
      </c>
      <c r="L1138">
        <f>Table1[[#This Row],[DistanceFromHome]]</f>
        <v>24</v>
      </c>
      <c r="M1138" t="str">
        <f>Table1[[#This Row],[OverTime]]</f>
        <v>Yes</v>
      </c>
      <c r="N1138">
        <f>Table1[[#This Row],[WorkLifeBalance]]</f>
        <v>3</v>
      </c>
      <c r="O1138" t="str" cm="1">
        <f t="array" ref="O1138">_xlfn.IFS(A1138&lt;=30,"18-30",A1138&lt;=40,"31-40",A1138&lt;=50,"41-50",A1138&gt;50,"51+")</f>
        <v>18-30</v>
      </c>
      <c r="P1138" t="str" cm="1">
        <f t="array" ref="P1138">_xlfn.IFS(F1138&lt;=45,"45 or below",F1138&lt;= 60,"46-60",F1138&lt;=75,"61-75",F1138&lt;=90,"76-90",F1138&gt;90,"91 or above")</f>
        <v>46-60</v>
      </c>
      <c r="Q11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38" t="str" cm="1">
        <f t="array" ref="R1138" xml:space="preserve"> _xlfn.IFS(Table3[[#This Row],[Flight Risk Score]] = "NA","NA",Table3[[#This Row],[Flight Risk Score]] &gt;= 70,"High Risk",Table3[[#This Row],[Flight Risk Score]] &gt;= 50, "Medium Risk", Table3[[#This Row],[Flight Risk Score]] &gt;= 30,"Low Risk",Table3[[#This Row],[Flight Risk Score]] &lt; 30,"Very Low Risk")</f>
        <v>NA</v>
      </c>
    </row>
    <row r="1139" spans="1:18" x14ac:dyDescent="0.2">
      <c r="A1139">
        <f>Table1[[#This Row],[Age]]</f>
        <v>22</v>
      </c>
      <c r="B1139">
        <f>IF(Table3[[#This Row],[Attrition]] = "Yes", 1,0)</f>
        <v>0</v>
      </c>
      <c r="C1139" t="str">
        <f>Table1[[#This Row],[Attrition]]</f>
        <v>No</v>
      </c>
      <c r="D1139" t="str">
        <f>Table1[[#This Row],[Department]]</f>
        <v>Research &amp; Development</v>
      </c>
      <c r="E1139">
        <f>Table1[[#This Row],[EnvironmentSatisfaction]]</f>
        <v>2</v>
      </c>
      <c r="F1139">
        <f>Table1[[#This Row],[HourlyRate]]</f>
        <v>85</v>
      </c>
      <c r="G1139" t="str">
        <f>Table1[[#This Row],[JobRole]]</f>
        <v>Research Scientist</v>
      </c>
      <c r="H1139">
        <f>Table1[[#This Row],[JobSatisfaction]]</f>
        <v>3</v>
      </c>
      <c r="I1139">
        <f>Table1[[#This Row],[YearsAtCompany]]</f>
        <v>4</v>
      </c>
      <c r="J1139">
        <f>Table1[[#This Row],[YearsSinceLastPromotion]]</f>
        <v>1</v>
      </c>
      <c r="K1139">
        <f>Table1[[#This Row],[EmployeeNumber]]</f>
        <v>1605</v>
      </c>
      <c r="L1139">
        <f>Table1[[#This Row],[DistanceFromHome]]</f>
        <v>26</v>
      </c>
      <c r="M1139" t="str">
        <f>Table1[[#This Row],[OverTime]]</f>
        <v>Yes</v>
      </c>
      <c r="N1139">
        <f>Table1[[#This Row],[WorkLifeBalance]]</f>
        <v>2</v>
      </c>
      <c r="O1139" t="str" cm="1">
        <f t="array" ref="O1139">_xlfn.IFS(A1139&lt;=30,"18-30",A1139&lt;=40,"31-40",A1139&lt;=50,"41-50",A1139&gt;50,"51+")</f>
        <v>18-30</v>
      </c>
      <c r="P1139" t="str" cm="1">
        <f t="array" ref="P1139">_xlfn.IFS(F1139&lt;=45,"45 or below",F1139&lt;= 60,"46-60",F1139&lt;=75,"61-75",F1139&lt;=90,"76-90",F1139&gt;90,"91 or above")</f>
        <v>76-90</v>
      </c>
      <c r="Q11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39" t="str" cm="1">
        <f t="array" ref="R113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40" spans="1:18" x14ac:dyDescent="0.2">
      <c r="A1140">
        <f>Table1[[#This Row],[Age]]</f>
        <v>50</v>
      </c>
      <c r="B1140">
        <f>IF(Table3[[#This Row],[Attrition]] = "Yes", 1,0)</f>
        <v>0</v>
      </c>
      <c r="C1140" t="str">
        <f>Table1[[#This Row],[Attrition]]</f>
        <v>No</v>
      </c>
      <c r="D1140" t="str">
        <f>Table1[[#This Row],[Department]]</f>
        <v>Research &amp; Development</v>
      </c>
      <c r="E1140">
        <f>Table1[[#This Row],[EnvironmentSatisfaction]]</f>
        <v>2</v>
      </c>
      <c r="F1140">
        <f>Table1[[#This Row],[HourlyRate]]</f>
        <v>41</v>
      </c>
      <c r="G1140" t="str">
        <f>Table1[[#This Row],[JobRole]]</f>
        <v>Healthcare Representative</v>
      </c>
      <c r="H1140">
        <f>Table1[[#This Row],[JobSatisfaction]]</f>
        <v>3</v>
      </c>
      <c r="I1140">
        <f>Table1[[#This Row],[YearsAtCompany]]</f>
        <v>30</v>
      </c>
      <c r="J1140">
        <f>Table1[[#This Row],[YearsSinceLastPromotion]]</f>
        <v>12</v>
      </c>
      <c r="K1140">
        <f>Table1[[#This Row],[EmployeeNumber]]</f>
        <v>1606</v>
      </c>
      <c r="L1140">
        <f>Table1[[#This Row],[DistanceFromHome]]</f>
        <v>20</v>
      </c>
      <c r="M1140" t="str">
        <f>Table1[[#This Row],[OverTime]]</f>
        <v>Yes</v>
      </c>
      <c r="N1140">
        <f>Table1[[#This Row],[WorkLifeBalance]]</f>
        <v>3</v>
      </c>
      <c r="O1140" t="str" cm="1">
        <f t="array" ref="O1140">_xlfn.IFS(A1140&lt;=30,"18-30",A1140&lt;=40,"31-40",A1140&lt;=50,"41-50",A1140&gt;50,"51+")</f>
        <v>41-50</v>
      </c>
      <c r="P1140" t="str" cm="1">
        <f t="array" ref="P1140">_xlfn.IFS(F1140&lt;=45,"45 or below",F1140&lt;= 60,"46-60",F1140&lt;=75,"61-75",F1140&lt;=90,"76-90",F1140&gt;90,"91 or above")</f>
        <v>45 or below</v>
      </c>
      <c r="Q11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40" t="str" cm="1">
        <f t="array" ref="R114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41" spans="1:18" x14ac:dyDescent="0.2">
      <c r="A1141">
        <f>Table1[[#This Row],[Age]]</f>
        <v>32</v>
      </c>
      <c r="B1141">
        <f>IF(Table3[[#This Row],[Attrition]] = "Yes", 1,0)</f>
        <v>0</v>
      </c>
      <c r="C1141" t="str">
        <f>Table1[[#This Row],[Attrition]]</f>
        <v>No</v>
      </c>
      <c r="D1141" t="str">
        <f>Table1[[#This Row],[Department]]</f>
        <v>Research &amp; Development</v>
      </c>
      <c r="E1141">
        <f>Table1[[#This Row],[EnvironmentSatisfaction]]</f>
        <v>2</v>
      </c>
      <c r="F1141">
        <f>Table1[[#This Row],[HourlyRate]]</f>
        <v>35</v>
      </c>
      <c r="G1141" t="str">
        <f>Table1[[#This Row],[JobRole]]</f>
        <v>Research Scientist</v>
      </c>
      <c r="H1141">
        <f>Table1[[#This Row],[JobSatisfaction]]</f>
        <v>4</v>
      </c>
      <c r="I1141">
        <f>Table1[[#This Row],[YearsAtCompany]]</f>
        <v>3</v>
      </c>
      <c r="J1141">
        <f>Table1[[#This Row],[YearsSinceLastPromotion]]</f>
        <v>0</v>
      </c>
      <c r="K1141">
        <f>Table1[[#This Row],[EmployeeNumber]]</f>
        <v>1607</v>
      </c>
      <c r="L1141">
        <f>Table1[[#This Row],[DistanceFromHome]]</f>
        <v>5</v>
      </c>
      <c r="M1141" t="str">
        <f>Table1[[#This Row],[OverTime]]</f>
        <v>No</v>
      </c>
      <c r="N1141">
        <f>Table1[[#This Row],[WorkLifeBalance]]</f>
        <v>3</v>
      </c>
      <c r="O1141" t="str" cm="1">
        <f t="array" ref="O1141">_xlfn.IFS(A1141&lt;=30,"18-30",A1141&lt;=40,"31-40",A1141&lt;=50,"41-50",A1141&gt;50,"51+")</f>
        <v>31-40</v>
      </c>
      <c r="P1141" t="str" cm="1">
        <f t="array" ref="P1141">_xlfn.IFS(F1141&lt;=45,"45 or below",F1141&lt;= 60,"46-60",F1141&lt;=75,"61-75",F1141&lt;=90,"76-90",F1141&gt;90,"91 or above")</f>
        <v>45 or below</v>
      </c>
      <c r="Q11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41" t="str" cm="1">
        <f t="array" ref="R11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42" spans="1:18" x14ac:dyDescent="0.2">
      <c r="A1142">
        <f>Table1[[#This Row],[Age]]</f>
        <v>44</v>
      </c>
      <c r="B1142">
        <f>IF(Table3[[#This Row],[Attrition]] = "Yes", 1,0)</f>
        <v>0</v>
      </c>
      <c r="C1142" t="str">
        <f>Table1[[#This Row],[Attrition]]</f>
        <v>No</v>
      </c>
      <c r="D1142" t="str">
        <f>Table1[[#This Row],[Department]]</f>
        <v>Research &amp; Development</v>
      </c>
      <c r="E1142">
        <f>Table1[[#This Row],[EnvironmentSatisfaction]]</f>
        <v>2</v>
      </c>
      <c r="F1142">
        <f>Table1[[#This Row],[HourlyRate]]</f>
        <v>31</v>
      </c>
      <c r="G1142" t="str">
        <f>Table1[[#This Row],[JobRole]]</f>
        <v>Research Director</v>
      </c>
      <c r="H1142">
        <f>Table1[[#This Row],[JobSatisfaction]]</f>
        <v>4</v>
      </c>
      <c r="I1142">
        <f>Table1[[#This Row],[YearsAtCompany]]</f>
        <v>22</v>
      </c>
      <c r="J1142">
        <f>Table1[[#This Row],[YearsSinceLastPromotion]]</f>
        <v>1</v>
      </c>
      <c r="K1142">
        <f>Table1[[#This Row],[EmployeeNumber]]</f>
        <v>1608</v>
      </c>
      <c r="L1142">
        <f>Table1[[#This Row],[DistanceFromHome]]</f>
        <v>7</v>
      </c>
      <c r="M1142" t="str">
        <f>Table1[[#This Row],[OverTime]]</f>
        <v>Yes</v>
      </c>
      <c r="N1142">
        <f>Table1[[#This Row],[WorkLifeBalance]]</f>
        <v>2</v>
      </c>
      <c r="O1142" t="str" cm="1">
        <f t="array" ref="O1142">_xlfn.IFS(A1142&lt;=30,"18-30",A1142&lt;=40,"31-40",A1142&lt;=50,"41-50",A1142&gt;50,"51+")</f>
        <v>41-50</v>
      </c>
      <c r="P1142" t="str" cm="1">
        <f t="array" ref="P1142">_xlfn.IFS(F1142&lt;=45,"45 or below",F1142&lt;= 60,"46-60",F1142&lt;=75,"61-75",F1142&lt;=90,"76-90",F1142&gt;90,"91 or above")</f>
        <v>45 or below</v>
      </c>
      <c r="Q11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42" t="str" cm="1">
        <f t="array" ref="R114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43" spans="1:18" x14ac:dyDescent="0.2">
      <c r="A1143">
        <f>Table1[[#This Row],[Age]]</f>
        <v>30</v>
      </c>
      <c r="B1143">
        <f>IF(Table3[[#This Row],[Attrition]] = "Yes", 1,0)</f>
        <v>0</v>
      </c>
      <c r="C1143" t="str">
        <f>Table1[[#This Row],[Attrition]]</f>
        <v>No</v>
      </c>
      <c r="D1143" t="str">
        <f>Table1[[#This Row],[Department]]</f>
        <v>Research &amp; Development</v>
      </c>
      <c r="E1143">
        <f>Table1[[#This Row],[EnvironmentSatisfaction]]</f>
        <v>2</v>
      </c>
      <c r="F1143">
        <f>Table1[[#This Row],[HourlyRate]]</f>
        <v>48</v>
      </c>
      <c r="G1143" t="str">
        <f>Table1[[#This Row],[JobRole]]</f>
        <v>Research Scientist</v>
      </c>
      <c r="H1143">
        <f>Table1[[#This Row],[JobSatisfaction]]</f>
        <v>2</v>
      </c>
      <c r="I1143">
        <f>Table1[[#This Row],[YearsAtCompany]]</f>
        <v>6</v>
      </c>
      <c r="J1143">
        <f>Table1[[#This Row],[YearsSinceLastPromotion]]</f>
        <v>1</v>
      </c>
      <c r="K1143">
        <f>Table1[[#This Row],[EmployeeNumber]]</f>
        <v>1609</v>
      </c>
      <c r="L1143">
        <f>Table1[[#This Row],[DistanceFromHome]]</f>
        <v>7</v>
      </c>
      <c r="M1143" t="str">
        <f>Table1[[#This Row],[OverTime]]</f>
        <v>No</v>
      </c>
      <c r="N1143">
        <f>Table1[[#This Row],[WorkLifeBalance]]</f>
        <v>2</v>
      </c>
      <c r="O1143" t="str" cm="1">
        <f t="array" ref="O1143">_xlfn.IFS(A1143&lt;=30,"18-30",A1143&lt;=40,"31-40",A1143&lt;=50,"41-50",A1143&gt;50,"51+")</f>
        <v>18-30</v>
      </c>
      <c r="P1143" t="str" cm="1">
        <f t="array" ref="P1143">_xlfn.IFS(F1143&lt;=45,"45 or below",F1143&lt;= 60,"46-60",F1143&lt;=75,"61-75",F1143&lt;=90,"76-90",F1143&gt;90,"91 or above")</f>
        <v>46-60</v>
      </c>
      <c r="Q11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43" t="str" cm="1">
        <f t="array" ref="R114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44" spans="1:18" x14ac:dyDescent="0.2">
      <c r="A1144">
        <f>Table1[[#This Row],[Age]]</f>
        <v>45</v>
      </c>
      <c r="B1144">
        <f>IF(Table3[[#This Row],[Attrition]] = "Yes", 1,0)</f>
        <v>0</v>
      </c>
      <c r="C1144" t="str">
        <f>Table1[[#This Row],[Attrition]]</f>
        <v>No</v>
      </c>
      <c r="D1144" t="str">
        <f>Table1[[#This Row],[Department]]</f>
        <v>Research &amp; Development</v>
      </c>
      <c r="E1144">
        <f>Table1[[#This Row],[EnvironmentSatisfaction]]</f>
        <v>3</v>
      </c>
      <c r="F1144">
        <f>Table1[[#This Row],[HourlyRate]]</f>
        <v>50</v>
      </c>
      <c r="G1144" t="str">
        <f>Table1[[#This Row],[JobRole]]</f>
        <v>Laboratory Technician</v>
      </c>
      <c r="H1144">
        <f>Table1[[#This Row],[JobSatisfaction]]</f>
        <v>1</v>
      </c>
      <c r="I1144">
        <f>Table1[[#This Row],[YearsAtCompany]]</f>
        <v>10</v>
      </c>
      <c r="J1144">
        <f>Table1[[#This Row],[YearsSinceLastPromotion]]</f>
        <v>1</v>
      </c>
      <c r="K1144">
        <f>Table1[[#This Row],[EmployeeNumber]]</f>
        <v>1611</v>
      </c>
      <c r="L1144">
        <f>Table1[[#This Row],[DistanceFromHome]]</f>
        <v>5</v>
      </c>
      <c r="M1144" t="str">
        <f>Table1[[#This Row],[OverTime]]</f>
        <v>Yes</v>
      </c>
      <c r="N1144">
        <f>Table1[[#This Row],[WorkLifeBalance]]</f>
        <v>3</v>
      </c>
      <c r="O1144" t="str" cm="1">
        <f t="array" ref="O1144">_xlfn.IFS(A1144&lt;=30,"18-30",A1144&lt;=40,"31-40",A1144&lt;=50,"41-50",A1144&gt;50,"51+")</f>
        <v>41-50</v>
      </c>
      <c r="P1144" t="str" cm="1">
        <f t="array" ref="P1144">_xlfn.IFS(F1144&lt;=45,"45 or below",F1144&lt;= 60,"46-60",F1144&lt;=75,"61-75",F1144&lt;=90,"76-90",F1144&gt;90,"91 or above")</f>
        <v>46-60</v>
      </c>
      <c r="Q11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44" t="str" cm="1">
        <f t="array" ref="R114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45" spans="1:18" x14ac:dyDescent="0.2">
      <c r="A1145">
        <f>Table1[[#This Row],[Age]]</f>
        <v>45</v>
      </c>
      <c r="B1145">
        <f>IF(Table3[[#This Row],[Attrition]] = "Yes", 1,0)</f>
        <v>0</v>
      </c>
      <c r="C1145" t="str">
        <f>Table1[[#This Row],[Attrition]]</f>
        <v>No</v>
      </c>
      <c r="D1145" t="str">
        <f>Table1[[#This Row],[Department]]</f>
        <v>Sales</v>
      </c>
      <c r="E1145">
        <f>Table1[[#This Row],[EnvironmentSatisfaction]]</f>
        <v>1</v>
      </c>
      <c r="F1145">
        <f>Table1[[#This Row],[HourlyRate]]</f>
        <v>52</v>
      </c>
      <c r="G1145" t="str">
        <f>Table1[[#This Row],[JobRole]]</f>
        <v>Sales Executive</v>
      </c>
      <c r="H1145">
        <f>Table1[[#This Row],[JobSatisfaction]]</f>
        <v>1</v>
      </c>
      <c r="I1145">
        <f>Table1[[#This Row],[YearsAtCompany]]</f>
        <v>10</v>
      </c>
      <c r="J1145">
        <f>Table1[[#This Row],[YearsSinceLastPromotion]]</f>
        <v>4</v>
      </c>
      <c r="K1145">
        <f>Table1[[#This Row],[EmployeeNumber]]</f>
        <v>1612</v>
      </c>
      <c r="L1145">
        <f>Table1[[#This Row],[DistanceFromHome]]</f>
        <v>26</v>
      </c>
      <c r="M1145" t="str">
        <f>Table1[[#This Row],[OverTime]]</f>
        <v>No</v>
      </c>
      <c r="N1145">
        <f>Table1[[#This Row],[WorkLifeBalance]]</f>
        <v>3</v>
      </c>
      <c r="O1145" t="str" cm="1">
        <f t="array" ref="O1145">_xlfn.IFS(A1145&lt;=30,"18-30",A1145&lt;=40,"31-40",A1145&lt;=50,"41-50",A1145&gt;50,"51+")</f>
        <v>41-50</v>
      </c>
      <c r="P1145" t="str" cm="1">
        <f t="array" ref="P1145">_xlfn.IFS(F1145&lt;=45,"45 or below",F1145&lt;= 60,"46-60",F1145&lt;=75,"61-75",F1145&lt;=90,"76-90",F1145&gt;90,"91 or above")</f>
        <v>46-60</v>
      </c>
      <c r="Q11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45" t="str" cm="1">
        <f t="array" ref="R114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46" spans="1:18" x14ac:dyDescent="0.2">
      <c r="A1146">
        <f>Table1[[#This Row],[Age]]</f>
        <v>31</v>
      </c>
      <c r="B1146">
        <f>IF(Table3[[#This Row],[Attrition]] = "Yes", 1,0)</f>
        <v>0</v>
      </c>
      <c r="C1146" t="str">
        <f>Table1[[#This Row],[Attrition]]</f>
        <v>No</v>
      </c>
      <c r="D1146" t="str">
        <f>Table1[[#This Row],[Department]]</f>
        <v>Sales</v>
      </c>
      <c r="E1146">
        <f>Table1[[#This Row],[EnvironmentSatisfaction]]</f>
        <v>4</v>
      </c>
      <c r="F1146">
        <f>Table1[[#This Row],[HourlyRate]]</f>
        <v>54</v>
      </c>
      <c r="G1146" t="str">
        <f>Table1[[#This Row],[JobRole]]</f>
        <v>Sales Executive</v>
      </c>
      <c r="H1146">
        <f>Table1[[#This Row],[JobSatisfaction]]</f>
        <v>1</v>
      </c>
      <c r="I1146">
        <f>Table1[[#This Row],[YearsAtCompany]]</f>
        <v>5</v>
      </c>
      <c r="J1146">
        <f>Table1[[#This Row],[YearsSinceLastPromotion]]</f>
        <v>0</v>
      </c>
      <c r="K1146">
        <f>Table1[[#This Row],[EmployeeNumber]]</f>
        <v>1613</v>
      </c>
      <c r="L1146">
        <f>Table1[[#This Row],[DistanceFromHome]]</f>
        <v>2</v>
      </c>
      <c r="M1146" t="str">
        <f>Table1[[#This Row],[OverTime]]</f>
        <v>No</v>
      </c>
      <c r="N1146">
        <f>Table1[[#This Row],[WorkLifeBalance]]</f>
        <v>3</v>
      </c>
      <c r="O1146" t="str" cm="1">
        <f t="array" ref="O1146">_xlfn.IFS(A1146&lt;=30,"18-30",A1146&lt;=40,"31-40",A1146&lt;=50,"41-50",A1146&gt;50,"51+")</f>
        <v>31-40</v>
      </c>
      <c r="P1146" t="str" cm="1">
        <f t="array" ref="P1146">_xlfn.IFS(F1146&lt;=45,"45 or below",F1146&lt;= 60,"46-60",F1146&lt;=75,"61-75",F1146&lt;=90,"76-90",F1146&gt;90,"91 or above")</f>
        <v>46-60</v>
      </c>
      <c r="Q11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46" t="str" cm="1">
        <f t="array" ref="R11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47" spans="1:18" x14ac:dyDescent="0.2">
      <c r="A1147">
        <f>Table1[[#This Row],[Age]]</f>
        <v>36</v>
      </c>
      <c r="B1147">
        <f>IF(Table3[[#This Row],[Attrition]] = "Yes", 1,0)</f>
        <v>0</v>
      </c>
      <c r="C1147" t="str">
        <f>Table1[[#This Row],[Attrition]]</f>
        <v>No</v>
      </c>
      <c r="D1147" t="str">
        <f>Table1[[#This Row],[Department]]</f>
        <v>Research &amp; Development</v>
      </c>
      <c r="E1147">
        <f>Table1[[#This Row],[EnvironmentSatisfaction]]</f>
        <v>3</v>
      </c>
      <c r="F1147">
        <f>Table1[[#This Row],[HourlyRate]]</f>
        <v>76</v>
      </c>
      <c r="G1147" t="str">
        <f>Table1[[#This Row],[JobRole]]</f>
        <v>Manufacturing Director</v>
      </c>
      <c r="H1147">
        <f>Table1[[#This Row],[JobSatisfaction]]</f>
        <v>3</v>
      </c>
      <c r="I1147">
        <f>Table1[[#This Row],[YearsAtCompany]]</f>
        <v>3</v>
      </c>
      <c r="J1147">
        <f>Table1[[#This Row],[YearsSinceLastPromotion]]</f>
        <v>1</v>
      </c>
      <c r="K1147">
        <f>Table1[[#This Row],[EmployeeNumber]]</f>
        <v>1614</v>
      </c>
      <c r="L1147">
        <f>Table1[[#This Row],[DistanceFromHome]]</f>
        <v>12</v>
      </c>
      <c r="M1147" t="str">
        <f>Table1[[#This Row],[OverTime]]</f>
        <v>Yes</v>
      </c>
      <c r="N1147">
        <f>Table1[[#This Row],[WorkLifeBalance]]</f>
        <v>3</v>
      </c>
      <c r="O1147" t="str" cm="1">
        <f t="array" ref="O1147">_xlfn.IFS(A1147&lt;=30,"18-30",A1147&lt;=40,"31-40",A1147&lt;=50,"41-50",A1147&gt;50,"51+")</f>
        <v>31-40</v>
      </c>
      <c r="P1147" t="str" cm="1">
        <f t="array" ref="P1147">_xlfn.IFS(F1147&lt;=45,"45 or below",F1147&lt;= 60,"46-60",F1147&lt;=75,"61-75",F1147&lt;=90,"76-90",F1147&gt;90,"91 or above")</f>
        <v>76-90</v>
      </c>
      <c r="Q11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47" t="str" cm="1">
        <f t="array" ref="R114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48" spans="1:18" x14ac:dyDescent="0.2">
      <c r="A1148">
        <f>Table1[[#This Row],[Age]]</f>
        <v>34</v>
      </c>
      <c r="B1148">
        <f>IF(Table3[[#This Row],[Attrition]] = "Yes", 1,0)</f>
        <v>0</v>
      </c>
      <c r="C1148" t="str">
        <f>Table1[[#This Row],[Attrition]]</f>
        <v>No</v>
      </c>
      <c r="D1148" t="str">
        <f>Table1[[#This Row],[Department]]</f>
        <v>Research &amp; Development</v>
      </c>
      <c r="E1148">
        <f>Table1[[#This Row],[EnvironmentSatisfaction]]</f>
        <v>3</v>
      </c>
      <c r="F1148">
        <f>Table1[[#This Row],[HourlyRate]]</f>
        <v>42</v>
      </c>
      <c r="G1148" t="str">
        <f>Table1[[#This Row],[JobRole]]</f>
        <v>Manufacturing Director</v>
      </c>
      <c r="H1148">
        <f>Table1[[#This Row],[JobSatisfaction]]</f>
        <v>4</v>
      </c>
      <c r="I1148">
        <f>Table1[[#This Row],[YearsAtCompany]]</f>
        <v>9</v>
      </c>
      <c r="J1148">
        <f>Table1[[#This Row],[YearsSinceLastPromotion]]</f>
        <v>7</v>
      </c>
      <c r="K1148">
        <f>Table1[[#This Row],[EmployeeNumber]]</f>
        <v>1615</v>
      </c>
      <c r="L1148">
        <f>Table1[[#This Row],[DistanceFromHome]]</f>
        <v>10</v>
      </c>
      <c r="M1148" t="str">
        <f>Table1[[#This Row],[OverTime]]</f>
        <v>No</v>
      </c>
      <c r="N1148">
        <f>Table1[[#This Row],[WorkLifeBalance]]</f>
        <v>3</v>
      </c>
      <c r="O1148" t="str" cm="1">
        <f t="array" ref="O1148">_xlfn.IFS(A1148&lt;=30,"18-30",A1148&lt;=40,"31-40",A1148&lt;=50,"41-50",A1148&gt;50,"51+")</f>
        <v>31-40</v>
      </c>
      <c r="P1148" t="str" cm="1">
        <f t="array" ref="P1148">_xlfn.IFS(F1148&lt;=45,"45 or below",F1148&lt;= 60,"46-60",F1148&lt;=75,"61-75",F1148&lt;=90,"76-90",F1148&gt;90,"91 or above")</f>
        <v>45 or below</v>
      </c>
      <c r="Q11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48" t="str" cm="1">
        <f t="array" ref="R11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49" spans="1:18" x14ac:dyDescent="0.2">
      <c r="A1149">
        <f>Table1[[#This Row],[Age]]</f>
        <v>49</v>
      </c>
      <c r="B1149">
        <f>IF(Table3[[#This Row],[Attrition]] = "Yes", 1,0)</f>
        <v>0</v>
      </c>
      <c r="C1149" t="str">
        <f>Table1[[#This Row],[Attrition]]</f>
        <v>No</v>
      </c>
      <c r="D1149" t="str">
        <f>Table1[[#This Row],[Department]]</f>
        <v>Research &amp; Development</v>
      </c>
      <c r="E1149">
        <f>Table1[[#This Row],[EnvironmentSatisfaction]]</f>
        <v>3</v>
      </c>
      <c r="F1149">
        <f>Table1[[#This Row],[HourlyRate]]</f>
        <v>84</v>
      </c>
      <c r="G1149" t="str">
        <f>Table1[[#This Row],[JobRole]]</f>
        <v>Laboratory Technician</v>
      </c>
      <c r="H1149">
        <f>Table1[[#This Row],[JobSatisfaction]]</f>
        <v>1</v>
      </c>
      <c r="I1149">
        <f>Table1[[#This Row],[YearsAtCompany]]</f>
        <v>9</v>
      </c>
      <c r="J1149">
        <f>Table1[[#This Row],[YearsSinceLastPromotion]]</f>
        <v>1</v>
      </c>
      <c r="K1149">
        <f>Table1[[#This Row],[EmployeeNumber]]</f>
        <v>1617</v>
      </c>
      <c r="L1149">
        <f>Table1[[#This Row],[DistanceFromHome]]</f>
        <v>25</v>
      </c>
      <c r="M1149" t="str">
        <f>Table1[[#This Row],[OverTime]]</f>
        <v>No</v>
      </c>
      <c r="N1149">
        <f>Table1[[#This Row],[WorkLifeBalance]]</f>
        <v>2</v>
      </c>
      <c r="O1149" t="str" cm="1">
        <f t="array" ref="O1149">_xlfn.IFS(A1149&lt;=30,"18-30",A1149&lt;=40,"31-40",A1149&lt;=50,"41-50",A1149&gt;50,"51+")</f>
        <v>41-50</v>
      </c>
      <c r="P1149" t="str" cm="1">
        <f t="array" ref="P1149">_xlfn.IFS(F1149&lt;=45,"45 or below",F1149&lt;= 60,"46-60",F1149&lt;=75,"61-75",F1149&lt;=90,"76-90",F1149&gt;90,"91 or above")</f>
        <v>76-90</v>
      </c>
      <c r="Q11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49" t="str" cm="1">
        <f t="array" ref="R11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50" spans="1:18" x14ac:dyDescent="0.2">
      <c r="A1150">
        <f>Table1[[#This Row],[Age]]</f>
        <v>39</v>
      </c>
      <c r="B1150">
        <f>IF(Table3[[#This Row],[Attrition]] = "Yes", 1,0)</f>
        <v>0</v>
      </c>
      <c r="C1150" t="str">
        <f>Table1[[#This Row],[Attrition]]</f>
        <v>No</v>
      </c>
      <c r="D1150" t="str">
        <f>Table1[[#This Row],[Department]]</f>
        <v>Research &amp; Development</v>
      </c>
      <c r="E1150">
        <f>Table1[[#This Row],[EnvironmentSatisfaction]]</f>
        <v>2</v>
      </c>
      <c r="F1150">
        <f>Table1[[#This Row],[HourlyRate]]</f>
        <v>76</v>
      </c>
      <c r="G1150" t="str">
        <f>Table1[[#This Row],[JobRole]]</f>
        <v>Manufacturing Director</v>
      </c>
      <c r="H1150">
        <f>Table1[[#This Row],[JobSatisfaction]]</f>
        <v>1</v>
      </c>
      <c r="I1150">
        <f>Table1[[#This Row],[YearsAtCompany]]</f>
        <v>7</v>
      </c>
      <c r="J1150">
        <f>Table1[[#This Row],[YearsSinceLastPromotion]]</f>
        <v>7</v>
      </c>
      <c r="K1150">
        <f>Table1[[#This Row],[EmployeeNumber]]</f>
        <v>1618</v>
      </c>
      <c r="L1150">
        <f>Table1[[#This Row],[DistanceFromHome]]</f>
        <v>10</v>
      </c>
      <c r="M1150" t="str">
        <f>Table1[[#This Row],[OverTime]]</f>
        <v>No</v>
      </c>
      <c r="N1150">
        <f>Table1[[#This Row],[WorkLifeBalance]]</f>
        <v>3</v>
      </c>
      <c r="O1150" t="str" cm="1">
        <f t="array" ref="O1150">_xlfn.IFS(A1150&lt;=30,"18-30",A1150&lt;=40,"31-40",A1150&lt;=50,"41-50",A1150&gt;50,"51+")</f>
        <v>31-40</v>
      </c>
      <c r="P1150" t="str" cm="1">
        <f t="array" ref="P1150">_xlfn.IFS(F1150&lt;=45,"45 or below",F1150&lt;= 60,"46-60",F1150&lt;=75,"61-75",F1150&lt;=90,"76-90",F1150&gt;90,"91 or above")</f>
        <v>76-90</v>
      </c>
      <c r="Q11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50" t="str" cm="1">
        <f t="array" ref="R115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51" spans="1:18" x14ac:dyDescent="0.2">
      <c r="A1151">
        <f>Table1[[#This Row],[Age]]</f>
        <v>27</v>
      </c>
      <c r="B1151">
        <f>IF(Table3[[#This Row],[Attrition]] = "Yes", 1,0)</f>
        <v>0</v>
      </c>
      <c r="C1151" t="str">
        <f>Table1[[#This Row],[Attrition]]</f>
        <v>No</v>
      </c>
      <c r="D1151" t="str">
        <f>Table1[[#This Row],[Department]]</f>
        <v>Research &amp; Development</v>
      </c>
      <c r="E1151">
        <f>Table1[[#This Row],[EnvironmentSatisfaction]]</f>
        <v>4</v>
      </c>
      <c r="F1151">
        <f>Table1[[#This Row],[HourlyRate]]</f>
        <v>67</v>
      </c>
      <c r="G1151" t="str">
        <f>Table1[[#This Row],[JobRole]]</f>
        <v>Laboratory Technician</v>
      </c>
      <c r="H1151">
        <f>Table1[[#This Row],[JobSatisfaction]]</f>
        <v>1</v>
      </c>
      <c r="I1151">
        <f>Table1[[#This Row],[YearsAtCompany]]</f>
        <v>7</v>
      </c>
      <c r="J1151">
        <f>Table1[[#This Row],[YearsSinceLastPromotion]]</f>
        <v>0</v>
      </c>
      <c r="K1151">
        <f>Table1[[#This Row],[EmployeeNumber]]</f>
        <v>1619</v>
      </c>
      <c r="L1151">
        <f>Table1[[#This Row],[DistanceFromHome]]</f>
        <v>19</v>
      </c>
      <c r="M1151" t="str">
        <f>Table1[[#This Row],[OverTime]]</f>
        <v>No</v>
      </c>
      <c r="N1151">
        <f>Table1[[#This Row],[WorkLifeBalance]]</f>
        <v>3</v>
      </c>
      <c r="O1151" t="str" cm="1">
        <f t="array" ref="O1151">_xlfn.IFS(A1151&lt;=30,"18-30",A1151&lt;=40,"31-40",A1151&lt;=50,"41-50",A1151&gt;50,"51+")</f>
        <v>18-30</v>
      </c>
      <c r="P1151" t="str" cm="1">
        <f t="array" ref="P1151">_xlfn.IFS(F1151&lt;=45,"45 or below",F1151&lt;= 60,"46-60",F1151&lt;=75,"61-75",F1151&lt;=90,"76-90",F1151&gt;90,"91 or above")</f>
        <v>61-75</v>
      </c>
      <c r="Q11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51" t="str" cm="1">
        <f t="array" ref="R11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52" spans="1:18" x14ac:dyDescent="0.2">
      <c r="A1152">
        <f>Table1[[#This Row],[Age]]</f>
        <v>35</v>
      </c>
      <c r="B1152">
        <f>IF(Table3[[#This Row],[Attrition]] = "Yes", 1,0)</f>
        <v>0</v>
      </c>
      <c r="C1152" t="str">
        <f>Table1[[#This Row],[Attrition]]</f>
        <v>No</v>
      </c>
      <c r="D1152" t="str">
        <f>Table1[[#This Row],[Department]]</f>
        <v>Research &amp; Development</v>
      </c>
      <c r="E1152">
        <f>Table1[[#This Row],[EnvironmentSatisfaction]]</f>
        <v>2</v>
      </c>
      <c r="F1152">
        <f>Table1[[#This Row],[HourlyRate]]</f>
        <v>48</v>
      </c>
      <c r="G1152" t="str">
        <f>Table1[[#This Row],[JobRole]]</f>
        <v>Research Scientist</v>
      </c>
      <c r="H1152">
        <f>Table1[[#This Row],[JobSatisfaction]]</f>
        <v>1</v>
      </c>
      <c r="I1152">
        <f>Table1[[#This Row],[YearsAtCompany]]</f>
        <v>16</v>
      </c>
      <c r="J1152">
        <f>Table1[[#This Row],[YearsSinceLastPromotion]]</f>
        <v>1</v>
      </c>
      <c r="K1152">
        <f>Table1[[#This Row],[EmployeeNumber]]</f>
        <v>1621</v>
      </c>
      <c r="L1152">
        <f>Table1[[#This Row],[DistanceFromHome]]</f>
        <v>18</v>
      </c>
      <c r="M1152" t="str">
        <f>Table1[[#This Row],[OverTime]]</f>
        <v>No</v>
      </c>
      <c r="N1152">
        <f>Table1[[#This Row],[WorkLifeBalance]]</f>
        <v>3</v>
      </c>
      <c r="O1152" t="str" cm="1">
        <f t="array" ref="O1152">_xlfn.IFS(A1152&lt;=30,"18-30",A1152&lt;=40,"31-40",A1152&lt;=50,"41-50",A1152&gt;50,"51+")</f>
        <v>31-40</v>
      </c>
      <c r="P1152" t="str" cm="1">
        <f t="array" ref="P1152">_xlfn.IFS(F1152&lt;=45,"45 or below",F1152&lt;= 60,"46-60",F1152&lt;=75,"61-75",F1152&lt;=90,"76-90",F1152&gt;90,"91 or above")</f>
        <v>46-60</v>
      </c>
      <c r="Q11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52" t="str" cm="1">
        <f t="array" ref="R11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53" spans="1:18" x14ac:dyDescent="0.2">
      <c r="A1153">
        <f>Table1[[#This Row],[Age]]</f>
        <v>28</v>
      </c>
      <c r="B1153">
        <f>IF(Table3[[#This Row],[Attrition]] = "Yes", 1,0)</f>
        <v>0</v>
      </c>
      <c r="C1153" t="str">
        <f>Table1[[#This Row],[Attrition]]</f>
        <v>No</v>
      </c>
      <c r="D1153" t="str">
        <f>Table1[[#This Row],[Department]]</f>
        <v>Research &amp; Development</v>
      </c>
      <c r="E1153">
        <f>Table1[[#This Row],[EnvironmentSatisfaction]]</f>
        <v>2</v>
      </c>
      <c r="F1153">
        <f>Table1[[#This Row],[HourlyRate]]</f>
        <v>39</v>
      </c>
      <c r="G1153" t="str">
        <f>Table1[[#This Row],[JobRole]]</f>
        <v>Manufacturing Director</v>
      </c>
      <c r="H1153">
        <f>Table1[[#This Row],[JobSatisfaction]]</f>
        <v>1</v>
      </c>
      <c r="I1153">
        <f>Table1[[#This Row],[YearsAtCompany]]</f>
        <v>5</v>
      </c>
      <c r="J1153">
        <f>Table1[[#This Row],[YearsSinceLastPromotion]]</f>
        <v>0</v>
      </c>
      <c r="K1153">
        <f>Table1[[#This Row],[EmployeeNumber]]</f>
        <v>1622</v>
      </c>
      <c r="L1153">
        <f>Table1[[#This Row],[DistanceFromHome]]</f>
        <v>27</v>
      </c>
      <c r="M1153" t="str">
        <f>Table1[[#This Row],[OverTime]]</f>
        <v>No</v>
      </c>
      <c r="N1153">
        <f>Table1[[#This Row],[WorkLifeBalance]]</f>
        <v>2</v>
      </c>
      <c r="O1153" t="str" cm="1">
        <f t="array" ref="O1153">_xlfn.IFS(A1153&lt;=30,"18-30",A1153&lt;=40,"31-40",A1153&lt;=50,"41-50",A1153&gt;50,"51+")</f>
        <v>18-30</v>
      </c>
      <c r="P1153" t="str" cm="1">
        <f t="array" ref="P1153">_xlfn.IFS(F1153&lt;=45,"45 or below",F1153&lt;= 60,"46-60",F1153&lt;=75,"61-75",F1153&lt;=90,"76-90",F1153&gt;90,"91 or above")</f>
        <v>45 or below</v>
      </c>
      <c r="Q11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53" t="str" cm="1">
        <f t="array" ref="R115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54" spans="1:18" x14ac:dyDescent="0.2">
      <c r="A1154">
        <f>Table1[[#This Row],[Age]]</f>
        <v>21</v>
      </c>
      <c r="B1154">
        <f>IF(Table3[[#This Row],[Attrition]] = "Yes", 1,0)</f>
        <v>0</v>
      </c>
      <c r="C1154" t="str">
        <f>Table1[[#This Row],[Attrition]]</f>
        <v>No</v>
      </c>
      <c r="D1154" t="str">
        <f>Table1[[#This Row],[Department]]</f>
        <v>Research &amp; Development</v>
      </c>
      <c r="E1154">
        <f>Table1[[#This Row],[EnvironmentSatisfaction]]</f>
        <v>3</v>
      </c>
      <c r="F1154">
        <f>Table1[[#This Row],[HourlyRate]]</f>
        <v>97</v>
      </c>
      <c r="G1154" t="str">
        <f>Table1[[#This Row],[JobRole]]</f>
        <v>Research Scientist</v>
      </c>
      <c r="H1154">
        <f>Table1[[#This Row],[JobSatisfaction]]</f>
        <v>4</v>
      </c>
      <c r="I1154">
        <f>Table1[[#This Row],[YearsAtCompany]]</f>
        <v>2</v>
      </c>
      <c r="J1154">
        <f>Table1[[#This Row],[YearsSinceLastPromotion]]</f>
        <v>2</v>
      </c>
      <c r="K1154">
        <f>Table1[[#This Row],[EmployeeNumber]]</f>
        <v>1623</v>
      </c>
      <c r="L1154">
        <f>Table1[[#This Row],[DistanceFromHome]]</f>
        <v>5</v>
      </c>
      <c r="M1154" t="str">
        <f>Table1[[#This Row],[OverTime]]</f>
        <v>No</v>
      </c>
      <c r="N1154">
        <f>Table1[[#This Row],[WorkLifeBalance]]</f>
        <v>3</v>
      </c>
      <c r="O1154" t="str" cm="1">
        <f t="array" ref="O1154">_xlfn.IFS(A1154&lt;=30,"18-30",A1154&lt;=40,"31-40",A1154&lt;=50,"41-50",A1154&gt;50,"51+")</f>
        <v>18-30</v>
      </c>
      <c r="P1154" t="str" cm="1">
        <f t="array" ref="P1154">_xlfn.IFS(F1154&lt;=45,"45 or below",F1154&lt;= 60,"46-60",F1154&lt;=75,"61-75",F1154&lt;=90,"76-90",F1154&gt;90,"91 or above")</f>
        <v>91 or above</v>
      </c>
      <c r="Q11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54" t="str" cm="1">
        <f t="array" ref="R115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55" spans="1:18" hidden="1" x14ac:dyDescent="0.2">
      <c r="A1155">
        <f>Table1[[#This Row],[Age]]</f>
        <v>18</v>
      </c>
      <c r="B1155">
        <f>IF(Table3[[#This Row],[Attrition]] = "Yes", 1,0)</f>
        <v>1</v>
      </c>
      <c r="C1155" t="str">
        <f>Table1[[#This Row],[Attrition]]</f>
        <v>Yes</v>
      </c>
      <c r="D1155" t="str">
        <f>Table1[[#This Row],[Department]]</f>
        <v>Sales</v>
      </c>
      <c r="E1155">
        <f>Table1[[#This Row],[EnvironmentSatisfaction]]</f>
        <v>2</v>
      </c>
      <c r="F1155">
        <f>Table1[[#This Row],[HourlyRate]]</f>
        <v>70</v>
      </c>
      <c r="G1155" t="str">
        <f>Table1[[#This Row],[JobRole]]</f>
        <v>Sales Representative</v>
      </c>
      <c r="H1155">
        <f>Table1[[#This Row],[JobSatisfaction]]</f>
        <v>4</v>
      </c>
      <c r="I1155">
        <f>Table1[[#This Row],[YearsAtCompany]]</f>
        <v>0</v>
      </c>
      <c r="J1155">
        <f>Table1[[#This Row],[YearsSinceLastPromotion]]</f>
        <v>0</v>
      </c>
      <c r="K1155">
        <f>Table1[[#This Row],[EmployeeNumber]]</f>
        <v>1624</v>
      </c>
      <c r="L1155">
        <f>Table1[[#This Row],[DistanceFromHome]]</f>
        <v>3</v>
      </c>
      <c r="M1155" t="str">
        <f>Table1[[#This Row],[OverTime]]</f>
        <v>Yes</v>
      </c>
      <c r="N1155">
        <f>Table1[[#This Row],[WorkLifeBalance]]</f>
        <v>4</v>
      </c>
      <c r="O1155" t="str" cm="1">
        <f t="array" ref="O1155">_xlfn.IFS(A1155&lt;=30,"18-30",A1155&lt;=40,"31-40",A1155&lt;=50,"41-50",A1155&gt;50,"51+")</f>
        <v>18-30</v>
      </c>
      <c r="P1155" t="str" cm="1">
        <f t="array" ref="P1155">_xlfn.IFS(F1155&lt;=45,"45 or below",F1155&lt;= 60,"46-60",F1155&lt;=75,"61-75",F1155&lt;=90,"76-90",F1155&gt;90,"91 or above")</f>
        <v>61-75</v>
      </c>
      <c r="Q115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55" t="str" cm="1">
        <f t="array" ref="R1155" xml:space="preserve"> _xlfn.IFS(Table3[[#This Row],[Flight Risk Score]] = "NA","NA",Table3[[#This Row],[Flight Risk Score]] &gt;= 70,"High Risk",Table3[[#This Row],[Flight Risk Score]] &gt;= 50, "Medium Risk", Table3[[#This Row],[Flight Risk Score]] &gt;= 30,"Low Risk",Table3[[#This Row],[Flight Risk Score]] &lt; 30,"Very Low Risk")</f>
        <v>NA</v>
      </c>
    </row>
    <row r="1156" spans="1:18" x14ac:dyDescent="0.2">
      <c r="A1156">
        <f>Table1[[#This Row],[Age]]</f>
        <v>47</v>
      </c>
      <c r="B1156">
        <f>IF(Table3[[#This Row],[Attrition]] = "Yes", 1,0)</f>
        <v>0</v>
      </c>
      <c r="C1156" t="str">
        <f>Table1[[#This Row],[Attrition]]</f>
        <v>No</v>
      </c>
      <c r="D1156" t="str">
        <f>Table1[[#This Row],[Department]]</f>
        <v>Human Resources</v>
      </c>
      <c r="E1156">
        <f>Table1[[#This Row],[EnvironmentSatisfaction]]</f>
        <v>4</v>
      </c>
      <c r="F1156">
        <f>Table1[[#This Row],[HourlyRate]]</f>
        <v>98</v>
      </c>
      <c r="G1156" t="str">
        <f>Table1[[#This Row],[JobRole]]</f>
        <v>Manager</v>
      </c>
      <c r="H1156">
        <f>Table1[[#This Row],[JobSatisfaction]]</f>
        <v>3</v>
      </c>
      <c r="I1156">
        <f>Table1[[#This Row],[YearsAtCompany]]</f>
        <v>5</v>
      </c>
      <c r="J1156">
        <f>Table1[[#This Row],[YearsSinceLastPromotion]]</f>
        <v>1</v>
      </c>
      <c r="K1156">
        <f>Table1[[#This Row],[EmployeeNumber]]</f>
        <v>1625</v>
      </c>
      <c r="L1156">
        <f>Table1[[#This Row],[DistanceFromHome]]</f>
        <v>26</v>
      </c>
      <c r="M1156" t="str">
        <f>Table1[[#This Row],[OverTime]]</f>
        <v>No</v>
      </c>
      <c r="N1156">
        <f>Table1[[#This Row],[WorkLifeBalance]]</f>
        <v>3</v>
      </c>
      <c r="O1156" t="str" cm="1">
        <f t="array" ref="O1156">_xlfn.IFS(A1156&lt;=30,"18-30",A1156&lt;=40,"31-40",A1156&lt;=50,"41-50",A1156&gt;50,"51+")</f>
        <v>41-50</v>
      </c>
      <c r="P1156" t="str" cm="1">
        <f t="array" ref="P1156">_xlfn.IFS(F1156&lt;=45,"45 or below",F1156&lt;= 60,"46-60",F1156&lt;=75,"61-75",F1156&lt;=90,"76-90",F1156&gt;90,"91 or above")</f>
        <v>91 or above</v>
      </c>
      <c r="Q11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56" t="str" cm="1">
        <f t="array" ref="R11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57" spans="1:18" x14ac:dyDescent="0.2">
      <c r="A1157">
        <f>Table1[[#This Row],[Age]]</f>
        <v>39</v>
      </c>
      <c r="B1157">
        <f>IF(Table3[[#This Row],[Attrition]] = "Yes", 1,0)</f>
        <v>0</v>
      </c>
      <c r="C1157" t="str">
        <f>Table1[[#This Row],[Attrition]]</f>
        <v>No</v>
      </c>
      <c r="D1157" t="str">
        <f>Table1[[#This Row],[Department]]</f>
        <v>Research &amp; Development</v>
      </c>
      <c r="E1157">
        <f>Table1[[#This Row],[EnvironmentSatisfaction]]</f>
        <v>3</v>
      </c>
      <c r="F1157">
        <f>Table1[[#This Row],[HourlyRate]]</f>
        <v>76</v>
      </c>
      <c r="G1157" t="str">
        <f>Table1[[#This Row],[JobRole]]</f>
        <v>Laboratory Technician</v>
      </c>
      <c r="H1157">
        <f>Table1[[#This Row],[JobSatisfaction]]</f>
        <v>3</v>
      </c>
      <c r="I1157">
        <f>Table1[[#This Row],[YearsAtCompany]]</f>
        <v>10</v>
      </c>
      <c r="J1157">
        <f>Table1[[#This Row],[YearsSinceLastPromotion]]</f>
        <v>0</v>
      </c>
      <c r="K1157">
        <f>Table1[[#This Row],[EmployeeNumber]]</f>
        <v>1627</v>
      </c>
      <c r="L1157">
        <f>Table1[[#This Row],[DistanceFromHome]]</f>
        <v>3</v>
      </c>
      <c r="M1157" t="str">
        <f>Table1[[#This Row],[OverTime]]</f>
        <v>No</v>
      </c>
      <c r="N1157">
        <f>Table1[[#This Row],[WorkLifeBalance]]</f>
        <v>3</v>
      </c>
      <c r="O1157" t="str" cm="1">
        <f t="array" ref="O1157">_xlfn.IFS(A1157&lt;=30,"18-30",A1157&lt;=40,"31-40",A1157&lt;=50,"41-50",A1157&gt;50,"51+")</f>
        <v>31-40</v>
      </c>
      <c r="P1157" t="str" cm="1">
        <f t="array" ref="P1157">_xlfn.IFS(F1157&lt;=45,"45 or below",F1157&lt;= 60,"46-60",F1157&lt;=75,"61-75",F1157&lt;=90,"76-90",F1157&gt;90,"91 or above")</f>
        <v>76-90</v>
      </c>
      <c r="Q11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57" t="str" cm="1">
        <f t="array" ref="R11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58" spans="1:18" x14ac:dyDescent="0.2">
      <c r="A1158">
        <f>Table1[[#This Row],[Age]]</f>
        <v>40</v>
      </c>
      <c r="B1158">
        <f>IF(Table3[[#This Row],[Attrition]] = "Yes", 1,0)</f>
        <v>0</v>
      </c>
      <c r="C1158" t="str">
        <f>Table1[[#This Row],[Attrition]]</f>
        <v>No</v>
      </c>
      <c r="D1158" t="str">
        <f>Table1[[#This Row],[Department]]</f>
        <v>Research &amp; Development</v>
      </c>
      <c r="E1158">
        <f>Table1[[#This Row],[EnvironmentSatisfaction]]</f>
        <v>1</v>
      </c>
      <c r="F1158">
        <f>Table1[[#This Row],[HourlyRate]]</f>
        <v>80</v>
      </c>
      <c r="G1158" t="str">
        <f>Table1[[#This Row],[JobRole]]</f>
        <v>Manufacturing Director</v>
      </c>
      <c r="H1158">
        <f>Table1[[#This Row],[JobSatisfaction]]</f>
        <v>3</v>
      </c>
      <c r="I1158">
        <f>Table1[[#This Row],[YearsAtCompany]]</f>
        <v>18</v>
      </c>
      <c r="J1158">
        <f>Table1[[#This Row],[YearsSinceLastPromotion]]</f>
        <v>14</v>
      </c>
      <c r="K1158">
        <f>Table1[[#This Row],[EmployeeNumber]]</f>
        <v>1628</v>
      </c>
      <c r="L1158">
        <f>Table1[[#This Row],[DistanceFromHome]]</f>
        <v>15</v>
      </c>
      <c r="M1158" t="str">
        <f>Table1[[#This Row],[OverTime]]</f>
        <v>No</v>
      </c>
      <c r="N1158">
        <f>Table1[[#This Row],[WorkLifeBalance]]</f>
        <v>3</v>
      </c>
      <c r="O1158" t="str" cm="1">
        <f t="array" ref="O1158">_xlfn.IFS(A1158&lt;=30,"18-30",A1158&lt;=40,"31-40",A1158&lt;=50,"41-50",A1158&gt;50,"51+")</f>
        <v>31-40</v>
      </c>
      <c r="P1158" t="str" cm="1">
        <f t="array" ref="P1158">_xlfn.IFS(F1158&lt;=45,"45 or below",F1158&lt;= 60,"46-60",F1158&lt;=75,"61-75",F1158&lt;=90,"76-90",F1158&gt;90,"91 or above")</f>
        <v>76-90</v>
      </c>
      <c r="Q11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58" t="str" cm="1">
        <f t="array" ref="R11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59" spans="1:18" x14ac:dyDescent="0.2">
      <c r="A1159">
        <f>Table1[[#This Row],[Age]]</f>
        <v>35</v>
      </c>
      <c r="B1159">
        <f>IF(Table3[[#This Row],[Attrition]] = "Yes", 1,0)</f>
        <v>0</v>
      </c>
      <c r="C1159" t="str">
        <f>Table1[[#This Row],[Attrition]]</f>
        <v>No</v>
      </c>
      <c r="D1159" t="str">
        <f>Table1[[#This Row],[Department]]</f>
        <v>Research &amp; Development</v>
      </c>
      <c r="E1159">
        <f>Table1[[#This Row],[EnvironmentSatisfaction]]</f>
        <v>3</v>
      </c>
      <c r="F1159">
        <f>Table1[[#This Row],[HourlyRate]]</f>
        <v>52</v>
      </c>
      <c r="G1159" t="str">
        <f>Table1[[#This Row],[JobRole]]</f>
        <v>Healthcare Representative</v>
      </c>
      <c r="H1159">
        <f>Table1[[#This Row],[JobSatisfaction]]</f>
        <v>3</v>
      </c>
      <c r="I1159">
        <f>Table1[[#This Row],[YearsAtCompany]]</f>
        <v>14</v>
      </c>
      <c r="J1159">
        <f>Table1[[#This Row],[YearsSinceLastPromotion]]</f>
        <v>2</v>
      </c>
      <c r="K1159">
        <f>Table1[[#This Row],[EmployeeNumber]]</f>
        <v>1630</v>
      </c>
      <c r="L1159">
        <f>Table1[[#This Row],[DistanceFromHome]]</f>
        <v>8</v>
      </c>
      <c r="M1159" t="str">
        <f>Table1[[#This Row],[OverTime]]</f>
        <v>No</v>
      </c>
      <c r="N1159">
        <f>Table1[[#This Row],[WorkLifeBalance]]</f>
        <v>3</v>
      </c>
      <c r="O1159" t="str" cm="1">
        <f t="array" ref="O1159">_xlfn.IFS(A1159&lt;=30,"18-30",A1159&lt;=40,"31-40",A1159&lt;=50,"41-50",A1159&gt;50,"51+")</f>
        <v>31-40</v>
      </c>
      <c r="P1159" t="str" cm="1">
        <f t="array" ref="P1159">_xlfn.IFS(F1159&lt;=45,"45 or below",F1159&lt;= 60,"46-60",F1159&lt;=75,"61-75",F1159&lt;=90,"76-90",F1159&gt;90,"91 or above")</f>
        <v>46-60</v>
      </c>
      <c r="Q11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59" t="str" cm="1">
        <f t="array" ref="R11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60" spans="1:18" x14ac:dyDescent="0.2">
      <c r="A1160">
        <f>Table1[[#This Row],[Age]]</f>
        <v>37</v>
      </c>
      <c r="B1160">
        <f>IF(Table3[[#This Row],[Attrition]] = "Yes", 1,0)</f>
        <v>0</v>
      </c>
      <c r="C1160" t="str">
        <f>Table1[[#This Row],[Attrition]]</f>
        <v>No</v>
      </c>
      <c r="D1160" t="str">
        <f>Table1[[#This Row],[Department]]</f>
        <v>Research &amp; Development</v>
      </c>
      <c r="E1160">
        <f>Table1[[#This Row],[EnvironmentSatisfaction]]</f>
        <v>3</v>
      </c>
      <c r="F1160">
        <f>Table1[[#This Row],[HourlyRate]]</f>
        <v>85</v>
      </c>
      <c r="G1160" t="str">
        <f>Table1[[#This Row],[JobRole]]</f>
        <v>Manufacturing Director</v>
      </c>
      <c r="H1160">
        <f>Table1[[#This Row],[JobSatisfaction]]</f>
        <v>3</v>
      </c>
      <c r="I1160">
        <f>Table1[[#This Row],[YearsAtCompany]]</f>
        <v>4</v>
      </c>
      <c r="J1160">
        <f>Table1[[#This Row],[YearsSinceLastPromotion]]</f>
        <v>0</v>
      </c>
      <c r="K1160">
        <f>Table1[[#This Row],[EmployeeNumber]]</f>
        <v>1631</v>
      </c>
      <c r="L1160">
        <f>Table1[[#This Row],[DistanceFromHome]]</f>
        <v>19</v>
      </c>
      <c r="M1160" t="str">
        <f>Table1[[#This Row],[OverTime]]</f>
        <v>No</v>
      </c>
      <c r="N1160">
        <f>Table1[[#This Row],[WorkLifeBalance]]</f>
        <v>2</v>
      </c>
      <c r="O1160" t="str" cm="1">
        <f t="array" ref="O1160">_xlfn.IFS(A1160&lt;=30,"18-30",A1160&lt;=40,"31-40",A1160&lt;=50,"41-50",A1160&gt;50,"51+")</f>
        <v>31-40</v>
      </c>
      <c r="P1160" t="str" cm="1">
        <f t="array" ref="P1160">_xlfn.IFS(F1160&lt;=45,"45 or below",F1160&lt;= 60,"46-60",F1160&lt;=75,"61-75",F1160&lt;=90,"76-90",F1160&gt;90,"91 or above")</f>
        <v>76-90</v>
      </c>
      <c r="Q11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60" t="str" cm="1">
        <f t="array" ref="R11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61" spans="1:18" x14ac:dyDescent="0.2">
      <c r="A1161">
        <f>Table1[[#This Row],[Age]]</f>
        <v>39</v>
      </c>
      <c r="B1161">
        <f>IF(Table3[[#This Row],[Attrition]] = "Yes", 1,0)</f>
        <v>0</v>
      </c>
      <c r="C1161" t="str">
        <f>Table1[[#This Row],[Attrition]]</f>
        <v>No</v>
      </c>
      <c r="D1161" t="str">
        <f>Table1[[#This Row],[Department]]</f>
        <v>Research &amp; Development</v>
      </c>
      <c r="E1161">
        <f>Table1[[#This Row],[EnvironmentSatisfaction]]</f>
        <v>1</v>
      </c>
      <c r="F1161">
        <f>Table1[[#This Row],[HourlyRate]]</f>
        <v>81</v>
      </c>
      <c r="G1161" t="str">
        <f>Table1[[#This Row],[JobRole]]</f>
        <v>Manufacturing Director</v>
      </c>
      <c r="H1161">
        <f>Table1[[#This Row],[JobSatisfaction]]</f>
        <v>3</v>
      </c>
      <c r="I1161">
        <f>Table1[[#This Row],[YearsAtCompany]]</f>
        <v>9</v>
      </c>
      <c r="J1161">
        <f>Table1[[#This Row],[YearsSinceLastPromotion]]</f>
        <v>3</v>
      </c>
      <c r="K1161">
        <f>Table1[[#This Row],[EmployeeNumber]]</f>
        <v>1633</v>
      </c>
      <c r="L1161">
        <f>Table1[[#This Row],[DistanceFromHome]]</f>
        <v>4</v>
      </c>
      <c r="M1161" t="str">
        <f>Table1[[#This Row],[OverTime]]</f>
        <v>No</v>
      </c>
      <c r="N1161">
        <f>Table1[[#This Row],[WorkLifeBalance]]</f>
        <v>1</v>
      </c>
      <c r="O1161" t="str" cm="1">
        <f t="array" ref="O1161">_xlfn.IFS(A1161&lt;=30,"18-30",A1161&lt;=40,"31-40",A1161&lt;=50,"41-50",A1161&gt;50,"51+")</f>
        <v>31-40</v>
      </c>
      <c r="P1161" t="str" cm="1">
        <f t="array" ref="P1161">_xlfn.IFS(F1161&lt;=45,"45 or below",F1161&lt;= 60,"46-60",F1161&lt;=75,"61-75",F1161&lt;=90,"76-90",F1161&gt;90,"91 or above")</f>
        <v>76-90</v>
      </c>
      <c r="Q11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61" t="str" cm="1">
        <f t="array" ref="R116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62" spans="1:18" x14ac:dyDescent="0.2">
      <c r="A1162">
        <f>Table1[[#This Row],[Age]]</f>
        <v>45</v>
      </c>
      <c r="B1162">
        <f>IF(Table3[[#This Row],[Attrition]] = "Yes", 1,0)</f>
        <v>0</v>
      </c>
      <c r="C1162" t="str">
        <f>Table1[[#This Row],[Attrition]]</f>
        <v>No</v>
      </c>
      <c r="D1162" t="str">
        <f>Table1[[#This Row],[Department]]</f>
        <v>Research &amp; Development</v>
      </c>
      <c r="E1162">
        <f>Table1[[#This Row],[EnvironmentSatisfaction]]</f>
        <v>4</v>
      </c>
      <c r="F1162">
        <f>Table1[[#This Row],[HourlyRate]]</f>
        <v>59</v>
      </c>
      <c r="G1162" t="str">
        <f>Table1[[#This Row],[JobRole]]</f>
        <v>Manufacturing Director</v>
      </c>
      <c r="H1162">
        <f>Table1[[#This Row],[JobSatisfaction]]</f>
        <v>4</v>
      </c>
      <c r="I1162">
        <f>Table1[[#This Row],[YearsAtCompany]]</f>
        <v>10</v>
      </c>
      <c r="J1162">
        <f>Table1[[#This Row],[YearsSinceLastPromotion]]</f>
        <v>3</v>
      </c>
      <c r="K1162">
        <f>Table1[[#This Row],[EmployeeNumber]]</f>
        <v>1635</v>
      </c>
      <c r="L1162">
        <f>Table1[[#This Row],[DistanceFromHome]]</f>
        <v>2</v>
      </c>
      <c r="M1162" t="str">
        <f>Table1[[#This Row],[OverTime]]</f>
        <v>No</v>
      </c>
      <c r="N1162">
        <f>Table1[[#This Row],[WorkLifeBalance]]</f>
        <v>3</v>
      </c>
      <c r="O1162" t="str" cm="1">
        <f t="array" ref="O1162">_xlfn.IFS(A1162&lt;=30,"18-30",A1162&lt;=40,"31-40",A1162&lt;=50,"41-50",A1162&gt;50,"51+")</f>
        <v>41-50</v>
      </c>
      <c r="P1162" t="str" cm="1">
        <f t="array" ref="P1162">_xlfn.IFS(F1162&lt;=45,"45 or below",F1162&lt;= 60,"46-60",F1162&lt;=75,"61-75",F1162&lt;=90,"76-90",F1162&gt;90,"91 or above")</f>
        <v>46-60</v>
      </c>
      <c r="Q11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62" t="str" cm="1">
        <f t="array" ref="R11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63" spans="1:18" x14ac:dyDescent="0.2">
      <c r="A1163">
        <f>Table1[[#This Row],[Age]]</f>
        <v>38</v>
      </c>
      <c r="B1163">
        <f>IF(Table3[[#This Row],[Attrition]] = "Yes", 1,0)</f>
        <v>0</v>
      </c>
      <c r="C1163" t="str">
        <f>Table1[[#This Row],[Attrition]]</f>
        <v>No</v>
      </c>
      <c r="D1163" t="str">
        <f>Table1[[#This Row],[Department]]</f>
        <v>Research &amp; Development</v>
      </c>
      <c r="E1163">
        <f>Table1[[#This Row],[EnvironmentSatisfaction]]</f>
        <v>4</v>
      </c>
      <c r="F1163">
        <f>Table1[[#This Row],[HourlyRate]]</f>
        <v>54</v>
      </c>
      <c r="G1163" t="str">
        <f>Table1[[#This Row],[JobRole]]</f>
        <v>Manufacturing Director</v>
      </c>
      <c r="H1163">
        <f>Table1[[#This Row],[JobSatisfaction]]</f>
        <v>3</v>
      </c>
      <c r="I1163">
        <f>Table1[[#This Row],[YearsAtCompany]]</f>
        <v>5</v>
      </c>
      <c r="J1163">
        <f>Table1[[#This Row],[YearsSinceLastPromotion]]</f>
        <v>0</v>
      </c>
      <c r="K1163">
        <f>Table1[[#This Row],[EmployeeNumber]]</f>
        <v>1638</v>
      </c>
      <c r="L1163">
        <f>Table1[[#This Row],[DistanceFromHome]]</f>
        <v>2</v>
      </c>
      <c r="M1163" t="str">
        <f>Table1[[#This Row],[OverTime]]</f>
        <v>Yes</v>
      </c>
      <c r="N1163">
        <f>Table1[[#This Row],[WorkLifeBalance]]</f>
        <v>4</v>
      </c>
      <c r="O1163" t="str" cm="1">
        <f t="array" ref="O1163">_xlfn.IFS(A1163&lt;=30,"18-30",A1163&lt;=40,"31-40",A1163&lt;=50,"41-50",A1163&gt;50,"51+")</f>
        <v>31-40</v>
      </c>
      <c r="P1163" t="str" cm="1">
        <f t="array" ref="P1163">_xlfn.IFS(F1163&lt;=45,"45 or below",F1163&lt;= 60,"46-60",F1163&lt;=75,"61-75",F1163&lt;=90,"76-90",F1163&gt;90,"91 or above")</f>
        <v>46-60</v>
      </c>
      <c r="Q11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63" t="str" cm="1">
        <f t="array" ref="R116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64" spans="1:18" hidden="1" x14ac:dyDescent="0.2">
      <c r="A1164">
        <f>Table1[[#This Row],[Age]]</f>
        <v>35</v>
      </c>
      <c r="B1164">
        <f>IF(Table3[[#This Row],[Attrition]] = "Yes", 1,0)</f>
        <v>1</v>
      </c>
      <c r="C1164" t="str">
        <f>Table1[[#This Row],[Attrition]]</f>
        <v>Yes</v>
      </c>
      <c r="D1164" t="str">
        <f>Table1[[#This Row],[Department]]</f>
        <v>Sales</v>
      </c>
      <c r="E1164">
        <f>Table1[[#This Row],[EnvironmentSatisfaction]]</f>
        <v>4</v>
      </c>
      <c r="F1164">
        <f>Table1[[#This Row],[HourlyRate]]</f>
        <v>55</v>
      </c>
      <c r="G1164" t="str">
        <f>Table1[[#This Row],[JobRole]]</f>
        <v>Sales Executive</v>
      </c>
      <c r="H1164">
        <f>Table1[[#This Row],[JobSatisfaction]]</f>
        <v>1</v>
      </c>
      <c r="I1164">
        <f>Table1[[#This Row],[YearsAtCompany]]</f>
        <v>13</v>
      </c>
      <c r="J1164">
        <f>Table1[[#This Row],[YearsSinceLastPromotion]]</f>
        <v>6</v>
      </c>
      <c r="K1164">
        <f>Table1[[#This Row],[EmployeeNumber]]</f>
        <v>1639</v>
      </c>
      <c r="L1164">
        <f>Table1[[#This Row],[DistanceFromHome]]</f>
        <v>10</v>
      </c>
      <c r="M1164" t="str">
        <f>Table1[[#This Row],[OverTime]]</f>
        <v>No</v>
      </c>
      <c r="N1164">
        <f>Table1[[#This Row],[WorkLifeBalance]]</f>
        <v>3</v>
      </c>
      <c r="O1164" t="str" cm="1">
        <f t="array" ref="O1164">_xlfn.IFS(A1164&lt;=30,"18-30",A1164&lt;=40,"31-40",A1164&lt;=50,"41-50",A1164&gt;50,"51+")</f>
        <v>31-40</v>
      </c>
      <c r="P1164" t="str" cm="1">
        <f t="array" ref="P1164">_xlfn.IFS(F1164&lt;=45,"45 or below",F1164&lt;= 60,"46-60",F1164&lt;=75,"61-75",F1164&lt;=90,"76-90",F1164&gt;90,"91 or above")</f>
        <v>46-60</v>
      </c>
      <c r="Q116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64" t="str" cm="1">
        <f t="array" ref="R1164" xml:space="preserve"> _xlfn.IFS(Table3[[#This Row],[Flight Risk Score]] = "NA","NA",Table3[[#This Row],[Flight Risk Score]] &gt;= 70,"High Risk",Table3[[#This Row],[Flight Risk Score]] &gt;= 50, "Medium Risk", Table3[[#This Row],[Flight Risk Score]] &gt;= 30,"Low Risk",Table3[[#This Row],[Flight Risk Score]] &lt; 30,"Very Low Risk")</f>
        <v>NA</v>
      </c>
    </row>
    <row r="1165" spans="1:18" x14ac:dyDescent="0.2">
      <c r="A1165">
        <f>Table1[[#This Row],[Age]]</f>
        <v>37</v>
      </c>
      <c r="B1165">
        <f>IF(Table3[[#This Row],[Attrition]] = "Yes", 1,0)</f>
        <v>0</v>
      </c>
      <c r="C1165" t="str">
        <f>Table1[[#This Row],[Attrition]]</f>
        <v>No</v>
      </c>
      <c r="D1165" t="str">
        <f>Table1[[#This Row],[Department]]</f>
        <v>Research &amp; Development</v>
      </c>
      <c r="E1165">
        <f>Table1[[#This Row],[EnvironmentSatisfaction]]</f>
        <v>2</v>
      </c>
      <c r="F1165">
        <f>Table1[[#This Row],[HourlyRate]]</f>
        <v>71</v>
      </c>
      <c r="G1165" t="str">
        <f>Table1[[#This Row],[JobRole]]</f>
        <v>Research Scientist</v>
      </c>
      <c r="H1165">
        <f>Table1[[#This Row],[JobSatisfaction]]</f>
        <v>2</v>
      </c>
      <c r="I1165">
        <f>Table1[[#This Row],[YearsAtCompany]]</f>
        <v>8</v>
      </c>
      <c r="J1165">
        <f>Table1[[#This Row],[YearsSinceLastPromotion]]</f>
        <v>7</v>
      </c>
      <c r="K1165">
        <f>Table1[[#This Row],[EmployeeNumber]]</f>
        <v>1640</v>
      </c>
      <c r="L1165">
        <f>Table1[[#This Row],[DistanceFromHome]]</f>
        <v>10</v>
      </c>
      <c r="M1165" t="str">
        <f>Table1[[#This Row],[OverTime]]</f>
        <v>No</v>
      </c>
      <c r="N1165">
        <f>Table1[[#This Row],[WorkLifeBalance]]</f>
        <v>1</v>
      </c>
      <c r="O1165" t="str" cm="1">
        <f t="array" ref="O1165">_xlfn.IFS(A1165&lt;=30,"18-30",A1165&lt;=40,"31-40",A1165&lt;=50,"41-50",A1165&gt;50,"51+")</f>
        <v>31-40</v>
      </c>
      <c r="P1165" t="str" cm="1">
        <f t="array" ref="P1165">_xlfn.IFS(F1165&lt;=45,"45 or below",F1165&lt;= 60,"46-60",F1165&lt;=75,"61-75",F1165&lt;=90,"76-90",F1165&gt;90,"91 or above")</f>
        <v>61-75</v>
      </c>
      <c r="Q11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165" t="str" cm="1">
        <f t="array" ref="R116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66" spans="1:18" x14ac:dyDescent="0.2">
      <c r="A1166">
        <f>Table1[[#This Row],[Age]]</f>
        <v>40</v>
      </c>
      <c r="B1166">
        <f>IF(Table3[[#This Row],[Attrition]] = "Yes", 1,0)</f>
        <v>0</v>
      </c>
      <c r="C1166" t="str">
        <f>Table1[[#This Row],[Attrition]]</f>
        <v>No</v>
      </c>
      <c r="D1166" t="str">
        <f>Table1[[#This Row],[Department]]</f>
        <v>Research &amp; Development</v>
      </c>
      <c r="E1166">
        <f>Table1[[#This Row],[EnvironmentSatisfaction]]</f>
        <v>3</v>
      </c>
      <c r="F1166">
        <f>Table1[[#This Row],[HourlyRate]]</f>
        <v>84</v>
      </c>
      <c r="G1166" t="str">
        <f>Table1[[#This Row],[JobRole]]</f>
        <v>Manufacturing Director</v>
      </c>
      <c r="H1166">
        <f>Table1[[#This Row],[JobSatisfaction]]</f>
        <v>4</v>
      </c>
      <c r="I1166">
        <f>Table1[[#This Row],[YearsAtCompany]]</f>
        <v>4</v>
      </c>
      <c r="J1166">
        <f>Table1[[#This Row],[YearsSinceLastPromotion]]</f>
        <v>3</v>
      </c>
      <c r="K1166">
        <f>Table1[[#This Row],[EmployeeNumber]]</f>
        <v>1641</v>
      </c>
      <c r="L1166">
        <f>Table1[[#This Row],[DistanceFromHome]]</f>
        <v>16</v>
      </c>
      <c r="M1166" t="str">
        <f>Table1[[#This Row],[OverTime]]</f>
        <v>Yes</v>
      </c>
      <c r="N1166">
        <f>Table1[[#This Row],[WorkLifeBalance]]</f>
        <v>2</v>
      </c>
      <c r="O1166" t="str" cm="1">
        <f t="array" ref="O1166">_xlfn.IFS(A1166&lt;=30,"18-30",A1166&lt;=40,"31-40",A1166&lt;=50,"41-50",A1166&gt;50,"51+")</f>
        <v>31-40</v>
      </c>
      <c r="P1166" t="str" cm="1">
        <f t="array" ref="P1166">_xlfn.IFS(F1166&lt;=45,"45 or below",F1166&lt;= 60,"46-60",F1166&lt;=75,"61-75",F1166&lt;=90,"76-90",F1166&gt;90,"91 or above")</f>
        <v>76-90</v>
      </c>
      <c r="Q11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66" t="str" cm="1">
        <f t="array" ref="R116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67" spans="1:18" x14ac:dyDescent="0.2">
      <c r="A1167">
        <f>Table1[[#This Row],[Age]]</f>
        <v>44</v>
      </c>
      <c r="B1167">
        <f>IF(Table3[[#This Row],[Attrition]] = "Yes", 1,0)</f>
        <v>0</v>
      </c>
      <c r="C1167" t="str">
        <f>Table1[[#This Row],[Attrition]]</f>
        <v>No</v>
      </c>
      <c r="D1167" t="str">
        <f>Table1[[#This Row],[Department]]</f>
        <v>Human Resources</v>
      </c>
      <c r="E1167">
        <f>Table1[[#This Row],[EnvironmentSatisfaction]]</f>
        <v>1</v>
      </c>
      <c r="F1167">
        <f>Table1[[#This Row],[HourlyRate]]</f>
        <v>37</v>
      </c>
      <c r="G1167" t="str">
        <f>Table1[[#This Row],[JobRole]]</f>
        <v>Human Resources</v>
      </c>
      <c r="H1167">
        <f>Table1[[#This Row],[JobSatisfaction]]</f>
        <v>4</v>
      </c>
      <c r="I1167">
        <f>Table1[[#This Row],[YearsAtCompany]]</f>
        <v>10</v>
      </c>
      <c r="J1167">
        <f>Table1[[#This Row],[YearsSinceLastPromotion]]</f>
        <v>0</v>
      </c>
      <c r="K1167">
        <f>Table1[[#This Row],[EmployeeNumber]]</f>
        <v>1642</v>
      </c>
      <c r="L1167">
        <f>Table1[[#This Row],[DistanceFromHome]]</f>
        <v>1</v>
      </c>
      <c r="M1167" t="str">
        <f>Table1[[#This Row],[OverTime]]</f>
        <v>Yes</v>
      </c>
      <c r="N1167">
        <f>Table1[[#This Row],[WorkLifeBalance]]</f>
        <v>3</v>
      </c>
      <c r="O1167" t="str" cm="1">
        <f t="array" ref="O1167">_xlfn.IFS(A1167&lt;=30,"18-30",A1167&lt;=40,"31-40",A1167&lt;=50,"41-50",A1167&gt;50,"51+")</f>
        <v>41-50</v>
      </c>
      <c r="P1167" t="str" cm="1">
        <f t="array" ref="P1167">_xlfn.IFS(F1167&lt;=45,"45 or below",F1167&lt;= 60,"46-60",F1167&lt;=75,"61-75",F1167&lt;=90,"76-90",F1167&gt;90,"91 or above")</f>
        <v>45 or below</v>
      </c>
      <c r="Q11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67" t="str" cm="1">
        <f t="array" ref="R116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68" spans="1:18" x14ac:dyDescent="0.2">
      <c r="A1168">
        <f>Table1[[#This Row],[Age]]</f>
        <v>48</v>
      </c>
      <c r="B1168">
        <f>IF(Table3[[#This Row],[Attrition]] = "Yes", 1,0)</f>
        <v>0</v>
      </c>
      <c r="C1168" t="str">
        <f>Table1[[#This Row],[Attrition]]</f>
        <v>No</v>
      </c>
      <c r="D1168" t="str">
        <f>Table1[[#This Row],[Department]]</f>
        <v>Research &amp; Development</v>
      </c>
      <c r="E1168">
        <f>Table1[[#This Row],[EnvironmentSatisfaction]]</f>
        <v>3</v>
      </c>
      <c r="F1168">
        <f>Table1[[#This Row],[HourlyRate]]</f>
        <v>89</v>
      </c>
      <c r="G1168" t="str">
        <f>Table1[[#This Row],[JobRole]]</f>
        <v>Manager</v>
      </c>
      <c r="H1168">
        <f>Table1[[#This Row],[JobSatisfaction]]</f>
        <v>4</v>
      </c>
      <c r="I1168">
        <f>Table1[[#This Row],[YearsAtCompany]]</f>
        <v>2</v>
      </c>
      <c r="J1168">
        <f>Table1[[#This Row],[YearsSinceLastPromotion]]</f>
        <v>2</v>
      </c>
      <c r="K1168">
        <f>Table1[[#This Row],[EmployeeNumber]]</f>
        <v>1644</v>
      </c>
      <c r="L1168">
        <f>Table1[[#This Row],[DistanceFromHome]]</f>
        <v>4</v>
      </c>
      <c r="M1168" t="str">
        <f>Table1[[#This Row],[OverTime]]</f>
        <v>No</v>
      </c>
      <c r="N1168">
        <f>Table1[[#This Row],[WorkLifeBalance]]</f>
        <v>3</v>
      </c>
      <c r="O1168" t="str" cm="1">
        <f t="array" ref="O1168">_xlfn.IFS(A1168&lt;=30,"18-30",A1168&lt;=40,"31-40",A1168&lt;=50,"41-50",A1168&gt;50,"51+")</f>
        <v>41-50</v>
      </c>
      <c r="P1168" t="str" cm="1">
        <f t="array" ref="P1168">_xlfn.IFS(F1168&lt;=45,"45 or below",F1168&lt;= 60,"46-60",F1168&lt;=75,"61-75",F1168&lt;=90,"76-90",F1168&gt;90,"91 or above")</f>
        <v>76-90</v>
      </c>
      <c r="Q11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68" t="str" cm="1">
        <f t="array" ref="R116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69" spans="1:18" hidden="1" x14ac:dyDescent="0.2">
      <c r="A1169">
        <f>Table1[[#This Row],[Age]]</f>
        <v>35</v>
      </c>
      <c r="B1169">
        <f>IF(Table3[[#This Row],[Attrition]] = "Yes", 1,0)</f>
        <v>1</v>
      </c>
      <c r="C1169" t="str">
        <f>Table1[[#This Row],[Attrition]]</f>
        <v>Yes</v>
      </c>
      <c r="D1169" t="str">
        <f>Table1[[#This Row],[Department]]</f>
        <v>Sales</v>
      </c>
      <c r="E1169">
        <f>Table1[[#This Row],[EnvironmentSatisfaction]]</f>
        <v>1</v>
      </c>
      <c r="F1169">
        <f>Table1[[#This Row],[HourlyRate]]</f>
        <v>59</v>
      </c>
      <c r="G1169" t="str">
        <f>Table1[[#This Row],[JobRole]]</f>
        <v>Sales Executive</v>
      </c>
      <c r="H1169">
        <f>Table1[[#This Row],[JobSatisfaction]]</f>
        <v>4</v>
      </c>
      <c r="I1169">
        <f>Table1[[#This Row],[YearsAtCompany]]</f>
        <v>2</v>
      </c>
      <c r="J1169">
        <f>Table1[[#This Row],[YearsSinceLastPromotion]]</f>
        <v>2</v>
      </c>
      <c r="K1169">
        <f>Table1[[#This Row],[EmployeeNumber]]</f>
        <v>1645</v>
      </c>
      <c r="L1169">
        <f>Table1[[#This Row],[DistanceFromHome]]</f>
        <v>15</v>
      </c>
      <c r="M1169" t="str">
        <f>Table1[[#This Row],[OverTime]]</f>
        <v>Yes</v>
      </c>
      <c r="N1169">
        <f>Table1[[#This Row],[WorkLifeBalance]]</f>
        <v>2</v>
      </c>
      <c r="O1169" t="str" cm="1">
        <f t="array" ref="O1169">_xlfn.IFS(A1169&lt;=30,"18-30",A1169&lt;=40,"31-40",A1169&lt;=50,"41-50",A1169&gt;50,"51+")</f>
        <v>31-40</v>
      </c>
      <c r="P1169" t="str" cm="1">
        <f t="array" ref="P1169">_xlfn.IFS(F1169&lt;=45,"45 or below",F1169&lt;= 60,"46-60",F1169&lt;=75,"61-75",F1169&lt;=90,"76-90",F1169&gt;90,"91 or above")</f>
        <v>46-60</v>
      </c>
      <c r="Q116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69" t="str" cm="1">
        <f t="array" ref="R1169" xml:space="preserve"> _xlfn.IFS(Table3[[#This Row],[Flight Risk Score]] = "NA","NA",Table3[[#This Row],[Flight Risk Score]] &gt;= 70,"High Risk",Table3[[#This Row],[Flight Risk Score]] &gt;= 50, "Medium Risk", Table3[[#This Row],[Flight Risk Score]] &gt;= 30,"Low Risk",Table3[[#This Row],[Flight Risk Score]] &lt; 30,"Very Low Risk")</f>
        <v>NA</v>
      </c>
    </row>
    <row r="1170" spans="1:18" x14ac:dyDescent="0.2">
      <c r="A1170">
        <f>Table1[[#This Row],[Age]]</f>
        <v>24</v>
      </c>
      <c r="B1170">
        <f>IF(Table3[[#This Row],[Attrition]] = "Yes", 1,0)</f>
        <v>0</v>
      </c>
      <c r="C1170" t="str">
        <f>Table1[[#This Row],[Attrition]]</f>
        <v>No</v>
      </c>
      <c r="D1170" t="str">
        <f>Table1[[#This Row],[Department]]</f>
        <v>Research &amp; Development</v>
      </c>
      <c r="E1170">
        <f>Table1[[#This Row],[EnvironmentSatisfaction]]</f>
        <v>1</v>
      </c>
      <c r="F1170">
        <f>Table1[[#This Row],[HourlyRate]]</f>
        <v>32</v>
      </c>
      <c r="G1170" t="str">
        <f>Table1[[#This Row],[JobRole]]</f>
        <v>Research Scientist</v>
      </c>
      <c r="H1170">
        <f>Table1[[#This Row],[JobSatisfaction]]</f>
        <v>4</v>
      </c>
      <c r="I1170">
        <f>Table1[[#This Row],[YearsAtCompany]]</f>
        <v>6</v>
      </c>
      <c r="J1170">
        <f>Table1[[#This Row],[YearsSinceLastPromotion]]</f>
        <v>1</v>
      </c>
      <c r="K1170">
        <f>Table1[[#This Row],[EmployeeNumber]]</f>
        <v>1646</v>
      </c>
      <c r="L1170">
        <f>Table1[[#This Row],[DistanceFromHome]]</f>
        <v>2</v>
      </c>
      <c r="M1170" t="str">
        <f>Table1[[#This Row],[OverTime]]</f>
        <v>Yes</v>
      </c>
      <c r="N1170">
        <f>Table1[[#This Row],[WorkLifeBalance]]</f>
        <v>3</v>
      </c>
      <c r="O1170" t="str" cm="1">
        <f t="array" ref="O1170">_xlfn.IFS(A1170&lt;=30,"18-30",A1170&lt;=40,"31-40",A1170&lt;=50,"41-50",A1170&gt;50,"51+")</f>
        <v>18-30</v>
      </c>
      <c r="P1170" t="str" cm="1">
        <f t="array" ref="P1170">_xlfn.IFS(F1170&lt;=45,"45 or below",F1170&lt;= 60,"46-60",F1170&lt;=75,"61-75",F1170&lt;=90,"76-90",F1170&gt;90,"91 or above")</f>
        <v>45 or below</v>
      </c>
      <c r="Q11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70" t="str" cm="1">
        <f t="array" ref="R117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71" spans="1:18" x14ac:dyDescent="0.2">
      <c r="A1171">
        <f>Table1[[#This Row],[Age]]</f>
        <v>27</v>
      </c>
      <c r="B1171">
        <f>IF(Table3[[#This Row],[Attrition]] = "Yes", 1,0)</f>
        <v>0</v>
      </c>
      <c r="C1171" t="str">
        <f>Table1[[#This Row],[Attrition]]</f>
        <v>No</v>
      </c>
      <c r="D1171" t="str">
        <f>Table1[[#This Row],[Department]]</f>
        <v>Research &amp; Development</v>
      </c>
      <c r="E1171">
        <f>Table1[[#This Row],[EnvironmentSatisfaction]]</f>
        <v>2</v>
      </c>
      <c r="F1171">
        <f>Table1[[#This Row],[HourlyRate]]</f>
        <v>86</v>
      </c>
      <c r="G1171" t="str">
        <f>Table1[[#This Row],[JobRole]]</f>
        <v>Research Scientist</v>
      </c>
      <c r="H1171">
        <f>Table1[[#This Row],[JobSatisfaction]]</f>
        <v>3</v>
      </c>
      <c r="I1171">
        <f>Table1[[#This Row],[YearsAtCompany]]</f>
        <v>3</v>
      </c>
      <c r="J1171">
        <f>Table1[[#This Row],[YearsSinceLastPromotion]]</f>
        <v>0</v>
      </c>
      <c r="K1171">
        <f>Table1[[#This Row],[EmployeeNumber]]</f>
        <v>1647</v>
      </c>
      <c r="L1171">
        <f>Table1[[#This Row],[DistanceFromHome]]</f>
        <v>8</v>
      </c>
      <c r="M1171" t="str">
        <f>Table1[[#This Row],[OverTime]]</f>
        <v>No</v>
      </c>
      <c r="N1171">
        <f>Table1[[#This Row],[WorkLifeBalance]]</f>
        <v>3</v>
      </c>
      <c r="O1171" t="str" cm="1">
        <f t="array" ref="O1171">_xlfn.IFS(A1171&lt;=30,"18-30",A1171&lt;=40,"31-40",A1171&lt;=50,"41-50",A1171&gt;50,"51+")</f>
        <v>18-30</v>
      </c>
      <c r="P1171" t="str" cm="1">
        <f t="array" ref="P1171">_xlfn.IFS(F1171&lt;=45,"45 or below",F1171&lt;= 60,"46-60",F1171&lt;=75,"61-75",F1171&lt;=90,"76-90",F1171&gt;90,"91 or above")</f>
        <v>76-90</v>
      </c>
      <c r="Q11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71" t="str" cm="1">
        <f t="array" ref="R11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72" spans="1:18" x14ac:dyDescent="0.2">
      <c r="A1172">
        <f>Table1[[#This Row],[Age]]</f>
        <v>27</v>
      </c>
      <c r="B1172">
        <f>IF(Table3[[#This Row],[Attrition]] = "Yes", 1,0)</f>
        <v>0</v>
      </c>
      <c r="C1172" t="str">
        <f>Table1[[#This Row],[Attrition]]</f>
        <v>No</v>
      </c>
      <c r="D1172" t="str">
        <f>Table1[[#This Row],[Department]]</f>
        <v>Research &amp; Development</v>
      </c>
      <c r="E1172">
        <f>Table1[[#This Row],[EnvironmentSatisfaction]]</f>
        <v>4</v>
      </c>
      <c r="F1172">
        <f>Table1[[#This Row],[HourlyRate]]</f>
        <v>87</v>
      </c>
      <c r="G1172" t="str">
        <f>Table1[[#This Row],[JobRole]]</f>
        <v>Research Scientist</v>
      </c>
      <c r="H1172">
        <f>Table1[[#This Row],[JobSatisfaction]]</f>
        <v>4</v>
      </c>
      <c r="I1172">
        <f>Table1[[#This Row],[YearsAtCompany]]</f>
        <v>4</v>
      </c>
      <c r="J1172">
        <f>Table1[[#This Row],[YearsSinceLastPromotion]]</f>
        <v>1</v>
      </c>
      <c r="K1172">
        <f>Table1[[#This Row],[EmployeeNumber]]</f>
        <v>1648</v>
      </c>
      <c r="L1172">
        <f>Table1[[#This Row],[DistanceFromHome]]</f>
        <v>2</v>
      </c>
      <c r="M1172" t="str">
        <f>Table1[[#This Row],[OverTime]]</f>
        <v>No</v>
      </c>
      <c r="N1172">
        <f>Table1[[#This Row],[WorkLifeBalance]]</f>
        <v>2</v>
      </c>
      <c r="O1172" t="str" cm="1">
        <f t="array" ref="O1172">_xlfn.IFS(A1172&lt;=30,"18-30",A1172&lt;=40,"31-40",A1172&lt;=50,"41-50",A1172&gt;50,"51+")</f>
        <v>18-30</v>
      </c>
      <c r="P1172" t="str" cm="1">
        <f t="array" ref="P1172">_xlfn.IFS(F1172&lt;=45,"45 or below",F1172&lt;= 60,"46-60",F1172&lt;=75,"61-75",F1172&lt;=90,"76-90",F1172&gt;90,"91 or above")</f>
        <v>76-90</v>
      </c>
      <c r="Q11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72" t="str" cm="1">
        <f t="array" ref="R11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73" spans="1:18" hidden="1" x14ac:dyDescent="0.2">
      <c r="A1173">
        <f>Table1[[#This Row],[Age]]</f>
        <v>40</v>
      </c>
      <c r="B1173">
        <f>IF(Table3[[#This Row],[Attrition]] = "Yes", 1,0)</f>
        <v>1</v>
      </c>
      <c r="C1173" t="str">
        <f>Table1[[#This Row],[Attrition]]</f>
        <v>Yes</v>
      </c>
      <c r="D1173" t="str">
        <f>Table1[[#This Row],[Department]]</f>
        <v>Research &amp; Development</v>
      </c>
      <c r="E1173">
        <f>Table1[[#This Row],[EnvironmentSatisfaction]]</f>
        <v>1</v>
      </c>
      <c r="F1173">
        <f>Table1[[#This Row],[HourlyRate]]</f>
        <v>73</v>
      </c>
      <c r="G1173" t="str">
        <f>Table1[[#This Row],[JobRole]]</f>
        <v>Laboratory Technician</v>
      </c>
      <c r="H1173">
        <f>Table1[[#This Row],[JobSatisfaction]]</f>
        <v>1</v>
      </c>
      <c r="I1173">
        <f>Table1[[#This Row],[YearsAtCompany]]</f>
        <v>4</v>
      </c>
      <c r="J1173">
        <f>Table1[[#This Row],[YearsSinceLastPromotion]]</f>
        <v>0</v>
      </c>
      <c r="K1173">
        <f>Table1[[#This Row],[EmployeeNumber]]</f>
        <v>1649</v>
      </c>
      <c r="L1173">
        <f>Table1[[#This Row],[DistanceFromHome]]</f>
        <v>7</v>
      </c>
      <c r="M1173" t="str">
        <f>Table1[[#This Row],[OverTime]]</f>
        <v>Yes</v>
      </c>
      <c r="N1173">
        <f>Table1[[#This Row],[WorkLifeBalance]]</f>
        <v>1</v>
      </c>
      <c r="O1173" t="str" cm="1">
        <f t="array" ref="O1173">_xlfn.IFS(A1173&lt;=30,"18-30",A1173&lt;=40,"31-40",A1173&lt;=50,"41-50",A1173&gt;50,"51+")</f>
        <v>31-40</v>
      </c>
      <c r="P1173" t="str" cm="1">
        <f t="array" ref="P1173">_xlfn.IFS(F1173&lt;=45,"45 or below",F1173&lt;= 60,"46-60",F1173&lt;=75,"61-75",F1173&lt;=90,"76-90",F1173&gt;90,"91 or above")</f>
        <v>61-75</v>
      </c>
      <c r="Q117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73" t="str" cm="1">
        <f t="array" ref="R1173" xml:space="preserve"> _xlfn.IFS(Table3[[#This Row],[Flight Risk Score]] = "NA","NA",Table3[[#This Row],[Flight Risk Score]] &gt;= 70,"High Risk",Table3[[#This Row],[Flight Risk Score]] &gt;= 50, "Medium Risk", Table3[[#This Row],[Flight Risk Score]] &gt;= 30,"Low Risk",Table3[[#This Row],[Flight Risk Score]] &lt; 30,"Very Low Risk")</f>
        <v>NA</v>
      </c>
    </row>
    <row r="1174" spans="1:18" x14ac:dyDescent="0.2">
      <c r="A1174">
        <f>Table1[[#This Row],[Age]]</f>
        <v>29</v>
      </c>
      <c r="B1174">
        <f>IF(Table3[[#This Row],[Attrition]] = "Yes", 1,0)</f>
        <v>0</v>
      </c>
      <c r="C1174" t="str">
        <f>Table1[[#This Row],[Attrition]]</f>
        <v>No</v>
      </c>
      <c r="D1174" t="str">
        <f>Table1[[#This Row],[Department]]</f>
        <v>Sales</v>
      </c>
      <c r="E1174">
        <f>Table1[[#This Row],[EnvironmentSatisfaction]]</f>
        <v>3</v>
      </c>
      <c r="F1174">
        <f>Table1[[#This Row],[HourlyRate]]</f>
        <v>42</v>
      </c>
      <c r="G1174" t="str">
        <f>Table1[[#This Row],[JobRole]]</f>
        <v>Sales Executive</v>
      </c>
      <c r="H1174">
        <f>Table1[[#This Row],[JobSatisfaction]]</f>
        <v>3</v>
      </c>
      <c r="I1174">
        <f>Table1[[#This Row],[YearsAtCompany]]</f>
        <v>5</v>
      </c>
      <c r="J1174">
        <f>Table1[[#This Row],[YearsSinceLastPromotion]]</f>
        <v>1</v>
      </c>
      <c r="K1174">
        <f>Table1[[#This Row],[EmployeeNumber]]</f>
        <v>1650</v>
      </c>
      <c r="L1174">
        <f>Table1[[#This Row],[DistanceFromHome]]</f>
        <v>10</v>
      </c>
      <c r="M1174" t="str">
        <f>Table1[[#This Row],[OverTime]]</f>
        <v>No</v>
      </c>
      <c r="N1174">
        <f>Table1[[#This Row],[WorkLifeBalance]]</f>
        <v>3</v>
      </c>
      <c r="O1174" t="str" cm="1">
        <f t="array" ref="O1174">_xlfn.IFS(A1174&lt;=30,"18-30",A1174&lt;=40,"31-40",A1174&lt;=50,"41-50",A1174&gt;50,"51+")</f>
        <v>18-30</v>
      </c>
      <c r="P1174" t="str" cm="1">
        <f t="array" ref="P1174">_xlfn.IFS(F1174&lt;=45,"45 or below",F1174&lt;= 60,"46-60",F1174&lt;=75,"61-75",F1174&lt;=90,"76-90",F1174&gt;90,"91 or above")</f>
        <v>45 or below</v>
      </c>
      <c r="Q11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74" t="str" cm="1">
        <f t="array" ref="R11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75" spans="1:18" x14ac:dyDescent="0.2">
      <c r="A1175">
        <f>Table1[[#This Row],[Age]]</f>
        <v>36</v>
      </c>
      <c r="B1175">
        <f>IF(Table3[[#This Row],[Attrition]] = "Yes", 1,0)</f>
        <v>0</v>
      </c>
      <c r="C1175" t="str">
        <f>Table1[[#This Row],[Attrition]]</f>
        <v>No</v>
      </c>
      <c r="D1175" t="str">
        <f>Table1[[#This Row],[Department]]</f>
        <v>Research &amp; Development</v>
      </c>
      <c r="E1175">
        <f>Table1[[#This Row],[EnvironmentSatisfaction]]</f>
        <v>2</v>
      </c>
      <c r="F1175">
        <f>Table1[[#This Row],[HourlyRate]]</f>
        <v>42</v>
      </c>
      <c r="G1175" t="str">
        <f>Table1[[#This Row],[JobRole]]</f>
        <v>Healthcare Representative</v>
      </c>
      <c r="H1175">
        <f>Table1[[#This Row],[JobSatisfaction]]</f>
        <v>1</v>
      </c>
      <c r="I1175">
        <f>Table1[[#This Row],[YearsAtCompany]]</f>
        <v>3</v>
      </c>
      <c r="J1175">
        <f>Table1[[#This Row],[YearsSinceLastPromotion]]</f>
        <v>0</v>
      </c>
      <c r="K1175">
        <f>Table1[[#This Row],[EmployeeNumber]]</f>
        <v>1651</v>
      </c>
      <c r="L1175">
        <f>Table1[[#This Row],[DistanceFromHome]]</f>
        <v>5</v>
      </c>
      <c r="M1175" t="str">
        <f>Table1[[#This Row],[OverTime]]</f>
        <v>No</v>
      </c>
      <c r="N1175">
        <f>Table1[[#This Row],[WorkLifeBalance]]</f>
        <v>3</v>
      </c>
      <c r="O1175" t="str" cm="1">
        <f t="array" ref="O1175">_xlfn.IFS(A1175&lt;=30,"18-30",A1175&lt;=40,"31-40",A1175&lt;=50,"41-50",A1175&gt;50,"51+")</f>
        <v>31-40</v>
      </c>
      <c r="P1175" t="str" cm="1">
        <f t="array" ref="P1175">_xlfn.IFS(F1175&lt;=45,"45 or below",F1175&lt;= 60,"46-60",F1175&lt;=75,"61-75",F1175&lt;=90,"76-90",F1175&gt;90,"91 or above")</f>
        <v>45 or below</v>
      </c>
      <c r="Q11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75" t="str" cm="1">
        <f t="array" ref="R117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76" spans="1:18" x14ac:dyDescent="0.2">
      <c r="A1176">
        <f>Table1[[#This Row],[Age]]</f>
        <v>25</v>
      </c>
      <c r="B1176">
        <f>IF(Table3[[#This Row],[Attrition]] = "Yes", 1,0)</f>
        <v>0</v>
      </c>
      <c r="C1176" t="str">
        <f>Table1[[#This Row],[Attrition]]</f>
        <v>No</v>
      </c>
      <c r="D1176" t="str">
        <f>Table1[[#This Row],[Department]]</f>
        <v>Research &amp; Development</v>
      </c>
      <c r="E1176">
        <f>Table1[[#This Row],[EnvironmentSatisfaction]]</f>
        <v>4</v>
      </c>
      <c r="F1176">
        <f>Table1[[#This Row],[HourlyRate]]</f>
        <v>77</v>
      </c>
      <c r="G1176" t="str">
        <f>Table1[[#This Row],[JobRole]]</f>
        <v>Manufacturing Director</v>
      </c>
      <c r="H1176">
        <f>Table1[[#This Row],[JobSatisfaction]]</f>
        <v>3</v>
      </c>
      <c r="I1176">
        <f>Table1[[#This Row],[YearsAtCompany]]</f>
        <v>7</v>
      </c>
      <c r="J1176">
        <f>Table1[[#This Row],[YearsSinceLastPromotion]]</f>
        <v>0</v>
      </c>
      <c r="K1176">
        <f>Table1[[#This Row],[EmployeeNumber]]</f>
        <v>1653</v>
      </c>
      <c r="L1176">
        <f>Table1[[#This Row],[DistanceFromHome]]</f>
        <v>2</v>
      </c>
      <c r="M1176" t="str">
        <f>Table1[[#This Row],[OverTime]]</f>
        <v>No</v>
      </c>
      <c r="N1176">
        <f>Table1[[#This Row],[WorkLifeBalance]]</f>
        <v>3</v>
      </c>
      <c r="O1176" t="str" cm="1">
        <f t="array" ref="O1176">_xlfn.IFS(A1176&lt;=30,"18-30",A1176&lt;=40,"31-40",A1176&lt;=50,"41-50",A1176&gt;50,"51+")</f>
        <v>18-30</v>
      </c>
      <c r="P1176" t="str" cm="1">
        <f t="array" ref="P1176">_xlfn.IFS(F1176&lt;=45,"45 or below",F1176&lt;= 60,"46-60",F1176&lt;=75,"61-75",F1176&lt;=90,"76-90",F1176&gt;90,"91 or above")</f>
        <v>76-90</v>
      </c>
      <c r="Q11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76" t="str" cm="1">
        <f t="array" ref="R11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77" spans="1:18" x14ac:dyDescent="0.2">
      <c r="A1177">
        <f>Table1[[#This Row],[Age]]</f>
        <v>39</v>
      </c>
      <c r="B1177">
        <f>IF(Table3[[#This Row],[Attrition]] = "Yes", 1,0)</f>
        <v>0</v>
      </c>
      <c r="C1177" t="str">
        <f>Table1[[#This Row],[Attrition]]</f>
        <v>No</v>
      </c>
      <c r="D1177" t="str">
        <f>Table1[[#This Row],[Department]]</f>
        <v>Research &amp; Development</v>
      </c>
      <c r="E1177">
        <f>Table1[[#This Row],[EnvironmentSatisfaction]]</f>
        <v>4</v>
      </c>
      <c r="F1177">
        <f>Table1[[#This Row],[HourlyRate]]</f>
        <v>66</v>
      </c>
      <c r="G1177" t="str">
        <f>Table1[[#This Row],[JobRole]]</f>
        <v>Manufacturing Director</v>
      </c>
      <c r="H1177">
        <f>Table1[[#This Row],[JobSatisfaction]]</f>
        <v>2</v>
      </c>
      <c r="I1177">
        <f>Table1[[#This Row],[YearsAtCompany]]</f>
        <v>5</v>
      </c>
      <c r="J1177">
        <f>Table1[[#This Row],[YearsSinceLastPromotion]]</f>
        <v>1</v>
      </c>
      <c r="K1177">
        <f>Table1[[#This Row],[EmployeeNumber]]</f>
        <v>1654</v>
      </c>
      <c r="L1177">
        <f>Table1[[#This Row],[DistanceFromHome]]</f>
        <v>12</v>
      </c>
      <c r="M1177" t="str">
        <f>Table1[[#This Row],[OverTime]]</f>
        <v>No</v>
      </c>
      <c r="N1177">
        <f>Table1[[#This Row],[WorkLifeBalance]]</f>
        <v>3</v>
      </c>
      <c r="O1177" t="str" cm="1">
        <f t="array" ref="O1177">_xlfn.IFS(A1177&lt;=30,"18-30",A1177&lt;=40,"31-40",A1177&lt;=50,"41-50",A1177&gt;50,"51+")</f>
        <v>31-40</v>
      </c>
      <c r="P1177" t="str" cm="1">
        <f t="array" ref="P1177">_xlfn.IFS(F1177&lt;=45,"45 or below",F1177&lt;= 60,"46-60",F1177&lt;=75,"61-75",F1177&lt;=90,"76-90",F1177&gt;90,"91 or above")</f>
        <v>61-75</v>
      </c>
      <c r="Q11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77" t="str" cm="1">
        <f t="array" ref="R11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78" spans="1:18" x14ac:dyDescent="0.2">
      <c r="A1178">
        <f>Table1[[#This Row],[Age]]</f>
        <v>49</v>
      </c>
      <c r="B1178">
        <f>IF(Table3[[#This Row],[Attrition]] = "Yes", 1,0)</f>
        <v>0</v>
      </c>
      <c r="C1178" t="str">
        <f>Table1[[#This Row],[Attrition]]</f>
        <v>No</v>
      </c>
      <c r="D1178" t="str">
        <f>Table1[[#This Row],[Department]]</f>
        <v>Research &amp; Development</v>
      </c>
      <c r="E1178">
        <f>Table1[[#This Row],[EnvironmentSatisfaction]]</f>
        <v>1</v>
      </c>
      <c r="F1178">
        <f>Table1[[#This Row],[HourlyRate]]</f>
        <v>72</v>
      </c>
      <c r="G1178" t="str">
        <f>Table1[[#This Row],[JobRole]]</f>
        <v>Research Director</v>
      </c>
      <c r="H1178">
        <f>Table1[[#This Row],[JobSatisfaction]]</f>
        <v>2</v>
      </c>
      <c r="I1178">
        <f>Table1[[#This Row],[YearsAtCompany]]</f>
        <v>4</v>
      </c>
      <c r="J1178">
        <f>Table1[[#This Row],[YearsSinceLastPromotion]]</f>
        <v>1</v>
      </c>
      <c r="K1178">
        <f>Table1[[#This Row],[EmployeeNumber]]</f>
        <v>1655</v>
      </c>
      <c r="L1178">
        <f>Table1[[#This Row],[DistanceFromHome]]</f>
        <v>22</v>
      </c>
      <c r="M1178" t="str">
        <f>Table1[[#This Row],[OverTime]]</f>
        <v>No</v>
      </c>
      <c r="N1178">
        <f>Table1[[#This Row],[WorkLifeBalance]]</f>
        <v>3</v>
      </c>
      <c r="O1178" t="str" cm="1">
        <f t="array" ref="O1178">_xlfn.IFS(A1178&lt;=30,"18-30",A1178&lt;=40,"31-40",A1178&lt;=50,"41-50",A1178&gt;50,"51+")</f>
        <v>41-50</v>
      </c>
      <c r="P1178" t="str" cm="1">
        <f t="array" ref="P1178">_xlfn.IFS(F1178&lt;=45,"45 or below",F1178&lt;= 60,"46-60",F1178&lt;=75,"61-75",F1178&lt;=90,"76-90",F1178&gt;90,"91 or above")</f>
        <v>61-75</v>
      </c>
      <c r="Q11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78" t="str" cm="1">
        <f t="array" ref="R117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79" spans="1:18" x14ac:dyDescent="0.2">
      <c r="A1179">
        <f>Table1[[#This Row],[Age]]</f>
        <v>50</v>
      </c>
      <c r="B1179">
        <f>IF(Table3[[#This Row],[Attrition]] = "Yes", 1,0)</f>
        <v>0</v>
      </c>
      <c r="C1179" t="str">
        <f>Table1[[#This Row],[Attrition]]</f>
        <v>No</v>
      </c>
      <c r="D1179" t="str">
        <f>Table1[[#This Row],[Department]]</f>
        <v>Research &amp; Development</v>
      </c>
      <c r="E1179">
        <f>Table1[[#This Row],[EnvironmentSatisfaction]]</f>
        <v>4</v>
      </c>
      <c r="F1179">
        <f>Table1[[#This Row],[HourlyRate]]</f>
        <v>50</v>
      </c>
      <c r="G1179" t="str">
        <f>Table1[[#This Row],[JobRole]]</f>
        <v>Research Director</v>
      </c>
      <c r="H1179">
        <f>Table1[[#This Row],[JobSatisfaction]]</f>
        <v>1</v>
      </c>
      <c r="I1179">
        <f>Table1[[#This Row],[YearsAtCompany]]</f>
        <v>14</v>
      </c>
      <c r="J1179">
        <f>Table1[[#This Row],[YearsSinceLastPromotion]]</f>
        <v>1</v>
      </c>
      <c r="K1179">
        <f>Table1[[#This Row],[EmployeeNumber]]</f>
        <v>1656</v>
      </c>
      <c r="L1179">
        <f>Table1[[#This Row],[DistanceFromHome]]</f>
        <v>17</v>
      </c>
      <c r="M1179" t="str">
        <f>Table1[[#This Row],[OverTime]]</f>
        <v>No</v>
      </c>
      <c r="N1179">
        <f>Table1[[#This Row],[WorkLifeBalance]]</f>
        <v>3</v>
      </c>
      <c r="O1179" t="str" cm="1">
        <f t="array" ref="O1179">_xlfn.IFS(A1179&lt;=30,"18-30",A1179&lt;=40,"31-40",A1179&lt;=50,"41-50",A1179&gt;50,"51+")</f>
        <v>41-50</v>
      </c>
      <c r="P1179" t="str" cm="1">
        <f t="array" ref="P1179">_xlfn.IFS(F1179&lt;=45,"45 or below",F1179&lt;= 60,"46-60",F1179&lt;=75,"61-75",F1179&lt;=90,"76-90",F1179&gt;90,"91 or above")</f>
        <v>46-60</v>
      </c>
      <c r="Q11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79" t="str" cm="1">
        <f t="array" ref="R117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0" spans="1:18" x14ac:dyDescent="0.2">
      <c r="A1180">
        <f>Table1[[#This Row],[Age]]</f>
        <v>20</v>
      </c>
      <c r="B1180">
        <f>IF(Table3[[#This Row],[Attrition]] = "Yes", 1,0)</f>
        <v>0</v>
      </c>
      <c r="C1180" t="str">
        <f>Table1[[#This Row],[Attrition]]</f>
        <v>No</v>
      </c>
      <c r="D1180" t="str">
        <f>Table1[[#This Row],[Department]]</f>
        <v>Sales</v>
      </c>
      <c r="E1180">
        <f>Table1[[#This Row],[EnvironmentSatisfaction]]</f>
        <v>3</v>
      </c>
      <c r="F1180">
        <f>Table1[[#This Row],[HourlyRate]]</f>
        <v>31</v>
      </c>
      <c r="G1180" t="str">
        <f>Table1[[#This Row],[JobRole]]</f>
        <v>Sales Representative</v>
      </c>
      <c r="H1180">
        <f>Table1[[#This Row],[JobSatisfaction]]</f>
        <v>3</v>
      </c>
      <c r="I1180">
        <f>Table1[[#This Row],[YearsAtCompany]]</f>
        <v>2</v>
      </c>
      <c r="J1180">
        <f>Table1[[#This Row],[YearsSinceLastPromotion]]</f>
        <v>2</v>
      </c>
      <c r="K1180">
        <f>Table1[[#This Row],[EmployeeNumber]]</f>
        <v>1657</v>
      </c>
      <c r="L1180">
        <f>Table1[[#This Row],[DistanceFromHome]]</f>
        <v>2</v>
      </c>
      <c r="M1180" t="str">
        <f>Table1[[#This Row],[OverTime]]</f>
        <v>No</v>
      </c>
      <c r="N1180">
        <f>Table1[[#This Row],[WorkLifeBalance]]</f>
        <v>3</v>
      </c>
      <c r="O1180" t="str" cm="1">
        <f t="array" ref="O1180">_xlfn.IFS(A1180&lt;=30,"18-30",A1180&lt;=40,"31-40",A1180&lt;=50,"41-50",A1180&gt;50,"51+")</f>
        <v>18-30</v>
      </c>
      <c r="P1180" t="str" cm="1">
        <f t="array" ref="P1180">_xlfn.IFS(F1180&lt;=45,"45 or below",F1180&lt;= 60,"46-60",F1180&lt;=75,"61-75",F1180&lt;=90,"76-90",F1180&gt;90,"91 or above")</f>
        <v>45 or below</v>
      </c>
      <c r="Q11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80" t="str" cm="1">
        <f t="array" ref="R118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1" spans="1:18" x14ac:dyDescent="0.2">
      <c r="A1181">
        <f>Table1[[#This Row],[Age]]</f>
        <v>34</v>
      </c>
      <c r="B1181">
        <f>IF(Table3[[#This Row],[Attrition]] = "Yes", 1,0)</f>
        <v>0</v>
      </c>
      <c r="C1181" t="str">
        <f>Table1[[#This Row],[Attrition]]</f>
        <v>No</v>
      </c>
      <c r="D1181" t="str">
        <f>Table1[[#This Row],[Department]]</f>
        <v>Research &amp; Development</v>
      </c>
      <c r="E1181">
        <f>Table1[[#This Row],[EnvironmentSatisfaction]]</f>
        <v>4</v>
      </c>
      <c r="F1181">
        <f>Table1[[#This Row],[HourlyRate]]</f>
        <v>66</v>
      </c>
      <c r="G1181" t="str">
        <f>Table1[[#This Row],[JobRole]]</f>
        <v>Research Scientist</v>
      </c>
      <c r="H1181">
        <f>Table1[[#This Row],[JobSatisfaction]]</f>
        <v>2</v>
      </c>
      <c r="I1181">
        <f>Table1[[#This Row],[YearsAtCompany]]</f>
        <v>11</v>
      </c>
      <c r="J1181">
        <f>Table1[[#This Row],[YearsSinceLastPromotion]]</f>
        <v>7</v>
      </c>
      <c r="K1181">
        <f>Table1[[#This Row],[EmployeeNumber]]</f>
        <v>1658</v>
      </c>
      <c r="L1181">
        <f>Table1[[#This Row],[DistanceFromHome]]</f>
        <v>3</v>
      </c>
      <c r="M1181" t="str">
        <f>Table1[[#This Row],[OverTime]]</f>
        <v>No</v>
      </c>
      <c r="N1181">
        <f>Table1[[#This Row],[WorkLifeBalance]]</f>
        <v>3</v>
      </c>
      <c r="O1181" t="str" cm="1">
        <f t="array" ref="O1181">_xlfn.IFS(A1181&lt;=30,"18-30",A1181&lt;=40,"31-40",A1181&lt;=50,"41-50",A1181&gt;50,"51+")</f>
        <v>31-40</v>
      </c>
      <c r="P1181" t="str" cm="1">
        <f t="array" ref="P1181">_xlfn.IFS(F1181&lt;=45,"45 or below",F1181&lt;= 60,"46-60",F1181&lt;=75,"61-75",F1181&lt;=90,"76-90",F1181&gt;90,"91 or above")</f>
        <v>61-75</v>
      </c>
      <c r="Q118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81" t="str" cm="1">
        <f t="array" ref="R118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2" spans="1:18" x14ac:dyDescent="0.2">
      <c r="A1182">
        <f>Table1[[#This Row],[Age]]</f>
        <v>36</v>
      </c>
      <c r="B1182">
        <f>IF(Table3[[#This Row],[Attrition]] = "Yes", 1,0)</f>
        <v>0</v>
      </c>
      <c r="C1182" t="str">
        <f>Table1[[#This Row],[Attrition]]</f>
        <v>No</v>
      </c>
      <c r="D1182" t="str">
        <f>Table1[[#This Row],[Department]]</f>
        <v>Research &amp; Development</v>
      </c>
      <c r="E1182">
        <f>Table1[[#This Row],[EnvironmentSatisfaction]]</f>
        <v>1</v>
      </c>
      <c r="F1182">
        <f>Table1[[#This Row],[HourlyRate]]</f>
        <v>77</v>
      </c>
      <c r="G1182" t="str">
        <f>Table1[[#This Row],[JobRole]]</f>
        <v>Laboratory Technician</v>
      </c>
      <c r="H1182">
        <f>Table1[[#This Row],[JobSatisfaction]]</f>
        <v>2</v>
      </c>
      <c r="I1182">
        <f>Table1[[#This Row],[YearsAtCompany]]</f>
        <v>4</v>
      </c>
      <c r="J1182">
        <f>Table1[[#This Row],[YearsSinceLastPromotion]]</f>
        <v>1</v>
      </c>
      <c r="K1182">
        <f>Table1[[#This Row],[EmployeeNumber]]</f>
        <v>1659</v>
      </c>
      <c r="L1182">
        <f>Table1[[#This Row],[DistanceFromHome]]</f>
        <v>7</v>
      </c>
      <c r="M1182" t="str">
        <f>Table1[[#This Row],[OverTime]]</f>
        <v>No</v>
      </c>
      <c r="N1182">
        <f>Table1[[#This Row],[WorkLifeBalance]]</f>
        <v>3</v>
      </c>
      <c r="O1182" t="str" cm="1">
        <f t="array" ref="O1182">_xlfn.IFS(A1182&lt;=30,"18-30",A1182&lt;=40,"31-40",A1182&lt;=50,"41-50",A1182&gt;50,"51+")</f>
        <v>31-40</v>
      </c>
      <c r="P1182" t="str" cm="1">
        <f t="array" ref="P1182">_xlfn.IFS(F1182&lt;=45,"45 or below",F1182&lt;= 60,"46-60",F1182&lt;=75,"61-75",F1182&lt;=90,"76-90",F1182&gt;90,"91 or above")</f>
        <v>76-90</v>
      </c>
      <c r="Q11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82" t="str" cm="1">
        <f t="array" ref="R118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83" spans="1:18" x14ac:dyDescent="0.2">
      <c r="A1183">
        <f>Table1[[#This Row],[Age]]</f>
        <v>49</v>
      </c>
      <c r="B1183">
        <f>IF(Table3[[#This Row],[Attrition]] = "Yes", 1,0)</f>
        <v>0</v>
      </c>
      <c r="C1183" t="str">
        <f>Table1[[#This Row],[Attrition]]</f>
        <v>No</v>
      </c>
      <c r="D1183" t="str">
        <f>Table1[[#This Row],[Department]]</f>
        <v>Research &amp; Development</v>
      </c>
      <c r="E1183">
        <f>Table1[[#This Row],[EnvironmentSatisfaction]]</f>
        <v>3</v>
      </c>
      <c r="F1183">
        <f>Table1[[#This Row],[HourlyRate]]</f>
        <v>41</v>
      </c>
      <c r="G1183" t="str">
        <f>Table1[[#This Row],[JobRole]]</f>
        <v>Healthcare Representative</v>
      </c>
      <c r="H1183">
        <f>Table1[[#This Row],[JobSatisfaction]]</f>
        <v>3</v>
      </c>
      <c r="I1183">
        <f>Table1[[#This Row],[YearsAtCompany]]</f>
        <v>15</v>
      </c>
      <c r="J1183">
        <f>Table1[[#This Row],[YearsSinceLastPromotion]]</f>
        <v>2</v>
      </c>
      <c r="K1183">
        <f>Table1[[#This Row],[EmployeeNumber]]</f>
        <v>1661</v>
      </c>
      <c r="L1183">
        <f>Table1[[#This Row],[DistanceFromHome]]</f>
        <v>6</v>
      </c>
      <c r="M1183" t="str">
        <f>Table1[[#This Row],[OverTime]]</f>
        <v>Yes</v>
      </c>
      <c r="N1183">
        <f>Table1[[#This Row],[WorkLifeBalance]]</f>
        <v>3</v>
      </c>
      <c r="O1183" t="str" cm="1">
        <f t="array" ref="O1183">_xlfn.IFS(A1183&lt;=30,"18-30",A1183&lt;=40,"31-40",A1183&lt;=50,"41-50",A1183&gt;50,"51+")</f>
        <v>41-50</v>
      </c>
      <c r="P1183" t="str" cm="1">
        <f t="array" ref="P1183">_xlfn.IFS(F1183&lt;=45,"45 or below",F1183&lt;= 60,"46-60",F1183&lt;=75,"61-75",F1183&lt;=90,"76-90",F1183&gt;90,"91 or above")</f>
        <v>45 or below</v>
      </c>
      <c r="Q11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83" t="str" cm="1">
        <f t="array" ref="R118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84" spans="1:18" x14ac:dyDescent="0.2">
      <c r="A1184">
        <f>Table1[[#This Row],[Age]]</f>
        <v>36</v>
      </c>
      <c r="B1184">
        <f>IF(Table3[[#This Row],[Attrition]] = "Yes", 1,0)</f>
        <v>0</v>
      </c>
      <c r="C1184" t="str">
        <f>Table1[[#This Row],[Attrition]]</f>
        <v>No</v>
      </c>
      <c r="D1184" t="str">
        <f>Table1[[#This Row],[Department]]</f>
        <v>Research &amp; Development</v>
      </c>
      <c r="E1184">
        <f>Table1[[#This Row],[EnvironmentSatisfaction]]</f>
        <v>4</v>
      </c>
      <c r="F1184">
        <f>Table1[[#This Row],[HourlyRate]]</f>
        <v>33</v>
      </c>
      <c r="G1184" t="str">
        <f>Table1[[#This Row],[JobRole]]</f>
        <v>Manufacturing Director</v>
      </c>
      <c r="H1184">
        <f>Table1[[#This Row],[JobSatisfaction]]</f>
        <v>3</v>
      </c>
      <c r="I1184">
        <f>Table1[[#This Row],[YearsAtCompany]]</f>
        <v>3</v>
      </c>
      <c r="J1184">
        <f>Table1[[#This Row],[YearsSinceLastPromotion]]</f>
        <v>1</v>
      </c>
      <c r="K1184">
        <f>Table1[[#This Row],[EmployeeNumber]]</f>
        <v>1662</v>
      </c>
      <c r="L1184">
        <f>Table1[[#This Row],[DistanceFromHome]]</f>
        <v>1</v>
      </c>
      <c r="M1184" t="str">
        <f>Table1[[#This Row],[OverTime]]</f>
        <v>No</v>
      </c>
      <c r="N1184">
        <f>Table1[[#This Row],[WorkLifeBalance]]</f>
        <v>3</v>
      </c>
      <c r="O1184" t="str" cm="1">
        <f t="array" ref="O1184">_xlfn.IFS(A1184&lt;=30,"18-30",A1184&lt;=40,"31-40",A1184&lt;=50,"41-50",A1184&gt;50,"51+")</f>
        <v>31-40</v>
      </c>
      <c r="P1184" t="str" cm="1">
        <f t="array" ref="P1184">_xlfn.IFS(F1184&lt;=45,"45 or below",F1184&lt;= 60,"46-60",F1184&lt;=75,"61-75",F1184&lt;=90,"76-90",F1184&gt;90,"91 or above")</f>
        <v>45 or below</v>
      </c>
      <c r="Q11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84" t="str" cm="1">
        <f t="array" ref="R11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5" spans="1:18" x14ac:dyDescent="0.2">
      <c r="A1185">
        <f>Table1[[#This Row],[Age]]</f>
        <v>36</v>
      </c>
      <c r="B1185">
        <f>IF(Table3[[#This Row],[Attrition]] = "Yes", 1,0)</f>
        <v>0</v>
      </c>
      <c r="C1185" t="str">
        <f>Table1[[#This Row],[Attrition]]</f>
        <v>No</v>
      </c>
      <c r="D1185" t="str">
        <f>Table1[[#This Row],[Department]]</f>
        <v>Research &amp; Development</v>
      </c>
      <c r="E1185">
        <f>Table1[[#This Row],[EnvironmentSatisfaction]]</f>
        <v>4</v>
      </c>
      <c r="F1185">
        <f>Table1[[#This Row],[HourlyRate]]</f>
        <v>79</v>
      </c>
      <c r="G1185" t="str">
        <f>Table1[[#This Row],[JobRole]]</f>
        <v>Healthcare Representative</v>
      </c>
      <c r="H1185">
        <f>Table1[[#This Row],[JobSatisfaction]]</f>
        <v>1</v>
      </c>
      <c r="I1185">
        <f>Table1[[#This Row],[YearsAtCompany]]</f>
        <v>5</v>
      </c>
      <c r="J1185">
        <f>Table1[[#This Row],[YearsSinceLastPromotion]]</f>
        <v>0</v>
      </c>
      <c r="K1185">
        <f>Table1[[#This Row],[EmployeeNumber]]</f>
        <v>1664</v>
      </c>
      <c r="L1185">
        <f>Table1[[#This Row],[DistanceFromHome]]</f>
        <v>3</v>
      </c>
      <c r="M1185" t="str">
        <f>Table1[[#This Row],[OverTime]]</f>
        <v>No</v>
      </c>
      <c r="N1185">
        <f>Table1[[#This Row],[WorkLifeBalance]]</f>
        <v>3</v>
      </c>
      <c r="O1185" t="str" cm="1">
        <f t="array" ref="O1185">_xlfn.IFS(A1185&lt;=30,"18-30",A1185&lt;=40,"31-40",A1185&lt;=50,"41-50",A1185&gt;50,"51+")</f>
        <v>31-40</v>
      </c>
      <c r="P1185" t="str" cm="1">
        <f t="array" ref="P1185">_xlfn.IFS(F1185&lt;=45,"45 or below",F1185&lt;= 60,"46-60",F1185&lt;=75,"61-75",F1185&lt;=90,"76-90",F1185&gt;90,"91 or above")</f>
        <v>76-90</v>
      </c>
      <c r="Q11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85" t="str" cm="1">
        <f t="array" ref="R11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6" spans="1:18" x14ac:dyDescent="0.2">
      <c r="A1186">
        <f>Table1[[#This Row],[Age]]</f>
        <v>54</v>
      </c>
      <c r="B1186">
        <f>IF(Table3[[#This Row],[Attrition]] = "Yes", 1,0)</f>
        <v>0</v>
      </c>
      <c r="C1186" t="str">
        <f>Table1[[#This Row],[Attrition]]</f>
        <v>No</v>
      </c>
      <c r="D1186" t="str">
        <f>Table1[[#This Row],[Department]]</f>
        <v>Research &amp; Development</v>
      </c>
      <c r="E1186">
        <f>Table1[[#This Row],[EnvironmentSatisfaction]]</f>
        <v>2</v>
      </c>
      <c r="F1186">
        <f>Table1[[#This Row],[HourlyRate]]</f>
        <v>91</v>
      </c>
      <c r="G1186" t="str">
        <f>Table1[[#This Row],[JobRole]]</f>
        <v>Manager</v>
      </c>
      <c r="H1186">
        <f>Table1[[#This Row],[JobSatisfaction]]</f>
        <v>3</v>
      </c>
      <c r="I1186">
        <f>Table1[[#This Row],[YearsAtCompany]]</f>
        <v>10</v>
      </c>
      <c r="J1186">
        <f>Table1[[#This Row],[YearsSinceLastPromotion]]</f>
        <v>4</v>
      </c>
      <c r="K1186">
        <f>Table1[[#This Row],[EmployeeNumber]]</f>
        <v>1665</v>
      </c>
      <c r="L1186">
        <f>Table1[[#This Row],[DistanceFromHome]]</f>
        <v>22</v>
      </c>
      <c r="M1186" t="str">
        <f>Table1[[#This Row],[OverTime]]</f>
        <v>No</v>
      </c>
      <c r="N1186">
        <f>Table1[[#This Row],[WorkLifeBalance]]</f>
        <v>3</v>
      </c>
      <c r="O1186" t="str" cm="1">
        <f t="array" ref="O1186">_xlfn.IFS(A1186&lt;=30,"18-30",A1186&lt;=40,"31-40",A1186&lt;=50,"41-50",A1186&gt;50,"51+")</f>
        <v>51+</v>
      </c>
      <c r="P1186" t="str" cm="1">
        <f t="array" ref="P1186">_xlfn.IFS(F1186&lt;=45,"45 or below",F1186&lt;= 60,"46-60",F1186&lt;=75,"61-75",F1186&lt;=90,"76-90",F1186&gt;90,"91 or above")</f>
        <v>91 or above</v>
      </c>
      <c r="Q11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86" t="str" cm="1">
        <f t="array" ref="R11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7" spans="1:18" x14ac:dyDescent="0.2">
      <c r="A1187">
        <f>Table1[[#This Row],[Age]]</f>
        <v>43</v>
      </c>
      <c r="B1187">
        <f>IF(Table3[[#This Row],[Attrition]] = "Yes", 1,0)</f>
        <v>0</v>
      </c>
      <c r="C1187" t="str">
        <f>Table1[[#This Row],[Attrition]]</f>
        <v>No</v>
      </c>
      <c r="D1187" t="str">
        <f>Table1[[#This Row],[Department]]</f>
        <v>Research &amp; Development</v>
      </c>
      <c r="E1187">
        <f>Table1[[#This Row],[EnvironmentSatisfaction]]</f>
        <v>3</v>
      </c>
      <c r="F1187">
        <f>Table1[[#This Row],[HourlyRate]]</f>
        <v>65</v>
      </c>
      <c r="G1187" t="str">
        <f>Table1[[#This Row],[JobRole]]</f>
        <v>Research Director</v>
      </c>
      <c r="H1187">
        <f>Table1[[#This Row],[JobSatisfaction]]</f>
        <v>3</v>
      </c>
      <c r="I1187">
        <f>Table1[[#This Row],[YearsAtCompany]]</f>
        <v>14</v>
      </c>
      <c r="J1187">
        <f>Table1[[#This Row],[YearsSinceLastPromotion]]</f>
        <v>6</v>
      </c>
      <c r="K1187">
        <f>Table1[[#This Row],[EmployeeNumber]]</f>
        <v>1666</v>
      </c>
      <c r="L1187">
        <f>Table1[[#This Row],[DistanceFromHome]]</f>
        <v>15</v>
      </c>
      <c r="M1187" t="str">
        <f>Table1[[#This Row],[OverTime]]</f>
        <v>No</v>
      </c>
      <c r="N1187">
        <f>Table1[[#This Row],[WorkLifeBalance]]</f>
        <v>3</v>
      </c>
      <c r="O1187" t="str" cm="1">
        <f t="array" ref="O1187">_xlfn.IFS(A1187&lt;=30,"18-30",A1187&lt;=40,"31-40",A1187&lt;=50,"41-50",A1187&gt;50,"51+")</f>
        <v>41-50</v>
      </c>
      <c r="P1187" t="str" cm="1">
        <f t="array" ref="P1187">_xlfn.IFS(F1187&lt;=45,"45 or below",F1187&lt;= 60,"46-60",F1187&lt;=75,"61-75",F1187&lt;=90,"76-90",F1187&gt;90,"91 or above")</f>
        <v>61-75</v>
      </c>
      <c r="Q11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87" t="str" cm="1">
        <f t="array" ref="R11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88" spans="1:18" hidden="1" x14ac:dyDescent="0.2">
      <c r="A1188">
        <f>Table1[[#This Row],[Age]]</f>
        <v>35</v>
      </c>
      <c r="B1188">
        <f>IF(Table3[[#This Row],[Attrition]] = "Yes", 1,0)</f>
        <v>1</v>
      </c>
      <c r="C1188" t="str">
        <f>Table1[[#This Row],[Attrition]]</f>
        <v>Yes</v>
      </c>
      <c r="D1188" t="str">
        <f>Table1[[#This Row],[Department]]</f>
        <v>Sales</v>
      </c>
      <c r="E1188">
        <f>Table1[[#This Row],[EnvironmentSatisfaction]]</f>
        <v>4</v>
      </c>
      <c r="F1188">
        <f>Table1[[#This Row],[HourlyRate]]</f>
        <v>36</v>
      </c>
      <c r="G1188" t="str">
        <f>Table1[[#This Row],[JobRole]]</f>
        <v>Sales Executive</v>
      </c>
      <c r="H1188">
        <f>Table1[[#This Row],[JobSatisfaction]]</f>
        <v>4</v>
      </c>
      <c r="I1188">
        <f>Table1[[#This Row],[YearsAtCompany]]</f>
        <v>11</v>
      </c>
      <c r="J1188">
        <f>Table1[[#This Row],[YearsSinceLastPromotion]]</f>
        <v>6</v>
      </c>
      <c r="K1188">
        <f>Table1[[#This Row],[EmployeeNumber]]</f>
        <v>1667</v>
      </c>
      <c r="L1188">
        <f>Table1[[#This Row],[DistanceFromHome]]</f>
        <v>12</v>
      </c>
      <c r="M1188" t="str">
        <f>Table1[[#This Row],[OverTime]]</f>
        <v>Yes</v>
      </c>
      <c r="N1188">
        <f>Table1[[#This Row],[WorkLifeBalance]]</f>
        <v>4</v>
      </c>
      <c r="O1188" t="str" cm="1">
        <f t="array" ref="O1188">_xlfn.IFS(A1188&lt;=30,"18-30",A1188&lt;=40,"31-40",A1188&lt;=50,"41-50",A1188&gt;50,"51+")</f>
        <v>31-40</v>
      </c>
      <c r="P1188" t="str" cm="1">
        <f t="array" ref="P1188">_xlfn.IFS(F1188&lt;=45,"45 or below",F1188&lt;= 60,"46-60",F1188&lt;=75,"61-75",F1188&lt;=90,"76-90",F1188&gt;90,"91 or above")</f>
        <v>45 or below</v>
      </c>
      <c r="Q118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188" t="str" cm="1">
        <f t="array" ref="R1188" xml:space="preserve"> _xlfn.IFS(Table3[[#This Row],[Flight Risk Score]] = "NA","NA",Table3[[#This Row],[Flight Risk Score]] &gt;= 70,"High Risk",Table3[[#This Row],[Flight Risk Score]] &gt;= 50, "Medium Risk", Table3[[#This Row],[Flight Risk Score]] &gt;= 30,"Low Risk",Table3[[#This Row],[Flight Risk Score]] &lt; 30,"Very Low Risk")</f>
        <v>NA</v>
      </c>
    </row>
    <row r="1189" spans="1:18" x14ac:dyDescent="0.2">
      <c r="A1189">
        <f>Table1[[#This Row],[Age]]</f>
        <v>38</v>
      </c>
      <c r="B1189">
        <f>IF(Table3[[#This Row],[Attrition]] = "Yes", 1,0)</f>
        <v>0</v>
      </c>
      <c r="C1189" t="str">
        <f>Table1[[#This Row],[Attrition]]</f>
        <v>No</v>
      </c>
      <c r="D1189" t="str">
        <f>Table1[[#This Row],[Department]]</f>
        <v>Research &amp; Development</v>
      </c>
      <c r="E1189">
        <f>Table1[[#This Row],[EnvironmentSatisfaction]]</f>
        <v>4</v>
      </c>
      <c r="F1189">
        <f>Table1[[#This Row],[HourlyRate]]</f>
        <v>90</v>
      </c>
      <c r="G1189" t="str">
        <f>Table1[[#This Row],[JobRole]]</f>
        <v>Research Scientist</v>
      </c>
      <c r="H1189">
        <f>Table1[[#This Row],[JobSatisfaction]]</f>
        <v>4</v>
      </c>
      <c r="I1189">
        <f>Table1[[#This Row],[YearsAtCompany]]</f>
        <v>13</v>
      </c>
      <c r="J1189">
        <f>Table1[[#This Row],[YearsSinceLastPromotion]]</f>
        <v>2</v>
      </c>
      <c r="K1189">
        <f>Table1[[#This Row],[EmployeeNumber]]</f>
        <v>1668</v>
      </c>
      <c r="L1189">
        <f>Table1[[#This Row],[DistanceFromHome]]</f>
        <v>1</v>
      </c>
      <c r="M1189" t="str">
        <f>Table1[[#This Row],[OverTime]]</f>
        <v>No</v>
      </c>
      <c r="N1189">
        <f>Table1[[#This Row],[WorkLifeBalance]]</f>
        <v>4</v>
      </c>
      <c r="O1189" t="str" cm="1">
        <f t="array" ref="O1189">_xlfn.IFS(A1189&lt;=30,"18-30",A1189&lt;=40,"31-40",A1189&lt;=50,"41-50",A1189&gt;50,"51+")</f>
        <v>31-40</v>
      </c>
      <c r="P1189" t="str" cm="1">
        <f t="array" ref="P1189">_xlfn.IFS(F1189&lt;=45,"45 or below",F1189&lt;= 60,"46-60",F1189&lt;=75,"61-75",F1189&lt;=90,"76-90",F1189&gt;90,"91 or above")</f>
        <v>76-90</v>
      </c>
      <c r="Q11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89" t="str" cm="1">
        <f t="array" ref="R118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0" spans="1:18" x14ac:dyDescent="0.2">
      <c r="A1190">
        <f>Table1[[#This Row],[Age]]</f>
        <v>29</v>
      </c>
      <c r="B1190">
        <f>IF(Table3[[#This Row],[Attrition]] = "Yes", 1,0)</f>
        <v>0</v>
      </c>
      <c r="C1190" t="str">
        <f>Table1[[#This Row],[Attrition]]</f>
        <v>No</v>
      </c>
      <c r="D1190" t="str">
        <f>Table1[[#This Row],[Department]]</f>
        <v>Sales</v>
      </c>
      <c r="E1190">
        <f>Table1[[#This Row],[EnvironmentSatisfaction]]</f>
        <v>1</v>
      </c>
      <c r="F1190">
        <f>Table1[[#This Row],[HourlyRate]]</f>
        <v>43</v>
      </c>
      <c r="G1190" t="str">
        <f>Table1[[#This Row],[JobRole]]</f>
        <v>Sales Executive</v>
      </c>
      <c r="H1190">
        <f>Table1[[#This Row],[JobSatisfaction]]</f>
        <v>2</v>
      </c>
      <c r="I1190">
        <f>Table1[[#This Row],[YearsAtCompany]]</f>
        <v>10</v>
      </c>
      <c r="J1190">
        <f>Table1[[#This Row],[YearsSinceLastPromotion]]</f>
        <v>0</v>
      </c>
      <c r="K1190">
        <f>Table1[[#This Row],[EmployeeNumber]]</f>
        <v>1669</v>
      </c>
      <c r="L1190">
        <f>Table1[[#This Row],[DistanceFromHome]]</f>
        <v>5</v>
      </c>
      <c r="M1190" t="str">
        <f>Table1[[#This Row],[OverTime]]</f>
        <v>Yes</v>
      </c>
      <c r="N1190">
        <f>Table1[[#This Row],[WorkLifeBalance]]</f>
        <v>2</v>
      </c>
      <c r="O1190" t="str" cm="1">
        <f t="array" ref="O1190">_xlfn.IFS(A1190&lt;=30,"18-30",A1190&lt;=40,"31-40",A1190&lt;=50,"41-50",A1190&gt;50,"51+")</f>
        <v>18-30</v>
      </c>
      <c r="P1190" t="str" cm="1">
        <f t="array" ref="P1190">_xlfn.IFS(F1190&lt;=45,"45 or below",F1190&lt;= 60,"46-60",F1190&lt;=75,"61-75",F1190&lt;=90,"76-90",F1190&gt;90,"91 or above")</f>
        <v>45 or below</v>
      </c>
      <c r="Q11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190" t="str" cm="1">
        <f t="array" ref="R119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91" spans="1:18" x14ac:dyDescent="0.2">
      <c r="A1191">
        <f>Table1[[#This Row],[Age]]</f>
        <v>33</v>
      </c>
      <c r="B1191">
        <f>IF(Table3[[#This Row],[Attrition]] = "Yes", 1,0)</f>
        <v>0</v>
      </c>
      <c r="C1191" t="str">
        <f>Table1[[#This Row],[Attrition]]</f>
        <v>No</v>
      </c>
      <c r="D1191" t="str">
        <f>Table1[[#This Row],[Department]]</f>
        <v>Sales</v>
      </c>
      <c r="E1191">
        <f>Table1[[#This Row],[EnvironmentSatisfaction]]</f>
        <v>4</v>
      </c>
      <c r="F1191">
        <f>Table1[[#This Row],[HourlyRate]]</f>
        <v>93</v>
      </c>
      <c r="G1191" t="str">
        <f>Table1[[#This Row],[JobRole]]</f>
        <v>Sales Executive</v>
      </c>
      <c r="H1191">
        <f>Table1[[#This Row],[JobSatisfaction]]</f>
        <v>4</v>
      </c>
      <c r="I1191">
        <f>Table1[[#This Row],[YearsAtCompany]]</f>
        <v>6</v>
      </c>
      <c r="J1191">
        <f>Table1[[#This Row],[YearsSinceLastPromotion]]</f>
        <v>0</v>
      </c>
      <c r="K1191">
        <f>Table1[[#This Row],[EmployeeNumber]]</f>
        <v>1670</v>
      </c>
      <c r="L1191">
        <f>Table1[[#This Row],[DistanceFromHome]]</f>
        <v>2</v>
      </c>
      <c r="M1191" t="str">
        <f>Table1[[#This Row],[OverTime]]</f>
        <v>No</v>
      </c>
      <c r="N1191">
        <f>Table1[[#This Row],[WorkLifeBalance]]</f>
        <v>3</v>
      </c>
      <c r="O1191" t="str" cm="1">
        <f t="array" ref="O1191">_xlfn.IFS(A1191&lt;=30,"18-30",A1191&lt;=40,"31-40",A1191&lt;=50,"41-50",A1191&gt;50,"51+")</f>
        <v>31-40</v>
      </c>
      <c r="P1191" t="str" cm="1">
        <f t="array" ref="P1191">_xlfn.IFS(F1191&lt;=45,"45 or below",F1191&lt;= 60,"46-60",F1191&lt;=75,"61-75",F1191&lt;=90,"76-90",F1191&gt;90,"91 or above")</f>
        <v>91 or above</v>
      </c>
      <c r="Q11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91" t="str" cm="1">
        <f t="array" ref="R119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2" spans="1:18" x14ac:dyDescent="0.2">
      <c r="A1192">
        <f>Table1[[#This Row],[Age]]</f>
        <v>32</v>
      </c>
      <c r="B1192">
        <f>IF(Table3[[#This Row],[Attrition]] = "Yes", 1,0)</f>
        <v>0</v>
      </c>
      <c r="C1192" t="str">
        <f>Table1[[#This Row],[Attrition]]</f>
        <v>No</v>
      </c>
      <c r="D1192" t="str">
        <f>Table1[[#This Row],[Department]]</f>
        <v>Research &amp; Development</v>
      </c>
      <c r="E1192">
        <f>Table1[[#This Row],[EnvironmentSatisfaction]]</f>
        <v>4</v>
      </c>
      <c r="F1192">
        <f>Table1[[#This Row],[HourlyRate]]</f>
        <v>45</v>
      </c>
      <c r="G1192" t="str">
        <f>Table1[[#This Row],[JobRole]]</f>
        <v>Research Scientist</v>
      </c>
      <c r="H1192">
        <f>Table1[[#This Row],[JobSatisfaction]]</f>
        <v>2</v>
      </c>
      <c r="I1192">
        <f>Table1[[#This Row],[YearsAtCompany]]</f>
        <v>9</v>
      </c>
      <c r="J1192">
        <f>Table1[[#This Row],[YearsSinceLastPromotion]]</f>
        <v>1</v>
      </c>
      <c r="K1192">
        <f>Table1[[#This Row],[EmployeeNumber]]</f>
        <v>1671</v>
      </c>
      <c r="L1192">
        <f>Table1[[#This Row],[DistanceFromHome]]</f>
        <v>2</v>
      </c>
      <c r="M1192" t="str">
        <f>Table1[[#This Row],[OverTime]]</f>
        <v>No</v>
      </c>
      <c r="N1192">
        <f>Table1[[#This Row],[WorkLifeBalance]]</f>
        <v>2</v>
      </c>
      <c r="O1192" t="str" cm="1">
        <f t="array" ref="O1192">_xlfn.IFS(A1192&lt;=30,"18-30",A1192&lt;=40,"31-40",A1192&lt;=50,"41-50",A1192&gt;50,"51+")</f>
        <v>31-40</v>
      </c>
      <c r="P1192" t="str" cm="1">
        <f t="array" ref="P1192">_xlfn.IFS(F1192&lt;=45,"45 or below",F1192&lt;= 60,"46-60",F1192&lt;=75,"61-75",F1192&lt;=90,"76-90",F1192&gt;90,"91 or above")</f>
        <v>45 or below</v>
      </c>
      <c r="Q119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92" t="str" cm="1">
        <f t="array" ref="R119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3" spans="1:18" x14ac:dyDescent="0.2">
      <c r="A1193">
        <f>Table1[[#This Row],[Age]]</f>
        <v>31</v>
      </c>
      <c r="B1193">
        <f>IF(Table3[[#This Row],[Attrition]] = "Yes", 1,0)</f>
        <v>0</v>
      </c>
      <c r="C1193" t="str">
        <f>Table1[[#This Row],[Attrition]]</f>
        <v>No</v>
      </c>
      <c r="D1193" t="str">
        <f>Table1[[#This Row],[Department]]</f>
        <v>Sales</v>
      </c>
      <c r="E1193">
        <f>Table1[[#This Row],[EnvironmentSatisfaction]]</f>
        <v>1</v>
      </c>
      <c r="F1193">
        <f>Table1[[#This Row],[HourlyRate]]</f>
        <v>67</v>
      </c>
      <c r="G1193" t="str">
        <f>Table1[[#This Row],[JobRole]]</f>
        <v>Sales Executive</v>
      </c>
      <c r="H1193">
        <f>Table1[[#This Row],[JobSatisfaction]]</f>
        <v>4</v>
      </c>
      <c r="I1193">
        <f>Table1[[#This Row],[YearsAtCompany]]</f>
        <v>10</v>
      </c>
      <c r="J1193">
        <f>Table1[[#This Row],[YearsSinceLastPromotion]]</f>
        <v>0</v>
      </c>
      <c r="K1193">
        <f>Table1[[#This Row],[EmployeeNumber]]</f>
        <v>1673</v>
      </c>
      <c r="L1193">
        <f>Table1[[#This Row],[DistanceFromHome]]</f>
        <v>5</v>
      </c>
      <c r="M1193" t="str">
        <f>Table1[[#This Row],[OverTime]]</f>
        <v>No</v>
      </c>
      <c r="N1193">
        <f>Table1[[#This Row],[WorkLifeBalance]]</f>
        <v>3</v>
      </c>
      <c r="O1193" t="str" cm="1">
        <f t="array" ref="O1193">_xlfn.IFS(A1193&lt;=30,"18-30",A1193&lt;=40,"31-40",A1193&lt;=50,"41-50",A1193&gt;50,"51+")</f>
        <v>31-40</v>
      </c>
      <c r="P1193" t="str" cm="1">
        <f t="array" ref="P1193">_xlfn.IFS(F1193&lt;=45,"45 or below",F1193&lt;= 60,"46-60",F1193&lt;=75,"61-75",F1193&lt;=90,"76-90",F1193&gt;90,"91 or above")</f>
        <v>61-75</v>
      </c>
      <c r="Q11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93" t="str" cm="1">
        <f t="array" ref="R119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4" spans="1:18" x14ac:dyDescent="0.2">
      <c r="A1194">
        <f>Table1[[#This Row],[Age]]</f>
        <v>49</v>
      </c>
      <c r="B1194">
        <f>IF(Table3[[#This Row],[Attrition]] = "Yes", 1,0)</f>
        <v>0</v>
      </c>
      <c r="C1194" t="str">
        <f>Table1[[#This Row],[Attrition]]</f>
        <v>No</v>
      </c>
      <c r="D1194" t="str">
        <f>Table1[[#This Row],[Department]]</f>
        <v>Research &amp; Development</v>
      </c>
      <c r="E1194">
        <f>Table1[[#This Row],[EnvironmentSatisfaction]]</f>
        <v>4</v>
      </c>
      <c r="F1194">
        <f>Table1[[#This Row],[HourlyRate]]</f>
        <v>74</v>
      </c>
      <c r="G1194" t="str">
        <f>Table1[[#This Row],[JobRole]]</f>
        <v>Laboratory Technician</v>
      </c>
      <c r="H1194">
        <f>Table1[[#This Row],[JobSatisfaction]]</f>
        <v>1</v>
      </c>
      <c r="I1194">
        <f>Table1[[#This Row],[YearsAtCompany]]</f>
        <v>2</v>
      </c>
      <c r="J1194">
        <f>Table1[[#This Row],[YearsSinceLastPromotion]]</f>
        <v>2</v>
      </c>
      <c r="K1194">
        <f>Table1[[#This Row],[EmployeeNumber]]</f>
        <v>1674</v>
      </c>
      <c r="L1194">
        <f>Table1[[#This Row],[DistanceFromHome]]</f>
        <v>16</v>
      </c>
      <c r="M1194" t="str">
        <f>Table1[[#This Row],[OverTime]]</f>
        <v>Yes</v>
      </c>
      <c r="N1194">
        <f>Table1[[#This Row],[WorkLifeBalance]]</f>
        <v>2</v>
      </c>
      <c r="O1194" t="str" cm="1">
        <f t="array" ref="O1194">_xlfn.IFS(A1194&lt;=30,"18-30",A1194&lt;=40,"31-40",A1194&lt;=50,"41-50",A1194&gt;50,"51+")</f>
        <v>41-50</v>
      </c>
      <c r="P1194" t="str" cm="1">
        <f t="array" ref="P1194">_xlfn.IFS(F1194&lt;=45,"45 or below",F1194&lt;= 60,"46-60",F1194&lt;=75,"61-75",F1194&lt;=90,"76-90",F1194&gt;90,"91 or above")</f>
        <v>61-75</v>
      </c>
      <c r="Q11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194" t="str" cm="1">
        <f t="array" ref="R119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195" spans="1:18" x14ac:dyDescent="0.2">
      <c r="A1195">
        <f>Table1[[#This Row],[Age]]</f>
        <v>38</v>
      </c>
      <c r="B1195">
        <f>IF(Table3[[#This Row],[Attrition]] = "Yes", 1,0)</f>
        <v>0</v>
      </c>
      <c r="C1195" t="str">
        <f>Table1[[#This Row],[Attrition]]</f>
        <v>No</v>
      </c>
      <c r="D1195" t="str">
        <f>Table1[[#This Row],[Department]]</f>
        <v>Research &amp; Development</v>
      </c>
      <c r="E1195">
        <f>Table1[[#This Row],[EnvironmentSatisfaction]]</f>
        <v>4</v>
      </c>
      <c r="F1195">
        <f>Table1[[#This Row],[HourlyRate]]</f>
        <v>42</v>
      </c>
      <c r="G1195" t="str">
        <f>Table1[[#This Row],[JobRole]]</f>
        <v>Laboratory Technician</v>
      </c>
      <c r="H1195">
        <f>Table1[[#This Row],[JobSatisfaction]]</f>
        <v>2</v>
      </c>
      <c r="I1195">
        <f>Table1[[#This Row],[YearsAtCompany]]</f>
        <v>4</v>
      </c>
      <c r="J1195">
        <f>Table1[[#This Row],[YearsSinceLastPromotion]]</f>
        <v>3</v>
      </c>
      <c r="K1195">
        <f>Table1[[#This Row],[EmployeeNumber]]</f>
        <v>1675</v>
      </c>
      <c r="L1195">
        <f>Table1[[#This Row],[DistanceFromHome]]</f>
        <v>2</v>
      </c>
      <c r="M1195" t="str">
        <f>Table1[[#This Row],[OverTime]]</f>
        <v>No</v>
      </c>
      <c r="N1195">
        <f>Table1[[#This Row],[WorkLifeBalance]]</f>
        <v>3</v>
      </c>
      <c r="O1195" t="str" cm="1">
        <f t="array" ref="O1195">_xlfn.IFS(A1195&lt;=30,"18-30",A1195&lt;=40,"31-40",A1195&lt;=50,"41-50",A1195&gt;50,"51+")</f>
        <v>31-40</v>
      </c>
      <c r="P1195" t="str" cm="1">
        <f t="array" ref="P1195">_xlfn.IFS(F1195&lt;=45,"45 or below",F1195&lt;= 60,"46-60",F1195&lt;=75,"61-75",F1195&lt;=90,"76-90",F1195&gt;90,"91 or above")</f>
        <v>45 or below</v>
      </c>
      <c r="Q11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95" t="str" cm="1">
        <f t="array" ref="R11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6" spans="1:18" x14ac:dyDescent="0.2">
      <c r="A1196">
        <f>Table1[[#This Row],[Age]]</f>
        <v>47</v>
      </c>
      <c r="B1196">
        <f>IF(Table3[[#This Row],[Attrition]] = "Yes", 1,0)</f>
        <v>0</v>
      </c>
      <c r="C1196" t="str">
        <f>Table1[[#This Row],[Attrition]]</f>
        <v>No</v>
      </c>
      <c r="D1196" t="str">
        <f>Table1[[#This Row],[Department]]</f>
        <v>Sales</v>
      </c>
      <c r="E1196">
        <f>Table1[[#This Row],[EnvironmentSatisfaction]]</f>
        <v>2</v>
      </c>
      <c r="F1196">
        <f>Table1[[#This Row],[HourlyRate]]</f>
        <v>47</v>
      </c>
      <c r="G1196" t="str">
        <f>Table1[[#This Row],[JobRole]]</f>
        <v>Manager</v>
      </c>
      <c r="H1196">
        <f>Table1[[#This Row],[JobSatisfaction]]</f>
        <v>2</v>
      </c>
      <c r="I1196">
        <f>Table1[[#This Row],[YearsAtCompany]]</f>
        <v>3</v>
      </c>
      <c r="J1196">
        <f>Table1[[#This Row],[YearsSinceLastPromotion]]</f>
        <v>1</v>
      </c>
      <c r="K1196">
        <f>Table1[[#This Row],[EmployeeNumber]]</f>
        <v>1676</v>
      </c>
      <c r="L1196">
        <f>Table1[[#This Row],[DistanceFromHome]]</f>
        <v>2</v>
      </c>
      <c r="M1196" t="str">
        <f>Table1[[#This Row],[OverTime]]</f>
        <v>No</v>
      </c>
      <c r="N1196">
        <f>Table1[[#This Row],[WorkLifeBalance]]</f>
        <v>3</v>
      </c>
      <c r="O1196" t="str" cm="1">
        <f t="array" ref="O1196">_xlfn.IFS(A1196&lt;=30,"18-30",A1196&lt;=40,"31-40",A1196&lt;=50,"41-50",A1196&gt;50,"51+")</f>
        <v>41-50</v>
      </c>
      <c r="P1196" t="str" cm="1">
        <f t="array" ref="P1196">_xlfn.IFS(F1196&lt;=45,"45 or below",F1196&lt;= 60,"46-60",F1196&lt;=75,"61-75",F1196&lt;=90,"76-90",F1196&gt;90,"91 or above")</f>
        <v>46-60</v>
      </c>
      <c r="Q11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196" t="str" cm="1">
        <f t="array" ref="R119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97" spans="1:18" x14ac:dyDescent="0.2">
      <c r="A1197">
        <f>Table1[[#This Row],[Age]]</f>
        <v>49</v>
      </c>
      <c r="B1197">
        <f>IF(Table3[[#This Row],[Attrition]] = "Yes", 1,0)</f>
        <v>0</v>
      </c>
      <c r="C1197" t="str">
        <f>Table1[[#This Row],[Attrition]]</f>
        <v>No</v>
      </c>
      <c r="D1197" t="str">
        <f>Table1[[#This Row],[Department]]</f>
        <v>Research &amp; Development</v>
      </c>
      <c r="E1197">
        <f>Table1[[#This Row],[EnvironmentSatisfaction]]</f>
        <v>3</v>
      </c>
      <c r="F1197">
        <f>Table1[[#This Row],[HourlyRate]]</f>
        <v>36</v>
      </c>
      <c r="G1197" t="str">
        <f>Table1[[#This Row],[JobRole]]</f>
        <v>Manager</v>
      </c>
      <c r="H1197">
        <f>Table1[[#This Row],[JobSatisfaction]]</f>
        <v>3</v>
      </c>
      <c r="I1197">
        <f>Table1[[#This Row],[YearsAtCompany]]</f>
        <v>8</v>
      </c>
      <c r="J1197">
        <f>Table1[[#This Row],[YearsSinceLastPromotion]]</f>
        <v>0</v>
      </c>
      <c r="K1197">
        <f>Table1[[#This Row],[EmployeeNumber]]</f>
        <v>1677</v>
      </c>
      <c r="L1197">
        <f>Table1[[#This Row],[DistanceFromHome]]</f>
        <v>1</v>
      </c>
      <c r="M1197" t="str">
        <f>Table1[[#This Row],[OverTime]]</f>
        <v>No</v>
      </c>
      <c r="N1197">
        <f>Table1[[#This Row],[WorkLifeBalance]]</f>
        <v>3</v>
      </c>
      <c r="O1197" t="str" cm="1">
        <f t="array" ref="O1197">_xlfn.IFS(A1197&lt;=30,"18-30",A1197&lt;=40,"31-40",A1197&lt;=50,"41-50",A1197&gt;50,"51+")</f>
        <v>41-50</v>
      </c>
      <c r="P1197" t="str" cm="1">
        <f t="array" ref="P1197">_xlfn.IFS(F1197&lt;=45,"45 or below",F1197&lt;= 60,"46-60",F1197&lt;=75,"61-75",F1197&lt;=90,"76-90",F1197&gt;90,"91 or above")</f>
        <v>45 or below</v>
      </c>
      <c r="Q11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197" t="str" cm="1">
        <f t="array" ref="R119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198" spans="1:18" x14ac:dyDescent="0.2">
      <c r="A1198">
        <f>Table1[[#This Row],[Age]]</f>
        <v>41</v>
      </c>
      <c r="B1198">
        <f>IF(Table3[[#This Row],[Attrition]] = "Yes", 1,0)</f>
        <v>0</v>
      </c>
      <c r="C1198" t="str">
        <f>Table1[[#This Row],[Attrition]]</f>
        <v>No</v>
      </c>
      <c r="D1198" t="str">
        <f>Table1[[#This Row],[Department]]</f>
        <v>Sales</v>
      </c>
      <c r="E1198">
        <f>Table1[[#This Row],[EnvironmentSatisfaction]]</f>
        <v>4</v>
      </c>
      <c r="F1198">
        <f>Table1[[#This Row],[HourlyRate]]</f>
        <v>80</v>
      </c>
      <c r="G1198" t="str">
        <f>Table1[[#This Row],[JobRole]]</f>
        <v>Sales Executive</v>
      </c>
      <c r="H1198">
        <f>Table1[[#This Row],[JobSatisfaction]]</f>
        <v>3</v>
      </c>
      <c r="I1198">
        <f>Table1[[#This Row],[YearsAtCompany]]</f>
        <v>2</v>
      </c>
      <c r="J1198">
        <f>Table1[[#This Row],[YearsSinceLastPromotion]]</f>
        <v>0</v>
      </c>
      <c r="K1198">
        <f>Table1[[#This Row],[EmployeeNumber]]</f>
        <v>1678</v>
      </c>
      <c r="L1198">
        <f>Table1[[#This Row],[DistanceFromHome]]</f>
        <v>23</v>
      </c>
      <c r="M1198" t="str">
        <f>Table1[[#This Row],[OverTime]]</f>
        <v>Yes</v>
      </c>
      <c r="N1198">
        <f>Table1[[#This Row],[WorkLifeBalance]]</f>
        <v>3</v>
      </c>
      <c r="O1198" t="str" cm="1">
        <f t="array" ref="O1198">_xlfn.IFS(A1198&lt;=30,"18-30",A1198&lt;=40,"31-40",A1198&lt;=50,"41-50",A1198&gt;50,"51+")</f>
        <v>41-50</v>
      </c>
      <c r="P1198" t="str" cm="1">
        <f t="array" ref="P1198">_xlfn.IFS(F1198&lt;=45,"45 or below",F1198&lt;= 60,"46-60",F1198&lt;=75,"61-75",F1198&lt;=90,"76-90",F1198&gt;90,"91 or above")</f>
        <v>76-90</v>
      </c>
      <c r="Q11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198" t="str" cm="1">
        <f t="array" ref="R119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199" spans="1:18" x14ac:dyDescent="0.2">
      <c r="A1199">
        <f>Table1[[#This Row],[Age]]</f>
        <v>20</v>
      </c>
      <c r="B1199">
        <f>IF(Table3[[#This Row],[Attrition]] = "Yes", 1,0)</f>
        <v>0</v>
      </c>
      <c r="C1199" t="str">
        <f>Table1[[#This Row],[Attrition]]</f>
        <v>No</v>
      </c>
      <c r="D1199" t="str">
        <f>Table1[[#This Row],[Department]]</f>
        <v>Sales</v>
      </c>
      <c r="E1199">
        <f>Table1[[#This Row],[EnvironmentSatisfaction]]</f>
        <v>4</v>
      </c>
      <c r="F1199">
        <f>Table1[[#This Row],[HourlyRate]]</f>
        <v>54</v>
      </c>
      <c r="G1199" t="str">
        <f>Table1[[#This Row],[JobRole]]</f>
        <v>Sales Representative</v>
      </c>
      <c r="H1199">
        <f>Table1[[#This Row],[JobSatisfaction]]</f>
        <v>1</v>
      </c>
      <c r="I1199">
        <f>Table1[[#This Row],[YearsAtCompany]]</f>
        <v>2</v>
      </c>
      <c r="J1199">
        <f>Table1[[#This Row],[YearsSinceLastPromotion]]</f>
        <v>0</v>
      </c>
      <c r="K1199">
        <f>Table1[[#This Row],[EmployeeNumber]]</f>
        <v>1680</v>
      </c>
      <c r="L1199">
        <f>Table1[[#This Row],[DistanceFromHome]]</f>
        <v>9</v>
      </c>
      <c r="M1199" t="str">
        <f>Table1[[#This Row],[OverTime]]</f>
        <v>No</v>
      </c>
      <c r="N1199">
        <f>Table1[[#This Row],[WorkLifeBalance]]</f>
        <v>3</v>
      </c>
      <c r="O1199" t="str" cm="1">
        <f t="array" ref="O1199">_xlfn.IFS(A1199&lt;=30,"18-30",A1199&lt;=40,"31-40",A1199&lt;=50,"41-50",A1199&gt;50,"51+")</f>
        <v>18-30</v>
      </c>
      <c r="P1199" t="str" cm="1">
        <f t="array" ref="P1199">_xlfn.IFS(F1199&lt;=45,"45 or below",F1199&lt;= 60,"46-60",F1199&lt;=75,"61-75",F1199&lt;=90,"76-90",F1199&gt;90,"91 or above")</f>
        <v>46-60</v>
      </c>
      <c r="Q11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199" t="str" cm="1">
        <f t="array" ref="R11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00" spans="1:18" x14ac:dyDescent="0.2">
      <c r="A1200">
        <f>Table1[[#This Row],[Age]]</f>
        <v>33</v>
      </c>
      <c r="B1200">
        <f>IF(Table3[[#This Row],[Attrition]] = "Yes", 1,0)</f>
        <v>0</v>
      </c>
      <c r="C1200" t="str">
        <f>Table1[[#This Row],[Attrition]]</f>
        <v>No</v>
      </c>
      <c r="D1200" t="str">
        <f>Table1[[#This Row],[Department]]</f>
        <v>Sales</v>
      </c>
      <c r="E1200">
        <f>Table1[[#This Row],[EnvironmentSatisfaction]]</f>
        <v>3</v>
      </c>
      <c r="F1200">
        <f>Table1[[#This Row],[HourlyRate]]</f>
        <v>36</v>
      </c>
      <c r="G1200" t="str">
        <f>Table1[[#This Row],[JobRole]]</f>
        <v>Sales Executive</v>
      </c>
      <c r="H1200">
        <f>Table1[[#This Row],[JobSatisfaction]]</f>
        <v>4</v>
      </c>
      <c r="I1200">
        <f>Table1[[#This Row],[YearsAtCompany]]</f>
        <v>6</v>
      </c>
      <c r="J1200">
        <f>Table1[[#This Row],[YearsSinceLastPromotion]]</f>
        <v>1</v>
      </c>
      <c r="K1200">
        <f>Table1[[#This Row],[EmployeeNumber]]</f>
        <v>1681</v>
      </c>
      <c r="L1200">
        <f>Table1[[#This Row],[DistanceFromHome]]</f>
        <v>16</v>
      </c>
      <c r="M1200" t="str">
        <f>Table1[[#This Row],[OverTime]]</f>
        <v>Yes</v>
      </c>
      <c r="N1200">
        <f>Table1[[#This Row],[WorkLifeBalance]]</f>
        <v>3</v>
      </c>
      <c r="O1200" t="str" cm="1">
        <f t="array" ref="O1200">_xlfn.IFS(A1200&lt;=30,"18-30",A1200&lt;=40,"31-40",A1200&lt;=50,"41-50",A1200&gt;50,"51+")</f>
        <v>31-40</v>
      </c>
      <c r="P1200" t="str" cm="1">
        <f t="array" ref="P1200">_xlfn.IFS(F1200&lt;=45,"45 or below",F1200&lt;= 60,"46-60",F1200&lt;=75,"61-75",F1200&lt;=90,"76-90",F1200&gt;90,"91 or above")</f>
        <v>45 or below</v>
      </c>
      <c r="Q12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00" t="str" cm="1">
        <f t="array" ref="R120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01" spans="1:18" x14ac:dyDescent="0.2">
      <c r="A1201">
        <f>Table1[[#This Row],[Age]]</f>
        <v>36</v>
      </c>
      <c r="B1201">
        <f>IF(Table3[[#This Row],[Attrition]] = "Yes", 1,0)</f>
        <v>0</v>
      </c>
      <c r="C1201" t="str">
        <f>Table1[[#This Row],[Attrition]]</f>
        <v>No</v>
      </c>
      <c r="D1201" t="str">
        <f>Table1[[#This Row],[Department]]</f>
        <v>Research &amp; Development</v>
      </c>
      <c r="E1201">
        <f>Table1[[#This Row],[EnvironmentSatisfaction]]</f>
        <v>1</v>
      </c>
      <c r="F1201">
        <f>Table1[[#This Row],[HourlyRate]]</f>
        <v>80</v>
      </c>
      <c r="G1201" t="str">
        <f>Table1[[#This Row],[JobRole]]</f>
        <v>Healthcare Representative</v>
      </c>
      <c r="H1201">
        <f>Table1[[#This Row],[JobSatisfaction]]</f>
        <v>3</v>
      </c>
      <c r="I1201">
        <f>Table1[[#This Row],[YearsAtCompany]]</f>
        <v>3</v>
      </c>
      <c r="J1201">
        <f>Table1[[#This Row],[YearsSinceLastPromotion]]</f>
        <v>0</v>
      </c>
      <c r="K1201">
        <f>Table1[[#This Row],[EmployeeNumber]]</f>
        <v>1682</v>
      </c>
      <c r="L1201">
        <f>Table1[[#This Row],[DistanceFromHome]]</f>
        <v>26</v>
      </c>
      <c r="M1201" t="str">
        <f>Table1[[#This Row],[OverTime]]</f>
        <v>No</v>
      </c>
      <c r="N1201">
        <f>Table1[[#This Row],[WorkLifeBalance]]</f>
        <v>2</v>
      </c>
      <c r="O1201" t="str" cm="1">
        <f t="array" ref="O1201">_xlfn.IFS(A1201&lt;=30,"18-30",A1201&lt;=40,"31-40",A1201&lt;=50,"41-50",A1201&gt;50,"51+")</f>
        <v>31-40</v>
      </c>
      <c r="P1201" t="str" cm="1">
        <f t="array" ref="P1201">_xlfn.IFS(F1201&lt;=45,"45 or below",F1201&lt;= 60,"46-60",F1201&lt;=75,"61-75",F1201&lt;=90,"76-90",F1201&gt;90,"91 or above")</f>
        <v>76-90</v>
      </c>
      <c r="Q12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01" t="str" cm="1">
        <f t="array" ref="R12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02" spans="1:18" x14ac:dyDescent="0.2">
      <c r="A1202">
        <f>Table1[[#This Row],[Age]]</f>
        <v>44</v>
      </c>
      <c r="B1202">
        <f>IF(Table3[[#This Row],[Attrition]] = "Yes", 1,0)</f>
        <v>0</v>
      </c>
      <c r="C1202" t="str">
        <f>Table1[[#This Row],[Attrition]]</f>
        <v>No</v>
      </c>
      <c r="D1202" t="str">
        <f>Table1[[#This Row],[Department]]</f>
        <v>Human Resources</v>
      </c>
      <c r="E1202">
        <f>Table1[[#This Row],[EnvironmentSatisfaction]]</f>
        <v>3</v>
      </c>
      <c r="F1202">
        <f>Table1[[#This Row],[HourlyRate]]</f>
        <v>44</v>
      </c>
      <c r="G1202" t="str">
        <f>Table1[[#This Row],[JobRole]]</f>
        <v>Human Resources</v>
      </c>
      <c r="H1202">
        <f>Table1[[#This Row],[JobSatisfaction]]</f>
        <v>4</v>
      </c>
      <c r="I1202">
        <f>Table1[[#This Row],[YearsAtCompany]]</f>
        <v>2</v>
      </c>
      <c r="J1202">
        <f>Table1[[#This Row],[YearsSinceLastPromotion]]</f>
        <v>2</v>
      </c>
      <c r="K1202">
        <f>Table1[[#This Row],[EmployeeNumber]]</f>
        <v>1683</v>
      </c>
      <c r="L1202">
        <f>Table1[[#This Row],[DistanceFromHome]]</f>
        <v>1</v>
      </c>
      <c r="M1202" t="str">
        <f>Table1[[#This Row],[OverTime]]</f>
        <v>Yes</v>
      </c>
      <c r="N1202">
        <f>Table1[[#This Row],[WorkLifeBalance]]</f>
        <v>3</v>
      </c>
      <c r="O1202" t="str" cm="1">
        <f t="array" ref="O1202">_xlfn.IFS(A1202&lt;=30,"18-30",A1202&lt;=40,"31-40",A1202&lt;=50,"41-50",A1202&gt;50,"51+")</f>
        <v>41-50</v>
      </c>
      <c r="P1202" t="str" cm="1">
        <f t="array" ref="P1202">_xlfn.IFS(F1202&lt;=45,"45 or below",F1202&lt;= 60,"46-60",F1202&lt;=75,"61-75",F1202&lt;=90,"76-90",F1202&gt;90,"91 or above")</f>
        <v>45 or below</v>
      </c>
      <c r="Q12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02" t="str" cm="1">
        <f t="array" ref="R120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03" spans="1:18" hidden="1" x14ac:dyDescent="0.2">
      <c r="A1203">
        <f>Table1[[#This Row],[Age]]</f>
        <v>23</v>
      </c>
      <c r="B1203">
        <f>IF(Table3[[#This Row],[Attrition]] = "Yes", 1,0)</f>
        <v>1</v>
      </c>
      <c r="C1203" t="str">
        <f>Table1[[#This Row],[Attrition]]</f>
        <v>Yes</v>
      </c>
      <c r="D1203" t="str">
        <f>Table1[[#This Row],[Department]]</f>
        <v>Research &amp; Development</v>
      </c>
      <c r="E1203">
        <f>Table1[[#This Row],[EnvironmentSatisfaction]]</f>
        <v>4</v>
      </c>
      <c r="F1203">
        <f>Table1[[#This Row],[HourlyRate]]</f>
        <v>93</v>
      </c>
      <c r="G1203" t="str">
        <f>Table1[[#This Row],[JobRole]]</f>
        <v>Laboratory Technician</v>
      </c>
      <c r="H1203">
        <f>Table1[[#This Row],[JobSatisfaction]]</f>
        <v>3</v>
      </c>
      <c r="I1203">
        <f>Table1[[#This Row],[YearsAtCompany]]</f>
        <v>5</v>
      </c>
      <c r="J1203">
        <f>Table1[[#This Row],[YearsSinceLastPromotion]]</f>
        <v>1</v>
      </c>
      <c r="K1203">
        <f>Table1[[#This Row],[EmployeeNumber]]</f>
        <v>1684</v>
      </c>
      <c r="L1203">
        <f>Table1[[#This Row],[DistanceFromHome]]</f>
        <v>8</v>
      </c>
      <c r="M1203" t="str">
        <f>Table1[[#This Row],[OverTime]]</f>
        <v>Yes</v>
      </c>
      <c r="N1203">
        <f>Table1[[#This Row],[WorkLifeBalance]]</f>
        <v>3</v>
      </c>
      <c r="O1203" t="str" cm="1">
        <f t="array" ref="O1203">_xlfn.IFS(A1203&lt;=30,"18-30",A1203&lt;=40,"31-40",A1203&lt;=50,"41-50",A1203&gt;50,"51+")</f>
        <v>18-30</v>
      </c>
      <c r="P1203" t="str" cm="1">
        <f t="array" ref="P1203">_xlfn.IFS(F1203&lt;=45,"45 or below",F1203&lt;= 60,"46-60",F1203&lt;=75,"61-75",F1203&lt;=90,"76-90",F1203&gt;90,"91 or above")</f>
        <v>91 or above</v>
      </c>
      <c r="Q120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03" t="str" cm="1">
        <f t="array" ref="R1203" xml:space="preserve"> _xlfn.IFS(Table3[[#This Row],[Flight Risk Score]] = "NA","NA",Table3[[#This Row],[Flight Risk Score]] &gt;= 70,"High Risk",Table3[[#This Row],[Flight Risk Score]] &gt;= 50, "Medium Risk", Table3[[#This Row],[Flight Risk Score]] &gt;= 30,"Low Risk",Table3[[#This Row],[Flight Risk Score]] &lt; 30,"Very Low Risk")</f>
        <v>NA</v>
      </c>
    </row>
    <row r="1204" spans="1:18" x14ac:dyDescent="0.2">
      <c r="A1204">
        <f>Table1[[#This Row],[Age]]</f>
        <v>38</v>
      </c>
      <c r="B1204">
        <f>IF(Table3[[#This Row],[Attrition]] = "Yes", 1,0)</f>
        <v>0</v>
      </c>
      <c r="C1204" t="str">
        <f>Table1[[#This Row],[Attrition]]</f>
        <v>No</v>
      </c>
      <c r="D1204" t="str">
        <f>Table1[[#This Row],[Department]]</f>
        <v>Research &amp; Development</v>
      </c>
      <c r="E1204">
        <f>Table1[[#This Row],[EnvironmentSatisfaction]]</f>
        <v>4</v>
      </c>
      <c r="F1204">
        <f>Table1[[#This Row],[HourlyRate]]</f>
        <v>87</v>
      </c>
      <c r="G1204" t="str">
        <f>Table1[[#This Row],[JobRole]]</f>
        <v>Laboratory Technician</v>
      </c>
      <c r="H1204">
        <f>Table1[[#This Row],[JobSatisfaction]]</f>
        <v>3</v>
      </c>
      <c r="I1204">
        <f>Table1[[#This Row],[YearsAtCompany]]</f>
        <v>0</v>
      </c>
      <c r="J1204">
        <f>Table1[[#This Row],[YearsSinceLastPromotion]]</f>
        <v>0</v>
      </c>
      <c r="K1204">
        <f>Table1[[#This Row],[EmployeeNumber]]</f>
        <v>1687</v>
      </c>
      <c r="L1204">
        <f>Table1[[#This Row],[DistanceFromHome]]</f>
        <v>4</v>
      </c>
      <c r="M1204" t="str">
        <f>Table1[[#This Row],[OverTime]]</f>
        <v>No</v>
      </c>
      <c r="N1204">
        <f>Table1[[#This Row],[WorkLifeBalance]]</f>
        <v>2</v>
      </c>
      <c r="O1204" t="str" cm="1">
        <f t="array" ref="O1204">_xlfn.IFS(A1204&lt;=30,"18-30",A1204&lt;=40,"31-40",A1204&lt;=50,"41-50",A1204&gt;50,"51+")</f>
        <v>31-40</v>
      </c>
      <c r="P1204" t="str" cm="1">
        <f t="array" ref="P1204">_xlfn.IFS(F1204&lt;=45,"45 or below",F1204&lt;= 60,"46-60",F1204&lt;=75,"61-75",F1204&lt;=90,"76-90",F1204&gt;90,"91 or above")</f>
        <v>76-90</v>
      </c>
      <c r="Q12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04" t="str" cm="1">
        <f t="array" ref="R12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05" spans="1:18" x14ac:dyDescent="0.2">
      <c r="A1205">
        <f>Table1[[#This Row],[Age]]</f>
        <v>53</v>
      </c>
      <c r="B1205">
        <f>IF(Table3[[#This Row],[Attrition]] = "Yes", 1,0)</f>
        <v>0</v>
      </c>
      <c r="C1205" t="str">
        <f>Table1[[#This Row],[Attrition]]</f>
        <v>No</v>
      </c>
      <c r="D1205" t="str">
        <f>Table1[[#This Row],[Department]]</f>
        <v>Research &amp; Development</v>
      </c>
      <c r="E1205">
        <f>Table1[[#This Row],[EnvironmentSatisfaction]]</f>
        <v>2</v>
      </c>
      <c r="F1205">
        <f>Table1[[#This Row],[HourlyRate]]</f>
        <v>48</v>
      </c>
      <c r="G1205" t="str">
        <f>Table1[[#This Row],[JobRole]]</f>
        <v>Healthcare Representative</v>
      </c>
      <c r="H1205">
        <f>Table1[[#This Row],[JobSatisfaction]]</f>
        <v>4</v>
      </c>
      <c r="I1205">
        <f>Table1[[#This Row],[YearsAtCompany]]</f>
        <v>4</v>
      </c>
      <c r="J1205">
        <f>Table1[[#This Row],[YearsSinceLastPromotion]]</f>
        <v>1</v>
      </c>
      <c r="K1205">
        <f>Table1[[#This Row],[EmployeeNumber]]</f>
        <v>1689</v>
      </c>
      <c r="L1205">
        <f>Table1[[#This Row],[DistanceFromHome]]</f>
        <v>24</v>
      </c>
      <c r="M1205" t="str">
        <f>Table1[[#This Row],[OverTime]]</f>
        <v>No</v>
      </c>
      <c r="N1205">
        <f>Table1[[#This Row],[WorkLifeBalance]]</f>
        <v>3</v>
      </c>
      <c r="O1205" t="str" cm="1">
        <f t="array" ref="O1205">_xlfn.IFS(A1205&lt;=30,"18-30",A1205&lt;=40,"31-40",A1205&lt;=50,"41-50",A1205&gt;50,"51+")</f>
        <v>51+</v>
      </c>
      <c r="P1205" t="str" cm="1">
        <f t="array" ref="P1205">_xlfn.IFS(F1205&lt;=45,"45 or below",F1205&lt;= 60,"46-60",F1205&lt;=75,"61-75",F1205&lt;=90,"76-90",F1205&gt;90,"91 or above")</f>
        <v>46-60</v>
      </c>
      <c r="Q12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05" t="str" cm="1">
        <f t="array" ref="R120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06" spans="1:18" hidden="1" x14ac:dyDescent="0.2">
      <c r="A1206">
        <f>Table1[[#This Row],[Age]]</f>
        <v>48</v>
      </c>
      <c r="B1206">
        <f>IF(Table3[[#This Row],[Attrition]] = "Yes", 1,0)</f>
        <v>1</v>
      </c>
      <c r="C1206" t="str">
        <f>Table1[[#This Row],[Attrition]]</f>
        <v>Yes</v>
      </c>
      <c r="D1206" t="str">
        <f>Table1[[#This Row],[Department]]</f>
        <v>Sales</v>
      </c>
      <c r="E1206">
        <f>Table1[[#This Row],[EnvironmentSatisfaction]]</f>
        <v>4</v>
      </c>
      <c r="F1206">
        <f>Table1[[#This Row],[HourlyRate]]</f>
        <v>95</v>
      </c>
      <c r="G1206" t="str">
        <f>Table1[[#This Row],[JobRole]]</f>
        <v>Sales Representative</v>
      </c>
      <c r="H1206">
        <f>Table1[[#This Row],[JobSatisfaction]]</f>
        <v>3</v>
      </c>
      <c r="I1206">
        <f>Table1[[#This Row],[YearsAtCompany]]</f>
        <v>9</v>
      </c>
      <c r="J1206">
        <f>Table1[[#This Row],[YearsSinceLastPromotion]]</f>
        <v>7</v>
      </c>
      <c r="K1206">
        <f>Table1[[#This Row],[EmployeeNumber]]</f>
        <v>1691</v>
      </c>
      <c r="L1206">
        <f>Table1[[#This Row],[DistanceFromHome]]</f>
        <v>7</v>
      </c>
      <c r="M1206" t="str">
        <f>Table1[[#This Row],[OverTime]]</f>
        <v>Yes</v>
      </c>
      <c r="N1206">
        <f>Table1[[#This Row],[WorkLifeBalance]]</f>
        <v>3</v>
      </c>
      <c r="O1206" t="str" cm="1">
        <f t="array" ref="O1206">_xlfn.IFS(A1206&lt;=30,"18-30",A1206&lt;=40,"31-40",A1206&lt;=50,"41-50",A1206&gt;50,"51+")</f>
        <v>41-50</v>
      </c>
      <c r="P1206" t="str" cm="1">
        <f t="array" ref="P1206">_xlfn.IFS(F1206&lt;=45,"45 or below",F1206&lt;= 60,"46-60",F1206&lt;=75,"61-75",F1206&lt;=90,"76-90",F1206&gt;90,"91 or above")</f>
        <v>91 or above</v>
      </c>
      <c r="Q120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06" t="str" cm="1">
        <f t="array" ref="R1206" xml:space="preserve"> _xlfn.IFS(Table3[[#This Row],[Flight Risk Score]] = "NA","NA",Table3[[#This Row],[Flight Risk Score]] &gt;= 70,"High Risk",Table3[[#This Row],[Flight Risk Score]] &gt;= 50, "Medium Risk", Table3[[#This Row],[Flight Risk Score]] &gt;= 30,"Low Risk",Table3[[#This Row],[Flight Risk Score]] &lt; 30,"Very Low Risk")</f>
        <v>NA</v>
      </c>
    </row>
    <row r="1207" spans="1:18" hidden="1" x14ac:dyDescent="0.2">
      <c r="A1207">
        <f>Table1[[#This Row],[Age]]</f>
        <v>32</v>
      </c>
      <c r="B1207">
        <f>IF(Table3[[#This Row],[Attrition]] = "Yes", 1,0)</f>
        <v>1</v>
      </c>
      <c r="C1207" t="str">
        <f>Table1[[#This Row],[Attrition]]</f>
        <v>Yes</v>
      </c>
      <c r="D1207" t="str">
        <f>Table1[[#This Row],[Department]]</f>
        <v>Research &amp; Development</v>
      </c>
      <c r="E1207">
        <f>Table1[[#This Row],[EnvironmentSatisfaction]]</f>
        <v>4</v>
      </c>
      <c r="F1207">
        <f>Table1[[#This Row],[HourlyRate]]</f>
        <v>95</v>
      </c>
      <c r="G1207" t="str">
        <f>Table1[[#This Row],[JobRole]]</f>
        <v>Laboratory Technician</v>
      </c>
      <c r="H1207">
        <f>Table1[[#This Row],[JobSatisfaction]]</f>
        <v>2</v>
      </c>
      <c r="I1207">
        <f>Table1[[#This Row],[YearsAtCompany]]</f>
        <v>1</v>
      </c>
      <c r="J1207">
        <f>Table1[[#This Row],[YearsSinceLastPromotion]]</f>
        <v>0</v>
      </c>
      <c r="K1207">
        <f>Table1[[#This Row],[EmployeeNumber]]</f>
        <v>1692</v>
      </c>
      <c r="L1207">
        <f>Table1[[#This Row],[DistanceFromHome]]</f>
        <v>2</v>
      </c>
      <c r="M1207" t="str">
        <f>Table1[[#This Row],[OverTime]]</f>
        <v>No</v>
      </c>
      <c r="N1207">
        <f>Table1[[#This Row],[WorkLifeBalance]]</f>
        <v>3</v>
      </c>
      <c r="O1207" t="str" cm="1">
        <f t="array" ref="O1207">_xlfn.IFS(A1207&lt;=30,"18-30",A1207&lt;=40,"31-40",A1207&lt;=50,"41-50",A1207&gt;50,"51+")</f>
        <v>31-40</v>
      </c>
      <c r="P1207" t="str" cm="1">
        <f t="array" ref="P1207">_xlfn.IFS(F1207&lt;=45,"45 or below",F1207&lt;= 60,"46-60",F1207&lt;=75,"61-75",F1207&lt;=90,"76-90",F1207&gt;90,"91 or above")</f>
        <v>91 or above</v>
      </c>
      <c r="Q120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07" t="str" cm="1">
        <f t="array" ref="R1207" xml:space="preserve"> _xlfn.IFS(Table3[[#This Row],[Flight Risk Score]] = "NA","NA",Table3[[#This Row],[Flight Risk Score]] &gt;= 70,"High Risk",Table3[[#This Row],[Flight Risk Score]] &gt;= 50, "Medium Risk", Table3[[#This Row],[Flight Risk Score]] &gt;= 30,"Low Risk",Table3[[#This Row],[Flight Risk Score]] &lt; 30,"Very Low Risk")</f>
        <v>NA</v>
      </c>
    </row>
    <row r="1208" spans="1:18" x14ac:dyDescent="0.2">
      <c r="A1208">
        <f>Table1[[#This Row],[Age]]</f>
        <v>26</v>
      </c>
      <c r="B1208">
        <f>IF(Table3[[#This Row],[Attrition]] = "Yes", 1,0)</f>
        <v>0</v>
      </c>
      <c r="C1208" t="str">
        <f>Table1[[#This Row],[Attrition]]</f>
        <v>No</v>
      </c>
      <c r="D1208" t="str">
        <f>Table1[[#This Row],[Department]]</f>
        <v>Research &amp; Development</v>
      </c>
      <c r="E1208">
        <f>Table1[[#This Row],[EnvironmentSatisfaction]]</f>
        <v>4</v>
      </c>
      <c r="F1208">
        <f>Table1[[#This Row],[HourlyRate]]</f>
        <v>76</v>
      </c>
      <c r="G1208" t="str">
        <f>Table1[[#This Row],[JobRole]]</f>
        <v>Laboratory Technician</v>
      </c>
      <c r="H1208">
        <f>Table1[[#This Row],[JobSatisfaction]]</f>
        <v>4</v>
      </c>
      <c r="I1208">
        <f>Table1[[#This Row],[YearsAtCompany]]</f>
        <v>7</v>
      </c>
      <c r="J1208">
        <f>Table1[[#This Row],[YearsSinceLastPromotion]]</f>
        <v>5</v>
      </c>
      <c r="K1208">
        <f>Table1[[#This Row],[EmployeeNumber]]</f>
        <v>1693</v>
      </c>
      <c r="L1208">
        <f>Table1[[#This Row],[DistanceFromHome]]</f>
        <v>7</v>
      </c>
      <c r="M1208" t="str">
        <f>Table1[[#This Row],[OverTime]]</f>
        <v>No</v>
      </c>
      <c r="N1208">
        <f>Table1[[#This Row],[WorkLifeBalance]]</f>
        <v>3</v>
      </c>
      <c r="O1208" t="str" cm="1">
        <f t="array" ref="O1208">_xlfn.IFS(A1208&lt;=30,"18-30",A1208&lt;=40,"31-40",A1208&lt;=50,"41-50",A1208&gt;50,"51+")</f>
        <v>18-30</v>
      </c>
      <c r="P1208" t="str" cm="1">
        <f t="array" ref="P1208">_xlfn.IFS(F1208&lt;=45,"45 or below",F1208&lt;= 60,"46-60",F1208&lt;=75,"61-75",F1208&lt;=90,"76-90",F1208&gt;90,"91 or above")</f>
        <v>76-90</v>
      </c>
      <c r="Q12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08" t="str" cm="1">
        <f t="array" ref="R120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09" spans="1:18" x14ac:dyDescent="0.2">
      <c r="A1209">
        <f>Table1[[#This Row],[Age]]</f>
        <v>55</v>
      </c>
      <c r="B1209">
        <f>IF(Table3[[#This Row],[Attrition]] = "Yes", 1,0)</f>
        <v>0</v>
      </c>
      <c r="C1209" t="str">
        <f>Table1[[#This Row],[Attrition]]</f>
        <v>No</v>
      </c>
      <c r="D1209" t="str">
        <f>Table1[[#This Row],[Department]]</f>
        <v>Research &amp; Development</v>
      </c>
      <c r="E1209">
        <f>Table1[[#This Row],[EnvironmentSatisfaction]]</f>
        <v>1</v>
      </c>
      <c r="F1209">
        <f>Table1[[#This Row],[HourlyRate]]</f>
        <v>94</v>
      </c>
      <c r="G1209" t="str">
        <f>Table1[[#This Row],[JobRole]]</f>
        <v>Research Scientist</v>
      </c>
      <c r="H1209">
        <f>Table1[[#This Row],[JobSatisfaction]]</f>
        <v>2</v>
      </c>
      <c r="I1209">
        <f>Table1[[#This Row],[YearsAtCompany]]</f>
        <v>4</v>
      </c>
      <c r="J1209">
        <f>Table1[[#This Row],[YearsSinceLastPromotion]]</f>
        <v>1</v>
      </c>
      <c r="K1209">
        <f>Table1[[#This Row],[EmployeeNumber]]</f>
        <v>1694</v>
      </c>
      <c r="L1209">
        <f>Table1[[#This Row],[DistanceFromHome]]</f>
        <v>22</v>
      </c>
      <c r="M1209" t="str">
        <f>Table1[[#This Row],[OverTime]]</f>
        <v>No</v>
      </c>
      <c r="N1209">
        <f>Table1[[#This Row],[WorkLifeBalance]]</f>
        <v>3</v>
      </c>
      <c r="O1209" t="str" cm="1">
        <f t="array" ref="O1209">_xlfn.IFS(A1209&lt;=30,"18-30",A1209&lt;=40,"31-40",A1209&lt;=50,"41-50",A1209&gt;50,"51+")</f>
        <v>51+</v>
      </c>
      <c r="P1209" t="str" cm="1">
        <f t="array" ref="P1209">_xlfn.IFS(F1209&lt;=45,"45 or below",F1209&lt;= 60,"46-60",F1209&lt;=75,"61-75",F1209&lt;=90,"76-90",F1209&gt;90,"91 or above")</f>
        <v>91 or above</v>
      </c>
      <c r="Q12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09" t="str" cm="1">
        <f t="array" ref="R120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10" spans="1:18" x14ac:dyDescent="0.2">
      <c r="A1210">
        <f>Table1[[#This Row],[Age]]</f>
        <v>34</v>
      </c>
      <c r="B1210">
        <f>IF(Table3[[#This Row],[Attrition]] = "Yes", 1,0)</f>
        <v>0</v>
      </c>
      <c r="C1210" t="str">
        <f>Table1[[#This Row],[Attrition]]</f>
        <v>No</v>
      </c>
      <c r="D1210" t="str">
        <f>Table1[[#This Row],[Department]]</f>
        <v>Research &amp; Development</v>
      </c>
      <c r="E1210">
        <f>Table1[[#This Row],[EnvironmentSatisfaction]]</f>
        <v>2</v>
      </c>
      <c r="F1210">
        <f>Table1[[#This Row],[HourlyRate]]</f>
        <v>57</v>
      </c>
      <c r="G1210" t="str">
        <f>Table1[[#This Row],[JobRole]]</f>
        <v>Laboratory Technician</v>
      </c>
      <c r="H1210">
        <f>Table1[[#This Row],[JobSatisfaction]]</f>
        <v>4</v>
      </c>
      <c r="I1210">
        <f>Table1[[#This Row],[YearsAtCompany]]</f>
        <v>15</v>
      </c>
      <c r="J1210">
        <f>Table1[[#This Row],[YearsSinceLastPromotion]]</f>
        <v>4</v>
      </c>
      <c r="K1210">
        <f>Table1[[#This Row],[EmployeeNumber]]</f>
        <v>1696</v>
      </c>
      <c r="L1210">
        <f>Table1[[#This Row],[DistanceFromHome]]</f>
        <v>5</v>
      </c>
      <c r="M1210" t="str">
        <f>Table1[[#This Row],[OverTime]]</f>
        <v>No</v>
      </c>
      <c r="N1210">
        <f>Table1[[#This Row],[WorkLifeBalance]]</f>
        <v>4</v>
      </c>
      <c r="O1210" t="str" cm="1">
        <f t="array" ref="O1210">_xlfn.IFS(A1210&lt;=30,"18-30",A1210&lt;=40,"31-40",A1210&lt;=50,"41-50",A1210&gt;50,"51+")</f>
        <v>31-40</v>
      </c>
      <c r="P1210" t="str" cm="1">
        <f t="array" ref="P1210">_xlfn.IFS(F1210&lt;=45,"45 or below",F1210&lt;= 60,"46-60",F1210&lt;=75,"61-75",F1210&lt;=90,"76-90",F1210&gt;90,"91 or above")</f>
        <v>46-60</v>
      </c>
      <c r="Q12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10" t="str" cm="1">
        <f t="array" ref="R12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11" spans="1:18" x14ac:dyDescent="0.2">
      <c r="A1211">
        <f>Table1[[#This Row],[Age]]</f>
        <v>60</v>
      </c>
      <c r="B1211">
        <f>IF(Table3[[#This Row],[Attrition]] = "Yes", 1,0)</f>
        <v>0</v>
      </c>
      <c r="C1211" t="str">
        <f>Table1[[#This Row],[Attrition]]</f>
        <v>No</v>
      </c>
      <c r="D1211" t="str">
        <f>Table1[[#This Row],[Department]]</f>
        <v>Research &amp; Development</v>
      </c>
      <c r="E1211">
        <f>Table1[[#This Row],[EnvironmentSatisfaction]]</f>
        <v>3</v>
      </c>
      <c r="F1211">
        <f>Table1[[#This Row],[HourlyRate]]</f>
        <v>92</v>
      </c>
      <c r="G1211" t="str">
        <f>Table1[[#This Row],[JobRole]]</f>
        <v>Healthcare Representative</v>
      </c>
      <c r="H1211">
        <f>Table1[[#This Row],[JobSatisfaction]]</f>
        <v>4</v>
      </c>
      <c r="I1211">
        <f>Table1[[#This Row],[YearsAtCompany]]</f>
        <v>1</v>
      </c>
      <c r="J1211">
        <f>Table1[[#This Row],[YearsSinceLastPromotion]]</f>
        <v>0</v>
      </c>
      <c r="K1211">
        <f>Table1[[#This Row],[EmployeeNumber]]</f>
        <v>1697</v>
      </c>
      <c r="L1211">
        <f>Table1[[#This Row],[DistanceFromHome]]</f>
        <v>1</v>
      </c>
      <c r="M1211" t="str">
        <f>Table1[[#This Row],[OverTime]]</f>
        <v>No</v>
      </c>
      <c r="N1211">
        <f>Table1[[#This Row],[WorkLifeBalance]]</f>
        <v>4</v>
      </c>
      <c r="O1211" t="str" cm="1">
        <f t="array" ref="O1211">_xlfn.IFS(A1211&lt;=30,"18-30",A1211&lt;=40,"31-40",A1211&lt;=50,"41-50",A1211&gt;50,"51+")</f>
        <v>51+</v>
      </c>
      <c r="P1211" t="str" cm="1">
        <f t="array" ref="P1211">_xlfn.IFS(F1211&lt;=45,"45 or below",F1211&lt;= 60,"46-60",F1211&lt;=75,"61-75",F1211&lt;=90,"76-90",F1211&gt;90,"91 or above")</f>
        <v>91 or above</v>
      </c>
      <c r="Q12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11" t="str" cm="1">
        <f t="array" ref="R12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12" spans="1:18" x14ac:dyDescent="0.2">
      <c r="A1212">
        <f>Table1[[#This Row],[Age]]</f>
        <v>33</v>
      </c>
      <c r="B1212">
        <f>IF(Table3[[#This Row],[Attrition]] = "Yes", 1,0)</f>
        <v>0</v>
      </c>
      <c r="C1212" t="str">
        <f>Table1[[#This Row],[Attrition]]</f>
        <v>No</v>
      </c>
      <c r="D1212" t="str">
        <f>Table1[[#This Row],[Department]]</f>
        <v>Research &amp; Development</v>
      </c>
      <c r="E1212">
        <f>Table1[[#This Row],[EnvironmentSatisfaction]]</f>
        <v>2</v>
      </c>
      <c r="F1212">
        <f>Table1[[#This Row],[HourlyRate]]</f>
        <v>79</v>
      </c>
      <c r="G1212" t="str">
        <f>Table1[[#This Row],[JobRole]]</f>
        <v>Laboratory Technician</v>
      </c>
      <c r="H1212">
        <f>Table1[[#This Row],[JobSatisfaction]]</f>
        <v>2</v>
      </c>
      <c r="I1212">
        <f>Table1[[#This Row],[YearsAtCompany]]</f>
        <v>14</v>
      </c>
      <c r="J1212">
        <f>Table1[[#This Row],[YearsSinceLastPromotion]]</f>
        <v>2</v>
      </c>
      <c r="K1212">
        <f>Table1[[#This Row],[EmployeeNumber]]</f>
        <v>1698</v>
      </c>
      <c r="L1212">
        <f>Table1[[#This Row],[DistanceFromHome]]</f>
        <v>21</v>
      </c>
      <c r="M1212" t="str">
        <f>Table1[[#This Row],[OverTime]]</f>
        <v>No</v>
      </c>
      <c r="N1212">
        <f>Table1[[#This Row],[WorkLifeBalance]]</f>
        <v>3</v>
      </c>
      <c r="O1212" t="str" cm="1">
        <f t="array" ref="O1212">_xlfn.IFS(A1212&lt;=30,"18-30",A1212&lt;=40,"31-40",A1212&lt;=50,"41-50",A1212&gt;50,"51+")</f>
        <v>31-40</v>
      </c>
      <c r="P1212" t="str" cm="1">
        <f t="array" ref="P1212">_xlfn.IFS(F1212&lt;=45,"45 or below",F1212&lt;= 60,"46-60",F1212&lt;=75,"61-75",F1212&lt;=90,"76-90",F1212&gt;90,"91 or above")</f>
        <v>76-90</v>
      </c>
      <c r="Q12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12" t="str" cm="1">
        <f t="array" ref="R121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13" spans="1:18" x14ac:dyDescent="0.2">
      <c r="A1213">
        <f>Table1[[#This Row],[Age]]</f>
        <v>37</v>
      </c>
      <c r="B1213">
        <f>IF(Table3[[#This Row],[Attrition]] = "Yes", 1,0)</f>
        <v>0</v>
      </c>
      <c r="C1213" t="str">
        <f>Table1[[#This Row],[Attrition]]</f>
        <v>No</v>
      </c>
      <c r="D1213" t="str">
        <f>Table1[[#This Row],[Department]]</f>
        <v>Sales</v>
      </c>
      <c r="E1213">
        <f>Table1[[#This Row],[EnvironmentSatisfaction]]</f>
        <v>3</v>
      </c>
      <c r="F1213">
        <f>Table1[[#This Row],[HourlyRate]]</f>
        <v>31</v>
      </c>
      <c r="G1213" t="str">
        <f>Table1[[#This Row],[JobRole]]</f>
        <v>Sales Executive</v>
      </c>
      <c r="H1213">
        <f>Table1[[#This Row],[JobSatisfaction]]</f>
        <v>4</v>
      </c>
      <c r="I1213">
        <f>Table1[[#This Row],[YearsAtCompany]]</f>
        <v>6</v>
      </c>
      <c r="J1213">
        <f>Table1[[#This Row],[YearsSinceLastPromotion]]</f>
        <v>1</v>
      </c>
      <c r="K1213">
        <f>Table1[[#This Row],[EmployeeNumber]]</f>
        <v>1700</v>
      </c>
      <c r="L1213">
        <f>Table1[[#This Row],[DistanceFromHome]]</f>
        <v>1</v>
      </c>
      <c r="M1213" t="str">
        <f>Table1[[#This Row],[OverTime]]</f>
        <v>No</v>
      </c>
      <c r="N1213">
        <f>Table1[[#This Row],[WorkLifeBalance]]</f>
        <v>2</v>
      </c>
      <c r="O1213" t="str" cm="1">
        <f t="array" ref="O1213">_xlfn.IFS(A1213&lt;=30,"18-30",A1213&lt;=40,"31-40",A1213&lt;=50,"41-50",A1213&gt;50,"51+")</f>
        <v>31-40</v>
      </c>
      <c r="P1213" t="str" cm="1">
        <f t="array" ref="P1213">_xlfn.IFS(F1213&lt;=45,"45 or below",F1213&lt;= 60,"46-60",F1213&lt;=75,"61-75",F1213&lt;=90,"76-90",F1213&gt;90,"91 or above")</f>
        <v>45 or below</v>
      </c>
      <c r="Q12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13" t="str" cm="1">
        <f t="array" ref="R121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14" spans="1:18" x14ac:dyDescent="0.2">
      <c r="A1214">
        <f>Table1[[#This Row],[Age]]</f>
        <v>34</v>
      </c>
      <c r="B1214">
        <f>IF(Table3[[#This Row],[Attrition]] = "Yes", 1,0)</f>
        <v>0</v>
      </c>
      <c r="C1214" t="str">
        <f>Table1[[#This Row],[Attrition]]</f>
        <v>No</v>
      </c>
      <c r="D1214" t="str">
        <f>Table1[[#This Row],[Department]]</f>
        <v>Research &amp; Development</v>
      </c>
      <c r="E1214">
        <f>Table1[[#This Row],[EnvironmentSatisfaction]]</f>
        <v>2</v>
      </c>
      <c r="F1214">
        <f>Table1[[#This Row],[HourlyRate]]</f>
        <v>35</v>
      </c>
      <c r="G1214" t="str">
        <f>Table1[[#This Row],[JobRole]]</f>
        <v>Research Scientist</v>
      </c>
      <c r="H1214">
        <f>Table1[[#This Row],[JobSatisfaction]]</f>
        <v>4</v>
      </c>
      <c r="I1214">
        <f>Table1[[#This Row],[YearsAtCompany]]</f>
        <v>10</v>
      </c>
      <c r="J1214">
        <f>Table1[[#This Row],[YearsSinceLastPromotion]]</f>
        <v>8</v>
      </c>
      <c r="K1214">
        <f>Table1[[#This Row],[EmployeeNumber]]</f>
        <v>1701</v>
      </c>
      <c r="L1214">
        <f>Table1[[#This Row],[DistanceFromHome]]</f>
        <v>19</v>
      </c>
      <c r="M1214" t="str">
        <f>Table1[[#This Row],[OverTime]]</f>
        <v>No</v>
      </c>
      <c r="N1214">
        <f>Table1[[#This Row],[WorkLifeBalance]]</f>
        <v>3</v>
      </c>
      <c r="O1214" t="str" cm="1">
        <f t="array" ref="O1214">_xlfn.IFS(A1214&lt;=30,"18-30",A1214&lt;=40,"31-40",A1214&lt;=50,"41-50",A1214&gt;50,"51+")</f>
        <v>31-40</v>
      </c>
      <c r="P1214" t="str" cm="1">
        <f t="array" ref="P1214">_xlfn.IFS(F1214&lt;=45,"45 or below",F1214&lt;= 60,"46-60",F1214&lt;=75,"61-75",F1214&lt;=90,"76-90",F1214&gt;90,"91 or above")</f>
        <v>45 or below</v>
      </c>
      <c r="Q12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14" t="str" cm="1">
        <f t="array" ref="R12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15" spans="1:18" hidden="1" x14ac:dyDescent="0.2">
      <c r="A1215">
        <f>Table1[[#This Row],[Age]]</f>
        <v>23</v>
      </c>
      <c r="B1215">
        <f>IF(Table3[[#This Row],[Attrition]] = "Yes", 1,0)</f>
        <v>1</v>
      </c>
      <c r="C1215" t="str">
        <f>Table1[[#This Row],[Attrition]]</f>
        <v>Yes</v>
      </c>
      <c r="D1215" t="str">
        <f>Table1[[#This Row],[Department]]</f>
        <v>Sales</v>
      </c>
      <c r="E1215">
        <f>Table1[[#This Row],[EnvironmentSatisfaction]]</f>
        <v>3</v>
      </c>
      <c r="F1215">
        <f>Table1[[#This Row],[HourlyRate]]</f>
        <v>99</v>
      </c>
      <c r="G1215" t="str">
        <f>Table1[[#This Row],[JobRole]]</f>
        <v>Sales Representative</v>
      </c>
      <c r="H1215">
        <f>Table1[[#This Row],[JobSatisfaction]]</f>
        <v>4</v>
      </c>
      <c r="I1215">
        <f>Table1[[#This Row],[YearsAtCompany]]</f>
        <v>3</v>
      </c>
      <c r="J1215">
        <f>Table1[[#This Row],[YearsSinceLastPromotion]]</f>
        <v>0</v>
      </c>
      <c r="K1215">
        <f>Table1[[#This Row],[EmployeeNumber]]</f>
        <v>1702</v>
      </c>
      <c r="L1215">
        <f>Table1[[#This Row],[DistanceFromHome]]</f>
        <v>7</v>
      </c>
      <c r="M1215" t="str">
        <f>Table1[[#This Row],[OverTime]]</f>
        <v>Yes</v>
      </c>
      <c r="N1215">
        <f>Table1[[#This Row],[WorkLifeBalance]]</f>
        <v>3</v>
      </c>
      <c r="O1215" t="str" cm="1">
        <f t="array" ref="O1215">_xlfn.IFS(A1215&lt;=30,"18-30",A1215&lt;=40,"31-40",A1215&lt;=50,"41-50",A1215&gt;50,"51+")</f>
        <v>18-30</v>
      </c>
      <c r="P1215" t="str" cm="1">
        <f t="array" ref="P1215">_xlfn.IFS(F1215&lt;=45,"45 or below",F1215&lt;= 60,"46-60",F1215&lt;=75,"61-75",F1215&lt;=90,"76-90",F1215&gt;90,"91 or above")</f>
        <v>91 or above</v>
      </c>
      <c r="Q121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15" t="str" cm="1">
        <f t="array" ref="R1215" xml:space="preserve"> _xlfn.IFS(Table3[[#This Row],[Flight Risk Score]] = "NA","NA",Table3[[#This Row],[Flight Risk Score]] &gt;= 70,"High Risk",Table3[[#This Row],[Flight Risk Score]] &gt;= 50, "Medium Risk", Table3[[#This Row],[Flight Risk Score]] &gt;= 30,"Low Risk",Table3[[#This Row],[Flight Risk Score]] &lt; 30,"Very Low Risk")</f>
        <v>NA</v>
      </c>
    </row>
    <row r="1216" spans="1:18" x14ac:dyDescent="0.2">
      <c r="A1216">
        <f>Table1[[#This Row],[Age]]</f>
        <v>44</v>
      </c>
      <c r="B1216">
        <f>IF(Table3[[#This Row],[Attrition]] = "Yes", 1,0)</f>
        <v>0</v>
      </c>
      <c r="C1216" t="str">
        <f>Table1[[#This Row],[Attrition]]</f>
        <v>No</v>
      </c>
      <c r="D1216" t="str">
        <f>Table1[[#This Row],[Department]]</f>
        <v>Research &amp; Development</v>
      </c>
      <c r="E1216">
        <f>Table1[[#This Row],[EnvironmentSatisfaction]]</f>
        <v>3</v>
      </c>
      <c r="F1216">
        <f>Table1[[#This Row],[HourlyRate]]</f>
        <v>96</v>
      </c>
      <c r="G1216" t="str">
        <f>Table1[[#This Row],[JobRole]]</f>
        <v>Healthcare Representative</v>
      </c>
      <c r="H1216">
        <f>Table1[[#This Row],[JobSatisfaction]]</f>
        <v>4</v>
      </c>
      <c r="I1216">
        <f>Table1[[#This Row],[YearsAtCompany]]</f>
        <v>8</v>
      </c>
      <c r="J1216">
        <f>Table1[[#This Row],[YearsSinceLastPromotion]]</f>
        <v>6</v>
      </c>
      <c r="K1216">
        <f>Table1[[#This Row],[EmployeeNumber]]</f>
        <v>1703</v>
      </c>
      <c r="L1216">
        <f>Table1[[#This Row],[DistanceFromHome]]</f>
        <v>2</v>
      </c>
      <c r="M1216" t="str">
        <f>Table1[[#This Row],[OverTime]]</f>
        <v>Yes</v>
      </c>
      <c r="N1216">
        <f>Table1[[#This Row],[WorkLifeBalance]]</f>
        <v>3</v>
      </c>
      <c r="O1216" t="str" cm="1">
        <f t="array" ref="O1216">_xlfn.IFS(A1216&lt;=30,"18-30",A1216&lt;=40,"31-40",A1216&lt;=50,"41-50",A1216&gt;50,"51+")</f>
        <v>41-50</v>
      </c>
      <c r="P1216" t="str" cm="1">
        <f t="array" ref="P1216">_xlfn.IFS(F1216&lt;=45,"45 or below",F1216&lt;= 60,"46-60",F1216&lt;=75,"61-75",F1216&lt;=90,"76-90",F1216&gt;90,"91 or above")</f>
        <v>91 or above</v>
      </c>
      <c r="Q12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16" t="str" cm="1">
        <f t="array" ref="R121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17" spans="1:18" x14ac:dyDescent="0.2">
      <c r="A1217">
        <f>Table1[[#This Row],[Age]]</f>
        <v>35</v>
      </c>
      <c r="B1217">
        <f>IF(Table3[[#This Row],[Attrition]] = "Yes", 1,0)</f>
        <v>0</v>
      </c>
      <c r="C1217" t="str">
        <f>Table1[[#This Row],[Attrition]]</f>
        <v>No</v>
      </c>
      <c r="D1217" t="str">
        <f>Table1[[#This Row],[Department]]</f>
        <v>Research &amp; Development</v>
      </c>
      <c r="E1217">
        <f>Table1[[#This Row],[EnvironmentSatisfaction]]</f>
        <v>1</v>
      </c>
      <c r="F1217">
        <f>Table1[[#This Row],[HourlyRate]]</f>
        <v>79</v>
      </c>
      <c r="G1217" t="str">
        <f>Table1[[#This Row],[JobRole]]</f>
        <v>Research Scientist</v>
      </c>
      <c r="H1217">
        <f>Table1[[#This Row],[JobSatisfaction]]</f>
        <v>4</v>
      </c>
      <c r="I1217">
        <f>Table1[[#This Row],[YearsAtCompany]]</f>
        <v>5</v>
      </c>
      <c r="J1217">
        <f>Table1[[#This Row],[YearsSinceLastPromotion]]</f>
        <v>1</v>
      </c>
      <c r="K1217">
        <f>Table1[[#This Row],[EmployeeNumber]]</f>
        <v>1704</v>
      </c>
      <c r="L1217">
        <f>Table1[[#This Row],[DistanceFromHome]]</f>
        <v>2</v>
      </c>
      <c r="M1217" t="str">
        <f>Table1[[#This Row],[OverTime]]</f>
        <v>Yes</v>
      </c>
      <c r="N1217">
        <f>Table1[[#This Row],[WorkLifeBalance]]</f>
        <v>4</v>
      </c>
      <c r="O1217" t="str" cm="1">
        <f t="array" ref="O1217">_xlfn.IFS(A1217&lt;=30,"18-30",A1217&lt;=40,"31-40",A1217&lt;=50,"41-50",A1217&gt;50,"51+")</f>
        <v>31-40</v>
      </c>
      <c r="P1217" t="str" cm="1">
        <f t="array" ref="P1217">_xlfn.IFS(F1217&lt;=45,"45 or below",F1217&lt;= 60,"46-60",F1217&lt;=75,"61-75",F1217&lt;=90,"76-90",F1217&gt;90,"91 or above")</f>
        <v>76-90</v>
      </c>
      <c r="Q12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217" t="str" cm="1">
        <f t="array" ref="R121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18" spans="1:18" x14ac:dyDescent="0.2">
      <c r="A1218">
        <f>Table1[[#This Row],[Age]]</f>
        <v>43</v>
      </c>
      <c r="B1218">
        <f>IF(Table3[[#This Row],[Attrition]] = "Yes", 1,0)</f>
        <v>0</v>
      </c>
      <c r="C1218" t="str">
        <f>Table1[[#This Row],[Attrition]]</f>
        <v>No</v>
      </c>
      <c r="D1218" t="str">
        <f>Table1[[#This Row],[Department]]</f>
        <v>Sales</v>
      </c>
      <c r="E1218">
        <f>Table1[[#This Row],[EnvironmentSatisfaction]]</f>
        <v>4</v>
      </c>
      <c r="F1218">
        <f>Table1[[#This Row],[HourlyRate]]</f>
        <v>73</v>
      </c>
      <c r="G1218" t="str">
        <f>Table1[[#This Row],[JobRole]]</f>
        <v>Sales Executive</v>
      </c>
      <c r="H1218">
        <f>Table1[[#This Row],[JobSatisfaction]]</f>
        <v>4</v>
      </c>
      <c r="I1218">
        <f>Table1[[#This Row],[YearsAtCompany]]</f>
        <v>10</v>
      </c>
      <c r="J1218">
        <f>Table1[[#This Row],[YearsSinceLastPromotion]]</f>
        <v>8</v>
      </c>
      <c r="K1218">
        <f>Table1[[#This Row],[EmployeeNumber]]</f>
        <v>1706</v>
      </c>
      <c r="L1218">
        <f>Table1[[#This Row],[DistanceFromHome]]</f>
        <v>2</v>
      </c>
      <c r="M1218" t="str">
        <f>Table1[[#This Row],[OverTime]]</f>
        <v>Yes</v>
      </c>
      <c r="N1218">
        <f>Table1[[#This Row],[WorkLifeBalance]]</f>
        <v>3</v>
      </c>
      <c r="O1218" t="str" cm="1">
        <f t="array" ref="O1218">_xlfn.IFS(A1218&lt;=30,"18-30",A1218&lt;=40,"31-40",A1218&lt;=50,"41-50",A1218&gt;50,"51+")</f>
        <v>41-50</v>
      </c>
      <c r="P1218" t="str" cm="1">
        <f t="array" ref="P1218">_xlfn.IFS(F1218&lt;=45,"45 or below",F1218&lt;= 60,"46-60",F1218&lt;=75,"61-75",F1218&lt;=90,"76-90",F1218&gt;90,"91 or above")</f>
        <v>61-75</v>
      </c>
      <c r="Q12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18" t="str" cm="1">
        <f t="array" ref="R121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19" spans="1:18" x14ac:dyDescent="0.2">
      <c r="A1219">
        <f>Table1[[#This Row],[Age]]</f>
        <v>24</v>
      </c>
      <c r="B1219">
        <f>IF(Table3[[#This Row],[Attrition]] = "Yes", 1,0)</f>
        <v>0</v>
      </c>
      <c r="C1219" t="str">
        <f>Table1[[#This Row],[Attrition]]</f>
        <v>No</v>
      </c>
      <c r="D1219" t="str">
        <f>Table1[[#This Row],[Department]]</f>
        <v>Research &amp; Development</v>
      </c>
      <c r="E1219">
        <f>Table1[[#This Row],[EnvironmentSatisfaction]]</f>
        <v>3</v>
      </c>
      <c r="F1219">
        <f>Table1[[#This Row],[HourlyRate]]</f>
        <v>62</v>
      </c>
      <c r="G1219" t="str">
        <f>Table1[[#This Row],[JobRole]]</f>
        <v>Research Scientist</v>
      </c>
      <c r="H1219">
        <f>Table1[[#This Row],[JobSatisfaction]]</f>
        <v>3</v>
      </c>
      <c r="I1219">
        <f>Table1[[#This Row],[YearsAtCompany]]</f>
        <v>5</v>
      </c>
      <c r="J1219">
        <f>Table1[[#This Row],[YearsSinceLastPromotion]]</f>
        <v>0</v>
      </c>
      <c r="K1219">
        <f>Table1[[#This Row],[EmployeeNumber]]</f>
        <v>1707</v>
      </c>
      <c r="L1219">
        <f>Table1[[#This Row],[DistanceFromHome]]</f>
        <v>9</v>
      </c>
      <c r="M1219" t="str">
        <f>Table1[[#This Row],[OverTime]]</f>
        <v>No</v>
      </c>
      <c r="N1219">
        <f>Table1[[#This Row],[WorkLifeBalance]]</f>
        <v>3</v>
      </c>
      <c r="O1219" t="str" cm="1">
        <f t="array" ref="O1219">_xlfn.IFS(A1219&lt;=30,"18-30",A1219&lt;=40,"31-40",A1219&lt;=50,"41-50",A1219&gt;50,"51+")</f>
        <v>18-30</v>
      </c>
      <c r="P1219" t="str" cm="1">
        <f t="array" ref="P1219">_xlfn.IFS(F1219&lt;=45,"45 or below",F1219&lt;= 60,"46-60",F1219&lt;=75,"61-75",F1219&lt;=90,"76-90",F1219&gt;90,"91 or above")</f>
        <v>61-75</v>
      </c>
      <c r="Q12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19" t="str" cm="1">
        <f t="array" ref="R12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0" spans="1:18" x14ac:dyDescent="0.2">
      <c r="A1220">
        <f>Table1[[#This Row],[Age]]</f>
        <v>41</v>
      </c>
      <c r="B1220">
        <f>IF(Table3[[#This Row],[Attrition]] = "Yes", 1,0)</f>
        <v>0</v>
      </c>
      <c r="C1220" t="str">
        <f>Table1[[#This Row],[Attrition]]</f>
        <v>No</v>
      </c>
      <c r="D1220" t="str">
        <f>Table1[[#This Row],[Department]]</f>
        <v>Sales</v>
      </c>
      <c r="E1220">
        <f>Table1[[#This Row],[EnvironmentSatisfaction]]</f>
        <v>4</v>
      </c>
      <c r="F1220">
        <f>Table1[[#This Row],[HourlyRate]]</f>
        <v>35</v>
      </c>
      <c r="G1220" t="str">
        <f>Table1[[#This Row],[JobRole]]</f>
        <v>Sales Executive</v>
      </c>
      <c r="H1220">
        <f>Table1[[#This Row],[JobSatisfaction]]</f>
        <v>3</v>
      </c>
      <c r="I1220">
        <f>Table1[[#This Row],[YearsAtCompany]]</f>
        <v>10</v>
      </c>
      <c r="J1220">
        <f>Table1[[#This Row],[YearsSinceLastPromotion]]</f>
        <v>8</v>
      </c>
      <c r="K1220">
        <f>Table1[[#This Row],[EmployeeNumber]]</f>
        <v>1708</v>
      </c>
      <c r="L1220">
        <f>Table1[[#This Row],[DistanceFromHome]]</f>
        <v>6</v>
      </c>
      <c r="M1220" t="str">
        <f>Table1[[#This Row],[OverTime]]</f>
        <v>No</v>
      </c>
      <c r="N1220">
        <f>Table1[[#This Row],[WorkLifeBalance]]</f>
        <v>3</v>
      </c>
      <c r="O1220" t="str" cm="1">
        <f t="array" ref="O1220">_xlfn.IFS(A1220&lt;=30,"18-30",A1220&lt;=40,"31-40",A1220&lt;=50,"41-50",A1220&gt;50,"51+")</f>
        <v>41-50</v>
      </c>
      <c r="P1220" t="str" cm="1">
        <f t="array" ref="P1220">_xlfn.IFS(F1220&lt;=45,"45 or below",F1220&lt;= 60,"46-60",F1220&lt;=75,"61-75",F1220&lt;=90,"76-90",F1220&gt;90,"91 or above")</f>
        <v>45 or below</v>
      </c>
      <c r="Q12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20" t="str" cm="1">
        <f t="array" ref="R12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1" spans="1:18" x14ac:dyDescent="0.2">
      <c r="A1221">
        <f>Table1[[#This Row],[Age]]</f>
        <v>29</v>
      </c>
      <c r="B1221">
        <f>IF(Table3[[#This Row],[Attrition]] = "Yes", 1,0)</f>
        <v>0</v>
      </c>
      <c r="C1221" t="str">
        <f>Table1[[#This Row],[Attrition]]</f>
        <v>No</v>
      </c>
      <c r="D1221" t="str">
        <f>Table1[[#This Row],[Department]]</f>
        <v>Research &amp; Development</v>
      </c>
      <c r="E1221">
        <f>Table1[[#This Row],[EnvironmentSatisfaction]]</f>
        <v>4</v>
      </c>
      <c r="F1221">
        <f>Table1[[#This Row],[HourlyRate]]</f>
        <v>43</v>
      </c>
      <c r="G1221" t="str">
        <f>Table1[[#This Row],[JobRole]]</f>
        <v>Laboratory Technician</v>
      </c>
      <c r="H1221">
        <f>Table1[[#This Row],[JobSatisfaction]]</f>
        <v>3</v>
      </c>
      <c r="I1221">
        <f>Table1[[#This Row],[YearsAtCompany]]</f>
        <v>5</v>
      </c>
      <c r="J1221">
        <f>Table1[[#This Row],[YearsSinceLastPromotion]]</f>
        <v>1</v>
      </c>
      <c r="K1221">
        <f>Table1[[#This Row],[EmployeeNumber]]</f>
        <v>1709</v>
      </c>
      <c r="L1221">
        <f>Table1[[#This Row],[DistanceFromHome]]</f>
        <v>9</v>
      </c>
      <c r="M1221" t="str">
        <f>Table1[[#This Row],[OverTime]]</f>
        <v>No</v>
      </c>
      <c r="N1221">
        <f>Table1[[#This Row],[WorkLifeBalance]]</f>
        <v>3</v>
      </c>
      <c r="O1221" t="str" cm="1">
        <f t="array" ref="O1221">_xlfn.IFS(A1221&lt;=30,"18-30",A1221&lt;=40,"31-40",A1221&lt;=50,"41-50",A1221&gt;50,"51+")</f>
        <v>18-30</v>
      </c>
      <c r="P1221" t="str" cm="1">
        <f t="array" ref="P1221">_xlfn.IFS(F1221&lt;=45,"45 or below",F1221&lt;= 60,"46-60",F1221&lt;=75,"61-75",F1221&lt;=90,"76-90",F1221&gt;90,"91 or above")</f>
        <v>45 or below</v>
      </c>
      <c r="Q12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21" t="str" cm="1">
        <f t="array" ref="R12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2" spans="1:18" x14ac:dyDescent="0.2">
      <c r="A1222">
        <f>Table1[[#This Row],[Age]]</f>
        <v>36</v>
      </c>
      <c r="B1222">
        <f>IF(Table3[[#This Row],[Attrition]] = "Yes", 1,0)</f>
        <v>0</v>
      </c>
      <c r="C1222" t="str">
        <f>Table1[[#This Row],[Attrition]]</f>
        <v>No</v>
      </c>
      <c r="D1222" t="str">
        <f>Table1[[#This Row],[Department]]</f>
        <v>Sales</v>
      </c>
      <c r="E1222">
        <f>Table1[[#This Row],[EnvironmentSatisfaction]]</f>
        <v>3</v>
      </c>
      <c r="F1222">
        <f>Table1[[#This Row],[HourlyRate]]</f>
        <v>51</v>
      </c>
      <c r="G1222" t="str">
        <f>Table1[[#This Row],[JobRole]]</f>
        <v>Sales Representative</v>
      </c>
      <c r="H1222">
        <f>Table1[[#This Row],[JobSatisfaction]]</f>
        <v>4</v>
      </c>
      <c r="I1222">
        <f>Table1[[#This Row],[YearsAtCompany]]</f>
        <v>13</v>
      </c>
      <c r="J1222">
        <f>Table1[[#This Row],[YearsSinceLastPromotion]]</f>
        <v>6</v>
      </c>
      <c r="K1222">
        <f>Table1[[#This Row],[EmployeeNumber]]</f>
        <v>1710</v>
      </c>
      <c r="L1222">
        <f>Table1[[#This Row],[DistanceFromHome]]</f>
        <v>2</v>
      </c>
      <c r="M1222" t="str">
        <f>Table1[[#This Row],[OverTime]]</f>
        <v>No</v>
      </c>
      <c r="N1222">
        <f>Table1[[#This Row],[WorkLifeBalance]]</f>
        <v>2</v>
      </c>
      <c r="O1222" t="str" cm="1">
        <f t="array" ref="O1222">_xlfn.IFS(A1222&lt;=30,"18-30",A1222&lt;=40,"31-40",A1222&lt;=50,"41-50",A1222&gt;50,"51+")</f>
        <v>31-40</v>
      </c>
      <c r="P1222" t="str" cm="1">
        <f t="array" ref="P1222">_xlfn.IFS(F1222&lt;=45,"45 or below",F1222&lt;= 60,"46-60",F1222&lt;=75,"61-75",F1222&lt;=90,"76-90",F1222&gt;90,"91 or above")</f>
        <v>46-60</v>
      </c>
      <c r="Q12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22" t="str" cm="1">
        <f t="array" ref="R12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3" spans="1:18" x14ac:dyDescent="0.2">
      <c r="A1223">
        <f>Table1[[#This Row],[Age]]</f>
        <v>45</v>
      </c>
      <c r="B1223">
        <f>IF(Table3[[#This Row],[Attrition]] = "Yes", 1,0)</f>
        <v>0</v>
      </c>
      <c r="C1223" t="str">
        <f>Table1[[#This Row],[Attrition]]</f>
        <v>No</v>
      </c>
      <c r="D1223" t="str">
        <f>Table1[[#This Row],[Department]]</f>
        <v>Research &amp; Development</v>
      </c>
      <c r="E1223">
        <f>Table1[[#This Row],[EnvironmentSatisfaction]]</f>
        <v>3</v>
      </c>
      <c r="F1223">
        <f>Table1[[#This Row],[HourlyRate]]</f>
        <v>74</v>
      </c>
      <c r="G1223" t="str">
        <f>Table1[[#This Row],[JobRole]]</f>
        <v>Healthcare Representative</v>
      </c>
      <c r="H1223">
        <f>Table1[[#This Row],[JobSatisfaction]]</f>
        <v>3</v>
      </c>
      <c r="I1223">
        <f>Table1[[#This Row],[YearsAtCompany]]</f>
        <v>23</v>
      </c>
      <c r="J1223">
        <f>Table1[[#This Row],[YearsSinceLastPromotion]]</f>
        <v>14</v>
      </c>
      <c r="K1223">
        <f>Table1[[#This Row],[EmployeeNumber]]</f>
        <v>1712</v>
      </c>
      <c r="L1223">
        <f>Table1[[#This Row],[DistanceFromHome]]</f>
        <v>1</v>
      </c>
      <c r="M1223" t="str">
        <f>Table1[[#This Row],[OverTime]]</f>
        <v>No</v>
      </c>
      <c r="N1223">
        <f>Table1[[#This Row],[WorkLifeBalance]]</f>
        <v>2</v>
      </c>
      <c r="O1223" t="str" cm="1">
        <f t="array" ref="O1223">_xlfn.IFS(A1223&lt;=30,"18-30",A1223&lt;=40,"31-40",A1223&lt;=50,"41-50",A1223&gt;50,"51+")</f>
        <v>41-50</v>
      </c>
      <c r="P1223" t="str" cm="1">
        <f t="array" ref="P1223">_xlfn.IFS(F1223&lt;=45,"45 or below",F1223&lt;= 60,"46-60",F1223&lt;=75,"61-75",F1223&lt;=90,"76-90",F1223&gt;90,"91 or above")</f>
        <v>61-75</v>
      </c>
      <c r="Q12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23" t="str" cm="1">
        <f t="array" ref="R12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4" spans="1:18" hidden="1" x14ac:dyDescent="0.2">
      <c r="A1224">
        <f>Table1[[#This Row],[Age]]</f>
        <v>24</v>
      </c>
      <c r="B1224">
        <f>IF(Table3[[#This Row],[Attrition]] = "Yes", 1,0)</f>
        <v>1</v>
      </c>
      <c r="C1224" t="str">
        <f>Table1[[#This Row],[Attrition]]</f>
        <v>Yes</v>
      </c>
      <c r="D1224" t="str">
        <f>Table1[[#This Row],[Department]]</f>
        <v>Human Resources</v>
      </c>
      <c r="E1224">
        <f>Table1[[#This Row],[EnvironmentSatisfaction]]</f>
        <v>4</v>
      </c>
      <c r="F1224">
        <f>Table1[[#This Row],[HourlyRate]]</f>
        <v>58</v>
      </c>
      <c r="G1224" t="str">
        <f>Table1[[#This Row],[JobRole]]</f>
        <v>Human Resources</v>
      </c>
      <c r="H1224">
        <f>Table1[[#This Row],[JobSatisfaction]]</f>
        <v>3</v>
      </c>
      <c r="I1224">
        <f>Table1[[#This Row],[YearsAtCompany]]</f>
        <v>1</v>
      </c>
      <c r="J1224">
        <f>Table1[[#This Row],[YearsSinceLastPromotion]]</f>
        <v>0</v>
      </c>
      <c r="K1224">
        <f>Table1[[#This Row],[EmployeeNumber]]</f>
        <v>1714</v>
      </c>
      <c r="L1224">
        <f>Table1[[#This Row],[DistanceFromHome]]</f>
        <v>22</v>
      </c>
      <c r="M1224" t="str">
        <f>Table1[[#This Row],[OverTime]]</f>
        <v>No</v>
      </c>
      <c r="N1224">
        <f>Table1[[#This Row],[WorkLifeBalance]]</f>
        <v>3</v>
      </c>
      <c r="O1224" t="str" cm="1">
        <f t="array" ref="O1224">_xlfn.IFS(A1224&lt;=30,"18-30",A1224&lt;=40,"31-40",A1224&lt;=50,"41-50",A1224&gt;50,"51+")</f>
        <v>18-30</v>
      </c>
      <c r="P1224" t="str" cm="1">
        <f t="array" ref="P1224">_xlfn.IFS(F1224&lt;=45,"45 or below",F1224&lt;= 60,"46-60",F1224&lt;=75,"61-75",F1224&lt;=90,"76-90",F1224&gt;90,"91 or above")</f>
        <v>46-60</v>
      </c>
      <c r="Q122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24" t="str" cm="1">
        <f t="array" ref="R1224" xml:space="preserve"> _xlfn.IFS(Table3[[#This Row],[Flight Risk Score]] = "NA","NA",Table3[[#This Row],[Flight Risk Score]] &gt;= 70,"High Risk",Table3[[#This Row],[Flight Risk Score]] &gt;= 50, "Medium Risk", Table3[[#This Row],[Flight Risk Score]] &gt;= 30,"Low Risk",Table3[[#This Row],[Flight Risk Score]] &lt; 30,"Very Low Risk")</f>
        <v>NA</v>
      </c>
    </row>
    <row r="1225" spans="1:18" hidden="1" x14ac:dyDescent="0.2">
      <c r="A1225">
        <f>Table1[[#This Row],[Age]]</f>
        <v>47</v>
      </c>
      <c r="B1225">
        <f>IF(Table3[[#This Row],[Attrition]] = "Yes", 1,0)</f>
        <v>1</v>
      </c>
      <c r="C1225" t="str">
        <f>Table1[[#This Row],[Attrition]]</f>
        <v>Yes</v>
      </c>
      <c r="D1225" t="str">
        <f>Table1[[#This Row],[Department]]</f>
        <v>Sales</v>
      </c>
      <c r="E1225">
        <f>Table1[[#This Row],[EnvironmentSatisfaction]]</f>
        <v>3</v>
      </c>
      <c r="F1225">
        <f>Table1[[#This Row],[HourlyRate]]</f>
        <v>82</v>
      </c>
      <c r="G1225" t="str">
        <f>Table1[[#This Row],[JobRole]]</f>
        <v>Sales Executive</v>
      </c>
      <c r="H1225">
        <f>Table1[[#This Row],[JobSatisfaction]]</f>
        <v>3</v>
      </c>
      <c r="I1225">
        <f>Table1[[#This Row],[YearsAtCompany]]</f>
        <v>23</v>
      </c>
      <c r="J1225">
        <f>Table1[[#This Row],[YearsSinceLastPromotion]]</f>
        <v>14</v>
      </c>
      <c r="K1225">
        <f>Table1[[#This Row],[EmployeeNumber]]</f>
        <v>1716</v>
      </c>
      <c r="L1225">
        <f>Table1[[#This Row],[DistanceFromHome]]</f>
        <v>9</v>
      </c>
      <c r="M1225" t="str">
        <f>Table1[[#This Row],[OverTime]]</f>
        <v>No</v>
      </c>
      <c r="N1225">
        <f>Table1[[#This Row],[WorkLifeBalance]]</f>
        <v>1</v>
      </c>
      <c r="O1225" t="str" cm="1">
        <f t="array" ref="O1225">_xlfn.IFS(A1225&lt;=30,"18-30",A1225&lt;=40,"31-40",A1225&lt;=50,"41-50",A1225&gt;50,"51+")</f>
        <v>41-50</v>
      </c>
      <c r="P1225" t="str" cm="1">
        <f t="array" ref="P1225">_xlfn.IFS(F1225&lt;=45,"45 or below",F1225&lt;= 60,"46-60",F1225&lt;=75,"61-75",F1225&lt;=90,"76-90",F1225&gt;90,"91 or above")</f>
        <v>76-90</v>
      </c>
      <c r="Q122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25" t="str" cm="1">
        <f t="array" ref="R1225" xml:space="preserve"> _xlfn.IFS(Table3[[#This Row],[Flight Risk Score]] = "NA","NA",Table3[[#This Row],[Flight Risk Score]] &gt;= 70,"High Risk",Table3[[#This Row],[Flight Risk Score]] &gt;= 50, "Medium Risk", Table3[[#This Row],[Flight Risk Score]] &gt;= 30,"Low Risk",Table3[[#This Row],[Flight Risk Score]] &lt; 30,"Very Low Risk")</f>
        <v>NA</v>
      </c>
    </row>
    <row r="1226" spans="1:18" x14ac:dyDescent="0.2">
      <c r="A1226">
        <f>Table1[[#This Row],[Age]]</f>
        <v>26</v>
      </c>
      <c r="B1226">
        <f>IF(Table3[[#This Row],[Attrition]] = "Yes", 1,0)</f>
        <v>0</v>
      </c>
      <c r="C1226" t="str">
        <f>Table1[[#This Row],[Attrition]]</f>
        <v>No</v>
      </c>
      <c r="D1226" t="str">
        <f>Table1[[#This Row],[Department]]</f>
        <v>Research &amp; Development</v>
      </c>
      <c r="E1226">
        <f>Table1[[#This Row],[EnvironmentSatisfaction]]</f>
        <v>4</v>
      </c>
      <c r="F1226">
        <f>Table1[[#This Row],[HourlyRate]]</f>
        <v>62</v>
      </c>
      <c r="G1226" t="str">
        <f>Table1[[#This Row],[JobRole]]</f>
        <v>Laboratory Technician</v>
      </c>
      <c r="H1226">
        <f>Table1[[#This Row],[JobSatisfaction]]</f>
        <v>3</v>
      </c>
      <c r="I1226">
        <f>Table1[[#This Row],[YearsAtCompany]]</f>
        <v>3</v>
      </c>
      <c r="J1226">
        <f>Table1[[#This Row],[YearsSinceLastPromotion]]</f>
        <v>0</v>
      </c>
      <c r="K1226">
        <f>Table1[[#This Row],[EmployeeNumber]]</f>
        <v>1718</v>
      </c>
      <c r="L1226">
        <f>Table1[[#This Row],[DistanceFromHome]]</f>
        <v>17</v>
      </c>
      <c r="M1226" t="str">
        <f>Table1[[#This Row],[OverTime]]</f>
        <v>No</v>
      </c>
      <c r="N1226">
        <f>Table1[[#This Row],[WorkLifeBalance]]</f>
        <v>4</v>
      </c>
      <c r="O1226" t="str" cm="1">
        <f t="array" ref="O1226">_xlfn.IFS(A1226&lt;=30,"18-30",A1226&lt;=40,"31-40",A1226&lt;=50,"41-50",A1226&gt;50,"51+")</f>
        <v>18-30</v>
      </c>
      <c r="P1226" t="str" cm="1">
        <f t="array" ref="P1226">_xlfn.IFS(F1226&lt;=45,"45 or below",F1226&lt;= 60,"46-60",F1226&lt;=75,"61-75",F1226&lt;=90,"76-90",F1226&gt;90,"91 or above")</f>
        <v>61-75</v>
      </c>
      <c r="Q12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26" t="str" cm="1">
        <f t="array" ref="R12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7" spans="1:18" x14ac:dyDescent="0.2">
      <c r="A1227">
        <f>Table1[[#This Row],[Age]]</f>
        <v>45</v>
      </c>
      <c r="B1227">
        <f>IF(Table3[[#This Row],[Attrition]] = "Yes", 1,0)</f>
        <v>0</v>
      </c>
      <c r="C1227" t="str">
        <f>Table1[[#This Row],[Attrition]]</f>
        <v>No</v>
      </c>
      <c r="D1227" t="str">
        <f>Table1[[#This Row],[Department]]</f>
        <v>Research &amp; Development</v>
      </c>
      <c r="E1227">
        <f>Table1[[#This Row],[EnvironmentSatisfaction]]</f>
        <v>4</v>
      </c>
      <c r="F1227">
        <f>Table1[[#This Row],[HourlyRate]]</f>
        <v>48</v>
      </c>
      <c r="G1227" t="str">
        <f>Table1[[#This Row],[JobRole]]</f>
        <v>Research Director</v>
      </c>
      <c r="H1227">
        <f>Table1[[#This Row],[JobSatisfaction]]</f>
        <v>2</v>
      </c>
      <c r="I1227">
        <f>Table1[[#This Row],[YearsAtCompany]]</f>
        <v>21</v>
      </c>
      <c r="J1227">
        <f>Table1[[#This Row],[YearsSinceLastPromotion]]</f>
        <v>8</v>
      </c>
      <c r="K1227">
        <f>Table1[[#This Row],[EmployeeNumber]]</f>
        <v>1719</v>
      </c>
      <c r="L1227">
        <f>Table1[[#This Row],[DistanceFromHome]]</f>
        <v>28</v>
      </c>
      <c r="M1227" t="str">
        <f>Table1[[#This Row],[OverTime]]</f>
        <v>No</v>
      </c>
      <c r="N1227">
        <f>Table1[[#This Row],[WorkLifeBalance]]</f>
        <v>3</v>
      </c>
      <c r="O1227" t="str" cm="1">
        <f t="array" ref="O1227">_xlfn.IFS(A1227&lt;=30,"18-30",A1227&lt;=40,"31-40",A1227&lt;=50,"41-50",A1227&gt;50,"51+")</f>
        <v>41-50</v>
      </c>
      <c r="P1227" t="str" cm="1">
        <f t="array" ref="P1227">_xlfn.IFS(F1227&lt;=45,"45 or below",F1227&lt;= 60,"46-60",F1227&lt;=75,"61-75",F1227&lt;=90,"76-90",F1227&gt;90,"91 or above")</f>
        <v>46-60</v>
      </c>
      <c r="Q12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27" t="str" cm="1">
        <f t="array" ref="R12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8" spans="1:18" x14ac:dyDescent="0.2">
      <c r="A1228">
        <f>Table1[[#This Row],[Age]]</f>
        <v>32</v>
      </c>
      <c r="B1228">
        <f>IF(Table3[[#This Row],[Attrition]] = "Yes", 1,0)</f>
        <v>0</v>
      </c>
      <c r="C1228" t="str">
        <f>Table1[[#This Row],[Attrition]]</f>
        <v>No</v>
      </c>
      <c r="D1228" t="str">
        <f>Table1[[#This Row],[Department]]</f>
        <v>Research &amp; Development</v>
      </c>
      <c r="E1228">
        <f>Table1[[#This Row],[EnvironmentSatisfaction]]</f>
        <v>1</v>
      </c>
      <c r="F1228">
        <f>Table1[[#This Row],[HourlyRate]]</f>
        <v>56</v>
      </c>
      <c r="G1228" t="str">
        <f>Table1[[#This Row],[JobRole]]</f>
        <v>Research Scientist</v>
      </c>
      <c r="H1228">
        <f>Table1[[#This Row],[JobSatisfaction]]</f>
        <v>3</v>
      </c>
      <c r="I1228">
        <f>Table1[[#This Row],[YearsAtCompany]]</f>
        <v>5</v>
      </c>
      <c r="J1228">
        <f>Table1[[#This Row],[YearsSinceLastPromotion]]</f>
        <v>1</v>
      </c>
      <c r="K1228">
        <f>Table1[[#This Row],[EmployeeNumber]]</f>
        <v>1720</v>
      </c>
      <c r="L1228">
        <f>Table1[[#This Row],[DistanceFromHome]]</f>
        <v>10</v>
      </c>
      <c r="M1228" t="str">
        <f>Table1[[#This Row],[OverTime]]</f>
        <v>No</v>
      </c>
      <c r="N1228">
        <f>Table1[[#This Row],[WorkLifeBalance]]</f>
        <v>2</v>
      </c>
      <c r="O1228" t="str" cm="1">
        <f t="array" ref="O1228">_xlfn.IFS(A1228&lt;=30,"18-30",A1228&lt;=40,"31-40",A1228&lt;=50,"41-50",A1228&gt;50,"51+")</f>
        <v>31-40</v>
      </c>
      <c r="P1228" t="str" cm="1">
        <f t="array" ref="P1228">_xlfn.IFS(F1228&lt;=45,"45 or below",F1228&lt;= 60,"46-60",F1228&lt;=75,"61-75",F1228&lt;=90,"76-90",F1228&gt;90,"91 or above")</f>
        <v>46-60</v>
      </c>
      <c r="Q12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28" t="str" cm="1">
        <f t="array" ref="R12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29" spans="1:18" x14ac:dyDescent="0.2">
      <c r="A1229">
        <f>Table1[[#This Row],[Age]]</f>
        <v>31</v>
      </c>
      <c r="B1229">
        <f>IF(Table3[[#This Row],[Attrition]] = "Yes", 1,0)</f>
        <v>0</v>
      </c>
      <c r="C1229" t="str">
        <f>Table1[[#This Row],[Attrition]]</f>
        <v>No</v>
      </c>
      <c r="D1229" t="str">
        <f>Table1[[#This Row],[Department]]</f>
        <v>Research &amp; Development</v>
      </c>
      <c r="E1229">
        <f>Table1[[#This Row],[EnvironmentSatisfaction]]</f>
        <v>2</v>
      </c>
      <c r="F1229">
        <f>Table1[[#This Row],[HourlyRate]]</f>
        <v>69</v>
      </c>
      <c r="G1229" t="str">
        <f>Table1[[#This Row],[JobRole]]</f>
        <v>Laboratory Technician</v>
      </c>
      <c r="H1229">
        <f>Table1[[#This Row],[JobSatisfaction]]</f>
        <v>3</v>
      </c>
      <c r="I1229">
        <f>Table1[[#This Row],[YearsAtCompany]]</f>
        <v>5</v>
      </c>
      <c r="J1229">
        <f>Table1[[#This Row],[YearsSinceLastPromotion]]</f>
        <v>0</v>
      </c>
      <c r="K1229">
        <f>Table1[[#This Row],[EmployeeNumber]]</f>
        <v>1721</v>
      </c>
      <c r="L1229">
        <f>Table1[[#This Row],[DistanceFromHome]]</f>
        <v>2</v>
      </c>
      <c r="M1229" t="str">
        <f>Table1[[#This Row],[OverTime]]</f>
        <v>No</v>
      </c>
      <c r="N1229">
        <f>Table1[[#This Row],[WorkLifeBalance]]</f>
        <v>4</v>
      </c>
      <c r="O1229" t="str" cm="1">
        <f t="array" ref="O1229">_xlfn.IFS(A1229&lt;=30,"18-30",A1229&lt;=40,"31-40",A1229&lt;=50,"41-50",A1229&gt;50,"51+")</f>
        <v>31-40</v>
      </c>
      <c r="P1229" t="str" cm="1">
        <f t="array" ref="P1229">_xlfn.IFS(F1229&lt;=45,"45 or below",F1229&lt;= 60,"46-60",F1229&lt;=75,"61-75",F1229&lt;=90,"76-90",F1229&gt;90,"91 or above")</f>
        <v>61-75</v>
      </c>
      <c r="Q12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29" t="str" cm="1">
        <f t="array" ref="R12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30" spans="1:18" x14ac:dyDescent="0.2">
      <c r="A1230">
        <f>Table1[[#This Row],[Age]]</f>
        <v>41</v>
      </c>
      <c r="B1230">
        <f>IF(Table3[[#This Row],[Attrition]] = "Yes", 1,0)</f>
        <v>0</v>
      </c>
      <c r="C1230" t="str">
        <f>Table1[[#This Row],[Attrition]]</f>
        <v>No</v>
      </c>
      <c r="D1230" t="str">
        <f>Table1[[#This Row],[Department]]</f>
        <v>Human Resources</v>
      </c>
      <c r="E1230">
        <f>Table1[[#This Row],[EnvironmentSatisfaction]]</f>
        <v>3</v>
      </c>
      <c r="F1230">
        <f>Table1[[#This Row],[HourlyRate]]</f>
        <v>60</v>
      </c>
      <c r="G1230" t="str">
        <f>Table1[[#This Row],[JobRole]]</f>
        <v>Human Resources</v>
      </c>
      <c r="H1230">
        <f>Table1[[#This Row],[JobSatisfaction]]</f>
        <v>2</v>
      </c>
      <c r="I1230">
        <f>Table1[[#This Row],[YearsAtCompany]]</f>
        <v>3</v>
      </c>
      <c r="J1230">
        <f>Table1[[#This Row],[YearsSinceLastPromotion]]</f>
        <v>1</v>
      </c>
      <c r="K1230">
        <f>Table1[[#This Row],[EmployeeNumber]]</f>
        <v>1722</v>
      </c>
      <c r="L1230">
        <f>Table1[[#This Row],[DistanceFromHome]]</f>
        <v>4</v>
      </c>
      <c r="M1230" t="str">
        <f>Table1[[#This Row],[OverTime]]</f>
        <v>No</v>
      </c>
      <c r="N1230">
        <f>Table1[[#This Row],[WorkLifeBalance]]</f>
        <v>3</v>
      </c>
      <c r="O1230" t="str" cm="1">
        <f t="array" ref="O1230">_xlfn.IFS(A1230&lt;=30,"18-30",A1230&lt;=40,"31-40",A1230&lt;=50,"41-50",A1230&gt;50,"51+")</f>
        <v>41-50</v>
      </c>
      <c r="P1230" t="str" cm="1">
        <f t="array" ref="P1230">_xlfn.IFS(F1230&lt;=45,"45 or below",F1230&lt;= 60,"46-60",F1230&lt;=75,"61-75",F1230&lt;=90,"76-90",F1230&gt;90,"91 or above")</f>
        <v>46-60</v>
      </c>
      <c r="Q12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30" t="str" cm="1">
        <f t="array" ref="R12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31" spans="1:18" x14ac:dyDescent="0.2">
      <c r="A1231">
        <f>Table1[[#This Row],[Age]]</f>
        <v>40</v>
      </c>
      <c r="B1231">
        <f>IF(Table3[[#This Row],[Attrition]] = "Yes", 1,0)</f>
        <v>0</v>
      </c>
      <c r="C1231" t="str">
        <f>Table1[[#This Row],[Attrition]]</f>
        <v>No</v>
      </c>
      <c r="D1231" t="str">
        <f>Table1[[#This Row],[Department]]</f>
        <v>Research &amp; Development</v>
      </c>
      <c r="E1231">
        <f>Table1[[#This Row],[EnvironmentSatisfaction]]</f>
        <v>2</v>
      </c>
      <c r="F1231">
        <f>Table1[[#This Row],[HourlyRate]]</f>
        <v>92</v>
      </c>
      <c r="G1231" t="str">
        <f>Table1[[#This Row],[JobRole]]</f>
        <v>Manufacturing Director</v>
      </c>
      <c r="H1231">
        <f>Table1[[#This Row],[JobSatisfaction]]</f>
        <v>1</v>
      </c>
      <c r="I1231">
        <f>Table1[[#This Row],[YearsAtCompany]]</f>
        <v>1</v>
      </c>
      <c r="J1231">
        <f>Table1[[#This Row],[YearsSinceLastPromotion]]</f>
        <v>0</v>
      </c>
      <c r="K1231">
        <f>Table1[[#This Row],[EmployeeNumber]]</f>
        <v>1724</v>
      </c>
      <c r="L1231">
        <f>Table1[[#This Row],[DistanceFromHome]]</f>
        <v>8</v>
      </c>
      <c r="M1231" t="str">
        <f>Table1[[#This Row],[OverTime]]</f>
        <v>Yes</v>
      </c>
      <c r="N1231">
        <f>Table1[[#This Row],[WorkLifeBalance]]</f>
        <v>3</v>
      </c>
      <c r="O1231" t="str" cm="1">
        <f t="array" ref="O1231">_xlfn.IFS(A1231&lt;=30,"18-30",A1231&lt;=40,"31-40",A1231&lt;=50,"41-50",A1231&gt;50,"51+")</f>
        <v>31-40</v>
      </c>
      <c r="P1231" t="str" cm="1">
        <f t="array" ref="P1231">_xlfn.IFS(F1231&lt;=45,"45 or below",F1231&lt;= 60,"46-60",F1231&lt;=75,"61-75",F1231&lt;=90,"76-90",F1231&gt;90,"91 or above")</f>
        <v>91 or above</v>
      </c>
      <c r="Q12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231" t="str" cm="1">
        <f t="array" ref="R123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32" spans="1:18" x14ac:dyDescent="0.2">
      <c r="A1232">
        <f>Table1[[#This Row],[Age]]</f>
        <v>24</v>
      </c>
      <c r="B1232">
        <f>IF(Table3[[#This Row],[Attrition]] = "Yes", 1,0)</f>
        <v>0</v>
      </c>
      <c r="C1232" t="str">
        <f>Table1[[#This Row],[Attrition]]</f>
        <v>No</v>
      </c>
      <c r="D1232" t="str">
        <f>Table1[[#This Row],[Department]]</f>
        <v>Research &amp; Development</v>
      </c>
      <c r="E1232">
        <f>Table1[[#This Row],[EnvironmentSatisfaction]]</f>
        <v>2</v>
      </c>
      <c r="F1232">
        <f>Table1[[#This Row],[HourlyRate]]</f>
        <v>91</v>
      </c>
      <c r="G1232" t="str">
        <f>Table1[[#This Row],[JobRole]]</f>
        <v>Laboratory Technician</v>
      </c>
      <c r="H1232">
        <f>Table1[[#This Row],[JobSatisfaction]]</f>
        <v>1</v>
      </c>
      <c r="I1232">
        <f>Table1[[#This Row],[YearsAtCompany]]</f>
        <v>6</v>
      </c>
      <c r="J1232">
        <f>Table1[[#This Row],[YearsSinceLastPromotion]]</f>
        <v>1</v>
      </c>
      <c r="K1232">
        <f>Table1[[#This Row],[EmployeeNumber]]</f>
        <v>1725</v>
      </c>
      <c r="L1232">
        <f>Table1[[#This Row],[DistanceFromHome]]</f>
        <v>29</v>
      </c>
      <c r="M1232" t="str">
        <f>Table1[[#This Row],[OverTime]]</f>
        <v>No</v>
      </c>
      <c r="N1232">
        <f>Table1[[#This Row],[WorkLifeBalance]]</f>
        <v>4</v>
      </c>
      <c r="O1232" t="str" cm="1">
        <f t="array" ref="O1232">_xlfn.IFS(A1232&lt;=30,"18-30",A1232&lt;=40,"31-40",A1232&lt;=50,"41-50",A1232&gt;50,"51+")</f>
        <v>18-30</v>
      </c>
      <c r="P1232" t="str" cm="1">
        <f t="array" ref="P1232">_xlfn.IFS(F1232&lt;=45,"45 or below",F1232&lt;= 60,"46-60",F1232&lt;=75,"61-75",F1232&lt;=90,"76-90",F1232&gt;90,"91 or above")</f>
        <v>91 or above</v>
      </c>
      <c r="Q12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32" t="str" cm="1">
        <f t="array" ref="R123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33" spans="1:18" x14ac:dyDescent="0.2">
      <c r="A1233">
        <f>Table1[[#This Row],[Age]]</f>
        <v>46</v>
      </c>
      <c r="B1233">
        <f>IF(Table3[[#This Row],[Attrition]] = "Yes", 1,0)</f>
        <v>0</v>
      </c>
      <c r="C1233" t="str">
        <f>Table1[[#This Row],[Attrition]]</f>
        <v>No</v>
      </c>
      <c r="D1233" t="str">
        <f>Table1[[#This Row],[Department]]</f>
        <v>Research &amp; Development</v>
      </c>
      <c r="E1233">
        <f>Table1[[#This Row],[EnvironmentSatisfaction]]</f>
        <v>3</v>
      </c>
      <c r="F1233">
        <f>Table1[[#This Row],[HourlyRate]]</f>
        <v>34</v>
      </c>
      <c r="G1233" t="str">
        <f>Table1[[#This Row],[JobRole]]</f>
        <v>Healthcare Representative</v>
      </c>
      <c r="H1233">
        <f>Table1[[#This Row],[JobSatisfaction]]</f>
        <v>2</v>
      </c>
      <c r="I1233">
        <f>Table1[[#This Row],[YearsAtCompany]]</f>
        <v>10</v>
      </c>
      <c r="J1233">
        <f>Table1[[#This Row],[YearsSinceLastPromotion]]</f>
        <v>0</v>
      </c>
      <c r="K1233">
        <f>Table1[[#This Row],[EmployeeNumber]]</f>
        <v>1727</v>
      </c>
      <c r="L1233">
        <f>Table1[[#This Row],[DistanceFromHome]]</f>
        <v>13</v>
      </c>
      <c r="M1233" t="str">
        <f>Table1[[#This Row],[OverTime]]</f>
        <v>No</v>
      </c>
      <c r="N1233">
        <f>Table1[[#This Row],[WorkLifeBalance]]</f>
        <v>3</v>
      </c>
      <c r="O1233" t="str" cm="1">
        <f t="array" ref="O1233">_xlfn.IFS(A1233&lt;=30,"18-30",A1233&lt;=40,"31-40",A1233&lt;=50,"41-50",A1233&gt;50,"51+")</f>
        <v>41-50</v>
      </c>
      <c r="P1233" t="str" cm="1">
        <f t="array" ref="P1233">_xlfn.IFS(F1233&lt;=45,"45 or below",F1233&lt;= 60,"46-60",F1233&lt;=75,"61-75",F1233&lt;=90,"76-90",F1233&gt;90,"91 or above")</f>
        <v>45 or below</v>
      </c>
      <c r="Q12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33" t="str" cm="1">
        <f t="array" ref="R12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34" spans="1:18" x14ac:dyDescent="0.2">
      <c r="A1234">
        <f>Table1[[#This Row],[Age]]</f>
        <v>35</v>
      </c>
      <c r="B1234">
        <f>IF(Table3[[#This Row],[Attrition]] = "Yes", 1,0)</f>
        <v>0</v>
      </c>
      <c r="C1234" t="str">
        <f>Table1[[#This Row],[Attrition]]</f>
        <v>No</v>
      </c>
      <c r="D1234" t="str">
        <f>Table1[[#This Row],[Department]]</f>
        <v>Research &amp; Development</v>
      </c>
      <c r="E1234">
        <f>Table1[[#This Row],[EnvironmentSatisfaction]]</f>
        <v>4</v>
      </c>
      <c r="F1234">
        <f>Table1[[#This Row],[HourlyRate]]</f>
        <v>49</v>
      </c>
      <c r="G1234" t="str">
        <f>Table1[[#This Row],[JobRole]]</f>
        <v>Manufacturing Director</v>
      </c>
      <c r="H1234">
        <f>Table1[[#This Row],[JobSatisfaction]]</f>
        <v>3</v>
      </c>
      <c r="I1234">
        <f>Table1[[#This Row],[YearsAtCompany]]</f>
        <v>7</v>
      </c>
      <c r="J1234">
        <f>Table1[[#This Row],[YearsSinceLastPromotion]]</f>
        <v>0</v>
      </c>
      <c r="K1234">
        <f>Table1[[#This Row],[EmployeeNumber]]</f>
        <v>1728</v>
      </c>
      <c r="L1234">
        <f>Table1[[#This Row],[DistanceFromHome]]</f>
        <v>27</v>
      </c>
      <c r="M1234" t="str">
        <f>Table1[[#This Row],[OverTime]]</f>
        <v>No</v>
      </c>
      <c r="N1234">
        <f>Table1[[#This Row],[WorkLifeBalance]]</f>
        <v>3</v>
      </c>
      <c r="O1234" t="str" cm="1">
        <f t="array" ref="O1234">_xlfn.IFS(A1234&lt;=30,"18-30",A1234&lt;=40,"31-40",A1234&lt;=50,"41-50",A1234&gt;50,"51+")</f>
        <v>31-40</v>
      </c>
      <c r="P1234" t="str" cm="1">
        <f t="array" ref="P1234">_xlfn.IFS(F1234&lt;=45,"45 or below",F1234&lt;= 60,"46-60",F1234&lt;=75,"61-75",F1234&lt;=90,"76-90",F1234&gt;90,"91 or above")</f>
        <v>46-60</v>
      </c>
      <c r="Q12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34" t="str" cm="1">
        <f t="array" ref="R123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35" spans="1:18" x14ac:dyDescent="0.2">
      <c r="A1235">
        <f>Table1[[#This Row],[Age]]</f>
        <v>30</v>
      </c>
      <c r="B1235">
        <f>IF(Table3[[#This Row],[Attrition]] = "Yes", 1,0)</f>
        <v>0</v>
      </c>
      <c r="C1235" t="str">
        <f>Table1[[#This Row],[Attrition]]</f>
        <v>No</v>
      </c>
      <c r="D1235" t="str">
        <f>Table1[[#This Row],[Department]]</f>
        <v>Research &amp; Development</v>
      </c>
      <c r="E1235">
        <f>Table1[[#This Row],[EnvironmentSatisfaction]]</f>
        <v>2</v>
      </c>
      <c r="F1235">
        <f>Table1[[#This Row],[HourlyRate]]</f>
        <v>33</v>
      </c>
      <c r="G1235" t="str">
        <f>Table1[[#This Row],[JobRole]]</f>
        <v>Research Scientist</v>
      </c>
      <c r="H1235">
        <f>Table1[[#This Row],[JobSatisfaction]]</f>
        <v>4</v>
      </c>
      <c r="I1235">
        <f>Table1[[#This Row],[YearsAtCompany]]</f>
        <v>10</v>
      </c>
      <c r="J1235">
        <f>Table1[[#This Row],[YearsSinceLastPromotion]]</f>
        <v>0</v>
      </c>
      <c r="K1235">
        <f>Table1[[#This Row],[EmployeeNumber]]</f>
        <v>1729</v>
      </c>
      <c r="L1235">
        <f>Table1[[#This Row],[DistanceFromHome]]</f>
        <v>16</v>
      </c>
      <c r="M1235" t="str">
        <f>Table1[[#This Row],[OverTime]]</f>
        <v>No</v>
      </c>
      <c r="N1235">
        <f>Table1[[#This Row],[WorkLifeBalance]]</f>
        <v>2</v>
      </c>
      <c r="O1235" t="str" cm="1">
        <f t="array" ref="O1235">_xlfn.IFS(A1235&lt;=30,"18-30",A1235&lt;=40,"31-40",A1235&lt;=50,"41-50",A1235&gt;50,"51+")</f>
        <v>18-30</v>
      </c>
      <c r="P1235" t="str" cm="1">
        <f t="array" ref="P1235">_xlfn.IFS(F1235&lt;=45,"45 or below",F1235&lt;= 60,"46-60",F1235&lt;=75,"61-75",F1235&lt;=90,"76-90",F1235&gt;90,"91 or above")</f>
        <v>45 or below</v>
      </c>
      <c r="Q12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35" t="str" cm="1">
        <f t="array" ref="R123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36" spans="1:18" x14ac:dyDescent="0.2">
      <c r="A1236">
        <f>Table1[[#This Row],[Age]]</f>
        <v>47</v>
      </c>
      <c r="B1236">
        <f>IF(Table3[[#This Row],[Attrition]] = "Yes", 1,0)</f>
        <v>0</v>
      </c>
      <c r="C1236" t="str">
        <f>Table1[[#This Row],[Attrition]]</f>
        <v>No</v>
      </c>
      <c r="D1236" t="str">
        <f>Table1[[#This Row],[Department]]</f>
        <v>Sales</v>
      </c>
      <c r="E1236">
        <f>Table1[[#This Row],[EnvironmentSatisfaction]]</f>
        <v>3</v>
      </c>
      <c r="F1236">
        <f>Table1[[#This Row],[HourlyRate]]</f>
        <v>87</v>
      </c>
      <c r="G1236" t="str">
        <f>Table1[[#This Row],[JobRole]]</f>
        <v>Sales Executive</v>
      </c>
      <c r="H1236">
        <f>Table1[[#This Row],[JobSatisfaction]]</f>
        <v>2</v>
      </c>
      <c r="I1236">
        <f>Table1[[#This Row],[YearsAtCompany]]</f>
        <v>1</v>
      </c>
      <c r="J1236">
        <f>Table1[[#This Row],[YearsSinceLastPromotion]]</f>
        <v>0</v>
      </c>
      <c r="K1236">
        <f>Table1[[#This Row],[EmployeeNumber]]</f>
        <v>1731</v>
      </c>
      <c r="L1236">
        <f>Table1[[#This Row],[DistanceFromHome]]</f>
        <v>2</v>
      </c>
      <c r="M1236" t="str">
        <f>Table1[[#This Row],[OverTime]]</f>
        <v>No</v>
      </c>
      <c r="N1236">
        <f>Table1[[#This Row],[WorkLifeBalance]]</f>
        <v>1</v>
      </c>
      <c r="O1236" t="str" cm="1">
        <f t="array" ref="O1236">_xlfn.IFS(A1236&lt;=30,"18-30",A1236&lt;=40,"31-40",A1236&lt;=50,"41-50",A1236&gt;50,"51+")</f>
        <v>41-50</v>
      </c>
      <c r="P1236" t="str" cm="1">
        <f t="array" ref="P1236">_xlfn.IFS(F1236&lt;=45,"45 or below",F1236&lt;= 60,"46-60",F1236&lt;=75,"61-75",F1236&lt;=90,"76-90",F1236&gt;90,"91 or above")</f>
        <v>76-90</v>
      </c>
      <c r="Q12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236" t="str" cm="1">
        <f t="array" ref="R123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37" spans="1:18" x14ac:dyDescent="0.2">
      <c r="A1237">
        <f>Table1[[#This Row],[Age]]</f>
        <v>46</v>
      </c>
      <c r="B1237">
        <f>IF(Table3[[#This Row],[Attrition]] = "Yes", 1,0)</f>
        <v>0</v>
      </c>
      <c r="C1237" t="str">
        <f>Table1[[#This Row],[Attrition]]</f>
        <v>No</v>
      </c>
      <c r="D1237" t="str">
        <f>Table1[[#This Row],[Department]]</f>
        <v>Sales</v>
      </c>
      <c r="E1237">
        <f>Table1[[#This Row],[EnvironmentSatisfaction]]</f>
        <v>3</v>
      </c>
      <c r="F1237">
        <f>Table1[[#This Row],[HourlyRate]]</f>
        <v>74</v>
      </c>
      <c r="G1237" t="str">
        <f>Table1[[#This Row],[JobRole]]</f>
        <v>Sales Executive</v>
      </c>
      <c r="H1237">
        <f>Table1[[#This Row],[JobSatisfaction]]</f>
        <v>4</v>
      </c>
      <c r="I1237">
        <f>Table1[[#This Row],[YearsAtCompany]]</f>
        <v>10</v>
      </c>
      <c r="J1237">
        <f>Table1[[#This Row],[YearsSinceLastPromotion]]</f>
        <v>0</v>
      </c>
      <c r="K1237">
        <f>Table1[[#This Row],[EmployeeNumber]]</f>
        <v>1732</v>
      </c>
      <c r="L1237">
        <f>Table1[[#This Row],[DistanceFromHome]]</f>
        <v>2</v>
      </c>
      <c r="M1237" t="str">
        <f>Table1[[#This Row],[OverTime]]</f>
        <v>Yes</v>
      </c>
      <c r="N1237">
        <f>Table1[[#This Row],[WorkLifeBalance]]</f>
        <v>2</v>
      </c>
      <c r="O1237" t="str" cm="1">
        <f t="array" ref="O1237">_xlfn.IFS(A1237&lt;=30,"18-30",A1237&lt;=40,"31-40",A1237&lt;=50,"41-50",A1237&gt;50,"51+")</f>
        <v>41-50</v>
      </c>
      <c r="P1237" t="str" cm="1">
        <f t="array" ref="P1237">_xlfn.IFS(F1237&lt;=45,"45 or below",F1237&lt;= 60,"46-60",F1237&lt;=75,"61-75",F1237&lt;=90,"76-90",F1237&gt;90,"91 or above")</f>
        <v>61-75</v>
      </c>
      <c r="Q12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37" t="str" cm="1">
        <f t="array" ref="R123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38" spans="1:18" hidden="1" x14ac:dyDescent="0.2">
      <c r="A1238">
        <f>Table1[[#This Row],[Age]]</f>
        <v>36</v>
      </c>
      <c r="B1238">
        <f>IF(Table3[[#This Row],[Attrition]] = "Yes", 1,0)</f>
        <v>1</v>
      </c>
      <c r="C1238" t="str">
        <f>Table1[[#This Row],[Attrition]]</f>
        <v>Yes</v>
      </c>
      <c r="D1238" t="str">
        <f>Table1[[#This Row],[Department]]</f>
        <v>Sales</v>
      </c>
      <c r="E1238">
        <f>Table1[[#This Row],[EnvironmentSatisfaction]]</f>
        <v>2</v>
      </c>
      <c r="F1238">
        <f>Table1[[#This Row],[HourlyRate]]</f>
        <v>96</v>
      </c>
      <c r="G1238" t="str">
        <f>Table1[[#This Row],[JobRole]]</f>
        <v>Sales Executive</v>
      </c>
      <c r="H1238">
        <f>Table1[[#This Row],[JobSatisfaction]]</f>
        <v>1</v>
      </c>
      <c r="I1238">
        <f>Table1[[#This Row],[YearsAtCompany]]</f>
        <v>2</v>
      </c>
      <c r="J1238">
        <f>Table1[[#This Row],[YearsSinceLastPromotion]]</f>
        <v>2</v>
      </c>
      <c r="K1238">
        <f>Table1[[#This Row],[EmployeeNumber]]</f>
        <v>1733</v>
      </c>
      <c r="L1238">
        <f>Table1[[#This Row],[DistanceFromHome]]</f>
        <v>13</v>
      </c>
      <c r="M1238" t="str">
        <f>Table1[[#This Row],[OverTime]]</f>
        <v>Yes</v>
      </c>
      <c r="N1238">
        <f>Table1[[#This Row],[WorkLifeBalance]]</f>
        <v>3</v>
      </c>
      <c r="O1238" t="str" cm="1">
        <f t="array" ref="O1238">_xlfn.IFS(A1238&lt;=30,"18-30",A1238&lt;=40,"31-40",A1238&lt;=50,"41-50",A1238&gt;50,"51+")</f>
        <v>31-40</v>
      </c>
      <c r="P1238" t="str" cm="1">
        <f t="array" ref="P1238">_xlfn.IFS(F1238&lt;=45,"45 or below",F1238&lt;= 60,"46-60",F1238&lt;=75,"61-75",F1238&lt;=90,"76-90",F1238&gt;90,"91 or above")</f>
        <v>91 or above</v>
      </c>
      <c r="Q123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38" t="str" cm="1">
        <f t="array" ref="R1238" xml:space="preserve"> _xlfn.IFS(Table3[[#This Row],[Flight Risk Score]] = "NA","NA",Table3[[#This Row],[Flight Risk Score]] &gt;= 70,"High Risk",Table3[[#This Row],[Flight Risk Score]] &gt;= 50, "Medium Risk", Table3[[#This Row],[Flight Risk Score]] &gt;= 30,"Low Risk",Table3[[#This Row],[Flight Risk Score]] &lt; 30,"Very Low Risk")</f>
        <v>NA</v>
      </c>
    </row>
    <row r="1239" spans="1:18" hidden="1" x14ac:dyDescent="0.2">
      <c r="A1239">
        <f>Table1[[#This Row],[Age]]</f>
        <v>32</v>
      </c>
      <c r="B1239">
        <f>IF(Table3[[#This Row],[Attrition]] = "Yes", 1,0)</f>
        <v>1</v>
      </c>
      <c r="C1239" t="str">
        <f>Table1[[#This Row],[Attrition]]</f>
        <v>Yes</v>
      </c>
      <c r="D1239" t="str">
        <f>Table1[[#This Row],[Department]]</f>
        <v>Sales</v>
      </c>
      <c r="E1239">
        <f>Table1[[#This Row],[EnvironmentSatisfaction]]</f>
        <v>1</v>
      </c>
      <c r="F1239">
        <f>Table1[[#This Row],[HourlyRate]]</f>
        <v>34</v>
      </c>
      <c r="G1239" t="str">
        <f>Table1[[#This Row],[JobRole]]</f>
        <v>Sales Executive</v>
      </c>
      <c r="H1239">
        <f>Table1[[#This Row],[JobSatisfaction]]</f>
        <v>2</v>
      </c>
      <c r="I1239">
        <f>Table1[[#This Row],[YearsAtCompany]]</f>
        <v>0</v>
      </c>
      <c r="J1239">
        <f>Table1[[#This Row],[YearsSinceLastPromotion]]</f>
        <v>0</v>
      </c>
      <c r="K1239">
        <f>Table1[[#This Row],[EmployeeNumber]]</f>
        <v>1734</v>
      </c>
      <c r="L1239">
        <f>Table1[[#This Row],[DistanceFromHome]]</f>
        <v>1</v>
      </c>
      <c r="M1239" t="str">
        <f>Table1[[#This Row],[OverTime]]</f>
        <v>No</v>
      </c>
      <c r="N1239">
        <f>Table1[[#This Row],[WorkLifeBalance]]</f>
        <v>3</v>
      </c>
      <c r="O1239" t="str" cm="1">
        <f t="array" ref="O1239">_xlfn.IFS(A1239&lt;=30,"18-30",A1239&lt;=40,"31-40",A1239&lt;=50,"41-50",A1239&gt;50,"51+")</f>
        <v>31-40</v>
      </c>
      <c r="P1239" t="str" cm="1">
        <f t="array" ref="P1239">_xlfn.IFS(F1239&lt;=45,"45 or below",F1239&lt;= 60,"46-60",F1239&lt;=75,"61-75",F1239&lt;=90,"76-90",F1239&gt;90,"91 or above")</f>
        <v>45 or below</v>
      </c>
      <c r="Q123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39" t="str" cm="1">
        <f t="array" ref="R1239" xml:space="preserve"> _xlfn.IFS(Table3[[#This Row],[Flight Risk Score]] = "NA","NA",Table3[[#This Row],[Flight Risk Score]] &gt;= 70,"High Risk",Table3[[#This Row],[Flight Risk Score]] &gt;= 50, "Medium Risk", Table3[[#This Row],[Flight Risk Score]] &gt;= 30,"Low Risk",Table3[[#This Row],[Flight Risk Score]] &lt; 30,"Very Low Risk")</f>
        <v>NA</v>
      </c>
    </row>
    <row r="1240" spans="1:18" x14ac:dyDescent="0.2">
      <c r="A1240">
        <f>Table1[[#This Row],[Age]]</f>
        <v>23</v>
      </c>
      <c r="B1240">
        <f>IF(Table3[[#This Row],[Attrition]] = "Yes", 1,0)</f>
        <v>0</v>
      </c>
      <c r="C1240" t="str">
        <f>Table1[[#This Row],[Attrition]]</f>
        <v>No</v>
      </c>
      <c r="D1240" t="str">
        <f>Table1[[#This Row],[Department]]</f>
        <v>Research &amp; Development</v>
      </c>
      <c r="E1240">
        <f>Table1[[#This Row],[EnvironmentSatisfaction]]</f>
        <v>3</v>
      </c>
      <c r="F1240">
        <f>Table1[[#This Row],[HourlyRate]]</f>
        <v>51</v>
      </c>
      <c r="G1240" t="str">
        <f>Table1[[#This Row],[JobRole]]</f>
        <v>Laboratory Technician</v>
      </c>
      <c r="H1240">
        <f>Table1[[#This Row],[JobSatisfaction]]</f>
        <v>2</v>
      </c>
      <c r="I1240">
        <f>Table1[[#This Row],[YearsAtCompany]]</f>
        <v>3</v>
      </c>
      <c r="J1240">
        <f>Table1[[#This Row],[YearsSinceLastPromotion]]</f>
        <v>1</v>
      </c>
      <c r="K1240">
        <f>Table1[[#This Row],[EmployeeNumber]]</f>
        <v>1735</v>
      </c>
      <c r="L1240">
        <f>Table1[[#This Row],[DistanceFromHome]]</f>
        <v>4</v>
      </c>
      <c r="M1240" t="str">
        <f>Table1[[#This Row],[OverTime]]</f>
        <v>No</v>
      </c>
      <c r="N1240">
        <f>Table1[[#This Row],[WorkLifeBalance]]</f>
        <v>1</v>
      </c>
      <c r="O1240" t="str" cm="1">
        <f t="array" ref="O1240">_xlfn.IFS(A1240&lt;=30,"18-30",A1240&lt;=40,"31-40",A1240&lt;=50,"41-50",A1240&gt;50,"51+")</f>
        <v>18-30</v>
      </c>
      <c r="P1240" t="str" cm="1">
        <f t="array" ref="P1240">_xlfn.IFS(F1240&lt;=45,"45 or below",F1240&lt;= 60,"46-60",F1240&lt;=75,"61-75",F1240&lt;=90,"76-90",F1240&gt;90,"91 or above")</f>
        <v>46-60</v>
      </c>
      <c r="Q124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240" t="str" cm="1">
        <f t="array" ref="R124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41" spans="1:18" x14ac:dyDescent="0.2">
      <c r="A1241">
        <f>Table1[[#This Row],[Age]]</f>
        <v>31</v>
      </c>
      <c r="B1241">
        <f>IF(Table3[[#This Row],[Attrition]] = "Yes", 1,0)</f>
        <v>0</v>
      </c>
      <c r="C1241" t="str">
        <f>Table1[[#This Row],[Attrition]]</f>
        <v>No</v>
      </c>
      <c r="D1241" t="str">
        <f>Table1[[#This Row],[Department]]</f>
        <v>Research &amp; Development</v>
      </c>
      <c r="E1241">
        <f>Table1[[#This Row],[EnvironmentSatisfaction]]</f>
        <v>4</v>
      </c>
      <c r="F1241">
        <f>Table1[[#This Row],[HourlyRate]]</f>
        <v>30</v>
      </c>
      <c r="G1241" t="str">
        <f>Table1[[#This Row],[JobRole]]</f>
        <v>Manufacturing Director</v>
      </c>
      <c r="H1241">
        <f>Table1[[#This Row],[JobSatisfaction]]</f>
        <v>4</v>
      </c>
      <c r="I1241">
        <f>Table1[[#This Row],[YearsAtCompany]]</f>
        <v>5</v>
      </c>
      <c r="J1241">
        <f>Table1[[#This Row],[YearsSinceLastPromotion]]</f>
        <v>1</v>
      </c>
      <c r="K1241">
        <f>Table1[[#This Row],[EmployeeNumber]]</f>
        <v>1736</v>
      </c>
      <c r="L1241">
        <f>Table1[[#This Row],[DistanceFromHome]]</f>
        <v>24</v>
      </c>
      <c r="M1241" t="str">
        <f>Table1[[#This Row],[OverTime]]</f>
        <v>No</v>
      </c>
      <c r="N1241">
        <f>Table1[[#This Row],[WorkLifeBalance]]</f>
        <v>2</v>
      </c>
      <c r="O1241" t="str" cm="1">
        <f t="array" ref="O1241">_xlfn.IFS(A1241&lt;=30,"18-30",A1241&lt;=40,"31-40",A1241&lt;=50,"41-50",A1241&gt;50,"51+")</f>
        <v>31-40</v>
      </c>
      <c r="P1241" t="str" cm="1">
        <f t="array" ref="P1241">_xlfn.IFS(F1241&lt;=45,"45 or below",F1241&lt;= 60,"46-60",F1241&lt;=75,"61-75",F1241&lt;=90,"76-90",F1241&gt;90,"91 or above")</f>
        <v>45 or below</v>
      </c>
      <c r="Q12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41" t="str" cm="1">
        <f t="array" ref="R12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42" spans="1:18" x14ac:dyDescent="0.2">
      <c r="A1242">
        <f>Table1[[#This Row],[Age]]</f>
        <v>39</v>
      </c>
      <c r="B1242">
        <f>IF(Table3[[#This Row],[Attrition]] = "Yes", 1,0)</f>
        <v>0</v>
      </c>
      <c r="C1242" t="str">
        <f>Table1[[#This Row],[Attrition]]</f>
        <v>No</v>
      </c>
      <c r="D1242" t="str">
        <f>Table1[[#This Row],[Department]]</f>
        <v>Research &amp; Development</v>
      </c>
      <c r="E1242">
        <f>Table1[[#This Row],[EnvironmentSatisfaction]]</f>
        <v>4</v>
      </c>
      <c r="F1242">
        <f>Table1[[#This Row],[HourlyRate]]</f>
        <v>77</v>
      </c>
      <c r="G1242" t="str">
        <f>Table1[[#This Row],[JobRole]]</f>
        <v>Laboratory Technician</v>
      </c>
      <c r="H1242">
        <f>Table1[[#This Row],[JobSatisfaction]]</f>
        <v>4</v>
      </c>
      <c r="I1242">
        <f>Table1[[#This Row],[YearsAtCompany]]</f>
        <v>9</v>
      </c>
      <c r="J1242">
        <f>Table1[[#This Row],[YearsSinceLastPromotion]]</f>
        <v>5</v>
      </c>
      <c r="K1242">
        <f>Table1[[#This Row],[EmployeeNumber]]</f>
        <v>1737</v>
      </c>
      <c r="L1242">
        <f>Table1[[#This Row],[DistanceFromHome]]</f>
        <v>1</v>
      </c>
      <c r="M1242" t="str">
        <f>Table1[[#This Row],[OverTime]]</f>
        <v>Yes</v>
      </c>
      <c r="N1242">
        <f>Table1[[#This Row],[WorkLifeBalance]]</f>
        <v>3</v>
      </c>
      <c r="O1242" t="str" cm="1">
        <f t="array" ref="O1242">_xlfn.IFS(A1242&lt;=30,"18-30",A1242&lt;=40,"31-40",A1242&lt;=50,"41-50",A1242&gt;50,"51+")</f>
        <v>31-40</v>
      </c>
      <c r="P1242" t="str" cm="1">
        <f t="array" ref="P1242">_xlfn.IFS(F1242&lt;=45,"45 or below",F1242&lt;= 60,"46-60",F1242&lt;=75,"61-75",F1242&lt;=90,"76-90",F1242&gt;90,"91 or above")</f>
        <v>76-90</v>
      </c>
      <c r="Q12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42" t="str" cm="1">
        <f t="array" ref="R124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43" spans="1:18" x14ac:dyDescent="0.2">
      <c r="A1243">
        <f>Table1[[#This Row],[Age]]</f>
        <v>32</v>
      </c>
      <c r="B1243">
        <f>IF(Table3[[#This Row],[Attrition]] = "Yes", 1,0)</f>
        <v>0</v>
      </c>
      <c r="C1243" t="str">
        <f>Table1[[#This Row],[Attrition]]</f>
        <v>No</v>
      </c>
      <c r="D1243" t="str">
        <f>Table1[[#This Row],[Department]]</f>
        <v>Sales</v>
      </c>
      <c r="E1243">
        <f>Table1[[#This Row],[EnvironmentSatisfaction]]</f>
        <v>4</v>
      </c>
      <c r="F1243">
        <f>Table1[[#This Row],[HourlyRate]]</f>
        <v>80</v>
      </c>
      <c r="G1243" t="str">
        <f>Table1[[#This Row],[JobRole]]</f>
        <v>Sales Executive</v>
      </c>
      <c r="H1243">
        <f>Table1[[#This Row],[JobSatisfaction]]</f>
        <v>3</v>
      </c>
      <c r="I1243">
        <f>Table1[[#This Row],[YearsAtCompany]]</f>
        <v>4</v>
      </c>
      <c r="J1243">
        <f>Table1[[#This Row],[YearsSinceLastPromotion]]</f>
        <v>0</v>
      </c>
      <c r="K1243">
        <f>Table1[[#This Row],[EmployeeNumber]]</f>
        <v>1739</v>
      </c>
      <c r="L1243">
        <f>Table1[[#This Row],[DistanceFromHome]]</f>
        <v>19</v>
      </c>
      <c r="M1243" t="str">
        <f>Table1[[#This Row],[OverTime]]</f>
        <v>No</v>
      </c>
      <c r="N1243">
        <f>Table1[[#This Row],[WorkLifeBalance]]</f>
        <v>1</v>
      </c>
      <c r="O1243" t="str" cm="1">
        <f t="array" ref="O1243">_xlfn.IFS(A1243&lt;=30,"18-30",A1243&lt;=40,"31-40",A1243&lt;=50,"41-50",A1243&gt;50,"51+")</f>
        <v>31-40</v>
      </c>
      <c r="P1243" t="str" cm="1">
        <f t="array" ref="P1243">_xlfn.IFS(F1243&lt;=45,"45 or below",F1243&lt;= 60,"46-60",F1243&lt;=75,"61-75",F1243&lt;=90,"76-90",F1243&gt;90,"91 or above")</f>
        <v>76-90</v>
      </c>
      <c r="Q12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43" t="str" cm="1">
        <f t="array" ref="R124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44" spans="1:18" x14ac:dyDescent="0.2">
      <c r="A1244">
        <f>Table1[[#This Row],[Age]]</f>
        <v>40</v>
      </c>
      <c r="B1244">
        <f>IF(Table3[[#This Row],[Attrition]] = "Yes", 1,0)</f>
        <v>0</v>
      </c>
      <c r="C1244" t="str">
        <f>Table1[[#This Row],[Attrition]]</f>
        <v>No</v>
      </c>
      <c r="D1244" t="str">
        <f>Table1[[#This Row],[Department]]</f>
        <v>Sales</v>
      </c>
      <c r="E1244">
        <f>Table1[[#This Row],[EnvironmentSatisfaction]]</f>
        <v>2</v>
      </c>
      <c r="F1244">
        <f>Table1[[#This Row],[HourlyRate]]</f>
        <v>88</v>
      </c>
      <c r="G1244" t="str">
        <f>Table1[[#This Row],[JobRole]]</f>
        <v>Manager</v>
      </c>
      <c r="H1244">
        <f>Table1[[#This Row],[JobSatisfaction]]</f>
        <v>2</v>
      </c>
      <c r="I1244">
        <f>Table1[[#This Row],[YearsAtCompany]]</f>
        <v>21</v>
      </c>
      <c r="J1244">
        <f>Table1[[#This Row],[YearsSinceLastPromotion]]</f>
        <v>12</v>
      </c>
      <c r="K1244">
        <f>Table1[[#This Row],[EmployeeNumber]]</f>
        <v>1740</v>
      </c>
      <c r="L1244">
        <f>Table1[[#This Row],[DistanceFromHome]]</f>
        <v>7</v>
      </c>
      <c r="M1244" t="str">
        <f>Table1[[#This Row],[OverTime]]</f>
        <v>No</v>
      </c>
      <c r="N1244">
        <f>Table1[[#This Row],[WorkLifeBalance]]</f>
        <v>2</v>
      </c>
      <c r="O1244" t="str" cm="1">
        <f t="array" ref="O1244">_xlfn.IFS(A1244&lt;=30,"18-30",A1244&lt;=40,"31-40",A1244&lt;=50,"41-50",A1244&gt;50,"51+")</f>
        <v>31-40</v>
      </c>
      <c r="P1244" t="str" cm="1">
        <f t="array" ref="P1244">_xlfn.IFS(F1244&lt;=45,"45 or below",F1244&lt;= 60,"46-60",F1244&lt;=75,"61-75",F1244&lt;=90,"76-90",F1244&gt;90,"91 or above")</f>
        <v>76-90</v>
      </c>
      <c r="Q12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44" t="str" cm="1">
        <f t="array" ref="R124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45" spans="1:18" x14ac:dyDescent="0.2">
      <c r="A1245">
        <f>Table1[[#This Row],[Age]]</f>
        <v>45</v>
      </c>
      <c r="B1245">
        <f>IF(Table3[[#This Row],[Attrition]] = "Yes", 1,0)</f>
        <v>0</v>
      </c>
      <c r="C1245" t="str">
        <f>Table1[[#This Row],[Attrition]]</f>
        <v>No</v>
      </c>
      <c r="D1245" t="str">
        <f>Table1[[#This Row],[Department]]</f>
        <v>Human Resources</v>
      </c>
      <c r="E1245">
        <f>Table1[[#This Row],[EnvironmentSatisfaction]]</f>
        <v>3</v>
      </c>
      <c r="F1245">
        <f>Table1[[#This Row],[HourlyRate]]</f>
        <v>56</v>
      </c>
      <c r="G1245" t="str">
        <f>Table1[[#This Row],[JobRole]]</f>
        <v>Human Resources</v>
      </c>
      <c r="H1245">
        <f>Table1[[#This Row],[JobSatisfaction]]</f>
        <v>3</v>
      </c>
      <c r="I1245">
        <f>Table1[[#This Row],[YearsAtCompany]]</f>
        <v>5</v>
      </c>
      <c r="J1245">
        <f>Table1[[#This Row],[YearsSinceLastPromotion]]</f>
        <v>0</v>
      </c>
      <c r="K1245">
        <f>Table1[[#This Row],[EmployeeNumber]]</f>
        <v>1744</v>
      </c>
      <c r="L1245">
        <f>Table1[[#This Row],[DistanceFromHome]]</f>
        <v>4</v>
      </c>
      <c r="M1245" t="str">
        <f>Table1[[#This Row],[OverTime]]</f>
        <v>No</v>
      </c>
      <c r="N1245">
        <f>Table1[[#This Row],[WorkLifeBalance]]</f>
        <v>4</v>
      </c>
      <c r="O1245" t="str" cm="1">
        <f t="array" ref="O1245">_xlfn.IFS(A1245&lt;=30,"18-30",A1245&lt;=40,"31-40",A1245&lt;=50,"41-50",A1245&gt;50,"51+")</f>
        <v>41-50</v>
      </c>
      <c r="P1245" t="str" cm="1">
        <f t="array" ref="P1245">_xlfn.IFS(F1245&lt;=45,"45 or below",F1245&lt;= 60,"46-60",F1245&lt;=75,"61-75",F1245&lt;=90,"76-90",F1245&gt;90,"91 or above")</f>
        <v>46-60</v>
      </c>
      <c r="Q12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45" t="str" cm="1">
        <f t="array" ref="R12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46" spans="1:18" x14ac:dyDescent="0.2">
      <c r="A1246">
        <f>Table1[[#This Row],[Age]]</f>
        <v>30</v>
      </c>
      <c r="B1246">
        <f>IF(Table3[[#This Row],[Attrition]] = "Yes", 1,0)</f>
        <v>0</v>
      </c>
      <c r="C1246" t="str">
        <f>Table1[[#This Row],[Attrition]]</f>
        <v>No</v>
      </c>
      <c r="D1246" t="str">
        <f>Table1[[#This Row],[Department]]</f>
        <v>Research &amp; Development</v>
      </c>
      <c r="E1246">
        <f>Table1[[#This Row],[EnvironmentSatisfaction]]</f>
        <v>4</v>
      </c>
      <c r="F1246">
        <f>Table1[[#This Row],[HourlyRate]]</f>
        <v>78</v>
      </c>
      <c r="G1246" t="str">
        <f>Table1[[#This Row],[JobRole]]</f>
        <v>Research Scientist</v>
      </c>
      <c r="H1246">
        <f>Table1[[#This Row],[JobSatisfaction]]</f>
        <v>1</v>
      </c>
      <c r="I1246">
        <f>Table1[[#This Row],[YearsAtCompany]]</f>
        <v>9</v>
      </c>
      <c r="J1246">
        <f>Table1[[#This Row],[YearsSinceLastPromotion]]</f>
        <v>0</v>
      </c>
      <c r="K1246">
        <f>Table1[[#This Row],[EmployeeNumber]]</f>
        <v>1745</v>
      </c>
      <c r="L1246">
        <f>Table1[[#This Row],[DistanceFromHome]]</f>
        <v>2</v>
      </c>
      <c r="M1246" t="str">
        <f>Table1[[#This Row],[OverTime]]</f>
        <v>No</v>
      </c>
      <c r="N1246">
        <f>Table1[[#This Row],[WorkLifeBalance]]</f>
        <v>3</v>
      </c>
      <c r="O1246" t="str" cm="1">
        <f t="array" ref="O1246">_xlfn.IFS(A1246&lt;=30,"18-30",A1246&lt;=40,"31-40",A1246&lt;=50,"41-50",A1246&gt;50,"51+")</f>
        <v>18-30</v>
      </c>
      <c r="P1246" t="str" cm="1">
        <f t="array" ref="P1246">_xlfn.IFS(F1246&lt;=45,"45 or below",F1246&lt;= 60,"46-60",F1246&lt;=75,"61-75",F1246&lt;=90,"76-90",F1246&gt;90,"91 or above")</f>
        <v>76-90</v>
      </c>
      <c r="Q12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46" t="str" cm="1">
        <f t="array" ref="R124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47" spans="1:18" x14ac:dyDescent="0.2">
      <c r="A1247">
        <f>Table1[[#This Row],[Age]]</f>
        <v>24</v>
      </c>
      <c r="B1247">
        <f>IF(Table3[[#This Row],[Attrition]] = "Yes", 1,0)</f>
        <v>0</v>
      </c>
      <c r="C1247" t="str">
        <f>Table1[[#This Row],[Attrition]]</f>
        <v>No</v>
      </c>
      <c r="D1247" t="str">
        <f>Table1[[#This Row],[Department]]</f>
        <v>Human Resources</v>
      </c>
      <c r="E1247">
        <f>Table1[[#This Row],[EnvironmentSatisfaction]]</f>
        <v>1</v>
      </c>
      <c r="F1247">
        <f>Table1[[#This Row],[HourlyRate]]</f>
        <v>59</v>
      </c>
      <c r="G1247" t="str">
        <f>Table1[[#This Row],[JobRole]]</f>
        <v>Human Resources</v>
      </c>
      <c r="H1247">
        <f>Table1[[#This Row],[JobSatisfaction]]</f>
        <v>4</v>
      </c>
      <c r="I1247">
        <f>Table1[[#This Row],[YearsAtCompany]]</f>
        <v>2</v>
      </c>
      <c r="J1247">
        <f>Table1[[#This Row],[YearsSinceLastPromotion]]</f>
        <v>2</v>
      </c>
      <c r="K1247">
        <f>Table1[[#This Row],[EmployeeNumber]]</f>
        <v>1746</v>
      </c>
      <c r="L1247">
        <f>Table1[[#This Row],[DistanceFromHome]]</f>
        <v>10</v>
      </c>
      <c r="M1247" t="str">
        <f>Table1[[#This Row],[OverTime]]</f>
        <v>No</v>
      </c>
      <c r="N1247">
        <f>Table1[[#This Row],[WorkLifeBalance]]</f>
        <v>3</v>
      </c>
      <c r="O1247" t="str" cm="1">
        <f t="array" ref="O1247">_xlfn.IFS(A1247&lt;=30,"18-30",A1247&lt;=40,"31-40",A1247&lt;=50,"41-50",A1247&gt;50,"51+")</f>
        <v>18-30</v>
      </c>
      <c r="P1247" t="str" cm="1">
        <f t="array" ref="P1247">_xlfn.IFS(F1247&lt;=45,"45 or below",F1247&lt;= 60,"46-60",F1247&lt;=75,"61-75",F1247&lt;=90,"76-90",F1247&gt;90,"91 or above")</f>
        <v>46-60</v>
      </c>
      <c r="Q12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47" t="str" cm="1">
        <f t="array" ref="R124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48" spans="1:18" hidden="1" x14ac:dyDescent="0.2">
      <c r="A1248">
        <f>Table1[[#This Row],[Age]]</f>
        <v>30</v>
      </c>
      <c r="B1248">
        <f>IF(Table3[[#This Row],[Attrition]] = "Yes", 1,0)</f>
        <v>1</v>
      </c>
      <c r="C1248" t="str">
        <f>Table1[[#This Row],[Attrition]]</f>
        <v>Yes</v>
      </c>
      <c r="D1248" t="str">
        <f>Table1[[#This Row],[Department]]</f>
        <v>Human Resources</v>
      </c>
      <c r="E1248">
        <f>Table1[[#This Row],[EnvironmentSatisfaction]]</f>
        <v>3</v>
      </c>
      <c r="F1248">
        <f>Table1[[#This Row],[HourlyRate]]</f>
        <v>66</v>
      </c>
      <c r="G1248" t="str">
        <f>Table1[[#This Row],[JobRole]]</f>
        <v>Human Resources</v>
      </c>
      <c r="H1248">
        <f>Table1[[#This Row],[JobSatisfaction]]</f>
        <v>4</v>
      </c>
      <c r="I1248">
        <f>Table1[[#This Row],[YearsAtCompany]]</f>
        <v>4</v>
      </c>
      <c r="J1248">
        <f>Table1[[#This Row],[YearsSinceLastPromotion]]</f>
        <v>1</v>
      </c>
      <c r="K1248">
        <f>Table1[[#This Row],[EmployeeNumber]]</f>
        <v>1747</v>
      </c>
      <c r="L1248">
        <f>Table1[[#This Row],[DistanceFromHome]]</f>
        <v>8</v>
      </c>
      <c r="M1248" t="str">
        <f>Table1[[#This Row],[OverTime]]</f>
        <v>No</v>
      </c>
      <c r="N1248">
        <f>Table1[[#This Row],[WorkLifeBalance]]</f>
        <v>2</v>
      </c>
      <c r="O1248" t="str" cm="1">
        <f t="array" ref="O1248">_xlfn.IFS(A1248&lt;=30,"18-30",A1248&lt;=40,"31-40",A1248&lt;=50,"41-50",A1248&gt;50,"51+")</f>
        <v>18-30</v>
      </c>
      <c r="P1248" t="str" cm="1">
        <f t="array" ref="P1248">_xlfn.IFS(F1248&lt;=45,"45 or below",F1248&lt;= 60,"46-60",F1248&lt;=75,"61-75",F1248&lt;=90,"76-90",F1248&gt;90,"91 or above")</f>
        <v>61-75</v>
      </c>
      <c r="Q124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48" t="str" cm="1">
        <f t="array" ref="R1248" xml:space="preserve"> _xlfn.IFS(Table3[[#This Row],[Flight Risk Score]] = "NA","NA",Table3[[#This Row],[Flight Risk Score]] &gt;= 70,"High Risk",Table3[[#This Row],[Flight Risk Score]] &gt;= 50, "Medium Risk", Table3[[#This Row],[Flight Risk Score]] &gt;= 30,"Low Risk",Table3[[#This Row],[Flight Risk Score]] &lt; 30,"Very Low Risk")</f>
        <v>NA</v>
      </c>
    </row>
    <row r="1249" spans="1:18" x14ac:dyDescent="0.2">
      <c r="A1249">
        <f>Table1[[#This Row],[Age]]</f>
        <v>31</v>
      </c>
      <c r="B1249">
        <f>IF(Table3[[#This Row],[Attrition]] = "Yes", 1,0)</f>
        <v>0</v>
      </c>
      <c r="C1249" t="str">
        <f>Table1[[#This Row],[Attrition]]</f>
        <v>No</v>
      </c>
      <c r="D1249" t="str">
        <f>Table1[[#This Row],[Department]]</f>
        <v>Sales</v>
      </c>
      <c r="E1249">
        <f>Table1[[#This Row],[EnvironmentSatisfaction]]</f>
        <v>1</v>
      </c>
      <c r="F1249">
        <f>Table1[[#This Row],[HourlyRate]]</f>
        <v>51</v>
      </c>
      <c r="G1249" t="str">
        <f>Table1[[#This Row],[JobRole]]</f>
        <v>Sales Executive</v>
      </c>
      <c r="H1249">
        <f>Table1[[#This Row],[JobSatisfaction]]</f>
        <v>3</v>
      </c>
      <c r="I1249">
        <f>Table1[[#This Row],[YearsAtCompany]]</f>
        <v>5</v>
      </c>
      <c r="J1249">
        <f>Table1[[#This Row],[YearsSinceLastPromotion]]</f>
        <v>0</v>
      </c>
      <c r="K1249">
        <f>Table1[[#This Row],[EmployeeNumber]]</f>
        <v>1749</v>
      </c>
      <c r="L1249">
        <f>Table1[[#This Row],[DistanceFromHome]]</f>
        <v>5</v>
      </c>
      <c r="M1249" t="str">
        <f>Table1[[#This Row],[OverTime]]</f>
        <v>No</v>
      </c>
      <c r="N1249">
        <f>Table1[[#This Row],[WorkLifeBalance]]</f>
        <v>3</v>
      </c>
      <c r="O1249" t="str" cm="1">
        <f t="array" ref="O1249">_xlfn.IFS(A1249&lt;=30,"18-30",A1249&lt;=40,"31-40",A1249&lt;=50,"41-50",A1249&gt;50,"51+")</f>
        <v>31-40</v>
      </c>
      <c r="P1249" t="str" cm="1">
        <f t="array" ref="P1249">_xlfn.IFS(F1249&lt;=45,"45 or below",F1249&lt;= 60,"46-60",F1249&lt;=75,"61-75",F1249&lt;=90,"76-90",F1249&gt;90,"91 or above")</f>
        <v>46-60</v>
      </c>
      <c r="Q12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49" t="str" cm="1">
        <f t="array" ref="R12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50" spans="1:18" x14ac:dyDescent="0.2">
      <c r="A1250">
        <f>Table1[[#This Row],[Age]]</f>
        <v>27</v>
      </c>
      <c r="B1250">
        <f>IF(Table3[[#This Row],[Attrition]] = "Yes", 1,0)</f>
        <v>0</v>
      </c>
      <c r="C1250" t="str">
        <f>Table1[[#This Row],[Attrition]]</f>
        <v>No</v>
      </c>
      <c r="D1250" t="str">
        <f>Table1[[#This Row],[Department]]</f>
        <v>Research &amp; Development</v>
      </c>
      <c r="E1250">
        <f>Table1[[#This Row],[EnvironmentSatisfaction]]</f>
        <v>3</v>
      </c>
      <c r="F1250">
        <f>Table1[[#This Row],[HourlyRate]]</f>
        <v>67</v>
      </c>
      <c r="G1250" t="str">
        <f>Table1[[#This Row],[JobRole]]</f>
        <v>Research Scientist</v>
      </c>
      <c r="H1250">
        <f>Table1[[#This Row],[JobSatisfaction]]</f>
        <v>4</v>
      </c>
      <c r="I1250">
        <f>Table1[[#This Row],[YearsAtCompany]]</f>
        <v>6</v>
      </c>
      <c r="J1250">
        <f>Table1[[#This Row],[YearsSinceLastPromotion]]</f>
        <v>1</v>
      </c>
      <c r="K1250">
        <f>Table1[[#This Row],[EmployeeNumber]]</f>
        <v>1751</v>
      </c>
      <c r="L1250">
        <f>Table1[[#This Row],[DistanceFromHome]]</f>
        <v>8</v>
      </c>
      <c r="M1250" t="str">
        <f>Table1[[#This Row],[OverTime]]</f>
        <v>No</v>
      </c>
      <c r="N1250">
        <f>Table1[[#This Row],[WorkLifeBalance]]</f>
        <v>2</v>
      </c>
      <c r="O1250" t="str" cm="1">
        <f t="array" ref="O1250">_xlfn.IFS(A1250&lt;=30,"18-30",A1250&lt;=40,"31-40",A1250&lt;=50,"41-50",A1250&gt;50,"51+")</f>
        <v>18-30</v>
      </c>
      <c r="P1250" t="str" cm="1">
        <f t="array" ref="P1250">_xlfn.IFS(F1250&lt;=45,"45 or below",F1250&lt;= 60,"46-60",F1250&lt;=75,"61-75",F1250&lt;=90,"76-90",F1250&gt;90,"91 or above")</f>
        <v>61-75</v>
      </c>
      <c r="Q12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50" t="str" cm="1">
        <f t="array" ref="R12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51" spans="1:18" hidden="1" x14ac:dyDescent="0.2">
      <c r="A1251">
        <f>Table1[[#This Row],[Age]]</f>
        <v>29</v>
      </c>
      <c r="B1251">
        <f>IF(Table3[[#This Row],[Attrition]] = "Yes", 1,0)</f>
        <v>1</v>
      </c>
      <c r="C1251" t="str">
        <f>Table1[[#This Row],[Attrition]]</f>
        <v>Yes</v>
      </c>
      <c r="D1251" t="str">
        <f>Table1[[#This Row],[Department]]</f>
        <v>Sales</v>
      </c>
      <c r="E1251">
        <f>Table1[[#This Row],[EnvironmentSatisfaction]]</f>
        <v>2</v>
      </c>
      <c r="F1251">
        <f>Table1[[#This Row],[HourlyRate]]</f>
        <v>52</v>
      </c>
      <c r="G1251" t="str">
        <f>Table1[[#This Row],[JobRole]]</f>
        <v>Sales Representative</v>
      </c>
      <c r="H1251">
        <f>Table1[[#This Row],[JobSatisfaction]]</f>
        <v>2</v>
      </c>
      <c r="I1251">
        <f>Table1[[#This Row],[YearsAtCompany]]</f>
        <v>2</v>
      </c>
      <c r="J1251">
        <f>Table1[[#This Row],[YearsSinceLastPromotion]]</f>
        <v>2</v>
      </c>
      <c r="K1251">
        <f>Table1[[#This Row],[EmployeeNumber]]</f>
        <v>1752</v>
      </c>
      <c r="L1251">
        <f>Table1[[#This Row],[DistanceFromHome]]</f>
        <v>9</v>
      </c>
      <c r="M1251" t="str">
        <f>Table1[[#This Row],[OverTime]]</f>
        <v>No</v>
      </c>
      <c r="N1251">
        <f>Table1[[#This Row],[WorkLifeBalance]]</f>
        <v>3</v>
      </c>
      <c r="O1251" t="str" cm="1">
        <f t="array" ref="O1251">_xlfn.IFS(A1251&lt;=30,"18-30",A1251&lt;=40,"31-40",A1251&lt;=50,"41-50",A1251&gt;50,"51+")</f>
        <v>18-30</v>
      </c>
      <c r="P1251" t="str" cm="1">
        <f t="array" ref="P1251">_xlfn.IFS(F1251&lt;=45,"45 or below",F1251&lt;= 60,"46-60",F1251&lt;=75,"61-75",F1251&lt;=90,"76-90",F1251&gt;90,"91 or above")</f>
        <v>46-60</v>
      </c>
      <c r="Q125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51" t="str" cm="1">
        <f t="array" ref="R1251" xml:space="preserve"> _xlfn.IFS(Table3[[#This Row],[Flight Risk Score]] = "NA","NA",Table3[[#This Row],[Flight Risk Score]] &gt;= 70,"High Risk",Table3[[#This Row],[Flight Risk Score]] &gt;= 50, "Medium Risk", Table3[[#This Row],[Flight Risk Score]] &gt;= 30,"Low Risk",Table3[[#This Row],[Flight Risk Score]] &lt; 30,"Very Low Risk")</f>
        <v>NA</v>
      </c>
    </row>
    <row r="1252" spans="1:18" x14ac:dyDescent="0.2">
      <c r="A1252">
        <f>Table1[[#This Row],[Age]]</f>
        <v>29</v>
      </c>
      <c r="B1252">
        <f>IF(Table3[[#This Row],[Attrition]] = "Yes", 1,0)</f>
        <v>0</v>
      </c>
      <c r="C1252" t="str">
        <f>Table1[[#This Row],[Attrition]]</f>
        <v>No</v>
      </c>
      <c r="D1252" t="str">
        <f>Table1[[#This Row],[Department]]</f>
        <v>Research &amp; Development</v>
      </c>
      <c r="E1252">
        <f>Table1[[#This Row],[EnvironmentSatisfaction]]</f>
        <v>4</v>
      </c>
      <c r="F1252">
        <f>Table1[[#This Row],[HourlyRate]]</f>
        <v>70</v>
      </c>
      <c r="G1252" t="str">
        <f>Table1[[#This Row],[JobRole]]</f>
        <v>Healthcare Representative</v>
      </c>
      <c r="H1252">
        <f>Table1[[#This Row],[JobSatisfaction]]</f>
        <v>3</v>
      </c>
      <c r="I1252">
        <f>Table1[[#This Row],[YearsAtCompany]]</f>
        <v>3</v>
      </c>
      <c r="J1252">
        <f>Table1[[#This Row],[YearsSinceLastPromotion]]</f>
        <v>0</v>
      </c>
      <c r="K1252">
        <f>Table1[[#This Row],[EmployeeNumber]]</f>
        <v>1753</v>
      </c>
      <c r="L1252">
        <f>Table1[[#This Row],[DistanceFromHome]]</f>
        <v>1</v>
      </c>
      <c r="M1252" t="str">
        <f>Table1[[#This Row],[OverTime]]</f>
        <v>Yes</v>
      </c>
      <c r="N1252">
        <f>Table1[[#This Row],[WorkLifeBalance]]</f>
        <v>4</v>
      </c>
      <c r="O1252" t="str" cm="1">
        <f t="array" ref="O1252">_xlfn.IFS(A1252&lt;=30,"18-30",A1252&lt;=40,"31-40",A1252&lt;=50,"41-50",A1252&gt;50,"51+")</f>
        <v>18-30</v>
      </c>
      <c r="P1252" t="str" cm="1">
        <f t="array" ref="P1252">_xlfn.IFS(F1252&lt;=45,"45 or below",F1252&lt;= 60,"46-60",F1252&lt;=75,"61-75",F1252&lt;=90,"76-90",F1252&gt;90,"91 or above")</f>
        <v>61-75</v>
      </c>
      <c r="Q12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52" t="str" cm="1">
        <f t="array" ref="R12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53" spans="1:18" x14ac:dyDescent="0.2">
      <c r="A1253">
        <f>Table1[[#This Row],[Age]]</f>
        <v>30</v>
      </c>
      <c r="B1253">
        <f>IF(Table3[[#This Row],[Attrition]] = "Yes", 1,0)</f>
        <v>0</v>
      </c>
      <c r="C1253" t="str">
        <f>Table1[[#This Row],[Attrition]]</f>
        <v>No</v>
      </c>
      <c r="D1253" t="str">
        <f>Table1[[#This Row],[Department]]</f>
        <v>Sales</v>
      </c>
      <c r="E1253">
        <f>Table1[[#This Row],[EnvironmentSatisfaction]]</f>
        <v>3</v>
      </c>
      <c r="F1253">
        <f>Table1[[#This Row],[HourlyRate]]</f>
        <v>94</v>
      </c>
      <c r="G1253" t="str">
        <f>Table1[[#This Row],[JobRole]]</f>
        <v>Sales Executive</v>
      </c>
      <c r="H1253">
        <f>Table1[[#This Row],[JobSatisfaction]]</f>
        <v>1</v>
      </c>
      <c r="I1253">
        <f>Table1[[#This Row],[YearsAtCompany]]</f>
        <v>7</v>
      </c>
      <c r="J1253">
        <f>Table1[[#This Row],[YearsSinceLastPromotion]]</f>
        <v>1</v>
      </c>
      <c r="K1253">
        <f>Table1[[#This Row],[EmployeeNumber]]</f>
        <v>1754</v>
      </c>
      <c r="L1253">
        <f>Table1[[#This Row],[DistanceFromHome]]</f>
        <v>15</v>
      </c>
      <c r="M1253" t="str">
        <f>Table1[[#This Row],[OverTime]]</f>
        <v>No</v>
      </c>
      <c r="N1253">
        <f>Table1[[#This Row],[WorkLifeBalance]]</f>
        <v>3</v>
      </c>
      <c r="O1253" t="str" cm="1">
        <f t="array" ref="O1253">_xlfn.IFS(A1253&lt;=30,"18-30",A1253&lt;=40,"31-40",A1253&lt;=50,"41-50",A1253&gt;50,"51+")</f>
        <v>18-30</v>
      </c>
      <c r="P1253" t="str" cm="1">
        <f t="array" ref="P1253">_xlfn.IFS(F1253&lt;=45,"45 or below",F1253&lt;= 60,"46-60",F1253&lt;=75,"61-75",F1253&lt;=90,"76-90",F1253&gt;90,"91 or above")</f>
        <v>91 or above</v>
      </c>
      <c r="Q12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53" t="str" cm="1">
        <f t="array" ref="R12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54" spans="1:18" x14ac:dyDescent="0.2">
      <c r="A1254">
        <f>Table1[[#This Row],[Age]]</f>
        <v>34</v>
      </c>
      <c r="B1254">
        <f>IF(Table3[[#This Row],[Attrition]] = "Yes", 1,0)</f>
        <v>0</v>
      </c>
      <c r="C1254" t="str">
        <f>Table1[[#This Row],[Attrition]]</f>
        <v>No</v>
      </c>
      <c r="D1254" t="str">
        <f>Table1[[#This Row],[Department]]</f>
        <v>Research &amp; Development</v>
      </c>
      <c r="E1254">
        <f>Table1[[#This Row],[EnvironmentSatisfaction]]</f>
        <v>4</v>
      </c>
      <c r="F1254">
        <f>Table1[[#This Row],[HourlyRate]]</f>
        <v>97</v>
      </c>
      <c r="G1254" t="str">
        <f>Table1[[#This Row],[JobRole]]</f>
        <v>Research Scientist</v>
      </c>
      <c r="H1254">
        <f>Table1[[#This Row],[JobSatisfaction]]</f>
        <v>4</v>
      </c>
      <c r="I1254">
        <f>Table1[[#This Row],[YearsAtCompany]]</f>
        <v>5</v>
      </c>
      <c r="J1254">
        <f>Table1[[#This Row],[YearsSinceLastPromotion]]</f>
        <v>1</v>
      </c>
      <c r="K1254">
        <f>Table1[[#This Row],[EmployeeNumber]]</f>
        <v>1755</v>
      </c>
      <c r="L1254">
        <f>Table1[[#This Row],[DistanceFromHome]]</f>
        <v>2</v>
      </c>
      <c r="M1254" t="str">
        <f>Table1[[#This Row],[OverTime]]</f>
        <v>Yes</v>
      </c>
      <c r="N1254">
        <f>Table1[[#This Row],[WorkLifeBalance]]</f>
        <v>3</v>
      </c>
      <c r="O1254" t="str" cm="1">
        <f t="array" ref="O1254">_xlfn.IFS(A1254&lt;=30,"18-30",A1254&lt;=40,"31-40",A1254&lt;=50,"41-50",A1254&gt;50,"51+")</f>
        <v>31-40</v>
      </c>
      <c r="P1254" t="str" cm="1">
        <f t="array" ref="P1254">_xlfn.IFS(F1254&lt;=45,"45 or below",F1254&lt;= 60,"46-60",F1254&lt;=75,"61-75",F1254&lt;=90,"76-90",F1254&gt;90,"91 or above")</f>
        <v>91 or above</v>
      </c>
      <c r="Q12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54" t="str" cm="1">
        <f t="array" ref="R125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55" spans="1:18" x14ac:dyDescent="0.2">
      <c r="A1255">
        <f>Table1[[#This Row],[Age]]</f>
        <v>33</v>
      </c>
      <c r="B1255">
        <f>IF(Table3[[#This Row],[Attrition]] = "Yes", 1,0)</f>
        <v>0</v>
      </c>
      <c r="C1255" t="str">
        <f>Table1[[#This Row],[Attrition]]</f>
        <v>No</v>
      </c>
      <c r="D1255" t="str">
        <f>Table1[[#This Row],[Department]]</f>
        <v>Sales</v>
      </c>
      <c r="E1255">
        <f>Table1[[#This Row],[EnvironmentSatisfaction]]</f>
        <v>4</v>
      </c>
      <c r="F1255">
        <f>Table1[[#This Row],[HourlyRate]]</f>
        <v>62</v>
      </c>
      <c r="G1255" t="str">
        <f>Table1[[#This Row],[JobRole]]</f>
        <v>Sales Executive</v>
      </c>
      <c r="H1255">
        <f>Table1[[#This Row],[JobSatisfaction]]</f>
        <v>2</v>
      </c>
      <c r="I1255">
        <f>Table1[[#This Row],[YearsAtCompany]]</f>
        <v>11</v>
      </c>
      <c r="J1255">
        <f>Table1[[#This Row],[YearsSinceLastPromotion]]</f>
        <v>1</v>
      </c>
      <c r="K1255">
        <f>Table1[[#This Row],[EmployeeNumber]]</f>
        <v>1756</v>
      </c>
      <c r="L1255">
        <f>Table1[[#This Row],[DistanceFromHome]]</f>
        <v>2</v>
      </c>
      <c r="M1255" t="str">
        <f>Table1[[#This Row],[OverTime]]</f>
        <v>No</v>
      </c>
      <c r="N1255">
        <f>Table1[[#This Row],[WorkLifeBalance]]</f>
        <v>2</v>
      </c>
      <c r="O1255" t="str" cm="1">
        <f t="array" ref="O1255">_xlfn.IFS(A1255&lt;=30,"18-30",A1255&lt;=40,"31-40",A1255&lt;=50,"41-50",A1255&gt;50,"51+")</f>
        <v>31-40</v>
      </c>
      <c r="P1255" t="str" cm="1">
        <f t="array" ref="P1255">_xlfn.IFS(F1255&lt;=45,"45 or below",F1255&lt;= 60,"46-60",F1255&lt;=75,"61-75",F1255&lt;=90,"76-90",F1255&gt;90,"91 or above")</f>
        <v>61-75</v>
      </c>
      <c r="Q12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55" t="str" cm="1">
        <f t="array" ref="R125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56" spans="1:18" x14ac:dyDescent="0.2">
      <c r="A1256">
        <f>Table1[[#This Row],[Age]]</f>
        <v>49</v>
      </c>
      <c r="B1256">
        <f>IF(Table3[[#This Row],[Attrition]] = "Yes", 1,0)</f>
        <v>0</v>
      </c>
      <c r="C1256" t="str">
        <f>Table1[[#This Row],[Attrition]]</f>
        <v>No</v>
      </c>
      <c r="D1256" t="str">
        <f>Table1[[#This Row],[Department]]</f>
        <v>Sales</v>
      </c>
      <c r="E1256">
        <f>Table1[[#This Row],[EnvironmentSatisfaction]]</f>
        <v>4</v>
      </c>
      <c r="F1256">
        <f>Table1[[#This Row],[HourlyRate]]</f>
        <v>80</v>
      </c>
      <c r="G1256" t="str">
        <f>Table1[[#This Row],[JobRole]]</f>
        <v>Sales Executive</v>
      </c>
      <c r="H1256">
        <f>Table1[[#This Row],[JobSatisfaction]]</f>
        <v>4</v>
      </c>
      <c r="I1256">
        <f>Table1[[#This Row],[YearsAtCompany]]</f>
        <v>5</v>
      </c>
      <c r="J1256">
        <f>Table1[[#This Row],[YearsSinceLastPromotion]]</f>
        <v>0</v>
      </c>
      <c r="K1256">
        <f>Table1[[#This Row],[EmployeeNumber]]</f>
        <v>1757</v>
      </c>
      <c r="L1256">
        <f>Table1[[#This Row],[DistanceFromHome]]</f>
        <v>11</v>
      </c>
      <c r="M1256" t="str">
        <f>Table1[[#This Row],[OverTime]]</f>
        <v>No</v>
      </c>
      <c r="N1256">
        <f>Table1[[#This Row],[WorkLifeBalance]]</f>
        <v>4</v>
      </c>
      <c r="O1256" t="str" cm="1">
        <f t="array" ref="O1256">_xlfn.IFS(A1256&lt;=30,"18-30",A1256&lt;=40,"31-40",A1256&lt;=50,"41-50",A1256&gt;50,"51+")</f>
        <v>41-50</v>
      </c>
      <c r="P1256" t="str" cm="1">
        <f t="array" ref="P1256">_xlfn.IFS(F1256&lt;=45,"45 or below",F1256&lt;= 60,"46-60",F1256&lt;=75,"61-75",F1256&lt;=90,"76-90",F1256&gt;90,"91 or above")</f>
        <v>76-90</v>
      </c>
      <c r="Q12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56" t="str" cm="1">
        <f t="array" ref="R12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57" spans="1:18" hidden="1" x14ac:dyDescent="0.2">
      <c r="A1257">
        <f>Table1[[#This Row],[Age]]</f>
        <v>33</v>
      </c>
      <c r="B1257">
        <f>IF(Table3[[#This Row],[Attrition]] = "Yes", 1,0)</f>
        <v>1</v>
      </c>
      <c r="C1257" t="str">
        <f>Table1[[#This Row],[Attrition]]</f>
        <v>Yes</v>
      </c>
      <c r="D1257" t="str">
        <f>Table1[[#This Row],[Department]]</f>
        <v>Sales</v>
      </c>
      <c r="E1257">
        <f>Table1[[#This Row],[EnvironmentSatisfaction]]</f>
        <v>1</v>
      </c>
      <c r="F1257">
        <f>Table1[[#This Row],[HourlyRate]]</f>
        <v>74</v>
      </c>
      <c r="G1257" t="str">
        <f>Table1[[#This Row],[JobRole]]</f>
        <v>Sales Executive</v>
      </c>
      <c r="H1257">
        <f>Table1[[#This Row],[JobSatisfaction]]</f>
        <v>1</v>
      </c>
      <c r="I1257">
        <f>Table1[[#This Row],[YearsAtCompany]]</f>
        <v>0</v>
      </c>
      <c r="J1257">
        <f>Table1[[#This Row],[YearsSinceLastPromotion]]</f>
        <v>0</v>
      </c>
      <c r="K1257">
        <f>Table1[[#This Row],[EmployeeNumber]]</f>
        <v>1758</v>
      </c>
      <c r="L1257">
        <f>Table1[[#This Row],[DistanceFromHome]]</f>
        <v>16</v>
      </c>
      <c r="M1257" t="str">
        <f>Table1[[#This Row],[OverTime]]</f>
        <v>Yes</v>
      </c>
      <c r="N1257">
        <f>Table1[[#This Row],[WorkLifeBalance]]</f>
        <v>2</v>
      </c>
      <c r="O1257" t="str" cm="1">
        <f t="array" ref="O1257">_xlfn.IFS(A1257&lt;=30,"18-30",A1257&lt;=40,"31-40",A1257&lt;=50,"41-50",A1257&gt;50,"51+")</f>
        <v>31-40</v>
      </c>
      <c r="P1257" t="str" cm="1">
        <f t="array" ref="P1257">_xlfn.IFS(F1257&lt;=45,"45 or below",F1257&lt;= 60,"46-60",F1257&lt;=75,"61-75",F1257&lt;=90,"76-90",F1257&gt;90,"91 or above")</f>
        <v>61-75</v>
      </c>
      <c r="Q125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57" t="str" cm="1">
        <f t="array" ref="R1257" xml:space="preserve"> _xlfn.IFS(Table3[[#This Row],[Flight Risk Score]] = "NA","NA",Table3[[#This Row],[Flight Risk Score]] &gt;= 70,"High Risk",Table3[[#This Row],[Flight Risk Score]] &gt;= 50, "Medium Risk", Table3[[#This Row],[Flight Risk Score]] &gt;= 30,"Low Risk",Table3[[#This Row],[Flight Risk Score]] &lt; 30,"Very Low Risk")</f>
        <v>NA</v>
      </c>
    </row>
    <row r="1258" spans="1:18" x14ac:dyDescent="0.2">
      <c r="A1258">
        <f>Table1[[#This Row],[Age]]</f>
        <v>38</v>
      </c>
      <c r="B1258">
        <f>IF(Table3[[#This Row],[Attrition]] = "Yes", 1,0)</f>
        <v>0</v>
      </c>
      <c r="C1258" t="str">
        <f>Table1[[#This Row],[Attrition]]</f>
        <v>No</v>
      </c>
      <c r="D1258" t="str">
        <f>Table1[[#This Row],[Department]]</f>
        <v>Research &amp; Development</v>
      </c>
      <c r="E1258">
        <f>Table1[[#This Row],[EnvironmentSatisfaction]]</f>
        <v>3</v>
      </c>
      <c r="F1258">
        <f>Table1[[#This Row],[HourlyRate]]</f>
        <v>75</v>
      </c>
      <c r="G1258" t="str">
        <f>Table1[[#This Row],[JobRole]]</f>
        <v>Laboratory Technician</v>
      </c>
      <c r="H1258">
        <f>Table1[[#This Row],[JobSatisfaction]]</f>
        <v>2</v>
      </c>
      <c r="I1258">
        <f>Table1[[#This Row],[YearsAtCompany]]</f>
        <v>6</v>
      </c>
      <c r="J1258">
        <f>Table1[[#This Row],[YearsSinceLastPromotion]]</f>
        <v>0</v>
      </c>
      <c r="K1258">
        <f>Table1[[#This Row],[EmployeeNumber]]</f>
        <v>1760</v>
      </c>
      <c r="L1258">
        <f>Table1[[#This Row],[DistanceFromHome]]</f>
        <v>2</v>
      </c>
      <c r="M1258" t="str">
        <f>Table1[[#This Row],[OverTime]]</f>
        <v>No</v>
      </c>
      <c r="N1258">
        <f>Table1[[#This Row],[WorkLifeBalance]]</f>
        <v>2</v>
      </c>
      <c r="O1258" t="str" cm="1">
        <f t="array" ref="O1258">_xlfn.IFS(A1258&lt;=30,"18-30",A1258&lt;=40,"31-40",A1258&lt;=50,"41-50",A1258&gt;50,"51+")</f>
        <v>31-40</v>
      </c>
      <c r="P1258" t="str" cm="1">
        <f t="array" ref="P1258">_xlfn.IFS(F1258&lt;=45,"45 or below",F1258&lt;= 60,"46-60",F1258&lt;=75,"61-75",F1258&lt;=90,"76-90",F1258&gt;90,"91 or above")</f>
        <v>61-75</v>
      </c>
      <c r="Q12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58" t="str" cm="1">
        <f t="array" ref="R12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59" spans="1:18" hidden="1" x14ac:dyDescent="0.2">
      <c r="A1259">
        <f>Table1[[#This Row],[Age]]</f>
        <v>31</v>
      </c>
      <c r="B1259">
        <f>IF(Table3[[#This Row],[Attrition]] = "Yes", 1,0)</f>
        <v>1</v>
      </c>
      <c r="C1259" t="str">
        <f>Table1[[#This Row],[Attrition]]</f>
        <v>Yes</v>
      </c>
      <c r="D1259" t="str">
        <f>Table1[[#This Row],[Department]]</f>
        <v>Sales</v>
      </c>
      <c r="E1259">
        <f>Table1[[#This Row],[EnvironmentSatisfaction]]</f>
        <v>1</v>
      </c>
      <c r="F1259">
        <f>Table1[[#This Row],[HourlyRate]]</f>
        <v>70</v>
      </c>
      <c r="G1259" t="str">
        <f>Table1[[#This Row],[JobRole]]</f>
        <v>Sales Executive</v>
      </c>
      <c r="H1259">
        <f>Table1[[#This Row],[JobSatisfaction]]</f>
        <v>3</v>
      </c>
      <c r="I1259">
        <f>Table1[[#This Row],[YearsAtCompany]]</f>
        <v>1</v>
      </c>
      <c r="J1259">
        <f>Table1[[#This Row],[YearsSinceLastPromotion]]</f>
        <v>0</v>
      </c>
      <c r="K1259">
        <f>Table1[[#This Row],[EmployeeNumber]]</f>
        <v>1761</v>
      </c>
      <c r="L1259">
        <f>Table1[[#This Row],[DistanceFromHome]]</f>
        <v>16</v>
      </c>
      <c r="M1259" t="str">
        <f>Table1[[#This Row],[OverTime]]</f>
        <v>No</v>
      </c>
      <c r="N1259">
        <f>Table1[[#This Row],[WorkLifeBalance]]</f>
        <v>3</v>
      </c>
      <c r="O1259" t="str" cm="1">
        <f t="array" ref="O1259">_xlfn.IFS(A1259&lt;=30,"18-30",A1259&lt;=40,"31-40",A1259&lt;=50,"41-50",A1259&gt;50,"51+")</f>
        <v>31-40</v>
      </c>
      <c r="P1259" t="str" cm="1">
        <f t="array" ref="P1259">_xlfn.IFS(F1259&lt;=45,"45 or below",F1259&lt;= 60,"46-60",F1259&lt;=75,"61-75",F1259&lt;=90,"76-90",F1259&gt;90,"91 or above")</f>
        <v>61-75</v>
      </c>
      <c r="Q125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59" t="str" cm="1">
        <f t="array" ref="R1259" xml:space="preserve"> _xlfn.IFS(Table3[[#This Row],[Flight Risk Score]] = "NA","NA",Table3[[#This Row],[Flight Risk Score]] &gt;= 70,"High Risk",Table3[[#This Row],[Flight Risk Score]] &gt;= 50, "Medium Risk", Table3[[#This Row],[Flight Risk Score]] &gt;= 30,"Low Risk",Table3[[#This Row],[Flight Risk Score]] &lt; 30,"Very Low Risk")</f>
        <v>NA</v>
      </c>
    </row>
    <row r="1260" spans="1:18" x14ac:dyDescent="0.2">
      <c r="A1260">
        <f>Table1[[#This Row],[Age]]</f>
        <v>29</v>
      </c>
      <c r="B1260">
        <f>IF(Table3[[#This Row],[Attrition]] = "Yes", 1,0)</f>
        <v>0</v>
      </c>
      <c r="C1260" t="str">
        <f>Table1[[#This Row],[Attrition]]</f>
        <v>No</v>
      </c>
      <c r="D1260" t="str">
        <f>Table1[[#This Row],[Department]]</f>
        <v>Research &amp; Development</v>
      </c>
      <c r="E1260">
        <f>Table1[[#This Row],[EnvironmentSatisfaction]]</f>
        <v>4</v>
      </c>
      <c r="F1260">
        <f>Table1[[#This Row],[HourlyRate]]</f>
        <v>91</v>
      </c>
      <c r="G1260" t="str">
        <f>Table1[[#This Row],[JobRole]]</f>
        <v>Research Scientist</v>
      </c>
      <c r="H1260">
        <f>Table1[[#This Row],[JobSatisfaction]]</f>
        <v>1</v>
      </c>
      <c r="I1260">
        <f>Table1[[#This Row],[YearsAtCompany]]</f>
        <v>1</v>
      </c>
      <c r="J1260">
        <f>Table1[[#This Row],[YearsSinceLastPromotion]]</f>
        <v>0</v>
      </c>
      <c r="K1260">
        <f>Table1[[#This Row],[EmployeeNumber]]</f>
        <v>1762</v>
      </c>
      <c r="L1260">
        <f>Table1[[#This Row],[DistanceFromHome]]</f>
        <v>4</v>
      </c>
      <c r="M1260" t="str">
        <f>Table1[[#This Row],[OverTime]]</f>
        <v>No</v>
      </c>
      <c r="N1260">
        <f>Table1[[#This Row],[WorkLifeBalance]]</f>
        <v>3</v>
      </c>
      <c r="O1260" t="str" cm="1">
        <f t="array" ref="O1260">_xlfn.IFS(A1260&lt;=30,"18-30",A1260&lt;=40,"31-40",A1260&lt;=50,"41-50",A1260&gt;50,"51+")</f>
        <v>18-30</v>
      </c>
      <c r="P1260" t="str" cm="1">
        <f t="array" ref="P1260">_xlfn.IFS(F1260&lt;=45,"45 or below",F1260&lt;= 60,"46-60",F1260&lt;=75,"61-75",F1260&lt;=90,"76-90",F1260&gt;90,"91 or above")</f>
        <v>91 or above</v>
      </c>
      <c r="Q12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60" t="str" cm="1">
        <f t="array" ref="R12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61" spans="1:18" x14ac:dyDescent="0.2">
      <c r="A1261">
        <f>Table1[[#This Row],[Age]]</f>
        <v>30</v>
      </c>
      <c r="B1261">
        <f>IF(Table3[[#This Row],[Attrition]] = "Yes", 1,0)</f>
        <v>0</v>
      </c>
      <c r="C1261" t="str">
        <f>Table1[[#This Row],[Attrition]]</f>
        <v>No</v>
      </c>
      <c r="D1261" t="str">
        <f>Table1[[#This Row],[Department]]</f>
        <v>Research &amp; Development</v>
      </c>
      <c r="E1261">
        <f>Table1[[#This Row],[EnvironmentSatisfaction]]</f>
        <v>3</v>
      </c>
      <c r="F1261">
        <f>Table1[[#This Row],[HourlyRate]]</f>
        <v>58</v>
      </c>
      <c r="G1261" t="str">
        <f>Table1[[#This Row],[JobRole]]</f>
        <v>Healthcare Representative</v>
      </c>
      <c r="H1261">
        <f>Table1[[#This Row],[JobSatisfaction]]</f>
        <v>3</v>
      </c>
      <c r="I1261">
        <f>Table1[[#This Row],[YearsAtCompany]]</f>
        <v>7</v>
      </c>
      <c r="J1261">
        <f>Table1[[#This Row],[YearsSinceLastPromotion]]</f>
        <v>1</v>
      </c>
      <c r="K1261">
        <f>Table1[[#This Row],[EmployeeNumber]]</f>
        <v>1763</v>
      </c>
      <c r="L1261">
        <f>Table1[[#This Row],[DistanceFromHome]]</f>
        <v>16</v>
      </c>
      <c r="M1261" t="str">
        <f>Table1[[#This Row],[OverTime]]</f>
        <v>No</v>
      </c>
      <c r="N1261">
        <f>Table1[[#This Row],[WorkLifeBalance]]</f>
        <v>3</v>
      </c>
      <c r="O1261" t="str" cm="1">
        <f t="array" ref="O1261">_xlfn.IFS(A1261&lt;=30,"18-30",A1261&lt;=40,"31-40",A1261&lt;=50,"41-50",A1261&gt;50,"51+")</f>
        <v>18-30</v>
      </c>
      <c r="P1261" t="str" cm="1">
        <f t="array" ref="P1261">_xlfn.IFS(F1261&lt;=45,"45 or below",F1261&lt;= 60,"46-60",F1261&lt;=75,"61-75",F1261&lt;=90,"76-90",F1261&gt;90,"91 or above")</f>
        <v>46-60</v>
      </c>
      <c r="Q12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61" t="str" cm="1">
        <f t="array" ref="R126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62" spans="1:18" x14ac:dyDescent="0.2">
      <c r="A1262">
        <f>Table1[[#This Row],[Age]]</f>
        <v>32</v>
      </c>
      <c r="B1262">
        <f>IF(Table3[[#This Row],[Attrition]] = "Yes", 1,0)</f>
        <v>0</v>
      </c>
      <c r="C1262" t="str">
        <f>Table1[[#This Row],[Attrition]]</f>
        <v>No</v>
      </c>
      <c r="D1262" t="str">
        <f>Table1[[#This Row],[Department]]</f>
        <v>Research &amp; Development</v>
      </c>
      <c r="E1262">
        <f>Table1[[#This Row],[EnvironmentSatisfaction]]</f>
        <v>2</v>
      </c>
      <c r="F1262">
        <f>Table1[[#This Row],[HourlyRate]]</f>
        <v>65</v>
      </c>
      <c r="G1262" t="str">
        <f>Table1[[#This Row],[JobRole]]</f>
        <v>Research Scientist</v>
      </c>
      <c r="H1262">
        <f>Table1[[#This Row],[JobSatisfaction]]</f>
        <v>2</v>
      </c>
      <c r="I1262">
        <f>Table1[[#This Row],[YearsAtCompany]]</f>
        <v>7</v>
      </c>
      <c r="J1262">
        <f>Table1[[#This Row],[YearsSinceLastPromotion]]</f>
        <v>0</v>
      </c>
      <c r="K1262">
        <f>Table1[[#This Row],[EmployeeNumber]]</f>
        <v>1764</v>
      </c>
      <c r="L1262">
        <f>Table1[[#This Row],[DistanceFromHome]]</f>
        <v>5</v>
      </c>
      <c r="M1262" t="str">
        <f>Table1[[#This Row],[OverTime]]</f>
        <v>No</v>
      </c>
      <c r="N1262">
        <f>Table1[[#This Row],[WorkLifeBalance]]</f>
        <v>3</v>
      </c>
      <c r="O1262" t="str" cm="1">
        <f t="array" ref="O1262">_xlfn.IFS(A1262&lt;=30,"18-30",A1262&lt;=40,"31-40",A1262&lt;=50,"41-50",A1262&gt;50,"51+")</f>
        <v>31-40</v>
      </c>
      <c r="P1262" t="str" cm="1">
        <f t="array" ref="P1262">_xlfn.IFS(F1262&lt;=45,"45 or below",F1262&lt;= 60,"46-60",F1262&lt;=75,"61-75",F1262&lt;=90,"76-90",F1262&gt;90,"91 or above")</f>
        <v>61-75</v>
      </c>
      <c r="Q12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62" t="str" cm="1">
        <f t="array" ref="R126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63" spans="1:18" x14ac:dyDescent="0.2">
      <c r="A1263">
        <f>Table1[[#This Row],[Age]]</f>
        <v>38</v>
      </c>
      <c r="B1263">
        <f>IF(Table3[[#This Row],[Attrition]] = "Yes", 1,0)</f>
        <v>0</v>
      </c>
      <c r="C1263" t="str">
        <f>Table1[[#This Row],[Attrition]]</f>
        <v>No</v>
      </c>
      <c r="D1263" t="str">
        <f>Table1[[#This Row],[Department]]</f>
        <v>Research &amp; Development</v>
      </c>
      <c r="E1263">
        <f>Table1[[#This Row],[EnvironmentSatisfaction]]</f>
        <v>2</v>
      </c>
      <c r="F1263">
        <f>Table1[[#This Row],[HourlyRate]]</f>
        <v>60</v>
      </c>
      <c r="G1263" t="str">
        <f>Table1[[#This Row],[JobRole]]</f>
        <v>Healthcare Representative</v>
      </c>
      <c r="H1263">
        <f>Table1[[#This Row],[JobSatisfaction]]</f>
        <v>4</v>
      </c>
      <c r="I1263">
        <f>Table1[[#This Row],[YearsAtCompany]]</f>
        <v>1</v>
      </c>
      <c r="J1263">
        <f>Table1[[#This Row],[YearsSinceLastPromotion]]</f>
        <v>1</v>
      </c>
      <c r="K1263">
        <f>Table1[[#This Row],[EmployeeNumber]]</f>
        <v>1766</v>
      </c>
      <c r="L1263">
        <f>Table1[[#This Row],[DistanceFromHome]]</f>
        <v>18</v>
      </c>
      <c r="M1263" t="str">
        <f>Table1[[#This Row],[OverTime]]</f>
        <v>Yes</v>
      </c>
      <c r="N1263">
        <f>Table1[[#This Row],[WorkLifeBalance]]</f>
        <v>3</v>
      </c>
      <c r="O1263" t="str" cm="1">
        <f t="array" ref="O1263">_xlfn.IFS(A1263&lt;=30,"18-30",A1263&lt;=40,"31-40",A1263&lt;=50,"41-50",A1263&gt;50,"51+")</f>
        <v>31-40</v>
      </c>
      <c r="P1263" t="str" cm="1">
        <f t="array" ref="P1263">_xlfn.IFS(F1263&lt;=45,"45 or below",F1263&lt;= 60,"46-60",F1263&lt;=75,"61-75",F1263&lt;=90,"76-90",F1263&gt;90,"91 or above")</f>
        <v>46-60</v>
      </c>
      <c r="Q12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263" t="str" cm="1">
        <f t="array" ref="R126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64" spans="1:18" hidden="1" x14ac:dyDescent="0.2">
      <c r="A1264">
        <f>Table1[[#This Row],[Age]]</f>
        <v>43</v>
      </c>
      <c r="B1264">
        <f>IF(Table3[[#This Row],[Attrition]] = "Yes", 1,0)</f>
        <v>1</v>
      </c>
      <c r="C1264" t="str">
        <f>Table1[[#This Row],[Attrition]]</f>
        <v>Yes</v>
      </c>
      <c r="D1264" t="str">
        <f>Table1[[#This Row],[Department]]</f>
        <v>Research &amp; Development</v>
      </c>
      <c r="E1264">
        <f>Table1[[#This Row],[EnvironmentSatisfaction]]</f>
        <v>3</v>
      </c>
      <c r="F1264">
        <f>Table1[[#This Row],[HourlyRate]]</f>
        <v>38</v>
      </c>
      <c r="G1264" t="str">
        <f>Table1[[#This Row],[JobRole]]</f>
        <v>Research Scientist</v>
      </c>
      <c r="H1264">
        <f>Table1[[#This Row],[JobSatisfaction]]</f>
        <v>3</v>
      </c>
      <c r="I1264">
        <f>Table1[[#This Row],[YearsAtCompany]]</f>
        <v>1</v>
      </c>
      <c r="J1264">
        <f>Table1[[#This Row],[YearsSinceLastPromotion]]</f>
        <v>0</v>
      </c>
      <c r="K1264">
        <f>Table1[[#This Row],[EmployeeNumber]]</f>
        <v>1767</v>
      </c>
      <c r="L1264">
        <f>Table1[[#This Row],[DistanceFromHome]]</f>
        <v>17</v>
      </c>
      <c r="M1264" t="str">
        <f>Table1[[#This Row],[OverTime]]</f>
        <v>Yes</v>
      </c>
      <c r="N1264">
        <f>Table1[[#This Row],[WorkLifeBalance]]</f>
        <v>3</v>
      </c>
      <c r="O1264" t="str" cm="1">
        <f t="array" ref="O1264">_xlfn.IFS(A1264&lt;=30,"18-30",A1264&lt;=40,"31-40",A1264&lt;=50,"41-50",A1264&gt;50,"51+")</f>
        <v>41-50</v>
      </c>
      <c r="P1264" t="str" cm="1">
        <f t="array" ref="P1264">_xlfn.IFS(F1264&lt;=45,"45 or below",F1264&lt;= 60,"46-60",F1264&lt;=75,"61-75",F1264&lt;=90,"76-90",F1264&gt;90,"91 or above")</f>
        <v>45 or below</v>
      </c>
      <c r="Q126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64" t="str" cm="1">
        <f t="array" ref="R1264" xml:space="preserve"> _xlfn.IFS(Table3[[#This Row],[Flight Risk Score]] = "NA","NA",Table3[[#This Row],[Flight Risk Score]] &gt;= 70,"High Risk",Table3[[#This Row],[Flight Risk Score]] &gt;= 50, "Medium Risk", Table3[[#This Row],[Flight Risk Score]] &gt;= 30,"Low Risk",Table3[[#This Row],[Flight Risk Score]] &lt; 30,"Very Low Risk")</f>
        <v>NA</v>
      </c>
    </row>
    <row r="1265" spans="1:18" x14ac:dyDescent="0.2">
      <c r="A1265">
        <f>Table1[[#This Row],[Age]]</f>
        <v>42</v>
      </c>
      <c r="B1265">
        <f>IF(Table3[[#This Row],[Attrition]] = "Yes", 1,0)</f>
        <v>0</v>
      </c>
      <c r="C1265" t="str">
        <f>Table1[[#This Row],[Attrition]]</f>
        <v>No</v>
      </c>
      <c r="D1265" t="str">
        <f>Table1[[#This Row],[Department]]</f>
        <v>Research &amp; Development</v>
      </c>
      <c r="E1265">
        <f>Table1[[#This Row],[EnvironmentSatisfaction]]</f>
        <v>2</v>
      </c>
      <c r="F1265">
        <f>Table1[[#This Row],[HourlyRate]]</f>
        <v>57</v>
      </c>
      <c r="G1265" t="str">
        <f>Table1[[#This Row],[JobRole]]</f>
        <v>Laboratory Technician</v>
      </c>
      <c r="H1265">
        <f>Table1[[#This Row],[JobSatisfaction]]</f>
        <v>2</v>
      </c>
      <c r="I1265">
        <f>Table1[[#This Row],[YearsAtCompany]]</f>
        <v>5</v>
      </c>
      <c r="J1265">
        <f>Table1[[#This Row],[YearsSinceLastPromotion]]</f>
        <v>0</v>
      </c>
      <c r="K1265">
        <f>Table1[[#This Row],[EmployeeNumber]]</f>
        <v>1768</v>
      </c>
      <c r="L1265">
        <f>Table1[[#This Row],[DistanceFromHome]]</f>
        <v>12</v>
      </c>
      <c r="M1265" t="str">
        <f>Table1[[#This Row],[OverTime]]</f>
        <v>No</v>
      </c>
      <c r="N1265">
        <f>Table1[[#This Row],[WorkLifeBalance]]</f>
        <v>2</v>
      </c>
      <c r="O1265" t="str" cm="1">
        <f t="array" ref="O1265">_xlfn.IFS(A1265&lt;=30,"18-30",A1265&lt;=40,"31-40",A1265&lt;=50,"41-50",A1265&gt;50,"51+")</f>
        <v>41-50</v>
      </c>
      <c r="P1265" t="str" cm="1">
        <f t="array" ref="P1265">_xlfn.IFS(F1265&lt;=45,"45 or below",F1265&lt;= 60,"46-60",F1265&lt;=75,"61-75",F1265&lt;=90,"76-90",F1265&gt;90,"91 or above")</f>
        <v>46-60</v>
      </c>
      <c r="Q12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65" t="str" cm="1">
        <f t="array" ref="R126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66" spans="1:18" x14ac:dyDescent="0.2">
      <c r="A1266">
        <f>Table1[[#This Row],[Age]]</f>
        <v>55</v>
      </c>
      <c r="B1266">
        <f>IF(Table3[[#This Row],[Attrition]] = "Yes", 1,0)</f>
        <v>0</v>
      </c>
      <c r="C1266" t="str">
        <f>Table1[[#This Row],[Attrition]]</f>
        <v>No</v>
      </c>
      <c r="D1266" t="str">
        <f>Table1[[#This Row],[Department]]</f>
        <v>Research &amp; Development</v>
      </c>
      <c r="E1266">
        <f>Table1[[#This Row],[EnvironmentSatisfaction]]</f>
        <v>3</v>
      </c>
      <c r="F1266">
        <f>Table1[[#This Row],[HourlyRate]]</f>
        <v>60</v>
      </c>
      <c r="G1266" t="str">
        <f>Table1[[#This Row],[JobRole]]</f>
        <v>Research Director</v>
      </c>
      <c r="H1266">
        <f>Table1[[#This Row],[JobSatisfaction]]</f>
        <v>1</v>
      </c>
      <c r="I1266">
        <f>Table1[[#This Row],[YearsAtCompany]]</f>
        <v>1</v>
      </c>
      <c r="J1266">
        <f>Table1[[#This Row],[YearsSinceLastPromotion]]</f>
        <v>0</v>
      </c>
      <c r="K1266">
        <f>Table1[[#This Row],[EmployeeNumber]]</f>
        <v>1770</v>
      </c>
      <c r="L1266">
        <f>Table1[[#This Row],[DistanceFromHome]]</f>
        <v>2</v>
      </c>
      <c r="M1266" t="str">
        <f>Table1[[#This Row],[OverTime]]</f>
        <v>No</v>
      </c>
      <c r="N1266">
        <f>Table1[[#This Row],[WorkLifeBalance]]</f>
        <v>3</v>
      </c>
      <c r="O1266" t="str" cm="1">
        <f t="array" ref="O1266">_xlfn.IFS(A1266&lt;=30,"18-30",A1266&lt;=40,"31-40",A1266&lt;=50,"41-50",A1266&gt;50,"51+")</f>
        <v>51+</v>
      </c>
      <c r="P1266" t="str" cm="1">
        <f t="array" ref="P1266">_xlfn.IFS(F1266&lt;=45,"45 or below",F1266&lt;= 60,"46-60",F1266&lt;=75,"61-75",F1266&lt;=90,"76-90",F1266&gt;90,"91 or above")</f>
        <v>46-60</v>
      </c>
      <c r="Q12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66" t="str" cm="1">
        <f t="array" ref="R12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67" spans="1:18" x14ac:dyDescent="0.2">
      <c r="A1267">
        <f>Table1[[#This Row],[Age]]</f>
        <v>33</v>
      </c>
      <c r="B1267">
        <f>IF(Table3[[#This Row],[Attrition]] = "Yes", 1,0)</f>
        <v>0</v>
      </c>
      <c r="C1267" t="str">
        <f>Table1[[#This Row],[Attrition]]</f>
        <v>No</v>
      </c>
      <c r="D1267" t="str">
        <f>Table1[[#This Row],[Department]]</f>
        <v>Research &amp; Development</v>
      </c>
      <c r="E1267">
        <f>Table1[[#This Row],[EnvironmentSatisfaction]]</f>
        <v>4</v>
      </c>
      <c r="F1267">
        <f>Table1[[#This Row],[HourlyRate]]</f>
        <v>90</v>
      </c>
      <c r="G1267" t="str">
        <f>Table1[[#This Row],[JobRole]]</f>
        <v>Research Scientist</v>
      </c>
      <c r="H1267">
        <f>Table1[[#This Row],[JobSatisfaction]]</f>
        <v>2</v>
      </c>
      <c r="I1267">
        <f>Table1[[#This Row],[YearsAtCompany]]</f>
        <v>9</v>
      </c>
      <c r="J1267">
        <f>Table1[[#This Row],[YearsSinceLastPromotion]]</f>
        <v>1</v>
      </c>
      <c r="K1267">
        <f>Table1[[#This Row],[EmployeeNumber]]</f>
        <v>1771</v>
      </c>
      <c r="L1267">
        <f>Table1[[#This Row],[DistanceFromHome]]</f>
        <v>4</v>
      </c>
      <c r="M1267" t="str">
        <f>Table1[[#This Row],[OverTime]]</f>
        <v>No</v>
      </c>
      <c r="N1267">
        <f>Table1[[#This Row],[WorkLifeBalance]]</f>
        <v>2</v>
      </c>
      <c r="O1267" t="str" cm="1">
        <f t="array" ref="O1267">_xlfn.IFS(A1267&lt;=30,"18-30",A1267&lt;=40,"31-40",A1267&lt;=50,"41-50",A1267&gt;50,"51+")</f>
        <v>31-40</v>
      </c>
      <c r="P1267" t="str" cm="1">
        <f t="array" ref="P1267">_xlfn.IFS(F1267&lt;=45,"45 or below",F1267&lt;= 60,"46-60",F1267&lt;=75,"61-75",F1267&lt;=90,"76-90",F1267&gt;90,"91 or above")</f>
        <v>76-90</v>
      </c>
      <c r="Q12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67" t="str" cm="1">
        <f t="array" ref="R12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68" spans="1:18" x14ac:dyDescent="0.2">
      <c r="A1268">
        <f>Table1[[#This Row],[Age]]</f>
        <v>41</v>
      </c>
      <c r="B1268">
        <f>IF(Table3[[#This Row],[Attrition]] = "Yes", 1,0)</f>
        <v>0</v>
      </c>
      <c r="C1268" t="str">
        <f>Table1[[#This Row],[Attrition]]</f>
        <v>No</v>
      </c>
      <c r="D1268" t="str">
        <f>Table1[[#This Row],[Department]]</f>
        <v>Research &amp; Development</v>
      </c>
      <c r="E1268">
        <f>Table1[[#This Row],[EnvironmentSatisfaction]]</f>
        <v>3</v>
      </c>
      <c r="F1268">
        <f>Table1[[#This Row],[HourlyRate]]</f>
        <v>94</v>
      </c>
      <c r="G1268" t="str">
        <f>Table1[[#This Row],[JobRole]]</f>
        <v>Laboratory Technician</v>
      </c>
      <c r="H1268">
        <f>Table1[[#This Row],[JobSatisfaction]]</f>
        <v>1</v>
      </c>
      <c r="I1268">
        <f>Table1[[#This Row],[YearsAtCompany]]</f>
        <v>5</v>
      </c>
      <c r="J1268">
        <f>Table1[[#This Row],[YearsSinceLastPromotion]]</f>
        <v>0</v>
      </c>
      <c r="K1268">
        <f>Table1[[#This Row],[EmployeeNumber]]</f>
        <v>1772</v>
      </c>
      <c r="L1268">
        <f>Table1[[#This Row],[DistanceFromHome]]</f>
        <v>9</v>
      </c>
      <c r="M1268" t="str">
        <f>Table1[[#This Row],[OverTime]]</f>
        <v>No</v>
      </c>
      <c r="N1268">
        <f>Table1[[#This Row],[WorkLifeBalance]]</f>
        <v>3</v>
      </c>
      <c r="O1268" t="str" cm="1">
        <f t="array" ref="O1268">_xlfn.IFS(A1268&lt;=30,"18-30",A1268&lt;=40,"31-40",A1268&lt;=50,"41-50",A1268&gt;50,"51+")</f>
        <v>41-50</v>
      </c>
      <c r="P1268" t="str" cm="1">
        <f t="array" ref="P1268">_xlfn.IFS(F1268&lt;=45,"45 or below",F1268&lt;= 60,"46-60",F1268&lt;=75,"61-75",F1268&lt;=90,"76-90",F1268&gt;90,"91 or above")</f>
        <v>91 or above</v>
      </c>
      <c r="Q12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68" t="str" cm="1">
        <f t="array" ref="R126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69" spans="1:18" x14ac:dyDescent="0.2">
      <c r="A1269">
        <f>Table1[[#This Row],[Age]]</f>
        <v>34</v>
      </c>
      <c r="B1269">
        <f>IF(Table3[[#This Row],[Attrition]] = "Yes", 1,0)</f>
        <v>0</v>
      </c>
      <c r="C1269" t="str">
        <f>Table1[[#This Row],[Attrition]]</f>
        <v>No</v>
      </c>
      <c r="D1269" t="str">
        <f>Table1[[#This Row],[Department]]</f>
        <v>Sales</v>
      </c>
      <c r="E1269">
        <f>Table1[[#This Row],[EnvironmentSatisfaction]]</f>
        <v>4</v>
      </c>
      <c r="F1269">
        <f>Table1[[#This Row],[HourlyRate]]</f>
        <v>87</v>
      </c>
      <c r="G1269" t="str">
        <f>Table1[[#This Row],[JobRole]]</f>
        <v>Sales Executive</v>
      </c>
      <c r="H1269">
        <f>Table1[[#This Row],[JobSatisfaction]]</f>
        <v>3</v>
      </c>
      <c r="I1269">
        <f>Table1[[#This Row],[YearsAtCompany]]</f>
        <v>15</v>
      </c>
      <c r="J1269">
        <f>Table1[[#This Row],[YearsSinceLastPromotion]]</f>
        <v>0</v>
      </c>
      <c r="K1269">
        <f>Table1[[#This Row],[EmployeeNumber]]</f>
        <v>1774</v>
      </c>
      <c r="L1269">
        <f>Table1[[#This Row],[DistanceFromHome]]</f>
        <v>10</v>
      </c>
      <c r="M1269" t="str">
        <f>Table1[[#This Row],[OverTime]]</f>
        <v>Yes</v>
      </c>
      <c r="N1269">
        <f>Table1[[#This Row],[WorkLifeBalance]]</f>
        <v>3</v>
      </c>
      <c r="O1269" t="str" cm="1">
        <f t="array" ref="O1269">_xlfn.IFS(A1269&lt;=30,"18-30",A1269&lt;=40,"31-40",A1269&lt;=50,"41-50",A1269&gt;50,"51+")</f>
        <v>31-40</v>
      </c>
      <c r="P1269" t="str" cm="1">
        <f t="array" ref="P1269">_xlfn.IFS(F1269&lt;=45,"45 or below",F1269&lt;= 60,"46-60",F1269&lt;=75,"61-75",F1269&lt;=90,"76-90",F1269&gt;90,"91 or above")</f>
        <v>76-90</v>
      </c>
      <c r="Q12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69" t="str" cm="1">
        <f t="array" ref="R12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70" spans="1:18" x14ac:dyDescent="0.2">
      <c r="A1270">
        <f>Table1[[#This Row],[Age]]</f>
        <v>53</v>
      </c>
      <c r="B1270">
        <f>IF(Table3[[#This Row],[Attrition]] = "Yes", 1,0)</f>
        <v>0</v>
      </c>
      <c r="C1270" t="str">
        <f>Table1[[#This Row],[Attrition]]</f>
        <v>No</v>
      </c>
      <c r="D1270" t="str">
        <f>Table1[[#This Row],[Department]]</f>
        <v>Research &amp; Development</v>
      </c>
      <c r="E1270">
        <f>Table1[[#This Row],[EnvironmentSatisfaction]]</f>
        <v>1</v>
      </c>
      <c r="F1270">
        <f>Table1[[#This Row],[HourlyRate]]</f>
        <v>60</v>
      </c>
      <c r="G1270" t="str">
        <f>Table1[[#This Row],[JobRole]]</f>
        <v>Manufacturing Director</v>
      </c>
      <c r="H1270">
        <f>Table1[[#This Row],[JobSatisfaction]]</f>
        <v>3</v>
      </c>
      <c r="I1270">
        <f>Table1[[#This Row],[YearsAtCompany]]</f>
        <v>3</v>
      </c>
      <c r="J1270">
        <f>Table1[[#This Row],[YearsSinceLastPromotion]]</f>
        <v>0</v>
      </c>
      <c r="K1270">
        <f>Table1[[#This Row],[EmployeeNumber]]</f>
        <v>1775</v>
      </c>
      <c r="L1270">
        <f>Table1[[#This Row],[DistanceFromHome]]</f>
        <v>1</v>
      </c>
      <c r="M1270" t="str">
        <f>Table1[[#This Row],[OverTime]]</f>
        <v>Yes</v>
      </c>
      <c r="N1270">
        <f>Table1[[#This Row],[WorkLifeBalance]]</f>
        <v>2</v>
      </c>
      <c r="O1270" t="str" cm="1">
        <f t="array" ref="O1270">_xlfn.IFS(A1270&lt;=30,"18-30",A1270&lt;=40,"31-40",A1270&lt;=50,"41-50",A1270&gt;50,"51+")</f>
        <v>51+</v>
      </c>
      <c r="P1270" t="str" cm="1">
        <f t="array" ref="P1270">_xlfn.IFS(F1270&lt;=45,"45 or below",F1270&lt;= 60,"46-60",F1270&lt;=75,"61-75",F1270&lt;=90,"76-90",F1270&gt;90,"91 or above")</f>
        <v>46-60</v>
      </c>
      <c r="Q12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270" t="str" cm="1">
        <f t="array" ref="R127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71" spans="1:18" x14ac:dyDescent="0.2">
      <c r="A1271">
        <f>Table1[[#This Row],[Age]]</f>
        <v>43</v>
      </c>
      <c r="B1271">
        <f>IF(Table3[[#This Row],[Attrition]] = "Yes", 1,0)</f>
        <v>0</v>
      </c>
      <c r="C1271" t="str">
        <f>Table1[[#This Row],[Attrition]]</f>
        <v>No</v>
      </c>
      <c r="D1271" t="str">
        <f>Table1[[#This Row],[Department]]</f>
        <v>Human Resources</v>
      </c>
      <c r="E1271">
        <f>Table1[[#This Row],[EnvironmentSatisfaction]]</f>
        <v>2</v>
      </c>
      <c r="F1271">
        <f>Table1[[#This Row],[HourlyRate]]</f>
        <v>97</v>
      </c>
      <c r="G1271" t="str">
        <f>Table1[[#This Row],[JobRole]]</f>
        <v>Human Resources</v>
      </c>
      <c r="H1271">
        <f>Table1[[#This Row],[JobSatisfaction]]</f>
        <v>4</v>
      </c>
      <c r="I1271">
        <f>Table1[[#This Row],[YearsAtCompany]]</f>
        <v>9</v>
      </c>
      <c r="J1271">
        <f>Table1[[#This Row],[YearsSinceLastPromotion]]</f>
        <v>1</v>
      </c>
      <c r="K1271">
        <f>Table1[[#This Row],[EmployeeNumber]]</f>
        <v>1778</v>
      </c>
      <c r="L1271">
        <f>Table1[[#This Row],[DistanceFromHome]]</f>
        <v>2</v>
      </c>
      <c r="M1271" t="str">
        <f>Table1[[#This Row],[OverTime]]</f>
        <v>No</v>
      </c>
      <c r="N1271">
        <f>Table1[[#This Row],[WorkLifeBalance]]</f>
        <v>3</v>
      </c>
      <c r="O1271" t="str" cm="1">
        <f t="array" ref="O1271">_xlfn.IFS(A1271&lt;=30,"18-30",A1271&lt;=40,"31-40",A1271&lt;=50,"41-50",A1271&gt;50,"51+")</f>
        <v>41-50</v>
      </c>
      <c r="P1271" t="str" cm="1">
        <f t="array" ref="P1271">_xlfn.IFS(F1271&lt;=45,"45 or below",F1271&lt;= 60,"46-60",F1271&lt;=75,"61-75",F1271&lt;=90,"76-90",F1271&gt;90,"91 or above")</f>
        <v>91 or above</v>
      </c>
      <c r="Q12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71" t="str" cm="1">
        <f t="array" ref="R12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72" spans="1:18" x14ac:dyDescent="0.2">
      <c r="A1272">
        <f>Table1[[#This Row],[Age]]</f>
        <v>34</v>
      </c>
      <c r="B1272">
        <f>IF(Table3[[#This Row],[Attrition]] = "Yes", 1,0)</f>
        <v>0</v>
      </c>
      <c r="C1272" t="str">
        <f>Table1[[#This Row],[Attrition]]</f>
        <v>No</v>
      </c>
      <c r="D1272" t="str">
        <f>Table1[[#This Row],[Department]]</f>
        <v>Sales</v>
      </c>
      <c r="E1272">
        <f>Table1[[#This Row],[EnvironmentSatisfaction]]</f>
        <v>4</v>
      </c>
      <c r="F1272">
        <f>Table1[[#This Row],[HourlyRate]]</f>
        <v>32</v>
      </c>
      <c r="G1272" t="str">
        <f>Table1[[#This Row],[JobRole]]</f>
        <v>Sales Executive</v>
      </c>
      <c r="H1272">
        <f>Table1[[#This Row],[JobSatisfaction]]</f>
        <v>4</v>
      </c>
      <c r="I1272">
        <f>Table1[[#This Row],[YearsAtCompany]]</f>
        <v>2</v>
      </c>
      <c r="J1272">
        <f>Table1[[#This Row],[YearsSinceLastPromotion]]</f>
        <v>2</v>
      </c>
      <c r="K1272">
        <f>Table1[[#This Row],[EmployeeNumber]]</f>
        <v>1779</v>
      </c>
      <c r="L1272">
        <f>Table1[[#This Row],[DistanceFromHome]]</f>
        <v>3</v>
      </c>
      <c r="M1272" t="str">
        <f>Table1[[#This Row],[OverTime]]</f>
        <v>No</v>
      </c>
      <c r="N1272">
        <f>Table1[[#This Row],[WorkLifeBalance]]</f>
        <v>3</v>
      </c>
      <c r="O1272" t="str" cm="1">
        <f t="array" ref="O1272">_xlfn.IFS(A1272&lt;=30,"18-30",A1272&lt;=40,"31-40",A1272&lt;=50,"41-50",A1272&gt;50,"51+")</f>
        <v>31-40</v>
      </c>
      <c r="P1272" t="str" cm="1">
        <f t="array" ref="P1272">_xlfn.IFS(F1272&lt;=45,"45 or below",F1272&lt;= 60,"46-60",F1272&lt;=75,"61-75",F1272&lt;=90,"76-90",F1272&gt;90,"91 or above")</f>
        <v>45 or below</v>
      </c>
      <c r="Q12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72" t="str" cm="1">
        <f t="array" ref="R12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73" spans="1:18" hidden="1" x14ac:dyDescent="0.2">
      <c r="A1273">
        <f>Table1[[#This Row],[Age]]</f>
        <v>21</v>
      </c>
      <c r="B1273">
        <f>IF(Table3[[#This Row],[Attrition]] = "Yes", 1,0)</f>
        <v>1</v>
      </c>
      <c r="C1273" t="str">
        <f>Table1[[#This Row],[Attrition]]</f>
        <v>Yes</v>
      </c>
      <c r="D1273" t="str">
        <f>Table1[[#This Row],[Department]]</f>
        <v>Sales</v>
      </c>
      <c r="E1273">
        <f>Table1[[#This Row],[EnvironmentSatisfaction]]</f>
        <v>2</v>
      </c>
      <c r="F1273">
        <f>Table1[[#This Row],[HourlyRate]]</f>
        <v>31</v>
      </c>
      <c r="G1273" t="str">
        <f>Table1[[#This Row],[JobRole]]</f>
        <v>Sales Representative</v>
      </c>
      <c r="H1273">
        <f>Table1[[#This Row],[JobSatisfaction]]</f>
        <v>2</v>
      </c>
      <c r="I1273">
        <f>Table1[[#This Row],[YearsAtCompany]]</f>
        <v>1</v>
      </c>
      <c r="J1273">
        <f>Table1[[#This Row],[YearsSinceLastPromotion]]</f>
        <v>1</v>
      </c>
      <c r="K1273">
        <f>Table1[[#This Row],[EmployeeNumber]]</f>
        <v>1780</v>
      </c>
      <c r="L1273">
        <f>Table1[[#This Row],[DistanceFromHome]]</f>
        <v>7</v>
      </c>
      <c r="M1273" t="str">
        <f>Table1[[#This Row],[OverTime]]</f>
        <v>No</v>
      </c>
      <c r="N1273">
        <f>Table1[[#This Row],[WorkLifeBalance]]</f>
        <v>3</v>
      </c>
      <c r="O1273" t="str" cm="1">
        <f t="array" ref="O1273">_xlfn.IFS(A1273&lt;=30,"18-30",A1273&lt;=40,"31-40",A1273&lt;=50,"41-50",A1273&gt;50,"51+")</f>
        <v>18-30</v>
      </c>
      <c r="P1273" t="str" cm="1">
        <f t="array" ref="P1273">_xlfn.IFS(F1273&lt;=45,"45 or below",F1273&lt;= 60,"46-60",F1273&lt;=75,"61-75",F1273&lt;=90,"76-90",F1273&gt;90,"91 or above")</f>
        <v>45 or below</v>
      </c>
      <c r="Q127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73" t="str" cm="1">
        <f t="array" ref="R1273" xml:space="preserve"> _xlfn.IFS(Table3[[#This Row],[Flight Risk Score]] = "NA","NA",Table3[[#This Row],[Flight Risk Score]] &gt;= 70,"High Risk",Table3[[#This Row],[Flight Risk Score]] &gt;= 50, "Medium Risk", Table3[[#This Row],[Flight Risk Score]] &gt;= 30,"Low Risk",Table3[[#This Row],[Flight Risk Score]] &lt; 30,"Very Low Risk")</f>
        <v>NA</v>
      </c>
    </row>
    <row r="1274" spans="1:18" x14ac:dyDescent="0.2">
      <c r="A1274">
        <f>Table1[[#This Row],[Age]]</f>
        <v>38</v>
      </c>
      <c r="B1274">
        <f>IF(Table3[[#This Row],[Attrition]] = "Yes", 1,0)</f>
        <v>0</v>
      </c>
      <c r="C1274" t="str">
        <f>Table1[[#This Row],[Attrition]]</f>
        <v>No</v>
      </c>
      <c r="D1274" t="str">
        <f>Table1[[#This Row],[Department]]</f>
        <v>Research &amp; Development</v>
      </c>
      <c r="E1274">
        <f>Table1[[#This Row],[EnvironmentSatisfaction]]</f>
        <v>4</v>
      </c>
      <c r="F1274">
        <f>Table1[[#This Row],[HourlyRate]]</f>
        <v>40</v>
      </c>
      <c r="G1274" t="str">
        <f>Table1[[#This Row],[JobRole]]</f>
        <v>Laboratory Technician</v>
      </c>
      <c r="H1274">
        <f>Table1[[#This Row],[JobSatisfaction]]</f>
        <v>3</v>
      </c>
      <c r="I1274">
        <f>Table1[[#This Row],[YearsAtCompany]]</f>
        <v>5</v>
      </c>
      <c r="J1274">
        <f>Table1[[#This Row],[YearsSinceLastPromotion]]</f>
        <v>0</v>
      </c>
      <c r="K1274">
        <f>Table1[[#This Row],[EmployeeNumber]]</f>
        <v>1782</v>
      </c>
      <c r="L1274">
        <f>Table1[[#This Row],[DistanceFromHome]]</f>
        <v>6</v>
      </c>
      <c r="M1274" t="str">
        <f>Table1[[#This Row],[OverTime]]</f>
        <v>No</v>
      </c>
      <c r="N1274">
        <f>Table1[[#This Row],[WorkLifeBalance]]</f>
        <v>3</v>
      </c>
      <c r="O1274" t="str" cm="1">
        <f t="array" ref="O1274">_xlfn.IFS(A1274&lt;=30,"18-30",A1274&lt;=40,"31-40",A1274&lt;=50,"41-50",A1274&gt;50,"51+")</f>
        <v>31-40</v>
      </c>
      <c r="P1274" t="str" cm="1">
        <f t="array" ref="P1274">_xlfn.IFS(F1274&lt;=45,"45 or below",F1274&lt;= 60,"46-60",F1274&lt;=75,"61-75",F1274&lt;=90,"76-90",F1274&gt;90,"91 or above")</f>
        <v>45 or below</v>
      </c>
      <c r="Q12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74" t="str" cm="1">
        <f t="array" ref="R127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75" spans="1:18" hidden="1" x14ac:dyDescent="0.2">
      <c r="A1275">
        <f>Table1[[#This Row],[Age]]</f>
        <v>22</v>
      </c>
      <c r="B1275">
        <f>IF(Table3[[#This Row],[Attrition]] = "Yes", 1,0)</f>
        <v>1</v>
      </c>
      <c r="C1275" t="str">
        <f>Table1[[#This Row],[Attrition]]</f>
        <v>Yes</v>
      </c>
      <c r="D1275" t="str">
        <f>Table1[[#This Row],[Department]]</f>
        <v>Research &amp; Development</v>
      </c>
      <c r="E1275">
        <f>Table1[[#This Row],[EnvironmentSatisfaction]]</f>
        <v>3</v>
      </c>
      <c r="F1275">
        <f>Table1[[#This Row],[HourlyRate]]</f>
        <v>79</v>
      </c>
      <c r="G1275" t="str">
        <f>Table1[[#This Row],[JobRole]]</f>
        <v>Laboratory Technician</v>
      </c>
      <c r="H1275">
        <f>Table1[[#This Row],[JobSatisfaction]]</f>
        <v>1</v>
      </c>
      <c r="I1275">
        <f>Table1[[#This Row],[YearsAtCompany]]</f>
        <v>1</v>
      </c>
      <c r="J1275">
        <f>Table1[[#This Row],[YearsSinceLastPromotion]]</f>
        <v>0</v>
      </c>
      <c r="K1275">
        <f>Table1[[#This Row],[EmployeeNumber]]</f>
        <v>1783</v>
      </c>
      <c r="L1275">
        <f>Table1[[#This Row],[DistanceFromHome]]</f>
        <v>8</v>
      </c>
      <c r="M1275" t="str">
        <f>Table1[[#This Row],[OverTime]]</f>
        <v>Yes</v>
      </c>
      <c r="N1275">
        <f>Table1[[#This Row],[WorkLifeBalance]]</f>
        <v>3</v>
      </c>
      <c r="O1275" t="str" cm="1">
        <f t="array" ref="O1275">_xlfn.IFS(A1275&lt;=30,"18-30",A1275&lt;=40,"31-40",A1275&lt;=50,"41-50",A1275&gt;50,"51+")</f>
        <v>18-30</v>
      </c>
      <c r="P1275" t="str" cm="1">
        <f t="array" ref="P1275">_xlfn.IFS(F1275&lt;=45,"45 or below",F1275&lt;= 60,"46-60",F1275&lt;=75,"61-75",F1275&lt;=90,"76-90",F1275&gt;90,"91 or above")</f>
        <v>76-90</v>
      </c>
      <c r="Q127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75" t="str" cm="1">
        <f t="array" ref="R1275" xml:space="preserve"> _xlfn.IFS(Table3[[#This Row],[Flight Risk Score]] = "NA","NA",Table3[[#This Row],[Flight Risk Score]] &gt;= 70,"High Risk",Table3[[#This Row],[Flight Risk Score]] &gt;= 50, "Medium Risk", Table3[[#This Row],[Flight Risk Score]] &gt;= 30,"Low Risk",Table3[[#This Row],[Flight Risk Score]] &lt; 30,"Very Low Risk")</f>
        <v>NA</v>
      </c>
    </row>
    <row r="1276" spans="1:18" x14ac:dyDescent="0.2">
      <c r="A1276">
        <f>Table1[[#This Row],[Age]]</f>
        <v>31</v>
      </c>
      <c r="B1276">
        <f>IF(Table3[[#This Row],[Attrition]] = "Yes", 1,0)</f>
        <v>0</v>
      </c>
      <c r="C1276" t="str">
        <f>Table1[[#This Row],[Attrition]]</f>
        <v>No</v>
      </c>
      <c r="D1276" t="str">
        <f>Table1[[#This Row],[Department]]</f>
        <v>Sales</v>
      </c>
      <c r="E1276">
        <f>Table1[[#This Row],[EnvironmentSatisfaction]]</f>
        <v>1</v>
      </c>
      <c r="F1276">
        <f>Table1[[#This Row],[HourlyRate]]</f>
        <v>91</v>
      </c>
      <c r="G1276" t="str">
        <f>Table1[[#This Row],[JobRole]]</f>
        <v>Sales Executive</v>
      </c>
      <c r="H1276">
        <f>Table1[[#This Row],[JobSatisfaction]]</f>
        <v>4</v>
      </c>
      <c r="I1276">
        <f>Table1[[#This Row],[YearsAtCompany]]</f>
        <v>12</v>
      </c>
      <c r="J1276">
        <f>Table1[[#This Row],[YearsSinceLastPromotion]]</f>
        <v>5</v>
      </c>
      <c r="K1276">
        <f>Table1[[#This Row],[EmployeeNumber]]</f>
        <v>1784</v>
      </c>
      <c r="L1276">
        <f>Table1[[#This Row],[DistanceFromHome]]</f>
        <v>29</v>
      </c>
      <c r="M1276" t="str">
        <f>Table1[[#This Row],[OverTime]]</f>
        <v>No</v>
      </c>
      <c r="N1276">
        <f>Table1[[#This Row],[WorkLifeBalance]]</f>
        <v>3</v>
      </c>
      <c r="O1276" t="str" cm="1">
        <f t="array" ref="O1276">_xlfn.IFS(A1276&lt;=30,"18-30",A1276&lt;=40,"31-40",A1276&lt;=50,"41-50",A1276&gt;50,"51+")</f>
        <v>31-40</v>
      </c>
      <c r="P1276" t="str" cm="1">
        <f t="array" ref="P1276">_xlfn.IFS(F1276&lt;=45,"45 or below",F1276&lt;= 60,"46-60",F1276&lt;=75,"61-75",F1276&lt;=90,"76-90",F1276&gt;90,"91 or above")</f>
        <v>91 or above</v>
      </c>
      <c r="Q12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76" t="str" cm="1">
        <f t="array" ref="R127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77" spans="1:18" x14ac:dyDescent="0.2">
      <c r="A1277">
        <f>Table1[[#This Row],[Age]]</f>
        <v>51</v>
      </c>
      <c r="B1277">
        <f>IF(Table3[[#This Row],[Attrition]] = "Yes", 1,0)</f>
        <v>0</v>
      </c>
      <c r="C1277" t="str">
        <f>Table1[[#This Row],[Attrition]]</f>
        <v>No</v>
      </c>
      <c r="D1277" t="str">
        <f>Table1[[#This Row],[Department]]</f>
        <v>Research &amp; Development</v>
      </c>
      <c r="E1277">
        <f>Table1[[#This Row],[EnvironmentSatisfaction]]</f>
        <v>1</v>
      </c>
      <c r="F1277">
        <f>Table1[[#This Row],[HourlyRate]]</f>
        <v>53</v>
      </c>
      <c r="G1277" t="str">
        <f>Table1[[#This Row],[JobRole]]</f>
        <v>Manager</v>
      </c>
      <c r="H1277">
        <f>Table1[[#This Row],[JobSatisfaction]]</f>
        <v>3</v>
      </c>
      <c r="I1277">
        <f>Table1[[#This Row],[YearsAtCompany]]</f>
        <v>2</v>
      </c>
      <c r="J1277">
        <f>Table1[[#This Row],[YearsSinceLastPromotion]]</f>
        <v>2</v>
      </c>
      <c r="K1277">
        <f>Table1[[#This Row],[EmployeeNumber]]</f>
        <v>1786</v>
      </c>
      <c r="L1277">
        <f>Table1[[#This Row],[DistanceFromHome]]</f>
        <v>3</v>
      </c>
      <c r="M1277" t="str">
        <f>Table1[[#This Row],[OverTime]]</f>
        <v>No</v>
      </c>
      <c r="N1277">
        <f>Table1[[#This Row],[WorkLifeBalance]]</f>
        <v>3</v>
      </c>
      <c r="O1277" t="str" cm="1">
        <f t="array" ref="O1277">_xlfn.IFS(A1277&lt;=30,"18-30",A1277&lt;=40,"31-40",A1277&lt;=50,"41-50",A1277&gt;50,"51+")</f>
        <v>51+</v>
      </c>
      <c r="P1277" t="str" cm="1">
        <f t="array" ref="P1277">_xlfn.IFS(F1277&lt;=45,"45 or below",F1277&lt;= 60,"46-60",F1277&lt;=75,"61-75",F1277&lt;=90,"76-90",F1277&gt;90,"91 or above")</f>
        <v>46-60</v>
      </c>
      <c r="Q127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77" t="str" cm="1">
        <f t="array" ref="R127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78" spans="1:18" x14ac:dyDescent="0.2">
      <c r="A1278">
        <f>Table1[[#This Row],[Age]]</f>
        <v>37</v>
      </c>
      <c r="B1278">
        <f>IF(Table3[[#This Row],[Attrition]] = "Yes", 1,0)</f>
        <v>0</v>
      </c>
      <c r="C1278" t="str">
        <f>Table1[[#This Row],[Attrition]]</f>
        <v>No</v>
      </c>
      <c r="D1278" t="str">
        <f>Table1[[#This Row],[Department]]</f>
        <v>Sales</v>
      </c>
      <c r="E1278">
        <f>Table1[[#This Row],[EnvironmentSatisfaction]]</f>
        <v>2</v>
      </c>
      <c r="F1278">
        <f>Table1[[#This Row],[HourlyRate]]</f>
        <v>46</v>
      </c>
      <c r="G1278" t="str">
        <f>Table1[[#This Row],[JobRole]]</f>
        <v>Sales Executive</v>
      </c>
      <c r="H1278">
        <f>Table1[[#This Row],[JobSatisfaction]]</f>
        <v>2</v>
      </c>
      <c r="I1278">
        <f>Table1[[#This Row],[YearsAtCompany]]</f>
        <v>5</v>
      </c>
      <c r="J1278">
        <f>Table1[[#This Row],[YearsSinceLastPromotion]]</f>
        <v>0</v>
      </c>
      <c r="K1278">
        <f>Table1[[#This Row],[EmployeeNumber]]</f>
        <v>1787</v>
      </c>
      <c r="L1278">
        <f>Table1[[#This Row],[DistanceFromHome]]</f>
        <v>9</v>
      </c>
      <c r="M1278" t="str">
        <f>Table1[[#This Row],[OverTime]]</f>
        <v>No</v>
      </c>
      <c r="N1278">
        <f>Table1[[#This Row],[WorkLifeBalance]]</f>
        <v>3</v>
      </c>
      <c r="O1278" t="str" cm="1">
        <f t="array" ref="O1278">_xlfn.IFS(A1278&lt;=30,"18-30",A1278&lt;=40,"31-40",A1278&lt;=50,"41-50",A1278&gt;50,"51+")</f>
        <v>31-40</v>
      </c>
      <c r="P1278" t="str" cm="1">
        <f t="array" ref="P1278">_xlfn.IFS(F1278&lt;=45,"45 or below",F1278&lt;= 60,"46-60",F1278&lt;=75,"61-75",F1278&lt;=90,"76-90",F1278&gt;90,"91 or above")</f>
        <v>46-60</v>
      </c>
      <c r="Q12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78" t="str" cm="1">
        <f t="array" ref="R127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79" spans="1:18" x14ac:dyDescent="0.2">
      <c r="A1279">
        <f>Table1[[#This Row],[Age]]</f>
        <v>46</v>
      </c>
      <c r="B1279">
        <f>IF(Table3[[#This Row],[Attrition]] = "Yes", 1,0)</f>
        <v>0</v>
      </c>
      <c r="C1279" t="str">
        <f>Table1[[#This Row],[Attrition]]</f>
        <v>No</v>
      </c>
      <c r="D1279" t="str">
        <f>Table1[[#This Row],[Department]]</f>
        <v>Research &amp; Development</v>
      </c>
      <c r="E1279">
        <f>Table1[[#This Row],[EnvironmentSatisfaction]]</f>
        <v>3</v>
      </c>
      <c r="F1279">
        <f>Table1[[#This Row],[HourlyRate]]</f>
        <v>46</v>
      </c>
      <c r="G1279" t="str">
        <f>Table1[[#This Row],[JobRole]]</f>
        <v>Research Director</v>
      </c>
      <c r="H1279">
        <f>Table1[[#This Row],[JobSatisfaction]]</f>
        <v>4</v>
      </c>
      <c r="I1279">
        <f>Table1[[#This Row],[YearsAtCompany]]</f>
        <v>2</v>
      </c>
      <c r="J1279">
        <f>Table1[[#This Row],[YearsSinceLastPromotion]]</f>
        <v>2</v>
      </c>
      <c r="K1279">
        <f>Table1[[#This Row],[EmployeeNumber]]</f>
        <v>1789</v>
      </c>
      <c r="L1279">
        <f>Table1[[#This Row],[DistanceFromHome]]</f>
        <v>2</v>
      </c>
      <c r="M1279" t="str">
        <f>Table1[[#This Row],[OverTime]]</f>
        <v>Yes</v>
      </c>
      <c r="N1279">
        <f>Table1[[#This Row],[WorkLifeBalance]]</f>
        <v>3</v>
      </c>
      <c r="O1279" t="str" cm="1">
        <f t="array" ref="O1279">_xlfn.IFS(A1279&lt;=30,"18-30",A1279&lt;=40,"31-40",A1279&lt;=50,"41-50",A1279&gt;50,"51+")</f>
        <v>41-50</v>
      </c>
      <c r="P1279" t="str" cm="1">
        <f t="array" ref="P1279">_xlfn.IFS(F1279&lt;=45,"45 or below",F1279&lt;= 60,"46-60",F1279&lt;=75,"61-75",F1279&lt;=90,"76-90",F1279&gt;90,"91 or above")</f>
        <v>46-60</v>
      </c>
      <c r="Q12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79" t="str" cm="1">
        <f t="array" ref="R127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80" spans="1:18" x14ac:dyDescent="0.2">
      <c r="A1280">
        <f>Table1[[#This Row],[Age]]</f>
        <v>36</v>
      </c>
      <c r="B1280">
        <f>IF(Table3[[#This Row],[Attrition]] = "Yes", 1,0)</f>
        <v>0</v>
      </c>
      <c r="C1280" t="str">
        <f>Table1[[#This Row],[Attrition]]</f>
        <v>No</v>
      </c>
      <c r="D1280" t="str">
        <f>Table1[[#This Row],[Department]]</f>
        <v>Research &amp; Development</v>
      </c>
      <c r="E1280">
        <f>Table1[[#This Row],[EnvironmentSatisfaction]]</f>
        <v>4</v>
      </c>
      <c r="F1280">
        <f>Table1[[#This Row],[HourlyRate]]</f>
        <v>90</v>
      </c>
      <c r="G1280" t="str">
        <f>Table1[[#This Row],[JobRole]]</f>
        <v>Healthcare Representative</v>
      </c>
      <c r="H1280">
        <f>Table1[[#This Row],[JobSatisfaction]]</f>
        <v>1</v>
      </c>
      <c r="I1280">
        <f>Table1[[#This Row],[YearsAtCompany]]</f>
        <v>12</v>
      </c>
      <c r="J1280">
        <f>Table1[[#This Row],[YearsSinceLastPromotion]]</f>
        <v>5</v>
      </c>
      <c r="K1280">
        <f>Table1[[#This Row],[EmployeeNumber]]</f>
        <v>1790</v>
      </c>
      <c r="L1280">
        <f>Table1[[#This Row],[DistanceFromHome]]</f>
        <v>10</v>
      </c>
      <c r="M1280" t="str">
        <f>Table1[[#This Row],[OverTime]]</f>
        <v>Yes</v>
      </c>
      <c r="N1280">
        <f>Table1[[#This Row],[WorkLifeBalance]]</f>
        <v>3</v>
      </c>
      <c r="O1280" t="str" cm="1">
        <f t="array" ref="O1280">_xlfn.IFS(A1280&lt;=30,"18-30",A1280&lt;=40,"31-40",A1280&lt;=50,"41-50",A1280&gt;50,"51+")</f>
        <v>31-40</v>
      </c>
      <c r="P1280" t="str" cm="1">
        <f t="array" ref="P1280">_xlfn.IFS(F1280&lt;=45,"45 or below",F1280&lt;= 60,"46-60",F1280&lt;=75,"61-75",F1280&lt;=90,"76-90",F1280&gt;90,"91 or above")</f>
        <v>76-90</v>
      </c>
      <c r="Q12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280" t="str" cm="1">
        <f t="array" ref="R128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81" spans="1:18" hidden="1" x14ac:dyDescent="0.2">
      <c r="A1281">
        <f>Table1[[#This Row],[Age]]</f>
        <v>44</v>
      </c>
      <c r="B1281">
        <f>IF(Table3[[#This Row],[Attrition]] = "Yes", 1,0)</f>
        <v>1</v>
      </c>
      <c r="C1281" t="str">
        <f>Table1[[#This Row],[Attrition]]</f>
        <v>Yes</v>
      </c>
      <c r="D1281" t="str">
        <f>Table1[[#This Row],[Department]]</f>
        <v>Research &amp; Development</v>
      </c>
      <c r="E1281">
        <f>Table1[[#This Row],[EnvironmentSatisfaction]]</f>
        <v>3</v>
      </c>
      <c r="F1281">
        <f>Table1[[#This Row],[HourlyRate]]</f>
        <v>99</v>
      </c>
      <c r="G1281" t="str">
        <f>Table1[[#This Row],[JobRole]]</f>
        <v>Research Scientist</v>
      </c>
      <c r="H1281">
        <f>Table1[[#This Row],[JobSatisfaction]]</f>
        <v>2</v>
      </c>
      <c r="I1281">
        <f>Table1[[#This Row],[YearsAtCompany]]</f>
        <v>5</v>
      </c>
      <c r="J1281">
        <f>Table1[[#This Row],[YearsSinceLastPromotion]]</f>
        <v>2</v>
      </c>
      <c r="K1281">
        <f>Table1[[#This Row],[EmployeeNumber]]</f>
        <v>1792</v>
      </c>
      <c r="L1281">
        <f>Table1[[#This Row],[DistanceFromHome]]</f>
        <v>1</v>
      </c>
      <c r="M1281" t="str">
        <f>Table1[[#This Row],[OverTime]]</f>
        <v>Yes</v>
      </c>
      <c r="N1281">
        <f>Table1[[#This Row],[WorkLifeBalance]]</f>
        <v>2</v>
      </c>
      <c r="O1281" t="str" cm="1">
        <f t="array" ref="O1281">_xlfn.IFS(A1281&lt;=30,"18-30",A1281&lt;=40,"31-40",A1281&lt;=50,"41-50",A1281&gt;50,"51+")</f>
        <v>41-50</v>
      </c>
      <c r="P1281" t="str" cm="1">
        <f t="array" ref="P1281">_xlfn.IFS(F1281&lt;=45,"45 or below",F1281&lt;= 60,"46-60",F1281&lt;=75,"61-75",F1281&lt;=90,"76-90",F1281&gt;90,"91 or above")</f>
        <v>91 or above</v>
      </c>
      <c r="Q128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81" t="str" cm="1">
        <f t="array" ref="R1281" xml:space="preserve"> _xlfn.IFS(Table3[[#This Row],[Flight Risk Score]] = "NA","NA",Table3[[#This Row],[Flight Risk Score]] &gt;= 70,"High Risk",Table3[[#This Row],[Flight Risk Score]] &gt;= 50, "Medium Risk", Table3[[#This Row],[Flight Risk Score]] &gt;= 30,"Low Risk",Table3[[#This Row],[Flight Risk Score]] &lt; 30,"Very Low Risk")</f>
        <v>NA</v>
      </c>
    </row>
    <row r="1282" spans="1:18" x14ac:dyDescent="0.2">
      <c r="A1282">
        <f>Table1[[#This Row],[Age]]</f>
        <v>37</v>
      </c>
      <c r="B1282">
        <f>IF(Table3[[#This Row],[Attrition]] = "Yes", 1,0)</f>
        <v>0</v>
      </c>
      <c r="C1282" t="str">
        <f>Table1[[#This Row],[Attrition]]</f>
        <v>No</v>
      </c>
      <c r="D1282" t="str">
        <f>Table1[[#This Row],[Department]]</f>
        <v>Human Resources</v>
      </c>
      <c r="E1282">
        <f>Table1[[#This Row],[EnvironmentSatisfaction]]</f>
        <v>3</v>
      </c>
      <c r="F1282">
        <f>Table1[[#This Row],[HourlyRate]]</f>
        <v>89</v>
      </c>
      <c r="G1282" t="str">
        <f>Table1[[#This Row],[JobRole]]</f>
        <v>Human Resources</v>
      </c>
      <c r="H1282">
        <f>Table1[[#This Row],[JobSatisfaction]]</f>
        <v>2</v>
      </c>
      <c r="I1282">
        <f>Table1[[#This Row],[YearsAtCompany]]</f>
        <v>10</v>
      </c>
      <c r="J1282">
        <f>Table1[[#This Row],[YearsSinceLastPromotion]]</f>
        <v>4</v>
      </c>
      <c r="K1282">
        <f>Table1[[#This Row],[EmployeeNumber]]</f>
        <v>1794</v>
      </c>
      <c r="L1282">
        <f>Table1[[#This Row],[DistanceFromHome]]</f>
        <v>8</v>
      </c>
      <c r="M1282" t="str">
        <f>Table1[[#This Row],[OverTime]]</f>
        <v>No</v>
      </c>
      <c r="N1282">
        <f>Table1[[#This Row],[WorkLifeBalance]]</f>
        <v>2</v>
      </c>
      <c r="O1282" t="str" cm="1">
        <f t="array" ref="O1282">_xlfn.IFS(A1282&lt;=30,"18-30",A1282&lt;=40,"31-40",A1282&lt;=50,"41-50",A1282&gt;50,"51+")</f>
        <v>31-40</v>
      </c>
      <c r="P1282" t="str" cm="1">
        <f t="array" ref="P1282">_xlfn.IFS(F1282&lt;=45,"45 or below",F1282&lt;= 60,"46-60",F1282&lt;=75,"61-75",F1282&lt;=90,"76-90",F1282&gt;90,"91 or above")</f>
        <v>76-90</v>
      </c>
      <c r="Q12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82" t="str" cm="1">
        <f t="array" ref="R128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83" spans="1:18" hidden="1" x14ac:dyDescent="0.2">
      <c r="A1283">
        <f>Table1[[#This Row],[Age]]</f>
        <v>35</v>
      </c>
      <c r="B1283">
        <f>IF(Table3[[#This Row],[Attrition]] = "Yes", 1,0)</f>
        <v>1</v>
      </c>
      <c r="C1283" t="str">
        <f>Table1[[#This Row],[Attrition]]</f>
        <v>Yes</v>
      </c>
      <c r="D1283" t="str">
        <f>Table1[[#This Row],[Department]]</f>
        <v>Sales</v>
      </c>
      <c r="E1283">
        <f>Table1[[#This Row],[EnvironmentSatisfaction]]</f>
        <v>3</v>
      </c>
      <c r="F1283">
        <f>Table1[[#This Row],[HourlyRate]]</f>
        <v>84</v>
      </c>
      <c r="G1283" t="str">
        <f>Table1[[#This Row],[JobRole]]</f>
        <v>Sales Executive</v>
      </c>
      <c r="H1283">
        <f>Table1[[#This Row],[JobSatisfaction]]</f>
        <v>4</v>
      </c>
      <c r="I1283">
        <f>Table1[[#This Row],[YearsAtCompany]]</f>
        <v>10</v>
      </c>
      <c r="J1283">
        <f>Table1[[#This Row],[YearsSinceLastPromotion]]</f>
        <v>7</v>
      </c>
      <c r="K1283">
        <f>Table1[[#This Row],[EmployeeNumber]]</f>
        <v>1797</v>
      </c>
      <c r="L1283">
        <f>Table1[[#This Row],[DistanceFromHome]]</f>
        <v>27</v>
      </c>
      <c r="M1283" t="str">
        <f>Table1[[#This Row],[OverTime]]</f>
        <v>Yes</v>
      </c>
      <c r="N1283">
        <f>Table1[[#This Row],[WorkLifeBalance]]</f>
        <v>3</v>
      </c>
      <c r="O1283" t="str" cm="1">
        <f t="array" ref="O1283">_xlfn.IFS(A1283&lt;=30,"18-30",A1283&lt;=40,"31-40",A1283&lt;=50,"41-50",A1283&gt;50,"51+")</f>
        <v>31-40</v>
      </c>
      <c r="P1283" t="str" cm="1">
        <f t="array" ref="P1283">_xlfn.IFS(F1283&lt;=45,"45 or below",F1283&lt;= 60,"46-60",F1283&lt;=75,"61-75",F1283&lt;=90,"76-90",F1283&gt;90,"91 or above")</f>
        <v>76-90</v>
      </c>
      <c r="Q128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83" t="str" cm="1">
        <f t="array" ref="R1283" xml:space="preserve"> _xlfn.IFS(Table3[[#This Row],[Flight Risk Score]] = "NA","NA",Table3[[#This Row],[Flight Risk Score]] &gt;= 70,"High Risk",Table3[[#This Row],[Flight Risk Score]] &gt;= 50, "Medium Risk", Table3[[#This Row],[Flight Risk Score]] &gt;= 30,"Low Risk",Table3[[#This Row],[Flight Risk Score]] &lt; 30,"Very Low Risk")</f>
        <v>NA</v>
      </c>
    </row>
    <row r="1284" spans="1:18" x14ac:dyDescent="0.2">
      <c r="A1284">
        <f>Table1[[#This Row],[Age]]</f>
        <v>33</v>
      </c>
      <c r="B1284">
        <f>IF(Table3[[#This Row],[Attrition]] = "Yes", 1,0)</f>
        <v>0</v>
      </c>
      <c r="C1284" t="str">
        <f>Table1[[#This Row],[Attrition]]</f>
        <v>No</v>
      </c>
      <c r="D1284" t="str">
        <f>Table1[[#This Row],[Department]]</f>
        <v>Research &amp; Development</v>
      </c>
      <c r="E1284">
        <f>Table1[[#This Row],[EnvironmentSatisfaction]]</f>
        <v>4</v>
      </c>
      <c r="F1284">
        <f>Table1[[#This Row],[HourlyRate]]</f>
        <v>90</v>
      </c>
      <c r="G1284" t="str">
        <f>Table1[[#This Row],[JobRole]]</f>
        <v>Research Scientist</v>
      </c>
      <c r="H1284">
        <f>Table1[[#This Row],[JobSatisfaction]]</f>
        <v>1</v>
      </c>
      <c r="I1284">
        <f>Table1[[#This Row],[YearsAtCompany]]</f>
        <v>10</v>
      </c>
      <c r="J1284">
        <f>Table1[[#This Row],[YearsSinceLastPromotion]]</f>
        <v>7</v>
      </c>
      <c r="K1284">
        <f>Table1[[#This Row],[EmployeeNumber]]</f>
        <v>1798</v>
      </c>
      <c r="L1284">
        <f>Table1[[#This Row],[DistanceFromHome]]</f>
        <v>8</v>
      </c>
      <c r="M1284" t="str">
        <f>Table1[[#This Row],[OverTime]]</f>
        <v>No</v>
      </c>
      <c r="N1284">
        <f>Table1[[#This Row],[WorkLifeBalance]]</f>
        <v>3</v>
      </c>
      <c r="O1284" t="str" cm="1">
        <f t="array" ref="O1284">_xlfn.IFS(A1284&lt;=30,"18-30",A1284&lt;=40,"31-40",A1284&lt;=50,"41-50",A1284&gt;50,"51+")</f>
        <v>31-40</v>
      </c>
      <c r="P1284" t="str" cm="1">
        <f t="array" ref="P1284">_xlfn.IFS(F1284&lt;=45,"45 or below",F1284&lt;= 60,"46-60",F1284&lt;=75,"61-75",F1284&lt;=90,"76-90",F1284&gt;90,"91 or above")</f>
        <v>76-90</v>
      </c>
      <c r="Q12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84" t="str" cm="1">
        <f t="array" ref="R128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85" spans="1:18" x14ac:dyDescent="0.2">
      <c r="A1285">
        <f>Table1[[#This Row],[Age]]</f>
        <v>28</v>
      </c>
      <c r="B1285">
        <f>IF(Table3[[#This Row],[Attrition]] = "Yes", 1,0)</f>
        <v>0</v>
      </c>
      <c r="C1285" t="str">
        <f>Table1[[#This Row],[Attrition]]</f>
        <v>No</v>
      </c>
      <c r="D1285" t="str">
        <f>Table1[[#This Row],[Department]]</f>
        <v>Research &amp; Development</v>
      </c>
      <c r="E1285">
        <f>Table1[[#This Row],[EnvironmentSatisfaction]]</f>
        <v>3</v>
      </c>
      <c r="F1285">
        <f>Table1[[#This Row],[HourlyRate]]</f>
        <v>82</v>
      </c>
      <c r="G1285" t="str">
        <f>Table1[[#This Row],[JobRole]]</f>
        <v>Research Scientist</v>
      </c>
      <c r="H1285">
        <f>Table1[[#This Row],[JobSatisfaction]]</f>
        <v>4</v>
      </c>
      <c r="I1285">
        <f>Table1[[#This Row],[YearsAtCompany]]</f>
        <v>5</v>
      </c>
      <c r="J1285">
        <f>Table1[[#This Row],[YearsSinceLastPromotion]]</f>
        <v>0</v>
      </c>
      <c r="K1285">
        <f>Table1[[#This Row],[EmployeeNumber]]</f>
        <v>1799</v>
      </c>
      <c r="L1285">
        <f>Table1[[#This Row],[DistanceFromHome]]</f>
        <v>1</v>
      </c>
      <c r="M1285" t="str">
        <f>Table1[[#This Row],[OverTime]]</f>
        <v>No</v>
      </c>
      <c r="N1285">
        <f>Table1[[#This Row],[WorkLifeBalance]]</f>
        <v>4</v>
      </c>
      <c r="O1285" t="str" cm="1">
        <f t="array" ref="O1285">_xlfn.IFS(A1285&lt;=30,"18-30",A1285&lt;=40,"31-40",A1285&lt;=50,"41-50",A1285&gt;50,"51+")</f>
        <v>18-30</v>
      </c>
      <c r="P1285" t="str" cm="1">
        <f t="array" ref="P1285">_xlfn.IFS(F1285&lt;=45,"45 or below",F1285&lt;= 60,"46-60",F1285&lt;=75,"61-75",F1285&lt;=90,"76-90",F1285&gt;90,"91 or above")</f>
        <v>76-90</v>
      </c>
      <c r="Q12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85" t="str" cm="1">
        <f t="array" ref="R128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86" spans="1:18" x14ac:dyDescent="0.2">
      <c r="A1286">
        <f>Table1[[#This Row],[Age]]</f>
        <v>39</v>
      </c>
      <c r="B1286">
        <f>IF(Table3[[#This Row],[Attrition]] = "Yes", 1,0)</f>
        <v>0</v>
      </c>
      <c r="C1286" t="str">
        <f>Table1[[#This Row],[Attrition]]</f>
        <v>No</v>
      </c>
      <c r="D1286" t="str">
        <f>Table1[[#This Row],[Department]]</f>
        <v>Research &amp; Development</v>
      </c>
      <c r="E1286">
        <f>Table1[[#This Row],[EnvironmentSatisfaction]]</f>
        <v>3</v>
      </c>
      <c r="F1286">
        <f>Table1[[#This Row],[HourlyRate]]</f>
        <v>65</v>
      </c>
      <c r="G1286" t="str">
        <f>Table1[[#This Row],[JobRole]]</f>
        <v>Research Director</v>
      </c>
      <c r="H1286">
        <f>Table1[[#This Row],[JobSatisfaction]]</f>
        <v>3</v>
      </c>
      <c r="I1286">
        <f>Table1[[#This Row],[YearsAtCompany]]</f>
        <v>4</v>
      </c>
      <c r="J1286">
        <f>Table1[[#This Row],[YearsSinceLastPromotion]]</f>
        <v>2</v>
      </c>
      <c r="K1286">
        <f>Table1[[#This Row],[EmployeeNumber]]</f>
        <v>1800</v>
      </c>
      <c r="L1286">
        <f>Table1[[#This Row],[DistanceFromHome]]</f>
        <v>10</v>
      </c>
      <c r="M1286" t="str">
        <f>Table1[[#This Row],[OverTime]]</f>
        <v>No</v>
      </c>
      <c r="N1286">
        <f>Table1[[#This Row],[WorkLifeBalance]]</f>
        <v>3</v>
      </c>
      <c r="O1286" t="str" cm="1">
        <f t="array" ref="O1286">_xlfn.IFS(A1286&lt;=30,"18-30",A1286&lt;=40,"31-40",A1286&lt;=50,"41-50",A1286&gt;50,"51+")</f>
        <v>31-40</v>
      </c>
      <c r="P1286" t="str" cm="1">
        <f t="array" ref="P1286">_xlfn.IFS(F1286&lt;=45,"45 or below",F1286&lt;= 60,"46-60",F1286&lt;=75,"61-75",F1286&lt;=90,"76-90",F1286&gt;90,"91 or above")</f>
        <v>61-75</v>
      </c>
      <c r="Q12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86" t="str" cm="1">
        <f t="array" ref="R12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87" spans="1:18" x14ac:dyDescent="0.2">
      <c r="A1287">
        <f>Table1[[#This Row],[Age]]</f>
        <v>46</v>
      </c>
      <c r="B1287">
        <f>IF(Table3[[#This Row],[Attrition]] = "Yes", 1,0)</f>
        <v>0</v>
      </c>
      <c r="C1287" t="str">
        <f>Table1[[#This Row],[Attrition]]</f>
        <v>No</v>
      </c>
      <c r="D1287" t="str">
        <f>Table1[[#This Row],[Department]]</f>
        <v>Sales</v>
      </c>
      <c r="E1287">
        <f>Table1[[#This Row],[EnvironmentSatisfaction]]</f>
        <v>2</v>
      </c>
      <c r="F1287">
        <f>Table1[[#This Row],[HourlyRate]]</f>
        <v>98</v>
      </c>
      <c r="G1287" t="str">
        <f>Table1[[#This Row],[JobRole]]</f>
        <v>Sales Executive</v>
      </c>
      <c r="H1287">
        <f>Table1[[#This Row],[JobSatisfaction]]</f>
        <v>2</v>
      </c>
      <c r="I1287">
        <f>Table1[[#This Row],[YearsAtCompany]]</f>
        <v>2</v>
      </c>
      <c r="J1287">
        <f>Table1[[#This Row],[YearsSinceLastPromotion]]</f>
        <v>2</v>
      </c>
      <c r="K1287">
        <f>Table1[[#This Row],[EmployeeNumber]]</f>
        <v>1801</v>
      </c>
      <c r="L1287">
        <f>Table1[[#This Row],[DistanceFromHome]]</f>
        <v>26</v>
      </c>
      <c r="M1287" t="str">
        <f>Table1[[#This Row],[OverTime]]</f>
        <v>No</v>
      </c>
      <c r="N1287">
        <f>Table1[[#This Row],[WorkLifeBalance]]</f>
        <v>3</v>
      </c>
      <c r="O1287" t="str" cm="1">
        <f t="array" ref="O1287">_xlfn.IFS(A1287&lt;=30,"18-30",A1287&lt;=40,"31-40",A1287&lt;=50,"41-50",A1287&gt;50,"51+")</f>
        <v>41-50</v>
      </c>
      <c r="P1287" t="str" cm="1">
        <f t="array" ref="P1287">_xlfn.IFS(F1287&lt;=45,"45 or below",F1287&lt;= 60,"46-60",F1287&lt;=75,"61-75",F1287&lt;=90,"76-90",F1287&gt;90,"91 or above")</f>
        <v>91 or above</v>
      </c>
      <c r="Q12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87" t="str" cm="1">
        <f t="array" ref="R128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88" spans="1:18" x14ac:dyDescent="0.2">
      <c r="A1288">
        <f>Table1[[#This Row],[Age]]</f>
        <v>40</v>
      </c>
      <c r="B1288">
        <f>IF(Table3[[#This Row],[Attrition]] = "Yes", 1,0)</f>
        <v>0</v>
      </c>
      <c r="C1288" t="str">
        <f>Table1[[#This Row],[Attrition]]</f>
        <v>No</v>
      </c>
      <c r="D1288" t="str">
        <f>Table1[[#This Row],[Department]]</f>
        <v>Research &amp; Development</v>
      </c>
      <c r="E1288">
        <f>Table1[[#This Row],[EnvironmentSatisfaction]]</f>
        <v>3</v>
      </c>
      <c r="F1288">
        <f>Table1[[#This Row],[HourlyRate]]</f>
        <v>99</v>
      </c>
      <c r="G1288" t="str">
        <f>Table1[[#This Row],[JobRole]]</f>
        <v>Laboratory Technician</v>
      </c>
      <c r="H1288">
        <f>Table1[[#This Row],[JobSatisfaction]]</f>
        <v>1</v>
      </c>
      <c r="I1288">
        <f>Table1[[#This Row],[YearsAtCompany]]</f>
        <v>4</v>
      </c>
      <c r="J1288">
        <f>Table1[[#This Row],[YearsSinceLastPromotion]]</f>
        <v>0</v>
      </c>
      <c r="K1288">
        <f>Table1[[#This Row],[EmployeeNumber]]</f>
        <v>1802</v>
      </c>
      <c r="L1288">
        <f>Table1[[#This Row],[DistanceFromHome]]</f>
        <v>2</v>
      </c>
      <c r="M1288" t="str">
        <f>Table1[[#This Row],[OverTime]]</f>
        <v>No</v>
      </c>
      <c r="N1288">
        <f>Table1[[#This Row],[WorkLifeBalance]]</f>
        <v>2</v>
      </c>
      <c r="O1288" t="str" cm="1">
        <f t="array" ref="O1288">_xlfn.IFS(A1288&lt;=30,"18-30",A1288&lt;=40,"31-40",A1288&lt;=50,"41-50",A1288&gt;50,"51+")</f>
        <v>31-40</v>
      </c>
      <c r="P1288" t="str" cm="1">
        <f t="array" ref="P1288">_xlfn.IFS(F1288&lt;=45,"45 or below",F1288&lt;= 60,"46-60",F1288&lt;=75,"61-75",F1288&lt;=90,"76-90",F1288&gt;90,"91 or above")</f>
        <v>91 or above</v>
      </c>
      <c r="Q12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88" t="str" cm="1">
        <f t="array" ref="R12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89" spans="1:18" x14ac:dyDescent="0.2">
      <c r="A1289">
        <f>Table1[[#This Row],[Age]]</f>
        <v>42</v>
      </c>
      <c r="B1289">
        <f>IF(Table3[[#This Row],[Attrition]] = "Yes", 1,0)</f>
        <v>0</v>
      </c>
      <c r="C1289" t="str">
        <f>Table1[[#This Row],[Attrition]]</f>
        <v>No</v>
      </c>
      <c r="D1289" t="str">
        <f>Table1[[#This Row],[Department]]</f>
        <v>Research &amp; Development</v>
      </c>
      <c r="E1289">
        <f>Table1[[#This Row],[EnvironmentSatisfaction]]</f>
        <v>2</v>
      </c>
      <c r="F1289">
        <f>Table1[[#This Row],[HourlyRate]]</f>
        <v>95</v>
      </c>
      <c r="G1289" t="str">
        <f>Table1[[#This Row],[JobRole]]</f>
        <v>Healthcare Representative</v>
      </c>
      <c r="H1289">
        <f>Table1[[#This Row],[JobSatisfaction]]</f>
        <v>1</v>
      </c>
      <c r="I1289">
        <f>Table1[[#This Row],[YearsAtCompany]]</f>
        <v>0</v>
      </c>
      <c r="J1289">
        <f>Table1[[#This Row],[YearsSinceLastPromotion]]</f>
        <v>0</v>
      </c>
      <c r="K1289">
        <f>Table1[[#This Row],[EmployeeNumber]]</f>
        <v>1803</v>
      </c>
      <c r="L1289">
        <f>Table1[[#This Row],[DistanceFromHome]]</f>
        <v>13</v>
      </c>
      <c r="M1289" t="str">
        <f>Table1[[#This Row],[OverTime]]</f>
        <v>No</v>
      </c>
      <c r="N1289">
        <f>Table1[[#This Row],[WorkLifeBalance]]</f>
        <v>2</v>
      </c>
      <c r="O1289" t="str" cm="1">
        <f t="array" ref="O1289">_xlfn.IFS(A1289&lt;=30,"18-30",A1289&lt;=40,"31-40",A1289&lt;=50,"41-50",A1289&gt;50,"51+")</f>
        <v>41-50</v>
      </c>
      <c r="P1289" t="str" cm="1">
        <f t="array" ref="P1289">_xlfn.IFS(F1289&lt;=45,"45 or below",F1289&lt;= 60,"46-60",F1289&lt;=75,"61-75",F1289&lt;=90,"76-90",F1289&gt;90,"91 or above")</f>
        <v>91 or above</v>
      </c>
      <c r="Q12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89" t="str" cm="1">
        <f t="array" ref="R128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90" spans="1:18" x14ac:dyDescent="0.2">
      <c r="A1290">
        <f>Table1[[#This Row],[Age]]</f>
        <v>35</v>
      </c>
      <c r="B1290">
        <f>IF(Table3[[#This Row],[Attrition]] = "Yes", 1,0)</f>
        <v>0</v>
      </c>
      <c r="C1290" t="str">
        <f>Table1[[#This Row],[Attrition]]</f>
        <v>No</v>
      </c>
      <c r="D1290" t="str">
        <f>Table1[[#This Row],[Department]]</f>
        <v>Research &amp; Development</v>
      </c>
      <c r="E1290">
        <f>Table1[[#This Row],[EnvironmentSatisfaction]]</f>
        <v>2</v>
      </c>
      <c r="F1290">
        <f>Table1[[#This Row],[HourlyRate]]</f>
        <v>90</v>
      </c>
      <c r="G1290" t="str">
        <f>Table1[[#This Row],[JobRole]]</f>
        <v>Manufacturing Director</v>
      </c>
      <c r="H1290">
        <f>Table1[[#This Row],[JobSatisfaction]]</f>
        <v>4</v>
      </c>
      <c r="I1290">
        <f>Table1[[#This Row],[YearsAtCompany]]</f>
        <v>7</v>
      </c>
      <c r="J1290">
        <f>Table1[[#This Row],[YearsSinceLastPromotion]]</f>
        <v>1</v>
      </c>
      <c r="K1290">
        <f>Table1[[#This Row],[EmployeeNumber]]</f>
        <v>1804</v>
      </c>
      <c r="L1290">
        <f>Table1[[#This Row],[DistanceFromHome]]</f>
        <v>2</v>
      </c>
      <c r="M1290" t="str">
        <f>Table1[[#This Row],[OverTime]]</f>
        <v>No</v>
      </c>
      <c r="N1290">
        <f>Table1[[#This Row],[WorkLifeBalance]]</f>
        <v>3</v>
      </c>
      <c r="O1290" t="str" cm="1">
        <f t="array" ref="O1290">_xlfn.IFS(A1290&lt;=30,"18-30",A1290&lt;=40,"31-40",A1290&lt;=50,"41-50",A1290&gt;50,"51+")</f>
        <v>31-40</v>
      </c>
      <c r="P1290" t="str" cm="1">
        <f t="array" ref="P1290">_xlfn.IFS(F1290&lt;=45,"45 or below",F1290&lt;= 60,"46-60",F1290&lt;=75,"61-75",F1290&lt;=90,"76-90",F1290&gt;90,"91 or above")</f>
        <v>76-90</v>
      </c>
      <c r="Q12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90" t="str" cm="1">
        <f t="array" ref="R12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91" spans="1:18" x14ac:dyDescent="0.2">
      <c r="A1291">
        <f>Table1[[#This Row],[Age]]</f>
        <v>38</v>
      </c>
      <c r="B1291">
        <f>IF(Table3[[#This Row],[Attrition]] = "Yes", 1,0)</f>
        <v>0</v>
      </c>
      <c r="C1291" t="str">
        <f>Table1[[#This Row],[Attrition]]</f>
        <v>No</v>
      </c>
      <c r="D1291" t="str">
        <f>Table1[[#This Row],[Department]]</f>
        <v>Human Resources</v>
      </c>
      <c r="E1291">
        <f>Table1[[#This Row],[EnvironmentSatisfaction]]</f>
        <v>1</v>
      </c>
      <c r="F1291">
        <f>Table1[[#This Row],[HourlyRate]]</f>
        <v>100</v>
      </c>
      <c r="G1291" t="str">
        <f>Table1[[#This Row],[JobRole]]</f>
        <v>Human Resources</v>
      </c>
      <c r="H1291">
        <f>Table1[[#This Row],[JobSatisfaction]]</f>
        <v>2</v>
      </c>
      <c r="I1291">
        <f>Table1[[#This Row],[YearsAtCompany]]</f>
        <v>11</v>
      </c>
      <c r="J1291">
        <f>Table1[[#This Row],[YearsSinceLastPromotion]]</f>
        <v>3</v>
      </c>
      <c r="K1291">
        <f>Table1[[#This Row],[EmployeeNumber]]</f>
        <v>1805</v>
      </c>
      <c r="L1291">
        <f>Table1[[#This Row],[DistanceFromHome]]</f>
        <v>2</v>
      </c>
      <c r="M1291" t="str">
        <f>Table1[[#This Row],[OverTime]]</f>
        <v>No</v>
      </c>
      <c r="N1291">
        <f>Table1[[#This Row],[WorkLifeBalance]]</f>
        <v>3</v>
      </c>
      <c r="O1291" t="str" cm="1">
        <f t="array" ref="O1291">_xlfn.IFS(A1291&lt;=30,"18-30",A1291&lt;=40,"31-40",A1291&lt;=50,"41-50",A1291&gt;50,"51+")</f>
        <v>31-40</v>
      </c>
      <c r="P1291" t="str" cm="1">
        <f t="array" ref="P1291">_xlfn.IFS(F1291&lt;=45,"45 or below",F1291&lt;= 60,"46-60",F1291&lt;=75,"61-75",F1291&lt;=90,"76-90",F1291&gt;90,"91 or above")</f>
        <v>91 or above</v>
      </c>
      <c r="Q12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291" t="str" cm="1">
        <f t="array" ref="R129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92" spans="1:18" hidden="1" x14ac:dyDescent="0.2">
      <c r="A1292">
        <f>Table1[[#This Row],[Age]]</f>
        <v>34</v>
      </c>
      <c r="B1292">
        <f>IF(Table3[[#This Row],[Attrition]] = "Yes", 1,0)</f>
        <v>1</v>
      </c>
      <c r="C1292" t="str">
        <f>Table1[[#This Row],[Attrition]]</f>
        <v>Yes</v>
      </c>
      <c r="D1292" t="str">
        <f>Table1[[#This Row],[Department]]</f>
        <v>Research &amp; Development</v>
      </c>
      <c r="E1292">
        <f>Table1[[#This Row],[EnvironmentSatisfaction]]</f>
        <v>4</v>
      </c>
      <c r="F1292">
        <f>Table1[[#This Row],[HourlyRate]]</f>
        <v>93</v>
      </c>
      <c r="G1292" t="str">
        <f>Table1[[#This Row],[JobRole]]</f>
        <v>Laboratory Technician</v>
      </c>
      <c r="H1292">
        <f>Table1[[#This Row],[JobSatisfaction]]</f>
        <v>1</v>
      </c>
      <c r="I1292">
        <f>Table1[[#This Row],[YearsAtCompany]]</f>
        <v>7</v>
      </c>
      <c r="J1292">
        <f>Table1[[#This Row],[YearsSinceLastPromotion]]</f>
        <v>0</v>
      </c>
      <c r="K1292">
        <f>Table1[[#This Row],[EmployeeNumber]]</f>
        <v>1807</v>
      </c>
      <c r="L1292">
        <f>Table1[[#This Row],[DistanceFromHome]]</f>
        <v>9</v>
      </c>
      <c r="M1292" t="str">
        <f>Table1[[#This Row],[OverTime]]</f>
        <v>No</v>
      </c>
      <c r="N1292">
        <f>Table1[[#This Row],[WorkLifeBalance]]</f>
        <v>2</v>
      </c>
      <c r="O1292" t="str" cm="1">
        <f t="array" ref="O1292">_xlfn.IFS(A1292&lt;=30,"18-30",A1292&lt;=40,"31-40",A1292&lt;=50,"41-50",A1292&gt;50,"51+")</f>
        <v>31-40</v>
      </c>
      <c r="P1292" t="str" cm="1">
        <f t="array" ref="P1292">_xlfn.IFS(F1292&lt;=45,"45 or below",F1292&lt;= 60,"46-60",F1292&lt;=75,"61-75",F1292&lt;=90,"76-90",F1292&gt;90,"91 or above")</f>
        <v>91 or above</v>
      </c>
      <c r="Q129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92" t="str" cm="1">
        <f t="array" ref="R1292" xml:space="preserve"> _xlfn.IFS(Table3[[#This Row],[Flight Risk Score]] = "NA","NA",Table3[[#This Row],[Flight Risk Score]] &gt;= 70,"High Risk",Table3[[#This Row],[Flight Risk Score]] &gt;= 50, "Medium Risk", Table3[[#This Row],[Flight Risk Score]] &gt;= 30,"Low Risk",Table3[[#This Row],[Flight Risk Score]] &lt; 30,"Very Low Risk")</f>
        <v>NA</v>
      </c>
    </row>
    <row r="1293" spans="1:18" hidden="1" x14ac:dyDescent="0.2">
      <c r="A1293">
        <f>Table1[[#This Row],[Age]]</f>
        <v>37</v>
      </c>
      <c r="B1293">
        <f>IF(Table3[[#This Row],[Attrition]] = "Yes", 1,0)</f>
        <v>1</v>
      </c>
      <c r="C1293" t="str">
        <f>Table1[[#This Row],[Attrition]]</f>
        <v>Yes</v>
      </c>
      <c r="D1293" t="str">
        <f>Table1[[#This Row],[Department]]</f>
        <v>Research &amp; Development</v>
      </c>
      <c r="E1293">
        <f>Table1[[#This Row],[EnvironmentSatisfaction]]</f>
        <v>4</v>
      </c>
      <c r="F1293">
        <f>Table1[[#This Row],[HourlyRate]]</f>
        <v>58</v>
      </c>
      <c r="G1293" t="str">
        <f>Table1[[#This Row],[JobRole]]</f>
        <v>Manufacturing Director</v>
      </c>
      <c r="H1293">
        <f>Table1[[#This Row],[JobSatisfaction]]</f>
        <v>1</v>
      </c>
      <c r="I1293">
        <f>Table1[[#This Row],[YearsAtCompany]]</f>
        <v>10</v>
      </c>
      <c r="J1293">
        <f>Table1[[#This Row],[YearsSinceLastPromotion]]</f>
        <v>0</v>
      </c>
      <c r="K1293">
        <f>Table1[[#This Row],[EmployeeNumber]]</f>
        <v>1809</v>
      </c>
      <c r="L1293">
        <f>Table1[[#This Row],[DistanceFromHome]]</f>
        <v>10</v>
      </c>
      <c r="M1293" t="str">
        <f>Table1[[#This Row],[OverTime]]</f>
        <v>No</v>
      </c>
      <c r="N1293">
        <f>Table1[[#This Row],[WorkLifeBalance]]</f>
        <v>1</v>
      </c>
      <c r="O1293" t="str" cm="1">
        <f t="array" ref="O1293">_xlfn.IFS(A1293&lt;=30,"18-30",A1293&lt;=40,"31-40",A1293&lt;=50,"41-50",A1293&gt;50,"51+")</f>
        <v>31-40</v>
      </c>
      <c r="P1293" t="str" cm="1">
        <f t="array" ref="P1293">_xlfn.IFS(F1293&lt;=45,"45 or below",F1293&lt;= 60,"46-60",F1293&lt;=75,"61-75",F1293&lt;=90,"76-90",F1293&gt;90,"91 or above")</f>
        <v>46-60</v>
      </c>
      <c r="Q129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93" t="str" cm="1">
        <f t="array" ref="R1293" xml:space="preserve"> _xlfn.IFS(Table3[[#This Row],[Flight Risk Score]] = "NA","NA",Table3[[#This Row],[Flight Risk Score]] &gt;= 70,"High Risk",Table3[[#This Row],[Flight Risk Score]] &gt;= 50, "Medium Risk", Table3[[#This Row],[Flight Risk Score]] &gt;= 30,"Low Risk",Table3[[#This Row],[Flight Risk Score]] &lt; 30,"Very Low Risk")</f>
        <v>NA</v>
      </c>
    </row>
    <row r="1294" spans="1:18" x14ac:dyDescent="0.2">
      <c r="A1294">
        <f>Table1[[#This Row],[Age]]</f>
        <v>39</v>
      </c>
      <c r="B1294">
        <f>IF(Table3[[#This Row],[Attrition]] = "Yes", 1,0)</f>
        <v>0</v>
      </c>
      <c r="C1294" t="str">
        <f>Table1[[#This Row],[Attrition]]</f>
        <v>No</v>
      </c>
      <c r="D1294" t="str">
        <f>Table1[[#This Row],[Department]]</f>
        <v>Sales</v>
      </c>
      <c r="E1294">
        <f>Table1[[#This Row],[EnvironmentSatisfaction]]</f>
        <v>3</v>
      </c>
      <c r="F1294">
        <f>Table1[[#This Row],[HourlyRate]]</f>
        <v>83</v>
      </c>
      <c r="G1294" t="str">
        <f>Table1[[#This Row],[JobRole]]</f>
        <v>Sales Executive</v>
      </c>
      <c r="H1294">
        <f>Table1[[#This Row],[JobSatisfaction]]</f>
        <v>4</v>
      </c>
      <c r="I1294">
        <f>Table1[[#This Row],[YearsAtCompany]]</f>
        <v>2</v>
      </c>
      <c r="J1294">
        <f>Table1[[#This Row],[YearsSinceLastPromotion]]</f>
        <v>2</v>
      </c>
      <c r="K1294">
        <f>Table1[[#This Row],[EmployeeNumber]]</f>
        <v>1812</v>
      </c>
      <c r="L1294">
        <f>Table1[[#This Row],[DistanceFromHome]]</f>
        <v>20</v>
      </c>
      <c r="M1294" t="str">
        <f>Table1[[#This Row],[OverTime]]</f>
        <v>No</v>
      </c>
      <c r="N1294">
        <f>Table1[[#This Row],[WorkLifeBalance]]</f>
        <v>3</v>
      </c>
      <c r="O1294" t="str" cm="1">
        <f t="array" ref="O1294">_xlfn.IFS(A1294&lt;=30,"18-30",A1294&lt;=40,"31-40",A1294&lt;=50,"41-50",A1294&gt;50,"51+")</f>
        <v>31-40</v>
      </c>
      <c r="P1294" t="str" cm="1">
        <f t="array" ref="P1294">_xlfn.IFS(F1294&lt;=45,"45 or below",F1294&lt;= 60,"46-60",F1294&lt;=75,"61-75",F1294&lt;=90,"76-90",F1294&gt;90,"91 or above")</f>
        <v>76-90</v>
      </c>
      <c r="Q12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294" t="str" cm="1">
        <f t="array" ref="R129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95" spans="1:18" x14ac:dyDescent="0.2">
      <c r="A1295">
        <f>Table1[[#This Row],[Age]]</f>
        <v>43</v>
      </c>
      <c r="B1295">
        <f>IF(Table3[[#This Row],[Attrition]] = "Yes", 1,0)</f>
        <v>0</v>
      </c>
      <c r="C1295" t="str">
        <f>Table1[[#This Row],[Attrition]]</f>
        <v>No</v>
      </c>
      <c r="D1295" t="str">
        <f>Table1[[#This Row],[Department]]</f>
        <v>Research &amp; Development</v>
      </c>
      <c r="E1295">
        <f>Table1[[#This Row],[EnvironmentSatisfaction]]</f>
        <v>1</v>
      </c>
      <c r="F1295">
        <f>Table1[[#This Row],[HourlyRate]]</f>
        <v>52</v>
      </c>
      <c r="G1295" t="str">
        <f>Table1[[#This Row],[JobRole]]</f>
        <v>Research Scientist</v>
      </c>
      <c r="H1295">
        <f>Table1[[#This Row],[JobSatisfaction]]</f>
        <v>3</v>
      </c>
      <c r="I1295">
        <f>Table1[[#This Row],[YearsAtCompany]]</f>
        <v>3</v>
      </c>
      <c r="J1295">
        <f>Table1[[#This Row],[YearsSinceLastPromotion]]</f>
        <v>1</v>
      </c>
      <c r="K1295">
        <f>Table1[[#This Row],[EmployeeNumber]]</f>
        <v>1813</v>
      </c>
      <c r="L1295">
        <f>Table1[[#This Row],[DistanceFromHome]]</f>
        <v>9</v>
      </c>
      <c r="M1295" t="str">
        <f>Table1[[#This Row],[OverTime]]</f>
        <v>No</v>
      </c>
      <c r="N1295">
        <f>Table1[[#This Row],[WorkLifeBalance]]</f>
        <v>2</v>
      </c>
      <c r="O1295" t="str" cm="1">
        <f t="array" ref="O1295">_xlfn.IFS(A1295&lt;=30,"18-30",A1295&lt;=40,"31-40",A1295&lt;=50,"41-50",A1295&gt;50,"51+")</f>
        <v>41-50</v>
      </c>
      <c r="P1295" t="str" cm="1">
        <f t="array" ref="P1295">_xlfn.IFS(F1295&lt;=45,"45 or below",F1295&lt;= 60,"46-60",F1295&lt;=75,"61-75",F1295&lt;=90,"76-90",F1295&gt;90,"91 or above")</f>
        <v>46-60</v>
      </c>
      <c r="Q12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95" t="str" cm="1">
        <f t="array" ref="R12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96" spans="1:18" x14ac:dyDescent="0.2">
      <c r="A1296">
        <f>Table1[[#This Row],[Age]]</f>
        <v>41</v>
      </c>
      <c r="B1296">
        <f>IF(Table3[[#This Row],[Attrition]] = "Yes", 1,0)</f>
        <v>0</v>
      </c>
      <c r="C1296" t="str">
        <f>Table1[[#This Row],[Attrition]]</f>
        <v>No</v>
      </c>
      <c r="D1296" t="str">
        <f>Table1[[#This Row],[Department]]</f>
        <v>Research &amp; Development</v>
      </c>
      <c r="E1296">
        <f>Table1[[#This Row],[EnvironmentSatisfaction]]</f>
        <v>2</v>
      </c>
      <c r="F1296">
        <f>Table1[[#This Row],[HourlyRate]]</f>
        <v>85</v>
      </c>
      <c r="G1296" t="str">
        <f>Table1[[#This Row],[JobRole]]</f>
        <v>Healthcare Representative</v>
      </c>
      <c r="H1296">
        <f>Table1[[#This Row],[JobSatisfaction]]</f>
        <v>2</v>
      </c>
      <c r="I1296">
        <f>Table1[[#This Row],[YearsAtCompany]]</f>
        <v>3</v>
      </c>
      <c r="J1296">
        <f>Table1[[#This Row],[YearsSinceLastPromotion]]</f>
        <v>1</v>
      </c>
      <c r="K1296">
        <f>Table1[[#This Row],[EmployeeNumber]]</f>
        <v>1814</v>
      </c>
      <c r="L1296">
        <f>Table1[[#This Row],[DistanceFromHome]]</f>
        <v>5</v>
      </c>
      <c r="M1296" t="str">
        <f>Table1[[#This Row],[OverTime]]</f>
        <v>No</v>
      </c>
      <c r="N1296">
        <f>Table1[[#This Row],[WorkLifeBalance]]</f>
        <v>1</v>
      </c>
      <c r="O1296" t="str" cm="1">
        <f t="array" ref="O1296">_xlfn.IFS(A1296&lt;=30,"18-30",A1296&lt;=40,"31-40",A1296&lt;=50,"41-50",A1296&gt;50,"51+")</f>
        <v>41-50</v>
      </c>
      <c r="P1296" t="str" cm="1">
        <f t="array" ref="P1296">_xlfn.IFS(F1296&lt;=45,"45 or below",F1296&lt;= 60,"46-60",F1296&lt;=75,"61-75",F1296&lt;=90,"76-90",F1296&gt;90,"91 or above")</f>
        <v>76-90</v>
      </c>
      <c r="Q12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296" t="str" cm="1">
        <f t="array" ref="R129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297" spans="1:18" x14ac:dyDescent="0.2">
      <c r="A1297">
        <f>Table1[[#This Row],[Age]]</f>
        <v>41</v>
      </c>
      <c r="B1297">
        <f>IF(Table3[[#This Row],[Attrition]] = "Yes", 1,0)</f>
        <v>0</v>
      </c>
      <c r="C1297" t="str">
        <f>Table1[[#This Row],[Attrition]]</f>
        <v>No</v>
      </c>
      <c r="D1297" t="str">
        <f>Table1[[#This Row],[Department]]</f>
        <v>Sales</v>
      </c>
      <c r="E1297">
        <f>Table1[[#This Row],[EnvironmentSatisfaction]]</f>
        <v>3</v>
      </c>
      <c r="F1297">
        <f>Table1[[#This Row],[HourlyRate]]</f>
        <v>81</v>
      </c>
      <c r="G1297" t="str">
        <f>Table1[[#This Row],[JobRole]]</f>
        <v>Sales Executive</v>
      </c>
      <c r="H1297">
        <f>Table1[[#This Row],[JobSatisfaction]]</f>
        <v>3</v>
      </c>
      <c r="I1297">
        <f>Table1[[#This Row],[YearsAtCompany]]</f>
        <v>22</v>
      </c>
      <c r="J1297">
        <f>Table1[[#This Row],[YearsSinceLastPromotion]]</f>
        <v>13</v>
      </c>
      <c r="K1297">
        <f>Table1[[#This Row],[EmployeeNumber]]</f>
        <v>1815</v>
      </c>
      <c r="L1297">
        <f>Table1[[#This Row],[DistanceFromHome]]</f>
        <v>4</v>
      </c>
      <c r="M1297" t="str">
        <f>Table1[[#This Row],[OverTime]]</f>
        <v>Yes</v>
      </c>
      <c r="N1297">
        <f>Table1[[#This Row],[WorkLifeBalance]]</f>
        <v>4</v>
      </c>
      <c r="O1297" t="str" cm="1">
        <f t="array" ref="O1297">_xlfn.IFS(A1297&lt;=30,"18-30",A1297&lt;=40,"31-40",A1297&lt;=50,"41-50",A1297&gt;50,"51+")</f>
        <v>41-50</v>
      </c>
      <c r="P1297" t="str" cm="1">
        <f t="array" ref="P1297">_xlfn.IFS(F1297&lt;=45,"45 or below",F1297&lt;= 60,"46-60",F1297&lt;=75,"61-75",F1297&lt;=90,"76-90",F1297&gt;90,"91 or above")</f>
        <v>76-90</v>
      </c>
      <c r="Q129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297" t="str" cm="1">
        <f t="array" ref="R129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298" spans="1:18" x14ac:dyDescent="0.2">
      <c r="A1298">
        <f>Table1[[#This Row],[Age]]</f>
        <v>30</v>
      </c>
      <c r="B1298">
        <f>IF(Table3[[#This Row],[Attrition]] = "Yes", 1,0)</f>
        <v>0</v>
      </c>
      <c r="C1298" t="str">
        <f>Table1[[#This Row],[Attrition]]</f>
        <v>No</v>
      </c>
      <c r="D1298" t="str">
        <f>Table1[[#This Row],[Department]]</f>
        <v>Research &amp; Development</v>
      </c>
      <c r="E1298">
        <f>Table1[[#This Row],[EnvironmentSatisfaction]]</f>
        <v>1</v>
      </c>
      <c r="F1298">
        <f>Table1[[#This Row],[HourlyRate]]</f>
        <v>64</v>
      </c>
      <c r="G1298" t="str">
        <f>Table1[[#This Row],[JobRole]]</f>
        <v>Manufacturing Director</v>
      </c>
      <c r="H1298">
        <f>Table1[[#This Row],[JobSatisfaction]]</f>
        <v>3</v>
      </c>
      <c r="I1298">
        <f>Table1[[#This Row],[YearsAtCompany]]</f>
        <v>7</v>
      </c>
      <c r="J1298">
        <f>Table1[[#This Row],[YearsSinceLastPromotion]]</f>
        <v>0</v>
      </c>
      <c r="K1298">
        <f>Table1[[#This Row],[EmployeeNumber]]</f>
        <v>1816</v>
      </c>
      <c r="L1298">
        <f>Table1[[#This Row],[DistanceFromHome]]</f>
        <v>10</v>
      </c>
      <c r="M1298" t="str">
        <f>Table1[[#This Row],[OverTime]]</f>
        <v>No</v>
      </c>
      <c r="N1298">
        <f>Table1[[#This Row],[WorkLifeBalance]]</f>
        <v>3</v>
      </c>
      <c r="O1298" t="str" cm="1">
        <f t="array" ref="O1298">_xlfn.IFS(A1298&lt;=30,"18-30",A1298&lt;=40,"31-40",A1298&lt;=50,"41-50",A1298&gt;50,"51+")</f>
        <v>18-30</v>
      </c>
      <c r="P1298" t="str" cm="1">
        <f t="array" ref="P1298">_xlfn.IFS(F1298&lt;=45,"45 or below",F1298&lt;= 60,"46-60",F1298&lt;=75,"61-75",F1298&lt;=90,"76-90",F1298&gt;90,"91 or above")</f>
        <v>61-75</v>
      </c>
      <c r="Q129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298" t="str" cm="1">
        <f t="array" ref="R129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299" spans="1:18" hidden="1" x14ac:dyDescent="0.2">
      <c r="A1299">
        <f>Table1[[#This Row],[Age]]</f>
        <v>26</v>
      </c>
      <c r="B1299">
        <f>IF(Table3[[#This Row],[Attrition]] = "Yes", 1,0)</f>
        <v>1</v>
      </c>
      <c r="C1299" t="str">
        <f>Table1[[#This Row],[Attrition]]</f>
        <v>Yes</v>
      </c>
      <c r="D1299" t="str">
        <f>Table1[[#This Row],[Department]]</f>
        <v>Human Resources</v>
      </c>
      <c r="E1299">
        <f>Table1[[#This Row],[EnvironmentSatisfaction]]</f>
        <v>4</v>
      </c>
      <c r="F1299">
        <f>Table1[[#This Row],[HourlyRate]]</f>
        <v>69</v>
      </c>
      <c r="G1299" t="str">
        <f>Table1[[#This Row],[JobRole]]</f>
        <v>Human Resources</v>
      </c>
      <c r="H1299">
        <f>Table1[[#This Row],[JobSatisfaction]]</f>
        <v>2</v>
      </c>
      <c r="I1299">
        <f>Table1[[#This Row],[YearsAtCompany]]</f>
        <v>5</v>
      </c>
      <c r="J1299">
        <f>Table1[[#This Row],[YearsSinceLastPromotion]]</f>
        <v>1</v>
      </c>
      <c r="K1299">
        <f>Table1[[#This Row],[EmployeeNumber]]</f>
        <v>1818</v>
      </c>
      <c r="L1299">
        <f>Table1[[#This Row],[DistanceFromHome]]</f>
        <v>20</v>
      </c>
      <c r="M1299" t="str">
        <f>Table1[[#This Row],[OverTime]]</f>
        <v>Yes</v>
      </c>
      <c r="N1299">
        <f>Table1[[#This Row],[WorkLifeBalance]]</f>
        <v>3</v>
      </c>
      <c r="O1299" t="str" cm="1">
        <f t="array" ref="O1299">_xlfn.IFS(A1299&lt;=30,"18-30",A1299&lt;=40,"31-40",A1299&lt;=50,"41-50",A1299&gt;50,"51+")</f>
        <v>18-30</v>
      </c>
      <c r="P1299" t="str" cm="1">
        <f t="array" ref="P1299">_xlfn.IFS(F1299&lt;=45,"45 or below",F1299&lt;= 60,"46-60",F1299&lt;=75,"61-75",F1299&lt;=90,"76-90",F1299&gt;90,"91 or above")</f>
        <v>61-75</v>
      </c>
      <c r="Q1299"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299" t="str" cm="1">
        <f t="array" ref="R1299" xml:space="preserve"> _xlfn.IFS(Table3[[#This Row],[Flight Risk Score]] = "NA","NA",Table3[[#This Row],[Flight Risk Score]] &gt;= 70,"High Risk",Table3[[#This Row],[Flight Risk Score]] &gt;= 50, "Medium Risk", Table3[[#This Row],[Flight Risk Score]] &gt;= 30,"Low Risk",Table3[[#This Row],[Flight Risk Score]] &lt; 30,"Very Low Risk")</f>
        <v>NA</v>
      </c>
    </row>
    <row r="1300" spans="1:18" hidden="1" x14ac:dyDescent="0.2">
      <c r="A1300">
        <f>Table1[[#This Row],[Age]]</f>
        <v>46</v>
      </c>
      <c r="B1300">
        <f>IF(Table3[[#This Row],[Attrition]] = "Yes", 1,0)</f>
        <v>1</v>
      </c>
      <c r="C1300" t="str">
        <f>Table1[[#This Row],[Attrition]]</f>
        <v>Yes</v>
      </c>
      <c r="D1300" t="str">
        <f>Table1[[#This Row],[Department]]</f>
        <v>Research &amp; Development</v>
      </c>
      <c r="E1300">
        <f>Table1[[#This Row],[EnvironmentSatisfaction]]</f>
        <v>4</v>
      </c>
      <c r="F1300">
        <f>Table1[[#This Row],[HourlyRate]]</f>
        <v>66</v>
      </c>
      <c r="G1300" t="str">
        <f>Table1[[#This Row],[JobRole]]</f>
        <v>Healthcare Representative</v>
      </c>
      <c r="H1300">
        <f>Table1[[#This Row],[JobSatisfaction]]</f>
        <v>2</v>
      </c>
      <c r="I1300">
        <f>Table1[[#This Row],[YearsAtCompany]]</f>
        <v>9</v>
      </c>
      <c r="J1300">
        <f>Table1[[#This Row],[YearsSinceLastPromotion]]</f>
        <v>3</v>
      </c>
      <c r="K1300">
        <f>Table1[[#This Row],[EmployeeNumber]]</f>
        <v>1821</v>
      </c>
      <c r="L1300">
        <f>Table1[[#This Row],[DistanceFromHome]]</f>
        <v>21</v>
      </c>
      <c r="M1300" t="str">
        <f>Table1[[#This Row],[OverTime]]</f>
        <v>No</v>
      </c>
      <c r="N1300">
        <f>Table1[[#This Row],[WorkLifeBalance]]</f>
        <v>4</v>
      </c>
      <c r="O1300" t="str" cm="1">
        <f t="array" ref="O1300">_xlfn.IFS(A1300&lt;=30,"18-30",A1300&lt;=40,"31-40",A1300&lt;=50,"41-50",A1300&gt;50,"51+")</f>
        <v>41-50</v>
      </c>
      <c r="P1300" t="str" cm="1">
        <f t="array" ref="P1300">_xlfn.IFS(F1300&lt;=45,"45 or below",F1300&lt;= 60,"46-60",F1300&lt;=75,"61-75",F1300&lt;=90,"76-90",F1300&gt;90,"91 or above")</f>
        <v>61-75</v>
      </c>
      <c r="Q130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00" t="str" cm="1">
        <f t="array" ref="R1300" xml:space="preserve"> _xlfn.IFS(Table3[[#This Row],[Flight Risk Score]] = "NA","NA",Table3[[#This Row],[Flight Risk Score]] &gt;= 70,"High Risk",Table3[[#This Row],[Flight Risk Score]] &gt;= 50, "Medium Risk", Table3[[#This Row],[Flight Risk Score]] &gt;= 30,"Low Risk",Table3[[#This Row],[Flight Risk Score]] &lt; 30,"Very Low Risk")</f>
        <v>NA</v>
      </c>
    </row>
    <row r="1301" spans="1:18" x14ac:dyDescent="0.2">
      <c r="A1301">
        <f>Table1[[#This Row],[Age]]</f>
        <v>40</v>
      </c>
      <c r="B1301">
        <f>IF(Table3[[#This Row],[Attrition]] = "Yes", 1,0)</f>
        <v>0</v>
      </c>
      <c r="C1301" t="str">
        <f>Table1[[#This Row],[Attrition]]</f>
        <v>No</v>
      </c>
      <c r="D1301" t="str">
        <f>Table1[[#This Row],[Department]]</f>
        <v>Research &amp; Development</v>
      </c>
      <c r="E1301">
        <f>Table1[[#This Row],[EnvironmentSatisfaction]]</f>
        <v>3</v>
      </c>
      <c r="F1301">
        <f>Table1[[#This Row],[HourlyRate]]</f>
        <v>52</v>
      </c>
      <c r="G1301" t="str">
        <f>Table1[[#This Row],[JobRole]]</f>
        <v>Healthcare Representative</v>
      </c>
      <c r="H1301">
        <f>Table1[[#This Row],[JobSatisfaction]]</f>
        <v>4</v>
      </c>
      <c r="I1301">
        <f>Table1[[#This Row],[YearsAtCompany]]</f>
        <v>5</v>
      </c>
      <c r="J1301">
        <f>Table1[[#This Row],[YearsSinceLastPromotion]]</f>
        <v>0</v>
      </c>
      <c r="K1301">
        <f>Table1[[#This Row],[EmployeeNumber]]</f>
        <v>1822</v>
      </c>
      <c r="L1301">
        <f>Table1[[#This Row],[DistanceFromHome]]</f>
        <v>1</v>
      </c>
      <c r="M1301" t="str">
        <f>Table1[[#This Row],[OverTime]]</f>
        <v>No</v>
      </c>
      <c r="N1301">
        <f>Table1[[#This Row],[WorkLifeBalance]]</f>
        <v>3</v>
      </c>
      <c r="O1301" t="str" cm="1">
        <f t="array" ref="O1301">_xlfn.IFS(A1301&lt;=30,"18-30",A1301&lt;=40,"31-40",A1301&lt;=50,"41-50",A1301&gt;50,"51+")</f>
        <v>31-40</v>
      </c>
      <c r="P1301" t="str" cm="1">
        <f t="array" ref="P1301">_xlfn.IFS(F1301&lt;=45,"45 or below",F1301&lt;= 60,"46-60",F1301&lt;=75,"61-75",F1301&lt;=90,"76-90",F1301&gt;90,"91 or above")</f>
        <v>46-60</v>
      </c>
      <c r="Q13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01" t="str" cm="1">
        <f t="array" ref="R13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02" spans="1:18" x14ac:dyDescent="0.2">
      <c r="A1302">
        <f>Table1[[#This Row],[Age]]</f>
        <v>34</v>
      </c>
      <c r="B1302">
        <f>IF(Table3[[#This Row],[Attrition]] = "Yes", 1,0)</f>
        <v>0</v>
      </c>
      <c r="C1302" t="str">
        <f>Table1[[#This Row],[Attrition]]</f>
        <v>No</v>
      </c>
      <c r="D1302" t="str">
        <f>Table1[[#This Row],[Department]]</f>
        <v>Sales</v>
      </c>
      <c r="E1302">
        <f>Table1[[#This Row],[EnvironmentSatisfaction]]</f>
        <v>2</v>
      </c>
      <c r="F1302">
        <f>Table1[[#This Row],[HourlyRate]]</f>
        <v>92</v>
      </c>
      <c r="G1302" t="str">
        <f>Table1[[#This Row],[JobRole]]</f>
        <v>Sales Executive</v>
      </c>
      <c r="H1302">
        <f>Table1[[#This Row],[JobSatisfaction]]</f>
        <v>3</v>
      </c>
      <c r="I1302">
        <f>Table1[[#This Row],[YearsAtCompany]]</f>
        <v>10</v>
      </c>
      <c r="J1302">
        <f>Table1[[#This Row],[YearsSinceLastPromotion]]</f>
        <v>4</v>
      </c>
      <c r="K1302">
        <f>Table1[[#This Row],[EmployeeNumber]]</f>
        <v>1823</v>
      </c>
      <c r="L1302">
        <f>Table1[[#This Row],[DistanceFromHome]]</f>
        <v>8</v>
      </c>
      <c r="M1302" t="str">
        <f>Table1[[#This Row],[OverTime]]</f>
        <v>No</v>
      </c>
      <c r="N1302">
        <f>Table1[[#This Row],[WorkLifeBalance]]</f>
        <v>3</v>
      </c>
      <c r="O1302" t="str" cm="1">
        <f t="array" ref="O1302">_xlfn.IFS(A1302&lt;=30,"18-30",A1302&lt;=40,"31-40",A1302&lt;=50,"41-50",A1302&gt;50,"51+")</f>
        <v>31-40</v>
      </c>
      <c r="P1302" t="str" cm="1">
        <f t="array" ref="P1302">_xlfn.IFS(F1302&lt;=45,"45 or below",F1302&lt;= 60,"46-60",F1302&lt;=75,"61-75",F1302&lt;=90,"76-90",F1302&gt;90,"91 or above")</f>
        <v>91 or above</v>
      </c>
      <c r="Q13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02" t="str" cm="1">
        <f t="array" ref="R130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03" spans="1:18" x14ac:dyDescent="0.2">
      <c r="A1303">
        <f>Table1[[#This Row],[Age]]</f>
        <v>58</v>
      </c>
      <c r="B1303">
        <f>IF(Table3[[#This Row],[Attrition]] = "Yes", 1,0)</f>
        <v>0</v>
      </c>
      <c r="C1303" t="str">
        <f>Table1[[#This Row],[Attrition]]</f>
        <v>No</v>
      </c>
      <c r="D1303" t="str">
        <f>Table1[[#This Row],[Department]]</f>
        <v>Sales</v>
      </c>
      <c r="E1303">
        <f>Table1[[#This Row],[EnvironmentSatisfaction]]</f>
        <v>2</v>
      </c>
      <c r="F1303">
        <f>Table1[[#This Row],[HourlyRate]]</f>
        <v>52</v>
      </c>
      <c r="G1303" t="str">
        <f>Table1[[#This Row],[JobRole]]</f>
        <v>Manager</v>
      </c>
      <c r="H1303">
        <f>Table1[[#This Row],[JobSatisfaction]]</f>
        <v>2</v>
      </c>
      <c r="I1303">
        <f>Table1[[#This Row],[YearsAtCompany]]</f>
        <v>16</v>
      </c>
      <c r="J1303">
        <f>Table1[[#This Row],[YearsSinceLastPromotion]]</f>
        <v>14</v>
      </c>
      <c r="K1303">
        <f>Table1[[#This Row],[EmployeeNumber]]</f>
        <v>1824</v>
      </c>
      <c r="L1303">
        <f>Table1[[#This Row],[DistanceFromHome]]</f>
        <v>2</v>
      </c>
      <c r="M1303" t="str">
        <f>Table1[[#This Row],[OverTime]]</f>
        <v>No</v>
      </c>
      <c r="N1303">
        <f>Table1[[#This Row],[WorkLifeBalance]]</f>
        <v>2</v>
      </c>
      <c r="O1303" t="str" cm="1">
        <f t="array" ref="O1303">_xlfn.IFS(A1303&lt;=30,"18-30",A1303&lt;=40,"31-40",A1303&lt;=50,"41-50",A1303&gt;50,"51+")</f>
        <v>51+</v>
      </c>
      <c r="P1303" t="str" cm="1">
        <f t="array" ref="P1303">_xlfn.IFS(F1303&lt;=45,"45 or below",F1303&lt;= 60,"46-60",F1303&lt;=75,"61-75",F1303&lt;=90,"76-90",F1303&gt;90,"91 or above")</f>
        <v>46-60</v>
      </c>
      <c r="Q13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03" t="str" cm="1">
        <f t="array" ref="R130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04" spans="1:18" x14ac:dyDescent="0.2">
      <c r="A1304">
        <f>Table1[[#This Row],[Age]]</f>
        <v>35</v>
      </c>
      <c r="B1304">
        <f>IF(Table3[[#This Row],[Attrition]] = "Yes", 1,0)</f>
        <v>0</v>
      </c>
      <c r="C1304" t="str">
        <f>Table1[[#This Row],[Attrition]]</f>
        <v>No</v>
      </c>
      <c r="D1304" t="str">
        <f>Table1[[#This Row],[Department]]</f>
        <v>Research &amp; Development</v>
      </c>
      <c r="E1304">
        <f>Table1[[#This Row],[EnvironmentSatisfaction]]</f>
        <v>2</v>
      </c>
      <c r="F1304">
        <f>Table1[[#This Row],[HourlyRate]]</f>
        <v>91</v>
      </c>
      <c r="G1304" t="str">
        <f>Table1[[#This Row],[JobRole]]</f>
        <v>Laboratory Technician</v>
      </c>
      <c r="H1304">
        <f>Table1[[#This Row],[JobSatisfaction]]</f>
        <v>3</v>
      </c>
      <c r="I1304">
        <f>Table1[[#This Row],[YearsAtCompany]]</f>
        <v>5</v>
      </c>
      <c r="J1304">
        <f>Table1[[#This Row],[YearsSinceLastPromotion]]</f>
        <v>0</v>
      </c>
      <c r="K1304">
        <f>Table1[[#This Row],[EmployeeNumber]]</f>
        <v>1826</v>
      </c>
      <c r="L1304">
        <f>Table1[[#This Row],[DistanceFromHome]]</f>
        <v>23</v>
      </c>
      <c r="M1304" t="str">
        <f>Table1[[#This Row],[OverTime]]</f>
        <v>No</v>
      </c>
      <c r="N1304">
        <f>Table1[[#This Row],[WorkLifeBalance]]</f>
        <v>4</v>
      </c>
      <c r="O1304" t="str" cm="1">
        <f t="array" ref="O1304">_xlfn.IFS(A1304&lt;=30,"18-30",A1304&lt;=40,"31-40",A1304&lt;=50,"41-50",A1304&gt;50,"51+")</f>
        <v>31-40</v>
      </c>
      <c r="P1304" t="str" cm="1">
        <f t="array" ref="P1304">_xlfn.IFS(F1304&lt;=45,"45 or below",F1304&lt;= 60,"46-60",F1304&lt;=75,"61-75",F1304&lt;=90,"76-90",F1304&gt;90,"91 or above")</f>
        <v>91 or above</v>
      </c>
      <c r="Q13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04" t="str" cm="1">
        <f t="array" ref="R130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05" spans="1:18" x14ac:dyDescent="0.2">
      <c r="A1305">
        <f>Table1[[#This Row],[Age]]</f>
        <v>47</v>
      </c>
      <c r="B1305">
        <f>IF(Table3[[#This Row],[Attrition]] = "Yes", 1,0)</f>
        <v>0</v>
      </c>
      <c r="C1305" t="str">
        <f>Table1[[#This Row],[Attrition]]</f>
        <v>No</v>
      </c>
      <c r="D1305" t="str">
        <f>Table1[[#This Row],[Department]]</f>
        <v>Research &amp; Development</v>
      </c>
      <c r="E1305">
        <f>Table1[[#This Row],[EnvironmentSatisfaction]]</f>
        <v>3</v>
      </c>
      <c r="F1305">
        <f>Table1[[#This Row],[HourlyRate]]</f>
        <v>92</v>
      </c>
      <c r="G1305" t="str">
        <f>Table1[[#This Row],[JobRole]]</f>
        <v>Manufacturing Director</v>
      </c>
      <c r="H1305">
        <f>Table1[[#This Row],[JobSatisfaction]]</f>
        <v>2</v>
      </c>
      <c r="I1305">
        <f>Table1[[#This Row],[YearsAtCompany]]</f>
        <v>22</v>
      </c>
      <c r="J1305">
        <f>Table1[[#This Row],[YearsSinceLastPromotion]]</f>
        <v>14</v>
      </c>
      <c r="K1305">
        <f>Table1[[#This Row],[EmployeeNumber]]</f>
        <v>1827</v>
      </c>
      <c r="L1305">
        <f>Table1[[#This Row],[DistanceFromHome]]</f>
        <v>4</v>
      </c>
      <c r="M1305" t="str">
        <f>Table1[[#This Row],[OverTime]]</f>
        <v>Yes</v>
      </c>
      <c r="N1305">
        <f>Table1[[#This Row],[WorkLifeBalance]]</f>
        <v>3</v>
      </c>
      <c r="O1305" t="str" cm="1">
        <f t="array" ref="O1305">_xlfn.IFS(A1305&lt;=30,"18-30",A1305&lt;=40,"31-40",A1305&lt;=50,"41-50",A1305&gt;50,"51+")</f>
        <v>41-50</v>
      </c>
      <c r="P1305" t="str" cm="1">
        <f t="array" ref="P1305">_xlfn.IFS(F1305&lt;=45,"45 or below",F1305&lt;= 60,"46-60",F1305&lt;=75,"61-75",F1305&lt;=90,"76-90",F1305&gt;90,"91 or above")</f>
        <v>91 or above</v>
      </c>
      <c r="Q13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05" t="str" cm="1">
        <f t="array" ref="R130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06" spans="1:18" x14ac:dyDescent="0.2">
      <c r="A1306">
        <f>Table1[[#This Row],[Age]]</f>
        <v>40</v>
      </c>
      <c r="B1306">
        <f>IF(Table3[[#This Row],[Attrition]] = "Yes", 1,0)</f>
        <v>0</v>
      </c>
      <c r="C1306" t="str">
        <f>Table1[[#This Row],[Attrition]]</f>
        <v>No</v>
      </c>
      <c r="D1306" t="str">
        <f>Table1[[#This Row],[Department]]</f>
        <v>Research &amp; Development</v>
      </c>
      <c r="E1306">
        <f>Table1[[#This Row],[EnvironmentSatisfaction]]</f>
        <v>2</v>
      </c>
      <c r="F1306">
        <f>Table1[[#This Row],[HourlyRate]]</f>
        <v>47</v>
      </c>
      <c r="G1306" t="str">
        <f>Table1[[#This Row],[JobRole]]</f>
        <v>Healthcare Representative</v>
      </c>
      <c r="H1306">
        <f>Table1[[#This Row],[JobSatisfaction]]</f>
        <v>1</v>
      </c>
      <c r="I1306">
        <f>Table1[[#This Row],[YearsAtCompany]]</f>
        <v>7</v>
      </c>
      <c r="J1306">
        <f>Table1[[#This Row],[YearsSinceLastPromotion]]</f>
        <v>7</v>
      </c>
      <c r="K1306">
        <f>Table1[[#This Row],[EmployeeNumber]]</f>
        <v>1829</v>
      </c>
      <c r="L1306">
        <f>Table1[[#This Row],[DistanceFromHome]]</f>
        <v>12</v>
      </c>
      <c r="M1306" t="str">
        <f>Table1[[#This Row],[OverTime]]</f>
        <v>No</v>
      </c>
      <c r="N1306">
        <f>Table1[[#This Row],[WorkLifeBalance]]</f>
        <v>3</v>
      </c>
      <c r="O1306" t="str" cm="1">
        <f t="array" ref="O1306">_xlfn.IFS(A1306&lt;=30,"18-30",A1306&lt;=40,"31-40",A1306&lt;=50,"41-50",A1306&gt;50,"51+")</f>
        <v>31-40</v>
      </c>
      <c r="P1306" t="str" cm="1">
        <f t="array" ref="P1306">_xlfn.IFS(F1306&lt;=45,"45 or below",F1306&lt;= 60,"46-60",F1306&lt;=75,"61-75",F1306&lt;=90,"76-90",F1306&gt;90,"91 or above")</f>
        <v>46-60</v>
      </c>
      <c r="Q13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06" t="str" cm="1">
        <f t="array" ref="R130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07" spans="1:18" x14ac:dyDescent="0.2">
      <c r="A1307">
        <f>Table1[[#This Row],[Age]]</f>
        <v>54</v>
      </c>
      <c r="B1307">
        <f>IF(Table3[[#This Row],[Attrition]] = "Yes", 1,0)</f>
        <v>0</v>
      </c>
      <c r="C1307" t="str">
        <f>Table1[[#This Row],[Attrition]]</f>
        <v>No</v>
      </c>
      <c r="D1307" t="str">
        <f>Table1[[#This Row],[Department]]</f>
        <v>Research &amp; Development</v>
      </c>
      <c r="E1307">
        <f>Table1[[#This Row],[EnvironmentSatisfaction]]</f>
        <v>4</v>
      </c>
      <c r="F1307">
        <f>Table1[[#This Row],[HourlyRate]]</f>
        <v>68</v>
      </c>
      <c r="G1307" t="str">
        <f>Table1[[#This Row],[JobRole]]</f>
        <v>Research Scientist</v>
      </c>
      <c r="H1307">
        <f>Table1[[#This Row],[JobSatisfaction]]</f>
        <v>4</v>
      </c>
      <c r="I1307">
        <f>Table1[[#This Row],[YearsAtCompany]]</f>
        <v>7</v>
      </c>
      <c r="J1307">
        <f>Table1[[#This Row],[YearsSinceLastPromotion]]</f>
        <v>1</v>
      </c>
      <c r="K1307">
        <f>Table1[[#This Row],[EmployeeNumber]]</f>
        <v>1830</v>
      </c>
      <c r="L1307">
        <f>Table1[[#This Row],[DistanceFromHome]]</f>
        <v>7</v>
      </c>
      <c r="M1307" t="str">
        <f>Table1[[#This Row],[OverTime]]</f>
        <v>No</v>
      </c>
      <c r="N1307">
        <f>Table1[[#This Row],[WorkLifeBalance]]</f>
        <v>2</v>
      </c>
      <c r="O1307" t="str" cm="1">
        <f t="array" ref="O1307">_xlfn.IFS(A1307&lt;=30,"18-30",A1307&lt;=40,"31-40",A1307&lt;=50,"41-50",A1307&gt;50,"51+")</f>
        <v>51+</v>
      </c>
      <c r="P1307" t="str" cm="1">
        <f t="array" ref="P1307">_xlfn.IFS(F1307&lt;=45,"45 or below",F1307&lt;= 60,"46-60",F1307&lt;=75,"61-75",F1307&lt;=90,"76-90",F1307&gt;90,"91 or above")</f>
        <v>61-75</v>
      </c>
      <c r="Q13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07" t="str" cm="1">
        <f t="array" ref="R130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08" spans="1:18" x14ac:dyDescent="0.2">
      <c r="A1308">
        <f>Table1[[#This Row],[Age]]</f>
        <v>31</v>
      </c>
      <c r="B1308">
        <f>IF(Table3[[#This Row],[Attrition]] = "Yes", 1,0)</f>
        <v>0</v>
      </c>
      <c r="C1308" t="str">
        <f>Table1[[#This Row],[Attrition]]</f>
        <v>No</v>
      </c>
      <c r="D1308" t="str">
        <f>Table1[[#This Row],[Department]]</f>
        <v>Sales</v>
      </c>
      <c r="E1308">
        <f>Table1[[#This Row],[EnvironmentSatisfaction]]</f>
        <v>1</v>
      </c>
      <c r="F1308">
        <f>Table1[[#This Row],[HourlyRate]]</f>
        <v>68</v>
      </c>
      <c r="G1308" t="str">
        <f>Table1[[#This Row],[JobRole]]</f>
        <v>Sales Executive</v>
      </c>
      <c r="H1308">
        <f>Table1[[#This Row],[JobSatisfaction]]</f>
        <v>1</v>
      </c>
      <c r="I1308">
        <f>Table1[[#This Row],[YearsAtCompany]]</f>
        <v>3</v>
      </c>
      <c r="J1308">
        <f>Table1[[#This Row],[YearsSinceLastPromotion]]</f>
        <v>2</v>
      </c>
      <c r="K1308">
        <f>Table1[[#This Row],[EmployeeNumber]]</f>
        <v>1833</v>
      </c>
      <c r="L1308">
        <f>Table1[[#This Row],[DistanceFromHome]]</f>
        <v>7</v>
      </c>
      <c r="M1308" t="str">
        <f>Table1[[#This Row],[OverTime]]</f>
        <v>No</v>
      </c>
      <c r="N1308">
        <f>Table1[[#This Row],[WorkLifeBalance]]</f>
        <v>3</v>
      </c>
      <c r="O1308" t="str" cm="1">
        <f t="array" ref="O1308">_xlfn.IFS(A1308&lt;=30,"18-30",A1308&lt;=40,"31-40",A1308&lt;=50,"41-50",A1308&gt;50,"51+")</f>
        <v>31-40</v>
      </c>
      <c r="P1308" t="str" cm="1">
        <f t="array" ref="P1308">_xlfn.IFS(F1308&lt;=45,"45 or below",F1308&lt;= 60,"46-60",F1308&lt;=75,"61-75",F1308&lt;=90,"76-90",F1308&gt;90,"91 or above")</f>
        <v>61-75</v>
      </c>
      <c r="Q13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08" t="str" cm="1">
        <f t="array" ref="R130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09" spans="1:18" x14ac:dyDescent="0.2">
      <c r="A1309">
        <f>Table1[[#This Row],[Age]]</f>
        <v>28</v>
      </c>
      <c r="B1309">
        <f>IF(Table3[[#This Row],[Attrition]] = "Yes", 1,0)</f>
        <v>0</v>
      </c>
      <c r="C1309" t="str">
        <f>Table1[[#This Row],[Attrition]]</f>
        <v>No</v>
      </c>
      <c r="D1309" t="str">
        <f>Table1[[#This Row],[Department]]</f>
        <v>Research &amp; Development</v>
      </c>
      <c r="E1309">
        <f>Table1[[#This Row],[EnvironmentSatisfaction]]</f>
        <v>3</v>
      </c>
      <c r="F1309">
        <f>Table1[[#This Row],[HourlyRate]]</f>
        <v>67</v>
      </c>
      <c r="G1309" t="str">
        <f>Table1[[#This Row],[JobRole]]</f>
        <v>Research Scientist</v>
      </c>
      <c r="H1309">
        <f>Table1[[#This Row],[JobSatisfaction]]</f>
        <v>1</v>
      </c>
      <c r="I1309">
        <f>Table1[[#This Row],[YearsAtCompany]]</f>
        <v>3</v>
      </c>
      <c r="J1309">
        <f>Table1[[#This Row],[YearsSinceLastPromotion]]</f>
        <v>1</v>
      </c>
      <c r="K1309">
        <f>Table1[[#This Row],[EmployeeNumber]]</f>
        <v>1834</v>
      </c>
      <c r="L1309">
        <f>Table1[[#This Row],[DistanceFromHome]]</f>
        <v>1</v>
      </c>
      <c r="M1309" t="str">
        <f>Table1[[#This Row],[OverTime]]</f>
        <v>No</v>
      </c>
      <c r="N1309">
        <f>Table1[[#This Row],[WorkLifeBalance]]</f>
        <v>3</v>
      </c>
      <c r="O1309" t="str" cm="1">
        <f t="array" ref="O1309">_xlfn.IFS(A1309&lt;=30,"18-30",A1309&lt;=40,"31-40",A1309&lt;=50,"41-50",A1309&gt;50,"51+")</f>
        <v>18-30</v>
      </c>
      <c r="P1309" t="str" cm="1">
        <f t="array" ref="P1309">_xlfn.IFS(F1309&lt;=45,"45 or below",F1309&lt;= 60,"46-60",F1309&lt;=75,"61-75",F1309&lt;=90,"76-90",F1309&gt;90,"91 or above")</f>
        <v>61-75</v>
      </c>
      <c r="Q13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09" t="str" cm="1">
        <f t="array" ref="R130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10" spans="1:18" x14ac:dyDescent="0.2">
      <c r="A1310">
        <f>Table1[[#This Row],[Age]]</f>
        <v>38</v>
      </c>
      <c r="B1310">
        <f>IF(Table3[[#This Row],[Attrition]] = "Yes", 1,0)</f>
        <v>0</v>
      </c>
      <c r="C1310" t="str">
        <f>Table1[[#This Row],[Attrition]]</f>
        <v>No</v>
      </c>
      <c r="D1310" t="str">
        <f>Table1[[#This Row],[Department]]</f>
        <v>Sales</v>
      </c>
      <c r="E1310">
        <f>Table1[[#This Row],[EnvironmentSatisfaction]]</f>
        <v>2</v>
      </c>
      <c r="F1310">
        <f>Table1[[#This Row],[HourlyRate]]</f>
        <v>77</v>
      </c>
      <c r="G1310" t="str">
        <f>Table1[[#This Row],[JobRole]]</f>
        <v>Sales Representative</v>
      </c>
      <c r="H1310">
        <f>Table1[[#This Row],[JobSatisfaction]]</f>
        <v>4</v>
      </c>
      <c r="I1310">
        <f>Table1[[#This Row],[YearsAtCompany]]</f>
        <v>4</v>
      </c>
      <c r="J1310">
        <f>Table1[[#This Row],[YearsSinceLastPromotion]]</f>
        <v>0</v>
      </c>
      <c r="K1310">
        <f>Table1[[#This Row],[EmployeeNumber]]</f>
        <v>1835</v>
      </c>
      <c r="L1310">
        <f>Table1[[#This Row],[DistanceFromHome]]</f>
        <v>2</v>
      </c>
      <c r="M1310" t="str">
        <f>Table1[[#This Row],[OverTime]]</f>
        <v>Yes</v>
      </c>
      <c r="N1310">
        <f>Table1[[#This Row],[WorkLifeBalance]]</f>
        <v>2</v>
      </c>
      <c r="O1310" t="str" cm="1">
        <f t="array" ref="O1310">_xlfn.IFS(A1310&lt;=30,"18-30",A1310&lt;=40,"31-40",A1310&lt;=50,"41-50",A1310&gt;50,"51+")</f>
        <v>31-40</v>
      </c>
      <c r="P1310" t="str" cm="1">
        <f t="array" ref="P1310">_xlfn.IFS(F1310&lt;=45,"45 or below",F1310&lt;= 60,"46-60",F1310&lt;=75,"61-75",F1310&lt;=90,"76-90",F1310&gt;90,"91 or above")</f>
        <v>76-90</v>
      </c>
      <c r="Q13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10" t="str" cm="1">
        <f t="array" ref="R131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11" spans="1:18" x14ac:dyDescent="0.2">
      <c r="A1311">
        <f>Table1[[#This Row],[Age]]</f>
        <v>26</v>
      </c>
      <c r="B1311">
        <f>IF(Table3[[#This Row],[Attrition]] = "Yes", 1,0)</f>
        <v>0</v>
      </c>
      <c r="C1311" t="str">
        <f>Table1[[#This Row],[Attrition]]</f>
        <v>No</v>
      </c>
      <c r="D1311" t="str">
        <f>Table1[[#This Row],[Department]]</f>
        <v>Sales</v>
      </c>
      <c r="E1311">
        <f>Table1[[#This Row],[EnvironmentSatisfaction]]</f>
        <v>3</v>
      </c>
      <c r="F1311">
        <f>Table1[[#This Row],[HourlyRate]]</f>
        <v>46</v>
      </c>
      <c r="G1311" t="str">
        <f>Table1[[#This Row],[JobRole]]</f>
        <v>Sales Executive</v>
      </c>
      <c r="H1311">
        <f>Table1[[#This Row],[JobSatisfaction]]</f>
        <v>4</v>
      </c>
      <c r="I1311">
        <f>Table1[[#This Row],[YearsAtCompany]]</f>
        <v>5</v>
      </c>
      <c r="J1311">
        <f>Table1[[#This Row],[YearsSinceLastPromotion]]</f>
        <v>1</v>
      </c>
      <c r="K1311">
        <f>Table1[[#This Row],[EmployeeNumber]]</f>
        <v>1836</v>
      </c>
      <c r="L1311">
        <f>Table1[[#This Row],[DistanceFromHome]]</f>
        <v>10</v>
      </c>
      <c r="M1311" t="str">
        <f>Table1[[#This Row],[OverTime]]</f>
        <v>No</v>
      </c>
      <c r="N1311">
        <f>Table1[[#This Row],[WorkLifeBalance]]</f>
        <v>3</v>
      </c>
      <c r="O1311" t="str" cm="1">
        <f t="array" ref="O1311">_xlfn.IFS(A1311&lt;=30,"18-30",A1311&lt;=40,"31-40",A1311&lt;=50,"41-50",A1311&gt;50,"51+")</f>
        <v>18-30</v>
      </c>
      <c r="P1311" t="str" cm="1">
        <f t="array" ref="P1311">_xlfn.IFS(F1311&lt;=45,"45 or below",F1311&lt;= 60,"46-60",F1311&lt;=75,"61-75",F1311&lt;=90,"76-90",F1311&gt;90,"91 or above")</f>
        <v>46-60</v>
      </c>
      <c r="Q13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11" t="str" cm="1">
        <f t="array" ref="R13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12" spans="1:18" x14ac:dyDescent="0.2">
      <c r="A1312">
        <f>Table1[[#This Row],[Age]]</f>
        <v>58</v>
      </c>
      <c r="B1312">
        <f>IF(Table3[[#This Row],[Attrition]] = "Yes", 1,0)</f>
        <v>0</v>
      </c>
      <c r="C1312" t="str">
        <f>Table1[[#This Row],[Attrition]]</f>
        <v>No</v>
      </c>
      <c r="D1312" t="str">
        <f>Table1[[#This Row],[Department]]</f>
        <v>Research &amp; Development</v>
      </c>
      <c r="E1312">
        <f>Table1[[#This Row],[EnvironmentSatisfaction]]</f>
        <v>1</v>
      </c>
      <c r="F1312">
        <f>Table1[[#This Row],[HourlyRate]]</f>
        <v>87</v>
      </c>
      <c r="G1312" t="str">
        <f>Table1[[#This Row],[JobRole]]</f>
        <v>Research Director</v>
      </c>
      <c r="H1312">
        <f>Table1[[#This Row],[JobSatisfaction]]</f>
        <v>3</v>
      </c>
      <c r="I1312">
        <f>Table1[[#This Row],[YearsAtCompany]]</f>
        <v>2</v>
      </c>
      <c r="J1312">
        <f>Table1[[#This Row],[YearsSinceLastPromotion]]</f>
        <v>2</v>
      </c>
      <c r="K1312">
        <f>Table1[[#This Row],[EmployeeNumber]]</f>
        <v>1837</v>
      </c>
      <c r="L1312">
        <f>Table1[[#This Row],[DistanceFromHome]]</f>
        <v>15</v>
      </c>
      <c r="M1312" t="str">
        <f>Table1[[#This Row],[OverTime]]</f>
        <v>Yes</v>
      </c>
      <c r="N1312">
        <f>Table1[[#This Row],[WorkLifeBalance]]</f>
        <v>3</v>
      </c>
      <c r="O1312" t="str" cm="1">
        <f t="array" ref="O1312">_xlfn.IFS(A1312&lt;=30,"18-30",A1312&lt;=40,"31-40",A1312&lt;=50,"41-50",A1312&gt;50,"51+")</f>
        <v>51+</v>
      </c>
      <c r="P1312" t="str" cm="1">
        <f t="array" ref="P1312">_xlfn.IFS(F1312&lt;=45,"45 or below",F1312&lt;= 60,"46-60",F1312&lt;=75,"61-75",F1312&lt;=90,"76-90",F1312&gt;90,"91 or above")</f>
        <v>76-90</v>
      </c>
      <c r="Q13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12" t="str" cm="1">
        <f t="array" ref="R131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13" spans="1:18" x14ac:dyDescent="0.2">
      <c r="A1313">
        <f>Table1[[#This Row],[Age]]</f>
        <v>18</v>
      </c>
      <c r="B1313">
        <f>IF(Table3[[#This Row],[Attrition]] = "Yes", 1,0)</f>
        <v>0</v>
      </c>
      <c r="C1313" t="str">
        <f>Table1[[#This Row],[Attrition]]</f>
        <v>No</v>
      </c>
      <c r="D1313" t="str">
        <f>Table1[[#This Row],[Department]]</f>
        <v>Research &amp; Development</v>
      </c>
      <c r="E1313">
        <f>Table1[[#This Row],[EnvironmentSatisfaction]]</f>
        <v>2</v>
      </c>
      <c r="F1313">
        <f>Table1[[#This Row],[HourlyRate]]</f>
        <v>33</v>
      </c>
      <c r="G1313" t="str">
        <f>Table1[[#This Row],[JobRole]]</f>
        <v>Research Scientist</v>
      </c>
      <c r="H1313">
        <f>Table1[[#This Row],[JobSatisfaction]]</f>
        <v>3</v>
      </c>
      <c r="I1313">
        <f>Table1[[#This Row],[YearsAtCompany]]</f>
        <v>0</v>
      </c>
      <c r="J1313">
        <f>Table1[[#This Row],[YearsSinceLastPromotion]]</f>
        <v>0</v>
      </c>
      <c r="K1313">
        <f>Table1[[#This Row],[EmployeeNumber]]</f>
        <v>1839</v>
      </c>
      <c r="L1313">
        <f>Table1[[#This Row],[DistanceFromHome]]</f>
        <v>14</v>
      </c>
      <c r="M1313" t="str">
        <f>Table1[[#This Row],[OverTime]]</f>
        <v>No</v>
      </c>
      <c r="N1313">
        <f>Table1[[#This Row],[WorkLifeBalance]]</f>
        <v>1</v>
      </c>
      <c r="O1313" t="str" cm="1">
        <f t="array" ref="O1313">_xlfn.IFS(A1313&lt;=30,"18-30",A1313&lt;=40,"31-40",A1313&lt;=50,"41-50",A1313&gt;50,"51+")</f>
        <v>18-30</v>
      </c>
      <c r="P1313" t="str" cm="1">
        <f t="array" ref="P1313">_xlfn.IFS(F1313&lt;=45,"45 or below",F1313&lt;= 60,"46-60",F1313&lt;=75,"61-75",F1313&lt;=90,"76-90",F1313&gt;90,"91 or above")</f>
        <v>45 or below</v>
      </c>
      <c r="Q13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13" t="str" cm="1">
        <f t="array" ref="R131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14" spans="1:18" hidden="1" x14ac:dyDescent="0.2">
      <c r="A1314">
        <f>Table1[[#This Row],[Age]]</f>
        <v>31</v>
      </c>
      <c r="B1314">
        <f>IF(Table3[[#This Row],[Attrition]] = "Yes", 1,0)</f>
        <v>1</v>
      </c>
      <c r="C1314" t="str">
        <f>Table1[[#This Row],[Attrition]]</f>
        <v>Yes</v>
      </c>
      <c r="D1314" t="str">
        <f>Table1[[#This Row],[Department]]</f>
        <v>Human Resources</v>
      </c>
      <c r="E1314">
        <f>Table1[[#This Row],[EnvironmentSatisfaction]]</f>
        <v>4</v>
      </c>
      <c r="F1314">
        <f>Table1[[#This Row],[HourlyRate]]</f>
        <v>89</v>
      </c>
      <c r="G1314" t="str">
        <f>Table1[[#This Row],[JobRole]]</f>
        <v>Human Resources</v>
      </c>
      <c r="H1314">
        <f>Table1[[#This Row],[JobSatisfaction]]</f>
        <v>1</v>
      </c>
      <c r="I1314">
        <f>Table1[[#This Row],[YearsAtCompany]]</f>
        <v>1</v>
      </c>
      <c r="J1314">
        <f>Table1[[#This Row],[YearsSinceLastPromotion]]</f>
        <v>0</v>
      </c>
      <c r="K1314">
        <f>Table1[[#This Row],[EmployeeNumber]]</f>
        <v>1842</v>
      </c>
      <c r="L1314">
        <f>Table1[[#This Row],[DistanceFromHome]]</f>
        <v>18</v>
      </c>
      <c r="M1314" t="str">
        <f>Table1[[#This Row],[OverTime]]</f>
        <v>No</v>
      </c>
      <c r="N1314">
        <f>Table1[[#This Row],[WorkLifeBalance]]</f>
        <v>3</v>
      </c>
      <c r="O1314" t="str" cm="1">
        <f t="array" ref="O1314">_xlfn.IFS(A1314&lt;=30,"18-30",A1314&lt;=40,"31-40",A1314&lt;=50,"41-50",A1314&gt;50,"51+")</f>
        <v>31-40</v>
      </c>
      <c r="P1314" t="str" cm="1">
        <f t="array" ref="P1314">_xlfn.IFS(F1314&lt;=45,"45 or below",F1314&lt;= 60,"46-60",F1314&lt;=75,"61-75",F1314&lt;=90,"76-90",F1314&gt;90,"91 or above")</f>
        <v>76-90</v>
      </c>
      <c r="Q131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14" t="str" cm="1">
        <f t="array" ref="R1314" xml:space="preserve"> _xlfn.IFS(Table3[[#This Row],[Flight Risk Score]] = "NA","NA",Table3[[#This Row],[Flight Risk Score]] &gt;= 70,"High Risk",Table3[[#This Row],[Flight Risk Score]] &gt;= 50, "Medium Risk", Table3[[#This Row],[Flight Risk Score]] &gt;= 30,"Low Risk",Table3[[#This Row],[Flight Risk Score]] &lt; 30,"Very Low Risk")</f>
        <v>NA</v>
      </c>
    </row>
    <row r="1315" spans="1:18" hidden="1" x14ac:dyDescent="0.2">
      <c r="A1315">
        <f>Table1[[#This Row],[Age]]</f>
        <v>29</v>
      </c>
      <c r="B1315">
        <f>IF(Table3[[#This Row],[Attrition]] = "Yes", 1,0)</f>
        <v>1</v>
      </c>
      <c r="C1315" t="str">
        <f>Table1[[#This Row],[Attrition]]</f>
        <v>Yes</v>
      </c>
      <c r="D1315" t="str">
        <f>Table1[[#This Row],[Department]]</f>
        <v>Human Resources</v>
      </c>
      <c r="E1315">
        <f>Table1[[#This Row],[EnvironmentSatisfaction]]</f>
        <v>1</v>
      </c>
      <c r="F1315">
        <f>Table1[[#This Row],[HourlyRate]]</f>
        <v>56</v>
      </c>
      <c r="G1315" t="str">
        <f>Table1[[#This Row],[JobRole]]</f>
        <v>Human Resources</v>
      </c>
      <c r="H1315">
        <f>Table1[[#This Row],[JobSatisfaction]]</f>
        <v>1</v>
      </c>
      <c r="I1315">
        <f>Table1[[#This Row],[YearsAtCompany]]</f>
        <v>2</v>
      </c>
      <c r="J1315">
        <f>Table1[[#This Row],[YearsSinceLastPromotion]]</f>
        <v>2</v>
      </c>
      <c r="K1315">
        <f>Table1[[#This Row],[EmployeeNumber]]</f>
        <v>1844</v>
      </c>
      <c r="L1315">
        <f>Table1[[#This Row],[DistanceFromHome]]</f>
        <v>13</v>
      </c>
      <c r="M1315" t="str">
        <f>Table1[[#This Row],[OverTime]]</f>
        <v>Yes</v>
      </c>
      <c r="N1315">
        <f>Table1[[#This Row],[WorkLifeBalance]]</f>
        <v>3</v>
      </c>
      <c r="O1315" t="str" cm="1">
        <f t="array" ref="O1315">_xlfn.IFS(A1315&lt;=30,"18-30",A1315&lt;=40,"31-40",A1315&lt;=50,"41-50",A1315&gt;50,"51+")</f>
        <v>18-30</v>
      </c>
      <c r="P1315" t="str" cm="1">
        <f t="array" ref="P1315">_xlfn.IFS(F1315&lt;=45,"45 or below",F1315&lt;= 60,"46-60",F1315&lt;=75,"61-75",F1315&lt;=90,"76-90",F1315&gt;90,"91 or above")</f>
        <v>46-60</v>
      </c>
      <c r="Q131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15" t="str" cm="1">
        <f t="array" ref="R1315" xml:space="preserve"> _xlfn.IFS(Table3[[#This Row],[Flight Risk Score]] = "NA","NA",Table3[[#This Row],[Flight Risk Score]] &gt;= 70,"High Risk",Table3[[#This Row],[Flight Risk Score]] &gt;= 50, "Medium Risk", Table3[[#This Row],[Flight Risk Score]] &gt;= 30,"Low Risk",Table3[[#This Row],[Flight Risk Score]] &lt; 30,"Very Low Risk")</f>
        <v>NA</v>
      </c>
    </row>
    <row r="1316" spans="1:18" x14ac:dyDescent="0.2">
      <c r="A1316">
        <f>Table1[[#This Row],[Age]]</f>
        <v>45</v>
      </c>
      <c r="B1316">
        <f>IF(Table3[[#This Row],[Attrition]] = "Yes", 1,0)</f>
        <v>0</v>
      </c>
      <c r="C1316" t="str">
        <f>Table1[[#This Row],[Attrition]]</f>
        <v>No</v>
      </c>
      <c r="D1316" t="str">
        <f>Table1[[#This Row],[Department]]</f>
        <v>Sales</v>
      </c>
      <c r="E1316">
        <f>Table1[[#This Row],[EnvironmentSatisfaction]]</f>
        <v>3</v>
      </c>
      <c r="F1316">
        <f>Table1[[#This Row],[HourlyRate]]</f>
        <v>67</v>
      </c>
      <c r="G1316" t="str">
        <f>Table1[[#This Row],[JobRole]]</f>
        <v>Sales Executive</v>
      </c>
      <c r="H1316">
        <f>Table1[[#This Row],[JobSatisfaction]]</f>
        <v>3</v>
      </c>
      <c r="I1316">
        <f>Table1[[#This Row],[YearsAtCompany]]</f>
        <v>8</v>
      </c>
      <c r="J1316">
        <f>Table1[[#This Row],[YearsSinceLastPromotion]]</f>
        <v>5</v>
      </c>
      <c r="K1316">
        <f>Table1[[#This Row],[EmployeeNumber]]</f>
        <v>1845</v>
      </c>
      <c r="L1316">
        <f>Table1[[#This Row],[DistanceFromHome]]</f>
        <v>2</v>
      </c>
      <c r="M1316" t="str">
        <f>Table1[[#This Row],[OverTime]]</f>
        <v>No</v>
      </c>
      <c r="N1316">
        <f>Table1[[#This Row],[WorkLifeBalance]]</f>
        <v>4</v>
      </c>
      <c r="O1316" t="str" cm="1">
        <f t="array" ref="O1316">_xlfn.IFS(A1316&lt;=30,"18-30",A1316&lt;=40,"31-40",A1316&lt;=50,"41-50",A1316&gt;50,"51+")</f>
        <v>41-50</v>
      </c>
      <c r="P1316" t="str" cm="1">
        <f t="array" ref="P1316">_xlfn.IFS(F1316&lt;=45,"45 or below",F1316&lt;= 60,"46-60",F1316&lt;=75,"61-75",F1316&lt;=90,"76-90",F1316&gt;90,"91 or above")</f>
        <v>61-75</v>
      </c>
      <c r="Q13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16" t="str" cm="1">
        <f t="array" ref="R131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17" spans="1:18" x14ac:dyDescent="0.2">
      <c r="A1317">
        <f>Table1[[#This Row],[Age]]</f>
        <v>36</v>
      </c>
      <c r="B1317">
        <f>IF(Table3[[#This Row],[Attrition]] = "Yes", 1,0)</f>
        <v>0</v>
      </c>
      <c r="C1317" t="str">
        <f>Table1[[#This Row],[Attrition]]</f>
        <v>No</v>
      </c>
      <c r="D1317" t="str">
        <f>Table1[[#This Row],[Department]]</f>
        <v>Research &amp; Development</v>
      </c>
      <c r="E1317">
        <f>Table1[[#This Row],[EnvironmentSatisfaction]]</f>
        <v>4</v>
      </c>
      <c r="F1317">
        <f>Table1[[#This Row],[HourlyRate]]</f>
        <v>73</v>
      </c>
      <c r="G1317" t="str">
        <f>Table1[[#This Row],[JobRole]]</f>
        <v>Research Scientist</v>
      </c>
      <c r="H1317">
        <f>Table1[[#This Row],[JobSatisfaction]]</f>
        <v>2</v>
      </c>
      <c r="I1317">
        <f>Table1[[#This Row],[YearsAtCompany]]</f>
        <v>1</v>
      </c>
      <c r="J1317">
        <f>Table1[[#This Row],[YearsSinceLastPromotion]]</f>
        <v>0</v>
      </c>
      <c r="K1317">
        <f>Table1[[#This Row],[EmployeeNumber]]</f>
        <v>1847</v>
      </c>
      <c r="L1317">
        <f>Table1[[#This Row],[DistanceFromHome]]</f>
        <v>2</v>
      </c>
      <c r="M1317" t="str">
        <f>Table1[[#This Row],[OverTime]]</f>
        <v>Yes</v>
      </c>
      <c r="N1317">
        <f>Table1[[#This Row],[WorkLifeBalance]]</f>
        <v>3</v>
      </c>
      <c r="O1317" t="str" cm="1">
        <f t="array" ref="O1317">_xlfn.IFS(A1317&lt;=30,"18-30",A1317&lt;=40,"31-40",A1317&lt;=50,"41-50",A1317&gt;50,"51+")</f>
        <v>31-40</v>
      </c>
      <c r="P1317" t="str" cm="1">
        <f t="array" ref="P1317">_xlfn.IFS(F1317&lt;=45,"45 or below",F1317&lt;= 60,"46-60",F1317&lt;=75,"61-75",F1317&lt;=90,"76-90",F1317&gt;90,"91 or above")</f>
        <v>61-75</v>
      </c>
      <c r="Q13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17" t="str" cm="1">
        <f t="array" ref="R131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18" spans="1:18" x14ac:dyDescent="0.2">
      <c r="A1318">
        <f>Table1[[#This Row],[Age]]</f>
        <v>43</v>
      </c>
      <c r="B1318">
        <f>IF(Table3[[#This Row],[Attrition]] = "Yes", 1,0)</f>
        <v>0</v>
      </c>
      <c r="C1318" t="str">
        <f>Table1[[#This Row],[Attrition]]</f>
        <v>No</v>
      </c>
      <c r="D1318" t="str">
        <f>Table1[[#This Row],[Department]]</f>
        <v>Sales</v>
      </c>
      <c r="E1318">
        <f>Table1[[#This Row],[EnvironmentSatisfaction]]</f>
        <v>1</v>
      </c>
      <c r="F1318">
        <f>Table1[[#This Row],[HourlyRate]]</f>
        <v>92</v>
      </c>
      <c r="G1318" t="str">
        <f>Table1[[#This Row],[JobRole]]</f>
        <v>Sales Executive</v>
      </c>
      <c r="H1318">
        <f>Table1[[#This Row],[JobSatisfaction]]</f>
        <v>4</v>
      </c>
      <c r="I1318">
        <f>Table1[[#This Row],[YearsAtCompany]]</f>
        <v>7</v>
      </c>
      <c r="J1318">
        <f>Table1[[#This Row],[YearsSinceLastPromotion]]</f>
        <v>7</v>
      </c>
      <c r="K1318">
        <f>Table1[[#This Row],[EmployeeNumber]]</f>
        <v>1849</v>
      </c>
      <c r="L1318">
        <f>Table1[[#This Row],[DistanceFromHome]]</f>
        <v>2</v>
      </c>
      <c r="M1318" t="str">
        <f>Table1[[#This Row],[OverTime]]</f>
        <v>No</v>
      </c>
      <c r="N1318">
        <f>Table1[[#This Row],[WorkLifeBalance]]</f>
        <v>3</v>
      </c>
      <c r="O1318" t="str" cm="1">
        <f t="array" ref="O1318">_xlfn.IFS(A1318&lt;=30,"18-30",A1318&lt;=40,"31-40",A1318&lt;=50,"41-50",A1318&gt;50,"51+")</f>
        <v>41-50</v>
      </c>
      <c r="P1318" t="str" cm="1">
        <f t="array" ref="P1318">_xlfn.IFS(F1318&lt;=45,"45 or below",F1318&lt;= 60,"46-60",F1318&lt;=75,"61-75",F1318&lt;=90,"76-90",F1318&gt;90,"91 or above")</f>
        <v>91 or above</v>
      </c>
      <c r="Q13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18" t="str" cm="1">
        <f t="array" ref="R13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19" spans="1:18" x14ac:dyDescent="0.2">
      <c r="A1319">
        <f>Table1[[#This Row],[Age]]</f>
        <v>27</v>
      </c>
      <c r="B1319">
        <f>IF(Table3[[#This Row],[Attrition]] = "Yes", 1,0)</f>
        <v>0</v>
      </c>
      <c r="C1319" t="str">
        <f>Table1[[#This Row],[Attrition]]</f>
        <v>No</v>
      </c>
      <c r="D1319" t="str">
        <f>Table1[[#This Row],[Department]]</f>
        <v>Research &amp; Development</v>
      </c>
      <c r="E1319">
        <f>Table1[[#This Row],[EnvironmentSatisfaction]]</f>
        <v>4</v>
      </c>
      <c r="F1319">
        <f>Table1[[#This Row],[HourlyRate]]</f>
        <v>53</v>
      </c>
      <c r="G1319" t="str">
        <f>Table1[[#This Row],[JobRole]]</f>
        <v>Laboratory Technician</v>
      </c>
      <c r="H1319">
        <f>Table1[[#This Row],[JobSatisfaction]]</f>
        <v>4</v>
      </c>
      <c r="I1319">
        <f>Table1[[#This Row],[YearsAtCompany]]</f>
        <v>5</v>
      </c>
      <c r="J1319">
        <f>Table1[[#This Row],[YearsSinceLastPromotion]]</f>
        <v>0</v>
      </c>
      <c r="K1319">
        <f>Table1[[#This Row],[EmployeeNumber]]</f>
        <v>1850</v>
      </c>
      <c r="L1319">
        <f>Table1[[#This Row],[DistanceFromHome]]</f>
        <v>5</v>
      </c>
      <c r="M1319" t="str">
        <f>Table1[[#This Row],[OverTime]]</f>
        <v>Yes</v>
      </c>
      <c r="N1319">
        <f>Table1[[#This Row],[WorkLifeBalance]]</f>
        <v>2</v>
      </c>
      <c r="O1319" t="str" cm="1">
        <f t="array" ref="O1319">_xlfn.IFS(A1319&lt;=30,"18-30",A1319&lt;=40,"31-40",A1319&lt;=50,"41-50",A1319&gt;50,"51+")</f>
        <v>18-30</v>
      </c>
      <c r="P1319" t="str" cm="1">
        <f t="array" ref="P1319">_xlfn.IFS(F1319&lt;=45,"45 or below",F1319&lt;= 60,"46-60",F1319&lt;=75,"61-75",F1319&lt;=90,"76-90",F1319&gt;90,"91 or above")</f>
        <v>46-60</v>
      </c>
      <c r="Q13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19" t="str" cm="1">
        <f t="array" ref="R131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20" spans="1:18" x14ac:dyDescent="0.2">
      <c r="A1320">
        <f>Table1[[#This Row],[Age]]</f>
        <v>29</v>
      </c>
      <c r="B1320">
        <f>IF(Table3[[#This Row],[Attrition]] = "Yes", 1,0)</f>
        <v>0</v>
      </c>
      <c r="C1320" t="str">
        <f>Table1[[#This Row],[Attrition]]</f>
        <v>No</v>
      </c>
      <c r="D1320" t="str">
        <f>Table1[[#This Row],[Department]]</f>
        <v>Research &amp; Development</v>
      </c>
      <c r="E1320">
        <f>Table1[[#This Row],[EnvironmentSatisfaction]]</f>
        <v>4</v>
      </c>
      <c r="F1320">
        <f>Table1[[#This Row],[HourlyRate]]</f>
        <v>40</v>
      </c>
      <c r="G1320" t="str">
        <f>Table1[[#This Row],[JobRole]]</f>
        <v>Laboratory Technician</v>
      </c>
      <c r="H1320">
        <f>Table1[[#This Row],[JobSatisfaction]]</f>
        <v>4</v>
      </c>
      <c r="I1320">
        <f>Table1[[#This Row],[YearsAtCompany]]</f>
        <v>11</v>
      </c>
      <c r="J1320">
        <f>Table1[[#This Row],[YearsSinceLastPromotion]]</f>
        <v>3</v>
      </c>
      <c r="K1320">
        <f>Table1[[#This Row],[EmployeeNumber]]</f>
        <v>1852</v>
      </c>
      <c r="L1320">
        <f>Table1[[#This Row],[DistanceFromHome]]</f>
        <v>20</v>
      </c>
      <c r="M1320" t="str">
        <f>Table1[[#This Row],[OverTime]]</f>
        <v>No</v>
      </c>
      <c r="N1320">
        <f>Table1[[#This Row],[WorkLifeBalance]]</f>
        <v>4</v>
      </c>
      <c r="O1320" t="str" cm="1">
        <f t="array" ref="O1320">_xlfn.IFS(A1320&lt;=30,"18-30",A1320&lt;=40,"31-40",A1320&lt;=50,"41-50",A1320&gt;50,"51+")</f>
        <v>18-30</v>
      </c>
      <c r="P1320" t="str" cm="1">
        <f t="array" ref="P1320">_xlfn.IFS(F1320&lt;=45,"45 or below",F1320&lt;= 60,"46-60",F1320&lt;=75,"61-75",F1320&lt;=90,"76-90",F1320&gt;90,"91 or above")</f>
        <v>45 or below</v>
      </c>
      <c r="Q13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0" t="str" cm="1">
        <f t="array" ref="R13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1" spans="1:18" x14ac:dyDescent="0.2">
      <c r="A1321">
        <f>Table1[[#This Row],[Age]]</f>
        <v>32</v>
      </c>
      <c r="B1321">
        <f>IF(Table3[[#This Row],[Attrition]] = "Yes", 1,0)</f>
        <v>0</v>
      </c>
      <c r="C1321" t="str">
        <f>Table1[[#This Row],[Attrition]]</f>
        <v>No</v>
      </c>
      <c r="D1321" t="str">
        <f>Table1[[#This Row],[Department]]</f>
        <v>Sales</v>
      </c>
      <c r="E1321">
        <f>Table1[[#This Row],[EnvironmentSatisfaction]]</f>
        <v>4</v>
      </c>
      <c r="F1321">
        <f>Table1[[#This Row],[HourlyRate]]</f>
        <v>79</v>
      </c>
      <c r="G1321" t="str">
        <f>Table1[[#This Row],[JobRole]]</f>
        <v>Sales Executive</v>
      </c>
      <c r="H1321">
        <f>Table1[[#This Row],[JobSatisfaction]]</f>
        <v>4</v>
      </c>
      <c r="I1321">
        <f>Table1[[#This Row],[YearsAtCompany]]</f>
        <v>0</v>
      </c>
      <c r="J1321">
        <f>Table1[[#This Row],[YearsSinceLastPromotion]]</f>
        <v>0</v>
      </c>
      <c r="K1321">
        <f>Table1[[#This Row],[EmployeeNumber]]</f>
        <v>1853</v>
      </c>
      <c r="L1321">
        <f>Table1[[#This Row],[DistanceFromHome]]</f>
        <v>10</v>
      </c>
      <c r="M1321" t="str">
        <f>Table1[[#This Row],[OverTime]]</f>
        <v>No</v>
      </c>
      <c r="N1321">
        <f>Table1[[#This Row],[WorkLifeBalance]]</f>
        <v>4</v>
      </c>
      <c r="O1321" t="str" cm="1">
        <f t="array" ref="O1321">_xlfn.IFS(A1321&lt;=30,"18-30",A1321&lt;=40,"31-40",A1321&lt;=50,"41-50",A1321&gt;50,"51+")</f>
        <v>31-40</v>
      </c>
      <c r="P1321" t="str" cm="1">
        <f t="array" ref="P1321">_xlfn.IFS(F1321&lt;=45,"45 or below",F1321&lt;= 60,"46-60",F1321&lt;=75,"61-75",F1321&lt;=90,"76-90",F1321&gt;90,"91 or above")</f>
        <v>76-90</v>
      </c>
      <c r="Q13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1" t="str" cm="1">
        <f t="array" ref="R132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2" spans="1:18" x14ac:dyDescent="0.2">
      <c r="A1322">
        <f>Table1[[#This Row],[Age]]</f>
        <v>42</v>
      </c>
      <c r="B1322">
        <f>IF(Table3[[#This Row],[Attrition]] = "Yes", 1,0)</f>
        <v>0</v>
      </c>
      <c r="C1322" t="str">
        <f>Table1[[#This Row],[Attrition]]</f>
        <v>No</v>
      </c>
      <c r="D1322" t="str">
        <f>Table1[[#This Row],[Department]]</f>
        <v>Research &amp; Development</v>
      </c>
      <c r="E1322">
        <f>Table1[[#This Row],[EnvironmentSatisfaction]]</f>
        <v>3</v>
      </c>
      <c r="F1322">
        <f>Table1[[#This Row],[HourlyRate]]</f>
        <v>38</v>
      </c>
      <c r="G1322" t="str">
        <f>Table1[[#This Row],[JobRole]]</f>
        <v>Research Scientist</v>
      </c>
      <c r="H1322">
        <f>Table1[[#This Row],[JobSatisfaction]]</f>
        <v>3</v>
      </c>
      <c r="I1322">
        <f>Table1[[#This Row],[YearsAtCompany]]</f>
        <v>6</v>
      </c>
      <c r="J1322">
        <f>Table1[[#This Row],[YearsSinceLastPromotion]]</f>
        <v>3</v>
      </c>
      <c r="K1322">
        <f>Table1[[#This Row],[EmployeeNumber]]</f>
        <v>1854</v>
      </c>
      <c r="L1322">
        <f>Table1[[#This Row],[DistanceFromHome]]</f>
        <v>10</v>
      </c>
      <c r="M1322" t="str">
        <f>Table1[[#This Row],[OverTime]]</f>
        <v>No</v>
      </c>
      <c r="N1322">
        <f>Table1[[#This Row],[WorkLifeBalance]]</f>
        <v>2</v>
      </c>
      <c r="O1322" t="str" cm="1">
        <f t="array" ref="O1322">_xlfn.IFS(A1322&lt;=30,"18-30",A1322&lt;=40,"31-40",A1322&lt;=50,"41-50",A1322&gt;50,"51+")</f>
        <v>41-50</v>
      </c>
      <c r="P1322" t="str" cm="1">
        <f t="array" ref="P1322">_xlfn.IFS(F1322&lt;=45,"45 or below",F1322&lt;= 60,"46-60",F1322&lt;=75,"61-75",F1322&lt;=90,"76-90",F1322&gt;90,"91 or above")</f>
        <v>45 or below</v>
      </c>
      <c r="Q13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2" t="str" cm="1">
        <f t="array" ref="R13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3" spans="1:18" x14ac:dyDescent="0.2">
      <c r="A1323">
        <f>Table1[[#This Row],[Age]]</f>
        <v>47</v>
      </c>
      <c r="B1323">
        <f>IF(Table3[[#This Row],[Attrition]] = "Yes", 1,0)</f>
        <v>0</v>
      </c>
      <c r="C1323" t="str">
        <f>Table1[[#This Row],[Attrition]]</f>
        <v>No</v>
      </c>
      <c r="D1323" t="str">
        <f>Table1[[#This Row],[Department]]</f>
        <v>Research &amp; Development</v>
      </c>
      <c r="E1323">
        <f>Table1[[#This Row],[EnvironmentSatisfaction]]</f>
        <v>2</v>
      </c>
      <c r="F1323">
        <f>Table1[[#This Row],[HourlyRate]]</f>
        <v>64</v>
      </c>
      <c r="G1323" t="str">
        <f>Table1[[#This Row],[JobRole]]</f>
        <v>Laboratory Technician</v>
      </c>
      <c r="H1323">
        <f>Table1[[#This Row],[JobSatisfaction]]</f>
        <v>3</v>
      </c>
      <c r="I1323">
        <f>Table1[[#This Row],[YearsAtCompany]]</f>
        <v>2</v>
      </c>
      <c r="J1323">
        <f>Table1[[#This Row],[YearsSinceLastPromotion]]</f>
        <v>2</v>
      </c>
      <c r="K1323">
        <f>Table1[[#This Row],[EmployeeNumber]]</f>
        <v>1856</v>
      </c>
      <c r="L1323">
        <f>Table1[[#This Row],[DistanceFromHome]]</f>
        <v>9</v>
      </c>
      <c r="M1323" t="str">
        <f>Table1[[#This Row],[OverTime]]</f>
        <v>No</v>
      </c>
      <c r="N1323">
        <f>Table1[[#This Row],[WorkLifeBalance]]</f>
        <v>3</v>
      </c>
      <c r="O1323" t="str" cm="1">
        <f t="array" ref="O1323">_xlfn.IFS(A1323&lt;=30,"18-30",A1323&lt;=40,"31-40",A1323&lt;=50,"41-50",A1323&gt;50,"51+")</f>
        <v>41-50</v>
      </c>
      <c r="P1323" t="str" cm="1">
        <f t="array" ref="P1323">_xlfn.IFS(F1323&lt;=45,"45 or below",F1323&lt;= 60,"46-60",F1323&lt;=75,"61-75",F1323&lt;=90,"76-90",F1323&gt;90,"91 or above")</f>
        <v>61-75</v>
      </c>
      <c r="Q13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23" t="str" cm="1">
        <f t="array" ref="R132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4" spans="1:18" x14ac:dyDescent="0.2">
      <c r="A1324">
        <f>Table1[[#This Row],[Age]]</f>
        <v>46</v>
      </c>
      <c r="B1324">
        <f>IF(Table3[[#This Row],[Attrition]] = "Yes", 1,0)</f>
        <v>0</v>
      </c>
      <c r="C1324" t="str">
        <f>Table1[[#This Row],[Attrition]]</f>
        <v>No</v>
      </c>
      <c r="D1324" t="str">
        <f>Table1[[#This Row],[Department]]</f>
        <v>Research &amp; Development</v>
      </c>
      <c r="E1324">
        <f>Table1[[#This Row],[EnvironmentSatisfaction]]</f>
        <v>4</v>
      </c>
      <c r="F1324">
        <f>Table1[[#This Row],[HourlyRate]]</f>
        <v>82</v>
      </c>
      <c r="G1324" t="str">
        <f>Table1[[#This Row],[JobRole]]</f>
        <v>Manufacturing Director</v>
      </c>
      <c r="H1324">
        <f>Table1[[#This Row],[JobSatisfaction]]</f>
        <v>4</v>
      </c>
      <c r="I1324">
        <f>Table1[[#This Row],[YearsAtCompany]]</f>
        <v>9</v>
      </c>
      <c r="J1324">
        <f>Table1[[#This Row],[YearsSinceLastPromotion]]</f>
        <v>4</v>
      </c>
      <c r="K1324">
        <f>Table1[[#This Row],[EmployeeNumber]]</f>
        <v>1857</v>
      </c>
      <c r="L1324">
        <f>Table1[[#This Row],[DistanceFromHome]]</f>
        <v>2</v>
      </c>
      <c r="M1324" t="str">
        <f>Table1[[#This Row],[OverTime]]</f>
        <v>No</v>
      </c>
      <c r="N1324">
        <f>Table1[[#This Row],[WorkLifeBalance]]</f>
        <v>2</v>
      </c>
      <c r="O1324" t="str" cm="1">
        <f t="array" ref="O1324">_xlfn.IFS(A1324&lt;=30,"18-30",A1324&lt;=40,"31-40",A1324&lt;=50,"41-50",A1324&gt;50,"51+")</f>
        <v>41-50</v>
      </c>
      <c r="P1324" t="str" cm="1">
        <f t="array" ref="P1324">_xlfn.IFS(F1324&lt;=45,"45 or below",F1324&lt;= 60,"46-60",F1324&lt;=75,"61-75",F1324&lt;=90,"76-90",F1324&gt;90,"91 or above")</f>
        <v>76-90</v>
      </c>
      <c r="Q13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4" t="str" cm="1">
        <f t="array" ref="R132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5" spans="1:18" x14ac:dyDescent="0.2">
      <c r="A1325">
        <f>Table1[[#This Row],[Age]]</f>
        <v>28</v>
      </c>
      <c r="B1325">
        <f>IF(Table3[[#This Row],[Attrition]] = "Yes", 1,0)</f>
        <v>0</v>
      </c>
      <c r="C1325" t="str">
        <f>Table1[[#This Row],[Attrition]]</f>
        <v>No</v>
      </c>
      <c r="D1325" t="str">
        <f>Table1[[#This Row],[Department]]</f>
        <v>Human Resources</v>
      </c>
      <c r="E1325">
        <f>Table1[[#This Row],[EnvironmentSatisfaction]]</f>
        <v>3</v>
      </c>
      <c r="F1325">
        <f>Table1[[#This Row],[HourlyRate]]</f>
        <v>43</v>
      </c>
      <c r="G1325" t="str">
        <f>Table1[[#This Row],[JobRole]]</f>
        <v>Human Resources</v>
      </c>
      <c r="H1325">
        <f>Table1[[#This Row],[JobSatisfaction]]</f>
        <v>4</v>
      </c>
      <c r="I1325">
        <f>Table1[[#This Row],[YearsAtCompany]]</f>
        <v>3</v>
      </c>
      <c r="J1325">
        <f>Table1[[#This Row],[YearsSinceLastPromotion]]</f>
        <v>2</v>
      </c>
      <c r="K1325">
        <f>Table1[[#This Row],[EmployeeNumber]]</f>
        <v>1858</v>
      </c>
      <c r="L1325">
        <f>Table1[[#This Row],[DistanceFromHome]]</f>
        <v>1</v>
      </c>
      <c r="M1325" t="str">
        <f>Table1[[#This Row],[OverTime]]</f>
        <v>No</v>
      </c>
      <c r="N1325">
        <f>Table1[[#This Row],[WorkLifeBalance]]</f>
        <v>3</v>
      </c>
      <c r="O1325" t="str" cm="1">
        <f t="array" ref="O1325">_xlfn.IFS(A1325&lt;=30,"18-30",A1325&lt;=40,"31-40",A1325&lt;=50,"41-50",A1325&gt;50,"51+")</f>
        <v>18-30</v>
      </c>
      <c r="P1325" t="str" cm="1">
        <f t="array" ref="P1325">_xlfn.IFS(F1325&lt;=45,"45 or below",F1325&lt;= 60,"46-60",F1325&lt;=75,"61-75",F1325&lt;=90,"76-90",F1325&gt;90,"91 or above")</f>
        <v>45 or below</v>
      </c>
      <c r="Q13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5" t="str" cm="1">
        <f t="array" ref="R13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6" spans="1:18" x14ac:dyDescent="0.2">
      <c r="A1326">
        <f>Table1[[#This Row],[Age]]</f>
        <v>29</v>
      </c>
      <c r="B1326">
        <f>IF(Table3[[#This Row],[Attrition]] = "Yes", 1,0)</f>
        <v>0</v>
      </c>
      <c r="C1326" t="str">
        <f>Table1[[#This Row],[Attrition]]</f>
        <v>No</v>
      </c>
      <c r="D1326" t="str">
        <f>Table1[[#This Row],[Department]]</f>
        <v>Research &amp; Development</v>
      </c>
      <c r="E1326">
        <f>Table1[[#This Row],[EnvironmentSatisfaction]]</f>
        <v>4</v>
      </c>
      <c r="F1326">
        <f>Table1[[#This Row],[HourlyRate]]</f>
        <v>93</v>
      </c>
      <c r="G1326" t="str">
        <f>Table1[[#This Row],[JobRole]]</f>
        <v>Healthcare Representative</v>
      </c>
      <c r="H1326">
        <f>Table1[[#This Row],[JobSatisfaction]]</f>
        <v>3</v>
      </c>
      <c r="I1326">
        <f>Table1[[#This Row],[YearsAtCompany]]</f>
        <v>7</v>
      </c>
      <c r="J1326">
        <f>Table1[[#This Row],[YearsSinceLastPromotion]]</f>
        <v>1</v>
      </c>
      <c r="K1326">
        <f>Table1[[#This Row],[EmployeeNumber]]</f>
        <v>1859</v>
      </c>
      <c r="L1326">
        <f>Table1[[#This Row],[DistanceFromHome]]</f>
        <v>29</v>
      </c>
      <c r="M1326" t="str">
        <f>Table1[[#This Row],[OverTime]]</f>
        <v>No</v>
      </c>
      <c r="N1326">
        <f>Table1[[#This Row],[WorkLifeBalance]]</f>
        <v>3</v>
      </c>
      <c r="O1326" t="str" cm="1">
        <f t="array" ref="O1326">_xlfn.IFS(A1326&lt;=30,"18-30",A1326&lt;=40,"31-40",A1326&lt;=50,"41-50",A1326&gt;50,"51+")</f>
        <v>18-30</v>
      </c>
      <c r="P1326" t="str" cm="1">
        <f t="array" ref="P1326">_xlfn.IFS(F1326&lt;=45,"45 or below",F1326&lt;= 60,"46-60",F1326&lt;=75,"61-75",F1326&lt;=90,"76-90",F1326&gt;90,"91 or above")</f>
        <v>91 or above</v>
      </c>
      <c r="Q13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6" t="str" cm="1">
        <f t="array" ref="R13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7" spans="1:18" x14ac:dyDescent="0.2">
      <c r="A1327">
        <f>Table1[[#This Row],[Age]]</f>
        <v>42</v>
      </c>
      <c r="B1327">
        <f>IF(Table3[[#This Row],[Attrition]] = "Yes", 1,0)</f>
        <v>0</v>
      </c>
      <c r="C1327" t="str">
        <f>Table1[[#This Row],[Attrition]]</f>
        <v>No</v>
      </c>
      <c r="D1327" t="str">
        <f>Table1[[#This Row],[Department]]</f>
        <v>Research &amp; Development</v>
      </c>
      <c r="E1327">
        <f>Table1[[#This Row],[EnvironmentSatisfaction]]</f>
        <v>4</v>
      </c>
      <c r="F1327">
        <f>Table1[[#This Row],[HourlyRate]]</f>
        <v>81</v>
      </c>
      <c r="G1327" t="str">
        <f>Table1[[#This Row],[JobRole]]</f>
        <v>Laboratory Technician</v>
      </c>
      <c r="H1327">
        <f>Table1[[#This Row],[JobSatisfaction]]</f>
        <v>3</v>
      </c>
      <c r="I1327">
        <f>Table1[[#This Row],[YearsAtCompany]]</f>
        <v>0</v>
      </c>
      <c r="J1327">
        <f>Table1[[#This Row],[YearsSinceLastPromotion]]</f>
        <v>0</v>
      </c>
      <c r="K1327">
        <f>Table1[[#This Row],[EmployeeNumber]]</f>
        <v>1860</v>
      </c>
      <c r="L1327">
        <f>Table1[[#This Row],[DistanceFromHome]]</f>
        <v>8</v>
      </c>
      <c r="M1327" t="str">
        <f>Table1[[#This Row],[OverTime]]</f>
        <v>No</v>
      </c>
      <c r="N1327">
        <f>Table1[[#This Row],[WorkLifeBalance]]</f>
        <v>3</v>
      </c>
      <c r="O1327" t="str" cm="1">
        <f t="array" ref="O1327">_xlfn.IFS(A1327&lt;=30,"18-30",A1327&lt;=40,"31-40",A1327&lt;=50,"41-50",A1327&gt;50,"51+")</f>
        <v>41-50</v>
      </c>
      <c r="P1327" t="str" cm="1">
        <f t="array" ref="P1327">_xlfn.IFS(F1327&lt;=45,"45 or below",F1327&lt;= 60,"46-60",F1327&lt;=75,"61-75",F1327&lt;=90,"76-90",F1327&gt;90,"91 or above")</f>
        <v>76-90</v>
      </c>
      <c r="Q13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27" t="str" cm="1">
        <f t="array" ref="R132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28" spans="1:18" hidden="1" x14ac:dyDescent="0.2">
      <c r="A1328">
        <f>Table1[[#This Row],[Age]]</f>
        <v>32</v>
      </c>
      <c r="B1328">
        <f>IF(Table3[[#This Row],[Attrition]] = "Yes", 1,0)</f>
        <v>1</v>
      </c>
      <c r="C1328" t="str">
        <f>Table1[[#This Row],[Attrition]]</f>
        <v>Yes</v>
      </c>
      <c r="D1328" t="str">
        <f>Table1[[#This Row],[Department]]</f>
        <v>Sales</v>
      </c>
      <c r="E1328">
        <f>Table1[[#This Row],[EnvironmentSatisfaction]]</f>
        <v>3</v>
      </c>
      <c r="F1328">
        <f>Table1[[#This Row],[HourlyRate]]</f>
        <v>82</v>
      </c>
      <c r="G1328" t="str">
        <f>Table1[[#This Row],[JobRole]]</f>
        <v>Sales Executive</v>
      </c>
      <c r="H1328">
        <f>Table1[[#This Row],[JobSatisfaction]]</f>
        <v>2</v>
      </c>
      <c r="I1328">
        <f>Table1[[#This Row],[YearsAtCompany]]</f>
        <v>2</v>
      </c>
      <c r="J1328">
        <f>Table1[[#This Row],[YearsSinceLastPromotion]]</f>
        <v>2</v>
      </c>
      <c r="K1328">
        <f>Table1[[#This Row],[EmployeeNumber]]</f>
        <v>1862</v>
      </c>
      <c r="L1328">
        <f>Table1[[#This Row],[DistanceFromHome]]</f>
        <v>2</v>
      </c>
      <c r="M1328" t="str">
        <f>Table1[[#This Row],[OverTime]]</f>
        <v>Yes</v>
      </c>
      <c r="N1328">
        <f>Table1[[#This Row],[WorkLifeBalance]]</f>
        <v>2</v>
      </c>
      <c r="O1328" t="str" cm="1">
        <f t="array" ref="O1328">_xlfn.IFS(A1328&lt;=30,"18-30",A1328&lt;=40,"31-40",A1328&lt;=50,"41-50",A1328&gt;50,"51+")</f>
        <v>31-40</v>
      </c>
      <c r="P1328" t="str" cm="1">
        <f t="array" ref="P1328">_xlfn.IFS(F1328&lt;=45,"45 or below",F1328&lt;= 60,"46-60",F1328&lt;=75,"61-75",F1328&lt;=90,"76-90",F1328&gt;90,"91 or above")</f>
        <v>76-90</v>
      </c>
      <c r="Q132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28" t="str" cm="1">
        <f t="array" ref="R1328" xml:space="preserve"> _xlfn.IFS(Table3[[#This Row],[Flight Risk Score]] = "NA","NA",Table3[[#This Row],[Flight Risk Score]] &gt;= 70,"High Risk",Table3[[#This Row],[Flight Risk Score]] &gt;= 50, "Medium Risk", Table3[[#This Row],[Flight Risk Score]] &gt;= 30,"Low Risk",Table3[[#This Row],[Flight Risk Score]] &lt; 30,"Very Low Risk")</f>
        <v>NA</v>
      </c>
    </row>
    <row r="1329" spans="1:18" x14ac:dyDescent="0.2">
      <c r="A1329">
        <f>Table1[[#This Row],[Age]]</f>
        <v>46</v>
      </c>
      <c r="B1329">
        <f>IF(Table3[[#This Row],[Attrition]] = "Yes", 1,0)</f>
        <v>0</v>
      </c>
      <c r="C1329" t="str">
        <f>Table1[[#This Row],[Attrition]]</f>
        <v>No</v>
      </c>
      <c r="D1329" t="str">
        <f>Table1[[#This Row],[Department]]</f>
        <v>Sales</v>
      </c>
      <c r="E1329">
        <f>Table1[[#This Row],[EnvironmentSatisfaction]]</f>
        <v>1</v>
      </c>
      <c r="F1329">
        <f>Table1[[#This Row],[HourlyRate]]</f>
        <v>45</v>
      </c>
      <c r="G1329" t="str">
        <f>Table1[[#This Row],[JobRole]]</f>
        <v>Sales Executive</v>
      </c>
      <c r="H1329">
        <f>Table1[[#This Row],[JobSatisfaction]]</f>
        <v>1</v>
      </c>
      <c r="I1329">
        <f>Table1[[#This Row],[YearsAtCompany]]</f>
        <v>19</v>
      </c>
      <c r="J1329">
        <f>Table1[[#This Row],[YearsSinceLastPromotion]]</f>
        <v>2</v>
      </c>
      <c r="K1329">
        <f>Table1[[#This Row],[EmployeeNumber]]</f>
        <v>1863</v>
      </c>
      <c r="L1329">
        <f>Table1[[#This Row],[DistanceFromHome]]</f>
        <v>3</v>
      </c>
      <c r="M1329" t="str">
        <f>Table1[[#This Row],[OverTime]]</f>
        <v>No</v>
      </c>
      <c r="N1329">
        <f>Table1[[#This Row],[WorkLifeBalance]]</f>
        <v>3</v>
      </c>
      <c r="O1329" t="str" cm="1">
        <f t="array" ref="O1329">_xlfn.IFS(A1329&lt;=30,"18-30",A1329&lt;=40,"31-40",A1329&lt;=50,"41-50",A1329&gt;50,"51+")</f>
        <v>41-50</v>
      </c>
      <c r="P1329" t="str" cm="1">
        <f t="array" ref="P1329">_xlfn.IFS(F1329&lt;=45,"45 or below",F1329&lt;= 60,"46-60",F1329&lt;=75,"61-75",F1329&lt;=90,"76-90",F1329&gt;90,"91 or above")</f>
        <v>45 or below</v>
      </c>
      <c r="Q13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29" t="str" cm="1">
        <f t="array" ref="R132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30" spans="1:18" x14ac:dyDescent="0.2">
      <c r="A1330">
        <f>Table1[[#This Row],[Age]]</f>
        <v>27</v>
      </c>
      <c r="B1330">
        <f>IF(Table3[[#This Row],[Attrition]] = "Yes", 1,0)</f>
        <v>0</v>
      </c>
      <c r="C1330" t="str">
        <f>Table1[[#This Row],[Attrition]]</f>
        <v>No</v>
      </c>
      <c r="D1330" t="str">
        <f>Table1[[#This Row],[Department]]</f>
        <v>Sales</v>
      </c>
      <c r="E1330">
        <f>Table1[[#This Row],[EnvironmentSatisfaction]]</f>
        <v>2</v>
      </c>
      <c r="F1330">
        <f>Table1[[#This Row],[HourlyRate]]</f>
        <v>36</v>
      </c>
      <c r="G1330" t="str">
        <f>Table1[[#This Row],[JobRole]]</f>
        <v>Sales Representative</v>
      </c>
      <c r="H1330">
        <f>Table1[[#This Row],[JobSatisfaction]]</f>
        <v>3</v>
      </c>
      <c r="I1330">
        <f>Table1[[#This Row],[YearsAtCompany]]</f>
        <v>9</v>
      </c>
      <c r="J1330">
        <f>Table1[[#This Row],[YearsSinceLastPromotion]]</f>
        <v>5</v>
      </c>
      <c r="K1330">
        <f>Table1[[#This Row],[EmployeeNumber]]</f>
        <v>1864</v>
      </c>
      <c r="L1330">
        <f>Table1[[#This Row],[DistanceFromHome]]</f>
        <v>23</v>
      </c>
      <c r="M1330" t="str">
        <f>Table1[[#This Row],[OverTime]]</f>
        <v>No</v>
      </c>
      <c r="N1330">
        <f>Table1[[#This Row],[WorkLifeBalance]]</f>
        <v>3</v>
      </c>
      <c r="O1330" t="str" cm="1">
        <f t="array" ref="O1330">_xlfn.IFS(A1330&lt;=30,"18-30",A1330&lt;=40,"31-40",A1330&lt;=50,"41-50",A1330&gt;50,"51+")</f>
        <v>18-30</v>
      </c>
      <c r="P1330" t="str" cm="1">
        <f t="array" ref="P1330">_xlfn.IFS(F1330&lt;=45,"45 or below",F1330&lt;= 60,"46-60",F1330&lt;=75,"61-75",F1330&lt;=90,"76-90",F1330&gt;90,"91 or above")</f>
        <v>45 or below</v>
      </c>
      <c r="Q13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30" t="str" cm="1">
        <f t="array" ref="R133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1" spans="1:18" x14ac:dyDescent="0.2">
      <c r="A1331">
        <f>Table1[[#This Row],[Age]]</f>
        <v>29</v>
      </c>
      <c r="B1331">
        <f>IF(Table3[[#This Row],[Attrition]] = "Yes", 1,0)</f>
        <v>0</v>
      </c>
      <c r="C1331" t="str">
        <f>Table1[[#This Row],[Attrition]]</f>
        <v>No</v>
      </c>
      <c r="D1331" t="str">
        <f>Table1[[#This Row],[Department]]</f>
        <v>Human Resources</v>
      </c>
      <c r="E1331">
        <f>Table1[[#This Row],[EnvironmentSatisfaction]]</f>
        <v>4</v>
      </c>
      <c r="F1331">
        <f>Table1[[#This Row],[HourlyRate]]</f>
        <v>87</v>
      </c>
      <c r="G1331" t="str">
        <f>Table1[[#This Row],[JobRole]]</f>
        <v>Human Resources</v>
      </c>
      <c r="H1331">
        <f>Table1[[#This Row],[JobSatisfaction]]</f>
        <v>2</v>
      </c>
      <c r="I1331">
        <f>Table1[[#This Row],[YearsAtCompany]]</f>
        <v>1</v>
      </c>
      <c r="J1331">
        <f>Table1[[#This Row],[YearsSinceLastPromotion]]</f>
        <v>0</v>
      </c>
      <c r="K1331">
        <f>Table1[[#This Row],[EmployeeNumber]]</f>
        <v>1865</v>
      </c>
      <c r="L1331">
        <f>Table1[[#This Row],[DistanceFromHome]]</f>
        <v>6</v>
      </c>
      <c r="M1331" t="str">
        <f>Table1[[#This Row],[OverTime]]</f>
        <v>No</v>
      </c>
      <c r="N1331">
        <f>Table1[[#This Row],[WorkLifeBalance]]</f>
        <v>3</v>
      </c>
      <c r="O1331" t="str" cm="1">
        <f t="array" ref="O1331">_xlfn.IFS(A1331&lt;=30,"18-30",A1331&lt;=40,"31-40",A1331&lt;=50,"41-50",A1331&gt;50,"51+")</f>
        <v>18-30</v>
      </c>
      <c r="P1331" t="str" cm="1">
        <f t="array" ref="P1331">_xlfn.IFS(F1331&lt;=45,"45 or below",F1331&lt;= 60,"46-60",F1331&lt;=75,"61-75",F1331&lt;=90,"76-90",F1331&gt;90,"91 or above")</f>
        <v>76-90</v>
      </c>
      <c r="Q13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31" t="str" cm="1">
        <f t="array" ref="R13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2" spans="1:18" x14ac:dyDescent="0.2">
      <c r="A1332">
        <f>Table1[[#This Row],[Age]]</f>
        <v>43</v>
      </c>
      <c r="B1332">
        <f>IF(Table3[[#This Row],[Attrition]] = "Yes", 1,0)</f>
        <v>0</v>
      </c>
      <c r="C1332" t="str">
        <f>Table1[[#This Row],[Attrition]]</f>
        <v>No</v>
      </c>
      <c r="D1332" t="str">
        <f>Table1[[#This Row],[Department]]</f>
        <v>Research &amp; Development</v>
      </c>
      <c r="E1332">
        <f>Table1[[#This Row],[EnvironmentSatisfaction]]</f>
        <v>1</v>
      </c>
      <c r="F1332">
        <f>Table1[[#This Row],[HourlyRate]]</f>
        <v>81</v>
      </c>
      <c r="G1332" t="str">
        <f>Table1[[#This Row],[JobRole]]</f>
        <v>Manager</v>
      </c>
      <c r="H1332">
        <f>Table1[[#This Row],[JobSatisfaction]]</f>
        <v>3</v>
      </c>
      <c r="I1332">
        <f>Table1[[#This Row],[YearsAtCompany]]</f>
        <v>16</v>
      </c>
      <c r="J1332">
        <f>Table1[[#This Row],[YearsSinceLastPromotion]]</f>
        <v>6</v>
      </c>
      <c r="K1332">
        <f>Table1[[#This Row],[EmployeeNumber]]</f>
        <v>1866</v>
      </c>
      <c r="L1332">
        <f>Table1[[#This Row],[DistanceFromHome]]</f>
        <v>6</v>
      </c>
      <c r="M1332" t="str">
        <f>Table1[[#This Row],[OverTime]]</f>
        <v>No</v>
      </c>
      <c r="N1332">
        <f>Table1[[#This Row],[WorkLifeBalance]]</f>
        <v>3</v>
      </c>
      <c r="O1332" t="str" cm="1">
        <f t="array" ref="O1332">_xlfn.IFS(A1332&lt;=30,"18-30",A1332&lt;=40,"31-40",A1332&lt;=50,"41-50",A1332&gt;50,"51+")</f>
        <v>41-50</v>
      </c>
      <c r="P1332" t="str" cm="1">
        <f t="array" ref="P1332">_xlfn.IFS(F1332&lt;=45,"45 or below",F1332&lt;= 60,"46-60",F1332&lt;=75,"61-75",F1332&lt;=90,"76-90",F1332&gt;90,"91 or above")</f>
        <v>76-90</v>
      </c>
      <c r="Q13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32" t="str" cm="1">
        <f t="array" ref="R13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3" spans="1:18" x14ac:dyDescent="0.2">
      <c r="A1333">
        <f>Table1[[#This Row],[Age]]</f>
        <v>48</v>
      </c>
      <c r="B1333">
        <f>IF(Table3[[#This Row],[Attrition]] = "Yes", 1,0)</f>
        <v>0</v>
      </c>
      <c r="C1333" t="str">
        <f>Table1[[#This Row],[Attrition]]</f>
        <v>No</v>
      </c>
      <c r="D1333" t="str">
        <f>Table1[[#This Row],[Department]]</f>
        <v>Research &amp; Development</v>
      </c>
      <c r="E1333">
        <f>Table1[[#This Row],[EnvironmentSatisfaction]]</f>
        <v>4</v>
      </c>
      <c r="F1333">
        <f>Table1[[#This Row],[HourlyRate]]</f>
        <v>91</v>
      </c>
      <c r="G1333" t="str">
        <f>Table1[[#This Row],[JobRole]]</f>
        <v>Research Director</v>
      </c>
      <c r="H1333">
        <f>Table1[[#This Row],[JobSatisfaction]]</f>
        <v>2</v>
      </c>
      <c r="I1333">
        <f>Table1[[#This Row],[YearsAtCompany]]</f>
        <v>22</v>
      </c>
      <c r="J1333">
        <f>Table1[[#This Row],[YearsSinceLastPromotion]]</f>
        <v>12</v>
      </c>
      <c r="K1333">
        <f>Table1[[#This Row],[EmployeeNumber]]</f>
        <v>1867</v>
      </c>
      <c r="L1333">
        <f>Table1[[#This Row],[DistanceFromHome]]</f>
        <v>10</v>
      </c>
      <c r="M1333" t="str">
        <f>Table1[[#This Row],[OverTime]]</f>
        <v>No</v>
      </c>
      <c r="N1333">
        <f>Table1[[#This Row],[WorkLifeBalance]]</f>
        <v>3</v>
      </c>
      <c r="O1333" t="str" cm="1">
        <f t="array" ref="O1333">_xlfn.IFS(A1333&lt;=30,"18-30",A1333&lt;=40,"31-40",A1333&lt;=50,"41-50",A1333&gt;50,"51+")</f>
        <v>41-50</v>
      </c>
      <c r="P1333" t="str" cm="1">
        <f t="array" ref="P1333">_xlfn.IFS(F1333&lt;=45,"45 or below",F1333&lt;= 60,"46-60",F1333&lt;=75,"61-75",F1333&lt;=90,"76-90",F1333&gt;90,"91 or above")</f>
        <v>91 or above</v>
      </c>
      <c r="Q13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33" t="str" cm="1">
        <f t="array" ref="R13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4" spans="1:18" hidden="1" x14ac:dyDescent="0.2">
      <c r="A1334">
        <f>Table1[[#This Row],[Age]]</f>
        <v>29</v>
      </c>
      <c r="B1334">
        <f>IF(Table3[[#This Row],[Attrition]] = "Yes", 1,0)</f>
        <v>1</v>
      </c>
      <c r="C1334" t="str">
        <f>Table1[[#This Row],[Attrition]]</f>
        <v>Yes</v>
      </c>
      <c r="D1334" t="str">
        <f>Table1[[#This Row],[Department]]</f>
        <v>Research &amp; Development</v>
      </c>
      <c r="E1334">
        <f>Table1[[#This Row],[EnvironmentSatisfaction]]</f>
        <v>4</v>
      </c>
      <c r="F1334">
        <f>Table1[[#This Row],[HourlyRate]]</f>
        <v>73</v>
      </c>
      <c r="G1334" t="str">
        <f>Table1[[#This Row],[JobRole]]</f>
        <v>Research Scientist</v>
      </c>
      <c r="H1334">
        <f>Table1[[#This Row],[JobSatisfaction]]</f>
        <v>4</v>
      </c>
      <c r="I1334">
        <f>Table1[[#This Row],[YearsAtCompany]]</f>
        <v>1</v>
      </c>
      <c r="J1334">
        <f>Table1[[#This Row],[YearsSinceLastPromotion]]</f>
        <v>1</v>
      </c>
      <c r="K1334">
        <f>Table1[[#This Row],[EmployeeNumber]]</f>
        <v>1868</v>
      </c>
      <c r="L1334">
        <f>Table1[[#This Row],[DistanceFromHome]]</f>
        <v>24</v>
      </c>
      <c r="M1334" t="str">
        <f>Table1[[#This Row],[OverTime]]</f>
        <v>Yes</v>
      </c>
      <c r="N1334">
        <f>Table1[[#This Row],[WorkLifeBalance]]</f>
        <v>2</v>
      </c>
      <c r="O1334" t="str" cm="1">
        <f t="array" ref="O1334">_xlfn.IFS(A1334&lt;=30,"18-30",A1334&lt;=40,"31-40",A1334&lt;=50,"41-50",A1334&gt;50,"51+")</f>
        <v>18-30</v>
      </c>
      <c r="P1334" t="str" cm="1">
        <f t="array" ref="P1334">_xlfn.IFS(F1334&lt;=45,"45 or below",F1334&lt;= 60,"46-60",F1334&lt;=75,"61-75",F1334&lt;=90,"76-90",F1334&gt;90,"91 or above")</f>
        <v>61-75</v>
      </c>
      <c r="Q133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34" t="str" cm="1">
        <f t="array" ref="R1334" xml:space="preserve"> _xlfn.IFS(Table3[[#This Row],[Flight Risk Score]] = "NA","NA",Table3[[#This Row],[Flight Risk Score]] &gt;= 70,"High Risk",Table3[[#This Row],[Flight Risk Score]] &gt;= 50, "Medium Risk", Table3[[#This Row],[Flight Risk Score]] &gt;= 30,"Low Risk",Table3[[#This Row],[Flight Risk Score]] &lt; 30,"Very Low Risk")</f>
        <v>NA</v>
      </c>
    </row>
    <row r="1335" spans="1:18" hidden="1" x14ac:dyDescent="0.2">
      <c r="A1335">
        <f>Table1[[#This Row],[Age]]</f>
        <v>46</v>
      </c>
      <c r="B1335">
        <f>IF(Table3[[#This Row],[Attrition]] = "Yes", 1,0)</f>
        <v>1</v>
      </c>
      <c r="C1335" t="str">
        <f>Table1[[#This Row],[Attrition]]</f>
        <v>Yes</v>
      </c>
      <c r="D1335" t="str">
        <f>Table1[[#This Row],[Department]]</f>
        <v>Sales</v>
      </c>
      <c r="E1335">
        <f>Table1[[#This Row],[EnvironmentSatisfaction]]</f>
        <v>3</v>
      </c>
      <c r="F1335">
        <f>Table1[[#This Row],[HourlyRate]]</f>
        <v>64</v>
      </c>
      <c r="G1335" t="str">
        <f>Table1[[#This Row],[JobRole]]</f>
        <v>Sales Executive</v>
      </c>
      <c r="H1335">
        <f>Table1[[#This Row],[JobSatisfaction]]</f>
        <v>2</v>
      </c>
      <c r="I1335">
        <f>Table1[[#This Row],[YearsAtCompany]]</f>
        <v>8</v>
      </c>
      <c r="J1335">
        <f>Table1[[#This Row],[YearsSinceLastPromotion]]</f>
        <v>0</v>
      </c>
      <c r="K1335">
        <f>Table1[[#This Row],[EmployeeNumber]]</f>
        <v>1869</v>
      </c>
      <c r="L1335">
        <f>Table1[[#This Row],[DistanceFromHome]]</f>
        <v>10</v>
      </c>
      <c r="M1335" t="str">
        <f>Table1[[#This Row],[OverTime]]</f>
        <v>No</v>
      </c>
      <c r="N1335">
        <f>Table1[[#This Row],[WorkLifeBalance]]</f>
        <v>3</v>
      </c>
      <c r="O1335" t="str" cm="1">
        <f t="array" ref="O1335">_xlfn.IFS(A1335&lt;=30,"18-30",A1335&lt;=40,"31-40",A1335&lt;=50,"41-50",A1335&gt;50,"51+")</f>
        <v>41-50</v>
      </c>
      <c r="P1335" t="str" cm="1">
        <f t="array" ref="P1335">_xlfn.IFS(F1335&lt;=45,"45 or below",F1335&lt;= 60,"46-60",F1335&lt;=75,"61-75",F1335&lt;=90,"76-90",F1335&gt;90,"91 or above")</f>
        <v>61-75</v>
      </c>
      <c r="Q133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35" t="str" cm="1">
        <f t="array" ref="R1335" xml:space="preserve"> _xlfn.IFS(Table3[[#This Row],[Flight Risk Score]] = "NA","NA",Table3[[#This Row],[Flight Risk Score]] &gt;= 70,"High Risk",Table3[[#This Row],[Flight Risk Score]] &gt;= 50, "Medium Risk", Table3[[#This Row],[Flight Risk Score]] &gt;= 30,"Low Risk",Table3[[#This Row],[Flight Risk Score]] &lt; 30,"Very Low Risk")</f>
        <v>NA</v>
      </c>
    </row>
    <row r="1336" spans="1:18" x14ac:dyDescent="0.2">
      <c r="A1336">
        <f>Table1[[#This Row],[Age]]</f>
        <v>27</v>
      </c>
      <c r="B1336">
        <f>IF(Table3[[#This Row],[Attrition]] = "Yes", 1,0)</f>
        <v>0</v>
      </c>
      <c r="C1336" t="str">
        <f>Table1[[#This Row],[Attrition]]</f>
        <v>No</v>
      </c>
      <c r="D1336" t="str">
        <f>Table1[[#This Row],[Department]]</f>
        <v>Research &amp; Development</v>
      </c>
      <c r="E1336">
        <f>Table1[[#This Row],[EnvironmentSatisfaction]]</f>
        <v>4</v>
      </c>
      <c r="F1336">
        <f>Table1[[#This Row],[HourlyRate]]</f>
        <v>77</v>
      </c>
      <c r="G1336" t="str">
        <f>Table1[[#This Row],[JobRole]]</f>
        <v>Research Scientist</v>
      </c>
      <c r="H1336">
        <f>Table1[[#This Row],[JobSatisfaction]]</f>
        <v>1</v>
      </c>
      <c r="I1336">
        <f>Table1[[#This Row],[YearsAtCompany]]</f>
        <v>7</v>
      </c>
      <c r="J1336">
        <f>Table1[[#This Row],[YearsSinceLastPromotion]]</f>
        <v>7</v>
      </c>
      <c r="K1336">
        <f>Table1[[#This Row],[EmployeeNumber]]</f>
        <v>1870</v>
      </c>
      <c r="L1336">
        <f>Table1[[#This Row],[DistanceFromHome]]</f>
        <v>15</v>
      </c>
      <c r="M1336" t="str">
        <f>Table1[[#This Row],[OverTime]]</f>
        <v>No</v>
      </c>
      <c r="N1336">
        <f>Table1[[#This Row],[WorkLifeBalance]]</f>
        <v>2</v>
      </c>
      <c r="O1336" t="str" cm="1">
        <f t="array" ref="O1336">_xlfn.IFS(A1336&lt;=30,"18-30",A1336&lt;=40,"31-40",A1336&lt;=50,"41-50",A1336&gt;50,"51+")</f>
        <v>18-30</v>
      </c>
      <c r="P1336" t="str" cm="1">
        <f t="array" ref="P1336">_xlfn.IFS(F1336&lt;=45,"45 or below",F1336&lt;= 60,"46-60",F1336&lt;=75,"61-75",F1336&lt;=90,"76-90",F1336&gt;90,"91 or above")</f>
        <v>76-90</v>
      </c>
      <c r="Q13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36" t="str" cm="1">
        <f t="array" ref="R13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7" spans="1:18" x14ac:dyDescent="0.2">
      <c r="A1337">
        <f>Table1[[#This Row],[Age]]</f>
        <v>39</v>
      </c>
      <c r="B1337">
        <f>IF(Table3[[#This Row],[Attrition]] = "Yes", 1,0)</f>
        <v>0</v>
      </c>
      <c r="C1337" t="str">
        <f>Table1[[#This Row],[Attrition]]</f>
        <v>No</v>
      </c>
      <c r="D1337" t="str">
        <f>Table1[[#This Row],[Department]]</f>
        <v>Research &amp; Development</v>
      </c>
      <c r="E1337">
        <f>Table1[[#This Row],[EnvironmentSatisfaction]]</f>
        <v>4</v>
      </c>
      <c r="F1337">
        <f>Table1[[#This Row],[HourlyRate]]</f>
        <v>41</v>
      </c>
      <c r="G1337" t="str">
        <f>Table1[[#This Row],[JobRole]]</f>
        <v>Research Scientist</v>
      </c>
      <c r="H1337">
        <f>Table1[[#This Row],[JobSatisfaction]]</f>
        <v>4</v>
      </c>
      <c r="I1337">
        <f>Table1[[#This Row],[YearsAtCompany]]</f>
        <v>2</v>
      </c>
      <c r="J1337">
        <f>Table1[[#This Row],[YearsSinceLastPromotion]]</f>
        <v>2</v>
      </c>
      <c r="K1337">
        <f>Table1[[#This Row],[EmployeeNumber]]</f>
        <v>1871</v>
      </c>
      <c r="L1337">
        <f>Table1[[#This Row],[DistanceFromHome]]</f>
        <v>19</v>
      </c>
      <c r="M1337" t="str">
        <f>Table1[[#This Row],[OverTime]]</f>
        <v>No</v>
      </c>
      <c r="N1337">
        <f>Table1[[#This Row],[WorkLifeBalance]]</f>
        <v>3</v>
      </c>
      <c r="O1337" t="str" cm="1">
        <f t="array" ref="O1337">_xlfn.IFS(A1337&lt;=30,"18-30",A1337&lt;=40,"31-40",A1337&lt;=50,"41-50",A1337&gt;50,"51+")</f>
        <v>31-40</v>
      </c>
      <c r="P1337" t="str" cm="1">
        <f t="array" ref="P1337">_xlfn.IFS(F1337&lt;=45,"45 or below",F1337&lt;= 60,"46-60",F1337&lt;=75,"61-75",F1337&lt;=90,"76-90",F1337&gt;90,"91 or above")</f>
        <v>45 or below</v>
      </c>
      <c r="Q13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37" t="str" cm="1">
        <f t="array" ref="R133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8" spans="1:18" x14ac:dyDescent="0.2">
      <c r="A1338">
        <f>Table1[[#This Row],[Age]]</f>
        <v>55</v>
      </c>
      <c r="B1338">
        <f>IF(Table3[[#This Row],[Attrition]] = "Yes", 1,0)</f>
        <v>0</v>
      </c>
      <c r="C1338" t="str">
        <f>Table1[[#This Row],[Attrition]]</f>
        <v>No</v>
      </c>
      <c r="D1338" t="str">
        <f>Table1[[#This Row],[Department]]</f>
        <v>Research &amp; Development</v>
      </c>
      <c r="E1338">
        <f>Table1[[#This Row],[EnvironmentSatisfaction]]</f>
        <v>2</v>
      </c>
      <c r="F1338">
        <f>Table1[[#This Row],[HourlyRate]]</f>
        <v>98</v>
      </c>
      <c r="G1338" t="str">
        <f>Table1[[#This Row],[JobRole]]</f>
        <v>Research Scientist</v>
      </c>
      <c r="H1338">
        <f>Table1[[#This Row],[JobSatisfaction]]</f>
        <v>4</v>
      </c>
      <c r="I1338">
        <f>Table1[[#This Row],[YearsAtCompany]]</f>
        <v>5</v>
      </c>
      <c r="J1338">
        <f>Table1[[#This Row],[YearsSinceLastPromotion]]</f>
        <v>0</v>
      </c>
      <c r="K1338">
        <f>Table1[[#This Row],[EmployeeNumber]]</f>
        <v>1873</v>
      </c>
      <c r="L1338">
        <f>Table1[[#This Row],[DistanceFromHome]]</f>
        <v>2</v>
      </c>
      <c r="M1338" t="str">
        <f>Table1[[#This Row],[OverTime]]</f>
        <v>No</v>
      </c>
      <c r="N1338">
        <f>Table1[[#This Row],[WorkLifeBalance]]</f>
        <v>4</v>
      </c>
      <c r="O1338" t="str" cm="1">
        <f t="array" ref="O1338">_xlfn.IFS(A1338&lt;=30,"18-30",A1338&lt;=40,"31-40",A1338&lt;=50,"41-50",A1338&gt;50,"51+")</f>
        <v>51+</v>
      </c>
      <c r="P1338" t="str" cm="1">
        <f t="array" ref="P1338">_xlfn.IFS(F1338&lt;=45,"45 or below",F1338&lt;= 60,"46-60",F1338&lt;=75,"61-75",F1338&lt;=90,"76-90",F1338&gt;90,"91 or above")</f>
        <v>91 or above</v>
      </c>
      <c r="Q133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38" t="str" cm="1">
        <f t="array" ref="R133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39" spans="1:18" x14ac:dyDescent="0.2">
      <c r="A1339">
        <f>Table1[[#This Row],[Age]]</f>
        <v>28</v>
      </c>
      <c r="B1339">
        <f>IF(Table3[[#This Row],[Attrition]] = "Yes", 1,0)</f>
        <v>0</v>
      </c>
      <c r="C1339" t="str">
        <f>Table1[[#This Row],[Attrition]]</f>
        <v>No</v>
      </c>
      <c r="D1339" t="str">
        <f>Table1[[#This Row],[Department]]</f>
        <v>Sales</v>
      </c>
      <c r="E1339">
        <f>Table1[[#This Row],[EnvironmentSatisfaction]]</f>
        <v>2</v>
      </c>
      <c r="F1339">
        <f>Table1[[#This Row],[HourlyRate]]</f>
        <v>78</v>
      </c>
      <c r="G1339" t="str">
        <f>Table1[[#This Row],[JobRole]]</f>
        <v>Sales Representative</v>
      </c>
      <c r="H1339">
        <f>Table1[[#This Row],[JobSatisfaction]]</f>
        <v>2</v>
      </c>
      <c r="I1339">
        <f>Table1[[#This Row],[YearsAtCompany]]</f>
        <v>1</v>
      </c>
      <c r="J1339">
        <f>Table1[[#This Row],[YearsSinceLastPromotion]]</f>
        <v>0</v>
      </c>
      <c r="K1339">
        <f>Table1[[#This Row],[EmployeeNumber]]</f>
        <v>1875</v>
      </c>
      <c r="L1339">
        <f>Table1[[#This Row],[DistanceFromHome]]</f>
        <v>3</v>
      </c>
      <c r="M1339" t="str">
        <f>Table1[[#This Row],[OverTime]]</f>
        <v>No</v>
      </c>
      <c r="N1339">
        <f>Table1[[#This Row],[WorkLifeBalance]]</f>
        <v>3</v>
      </c>
      <c r="O1339" t="str" cm="1">
        <f t="array" ref="O1339">_xlfn.IFS(A1339&lt;=30,"18-30",A1339&lt;=40,"31-40",A1339&lt;=50,"41-50",A1339&gt;50,"51+")</f>
        <v>18-30</v>
      </c>
      <c r="P1339" t="str" cm="1">
        <f t="array" ref="P1339">_xlfn.IFS(F1339&lt;=45,"45 or below",F1339&lt;= 60,"46-60",F1339&lt;=75,"61-75",F1339&lt;=90,"76-90",F1339&gt;90,"91 or above")</f>
        <v>76-90</v>
      </c>
      <c r="Q13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39" t="str" cm="1">
        <f t="array" ref="R133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40" spans="1:18" hidden="1" x14ac:dyDescent="0.2">
      <c r="A1340">
        <f>Table1[[#This Row],[Age]]</f>
        <v>30</v>
      </c>
      <c r="B1340">
        <f>IF(Table3[[#This Row],[Attrition]] = "Yes", 1,0)</f>
        <v>1</v>
      </c>
      <c r="C1340" t="str">
        <f>Table1[[#This Row],[Attrition]]</f>
        <v>Yes</v>
      </c>
      <c r="D1340" t="str">
        <f>Table1[[#This Row],[Department]]</f>
        <v>Sales</v>
      </c>
      <c r="E1340">
        <f>Table1[[#This Row],[EnvironmentSatisfaction]]</f>
        <v>2</v>
      </c>
      <c r="F1340">
        <f>Table1[[#This Row],[HourlyRate]]</f>
        <v>89</v>
      </c>
      <c r="G1340" t="str">
        <f>Table1[[#This Row],[JobRole]]</f>
        <v>Sales Representative</v>
      </c>
      <c r="H1340">
        <f>Table1[[#This Row],[JobSatisfaction]]</f>
        <v>4</v>
      </c>
      <c r="I1340">
        <f>Table1[[#This Row],[YearsAtCompany]]</f>
        <v>1</v>
      </c>
      <c r="J1340">
        <f>Table1[[#This Row],[YearsSinceLastPromotion]]</f>
        <v>0</v>
      </c>
      <c r="K1340">
        <f>Table1[[#This Row],[EmployeeNumber]]</f>
        <v>1876</v>
      </c>
      <c r="L1340">
        <f>Table1[[#This Row],[DistanceFromHome]]</f>
        <v>9</v>
      </c>
      <c r="M1340" t="str">
        <f>Table1[[#This Row],[OverTime]]</f>
        <v>No</v>
      </c>
      <c r="N1340">
        <f>Table1[[#This Row],[WorkLifeBalance]]</f>
        <v>2</v>
      </c>
      <c r="O1340" t="str" cm="1">
        <f t="array" ref="O1340">_xlfn.IFS(A1340&lt;=30,"18-30",A1340&lt;=40,"31-40",A1340&lt;=50,"41-50",A1340&gt;50,"51+")</f>
        <v>18-30</v>
      </c>
      <c r="P1340" t="str" cm="1">
        <f t="array" ref="P1340">_xlfn.IFS(F1340&lt;=45,"45 or below",F1340&lt;= 60,"46-60",F1340&lt;=75,"61-75",F1340&lt;=90,"76-90",F1340&gt;90,"91 or above")</f>
        <v>76-90</v>
      </c>
      <c r="Q134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40" t="str" cm="1">
        <f t="array" ref="R1340" xml:space="preserve"> _xlfn.IFS(Table3[[#This Row],[Flight Risk Score]] = "NA","NA",Table3[[#This Row],[Flight Risk Score]] &gt;= 70,"High Risk",Table3[[#This Row],[Flight Risk Score]] &gt;= 50, "Medium Risk", Table3[[#This Row],[Flight Risk Score]] &gt;= 30,"Low Risk",Table3[[#This Row],[Flight Risk Score]] &lt; 30,"Very Low Risk")</f>
        <v>NA</v>
      </c>
    </row>
    <row r="1341" spans="1:18" hidden="1" x14ac:dyDescent="0.2">
      <c r="A1341">
        <f>Table1[[#This Row],[Age]]</f>
        <v>22</v>
      </c>
      <c r="B1341">
        <f>IF(Table3[[#This Row],[Attrition]] = "Yes", 1,0)</f>
        <v>1</v>
      </c>
      <c r="C1341" t="str">
        <f>Table1[[#This Row],[Attrition]]</f>
        <v>Yes</v>
      </c>
      <c r="D1341" t="str">
        <f>Table1[[#This Row],[Department]]</f>
        <v>Research &amp; Development</v>
      </c>
      <c r="E1341">
        <f>Table1[[#This Row],[EnvironmentSatisfaction]]</f>
        <v>4</v>
      </c>
      <c r="F1341">
        <f>Table1[[#This Row],[HourlyRate]]</f>
        <v>75</v>
      </c>
      <c r="G1341" t="str">
        <f>Table1[[#This Row],[JobRole]]</f>
        <v>Research Scientist</v>
      </c>
      <c r="H1341">
        <f>Table1[[#This Row],[JobSatisfaction]]</f>
        <v>2</v>
      </c>
      <c r="I1341">
        <f>Table1[[#This Row],[YearsAtCompany]]</f>
        <v>1</v>
      </c>
      <c r="J1341">
        <f>Table1[[#This Row],[YearsSinceLastPromotion]]</f>
        <v>0</v>
      </c>
      <c r="K1341">
        <f>Table1[[#This Row],[EmployeeNumber]]</f>
        <v>1878</v>
      </c>
      <c r="L1341">
        <f>Table1[[#This Row],[DistanceFromHome]]</f>
        <v>7</v>
      </c>
      <c r="M1341" t="str">
        <f>Table1[[#This Row],[OverTime]]</f>
        <v>Yes</v>
      </c>
      <c r="N1341">
        <f>Table1[[#This Row],[WorkLifeBalance]]</f>
        <v>3</v>
      </c>
      <c r="O1341" t="str" cm="1">
        <f t="array" ref="O1341">_xlfn.IFS(A1341&lt;=30,"18-30",A1341&lt;=40,"31-40",A1341&lt;=50,"41-50",A1341&gt;50,"51+")</f>
        <v>18-30</v>
      </c>
      <c r="P1341" t="str" cm="1">
        <f t="array" ref="P1341">_xlfn.IFS(F1341&lt;=45,"45 or below",F1341&lt;= 60,"46-60",F1341&lt;=75,"61-75",F1341&lt;=90,"76-90",F1341&gt;90,"91 or above")</f>
        <v>61-75</v>
      </c>
      <c r="Q134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41" t="str" cm="1">
        <f t="array" ref="R1341" xml:space="preserve"> _xlfn.IFS(Table3[[#This Row],[Flight Risk Score]] = "NA","NA",Table3[[#This Row],[Flight Risk Score]] &gt;= 70,"High Risk",Table3[[#This Row],[Flight Risk Score]] &gt;= 50, "Medium Risk", Table3[[#This Row],[Flight Risk Score]] &gt;= 30,"Low Risk",Table3[[#This Row],[Flight Risk Score]] &lt; 30,"Very Low Risk")</f>
        <v>NA</v>
      </c>
    </row>
    <row r="1342" spans="1:18" x14ac:dyDescent="0.2">
      <c r="A1342">
        <f>Table1[[#This Row],[Age]]</f>
        <v>36</v>
      </c>
      <c r="B1342">
        <f>IF(Table3[[#This Row],[Attrition]] = "Yes", 1,0)</f>
        <v>0</v>
      </c>
      <c r="C1342" t="str">
        <f>Table1[[#This Row],[Attrition]]</f>
        <v>No</v>
      </c>
      <c r="D1342" t="str">
        <f>Table1[[#This Row],[Department]]</f>
        <v>Sales</v>
      </c>
      <c r="E1342">
        <f>Table1[[#This Row],[EnvironmentSatisfaction]]</f>
        <v>2</v>
      </c>
      <c r="F1342">
        <f>Table1[[#This Row],[HourlyRate]]</f>
        <v>63</v>
      </c>
      <c r="G1342" t="str">
        <f>Table1[[#This Row],[JobRole]]</f>
        <v>Sales Executive</v>
      </c>
      <c r="H1342">
        <f>Table1[[#This Row],[JobSatisfaction]]</f>
        <v>3</v>
      </c>
      <c r="I1342">
        <f>Table1[[#This Row],[YearsAtCompany]]</f>
        <v>10</v>
      </c>
      <c r="J1342">
        <f>Table1[[#This Row],[YearsSinceLastPromotion]]</f>
        <v>1</v>
      </c>
      <c r="K1342">
        <f>Table1[[#This Row],[EmployeeNumber]]</f>
        <v>1880</v>
      </c>
      <c r="L1342">
        <f>Table1[[#This Row],[DistanceFromHome]]</f>
        <v>10</v>
      </c>
      <c r="M1342" t="str">
        <f>Table1[[#This Row],[OverTime]]</f>
        <v>Yes</v>
      </c>
      <c r="N1342">
        <f>Table1[[#This Row],[WorkLifeBalance]]</f>
        <v>3</v>
      </c>
      <c r="O1342" t="str" cm="1">
        <f t="array" ref="O1342">_xlfn.IFS(A1342&lt;=30,"18-30",A1342&lt;=40,"31-40",A1342&lt;=50,"41-50",A1342&gt;50,"51+")</f>
        <v>31-40</v>
      </c>
      <c r="P1342" t="str" cm="1">
        <f t="array" ref="P1342">_xlfn.IFS(F1342&lt;=45,"45 or below",F1342&lt;= 60,"46-60",F1342&lt;=75,"61-75",F1342&lt;=90,"76-90",F1342&gt;90,"91 or above")</f>
        <v>61-75</v>
      </c>
      <c r="Q13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42" t="str" cm="1">
        <f t="array" ref="R134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43" spans="1:18" x14ac:dyDescent="0.2">
      <c r="A1343">
        <f>Table1[[#This Row],[Age]]</f>
        <v>31</v>
      </c>
      <c r="B1343">
        <f>IF(Table3[[#This Row],[Attrition]] = "Yes", 1,0)</f>
        <v>0</v>
      </c>
      <c r="C1343" t="str">
        <f>Table1[[#This Row],[Attrition]]</f>
        <v>No</v>
      </c>
      <c r="D1343" t="str">
        <f>Table1[[#This Row],[Department]]</f>
        <v>Research &amp; Development</v>
      </c>
      <c r="E1343">
        <f>Table1[[#This Row],[EnvironmentSatisfaction]]</f>
        <v>2</v>
      </c>
      <c r="F1343">
        <f>Table1[[#This Row],[HourlyRate]]</f>
        <v>89</v>
      </c>
      <c r="G1343" t="str">
        <f>Table1[[#This Row],[JobRole]]</f>
        <v>Laboratory Technician</v>
      </c>
      <c r="H1343">
        <f>Table1[[#This Row],[JobSatisfaction]]</f>
        <v>3</v>
      </c>
      <c r="I1343">
        <f>Table1[[#This Row],[YearsAtCompany]]</f>
        <v>10</v>
      </c>
      <c r="J1343">
        <f>Table1[[#This Row],[YearsSinceLastPromotion]]</f>
        <v>0</v>
      </c>
      <c r="K1343">
        <f>Table1[[#This Row],[EmployeeNumber]]</f>
        <v>1881</v>
      </c>
      <c r="L1343">
        <f>Table1[[#This Row],[DistanceFromHome]]</f>
        <v>20</v>
      </c>
      <c r="M1343" t="str">
        <f>Table1[[#This Row],[OverTime]]</f>
        <v>No</v>
      </c>
      <c r="N1343">
        <f>Table1[[#This Row],[WorkLifeBalance]]</f>
        <v>3</v>
      </c>
      <c r="O1343" t="str" cm="1">
        <f t="array" ref="O1343">_xlfn.IFS(A1343&lt;=30,"18-30",A1343&lt;=40,"31-40",A1343&lt;=50,"41-50",A1343&gt;50,"51+")</f>
        <v>31-40</v>
      </c>
      <c r="P1343" t="str" cm="1">
        <f t="array" ref="P1343">_xlfn.IFS(F1343&lt;=45,"45 or below",F1343&lt;= 60,"46-60",F1343&lt;=75,"61-75",F1343&lt;=90,"76-90",F1343&gt;90,"91 or above")</f>
        <v>76-90</v>
      </c>
      <c r="Q13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43" t="str" cm="1">
        <f t="array" ref="R13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44" spans="1:18" x14ac:dyDescent="0.2">
      <c r="A1344">
        <f>Table1[[#This Row],[Age]]</f>
        <v>34</v>
      </c>
      <c r="B1344">
        <f>IF(Table3[[#This Row],[Attrition]] = "Yes", 1,0)</f>
        <v>0</v>
      </c>
      <c r="C1344" t="str">
        <f>Table1[[#This Row],[Attrition]]</f>
        <v>No</v>
      </c>
      <c r="D1344" t="str">
        <f>Table1[[#This Row],[Department]]</f>
        <v>Sales</v>
      </c>
      <c r="E1344">
        <f>Table1[[#This Row],[EnvironmentSatisfaction]]</f>
        <v>3</v>
      </c>
      <c r="F1344">
        <f>Table1[[#This Row],[HourlyRate]]</f>
        <v>64</v>
      </c>
      <c r="G1344" t="str">
        <f>Table1[[#This Row],[JobRole]]</f>
        <v>Sales Executive</v>
      </c>
      <c r="H1344">
        <f>Table1[[#This Row],[JobSatisfaction]]</f>
        <v>4</v>
      </c>
      <c r="I1344">
        <f>Table1[[#This Row],[YearsAtCompany]]</f>
        <v>5</v>
      </c>
      <c r="J1344">
        <f>Table1[[#This Row],[YearsSinceLastPromotion]]</f>
        <v>1</v>
      </c>
      <c r="K1344">
        <f>Table1[[#This Row],[EmployeeNumber]]</f>
        <v>1882</v>
      </c>
      <c r="L1344">
        <f>Table1[[#This Row],[DistanceFromHome]]</f>
        <v>4</v>
      </c>
      <c r="M1344" t="str">
        <f>Table1[[#This Row],[OverTime]]</f>
        <v>Yes</v>
      </c>
      <c r="N1344">
        <f>Table1[[#This Row],[WorkLifeBalance]]</f>
        <v>3</v>
      </c>
      <c r="O1344" t="str" cm="1">
        <f t="array" ref="O1344">_xlfn.IFS(A1344&lt;=30,"18-30",A1344&lt;=40,"31-40",A1344&lt;=50,"41-50",A1344&gt;50,"51+")</f>
        <v>31-40</v>
      </c>
      <c r="P1344" t="str" cm="1">
        <f t="array" ref="P1344">_xlfn.IFS(F1344&lt;=45,"45 or below",F1344&lt;= 60,"46-60",F1344&lt;=75,"61-75",F1344&lt;=90,"76-90",F1344&gt;90,"91 or above")</f>
        <v>61-75</v>
      </c>
      <c r="Q134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44" t="str" cm="1">
        <f t="array" ref="R134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45" spans="1:18" x14ac:dyDescent="0.2">
      <c r="A1345">
        <f>Table1[[#This Row],[Age]]</f>
        <v>29</v>
      </c>
      <c r="B1345">
        <f>IF(Table3[[#This Row],[Attrition]] = "Yes", 1,0)</f>
        <v>0</v>
      </c>
      <c r="C1345" t="str">
        <f>Table1[[#This Row],[Attrition]]</f>
        <v>No</v>
      </c>
      <c r="D1345" t="str">
        <f>Table1[[#This Row],[Department]]</f>
        <v>Research &amp; Development</v>
      </c>
      <c r="E1345">
        <f>Table1[[#This Row],[EnvironmentSatisfaction]]</f>
        <v>4</v>
      </c>
      <c r="F1345">
        <f>Table1[[#This Row],[HourlyRate]]</f>
        <v>59</v>
      </c>
      <c r="G1345" t="str">
        <f>Table1[[#This Row],[JobRole]]</f>
        <v>Laboratory Technician</v>
      </c>
      <c r="H1345">
        <f>Table1[[#This Row],[JobSatisfaction]]</f>
        <v>1</v>
      </c>
      <c r="I1345">
        <f>Table1[[#This Row],[YearsAtCompany]]</f>
        <v>3</v>
      </c>
      <c r="J1345">
        <f>Table1[[#This Row],[YearsSinceLastPromotion]]</f>
        <v>1</v>
      </c>
      <c r="K1345">
        <f>Table1[[#This Row],[EmployeeNumber]]</f>
        <v>1883</v>
      </c>
      <c r="L1345">
        <f>Table1[[#This Row],[DistanceFromHome]]</f>
        <v>7</v>
      </c>
      <c r="M1345" t="str">
        <f>Table1[[#This Row],[OverTime]]</f>
        <v>No</v>
      </c>
      <c r="N1345">
        <f>Table1[[#This Row],[WorkLifeBalance]]</f>
        <v>3</v>
      </c>
      <c r="O1345" t="str" cm="1">
        <f t="array" ref="O1345">_xlfn.IFS(A1345&lt;=30,"18-30",A1345&lt;=40,"31-40",A1345&lt;=50,"41-50",A1345&gt;50,"51+")</f>
        <v>18-30</v>
      </c>
      <c r="P1345" t="str" cm="1">
        <f t="array" ref="P1345">_xlfn.IFS(F1345&lt;=45,"45 or below",F1345&lt;= 60,"46-60",F1345&lt;=75,"61-75",F1345&lt;=90,"76-90",F1345&gt;90,"91 or above")</f>
        <v>46-60</v>
      </c>
      <c r="Q13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45" t="str" cm="1">
        <f t="array" ref="R13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46" spans="1:18" x14ac:dyDescent="0.2">
      <c r="A1346">
        <f>Table1[[#This Row],[Age]]</f>
        <v>37</v>
      </c>
      <c r="B1346">
        <f>IF(Table3[[#This Row],[Attrition]] = "Yes", 1,0)</f>
        <v>0</v>
      </c>
      <c r="C1346" t="str">
        <f>Table1[[#This Row],[Attrition]]</f>
        <v>No</v>
      </c>
      <c r="D1346" t="str">
        <f>Table1[[#This Row],[Department]]</f>
        <v>Research &amp; Development</v>
      </c>
      <c r="E1346">
        <f>Table1[[#This Row],[EnvironmentSatisfaction]]</f>
        <v>4</v>
      </c>
      <c r="F1346">
        <f>Table1[[#This Row],[HourlyRate]]</f>
        <v>78</v>
      </c>
      <c r="G1346" t="str">
        <f>Table1[[#This Row],[JobRole]]</f>
        <v>Research Scientist</v>
      </c>
      <c r="H1346">
        <f>Table1[[#This Row],[JobSatisfaction]]</f>
        <v>1</v>
      </c>
      <c r="I1346">
        <f>Table1[[#This Row],[YearsAtCompany]]</f>
        <v>5</v>
      </c>
      <c r="J1346">
        <f>Table1[[#This Row],[YearsSinceLastPromotion]]</f>
        <v>0</v>
      </c>
      <c r="K1346">
        <f>Table1[[#This Row],[EmployeeNumber]]</f>
        <v>1885</v>
      </c>
      <c r="L1346">
        <f>Table1[[#This Row],[DistanceFromHome]]</f>
        <v>7</v>
      </c>
      <c r="M1346" t="str">
        <f>Table1[[#This Row],[OverTime]]</f>
        <v>Yes</v>
      </c>
      <c r="N1346">
        <f>Table1[[#This Row],[WorkLifeBalance]]</f>
        <v>3</v>
      </c>
      <c r="O1346" t="str" cm="1">
        <f t="array" ref="O1346">_xlfn.IFS(A1346&lt;=30,"18-30",A1346&lt;=40,"31-40",A1346&lt;=50,"41-50",A1346&gt;50,"51+")</f>
        <v>31-40</v>
      </c>
      <c r="P1346" t="str" cm="1">
        <f t="array" ref="P1346">_xlfn.IFS(F1346&lt;=45,"45 or below",F1346&lt;= 60,"46-60",F1346&lt;=75,"61-75",F1346&lt;=90,"76-90",F1346&gt;90,"91 or above")</f>
        <v>76-90</v>
      </c>
      <c r="Q134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46" t="str" cm="1">
        <f t="array" ref="R1346"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47" spans="1:18" x14ac:dyDescent="0.2">
      <c r="A1347">
        <f>Table1[[#This Row],[Age]]</f>
        <v>35</v>
      </c>
      <c r="B1347">
        <f>IF(Table3[[#This Row],[Attrition]] = "Yes", 1,0)</f>
        <v>0</v>
      </c>
      <c r="C1347" t="str">
        <f>Table1[[#This Row],[Attrition]]</f>
        <v>No</v>
      </c>
      <c r="D1347" t="str">
        <f>Table1[[#This Row],[Department]]</f>
        <v>Research &amp; Development</v>
      </c>
      <c r="E1347">
        <f>Table1[[#This Row],[EnvironmentSatisfaction]]</f>
        <v>4</v>
      </c>
      <c r="F1347">
        <f>Table1[[#This Row],[HourlyRate]]</f>
        <v>44</v>
      </c>
      <c r="G1347" t="str">
        <f>Table1[[#This Row],[JobRole]]</f>
        <v>Manufacturing Director</v>
      </c>
      <c r="H1347">
        <f>Table1[[#This Row],[JobSatisfaction]]</f>
        <v>2</v>
      </c>
      <c r="I1347">
        <f>Table1[[#This Row],[YearsAtCompany]]</f>
        <v>3</v>
      </c>
      <c r="J1347">
        <f>Table1[[#This Row],[YearsSinceLastPromotion]]</f>
        <v>0</v>
      </c>
      <c r="K1347">
        <f>Table1[[#This Row],[EmployeeNumber]]</f>
        <v>1886</v>
      </c>
      <c r="L1347">
        <f>Table1[[#This Row],[DistanceFromHome]]</f>
        <v>16</v>
      </c>
      <c r="M1347" t="str">
        <f>Table1[[#This Row],[OverTime]]</f>
        <v>Yes</v>
      </c>
      <c r="N1347">
        <f>Table1[[#This Row],[WorkLifeBalance]]</f>
        <v>3</v>
      </c>
      <c r="O1347" t="str" cm="1">
        <f t="array" ref="O1347">_xlfn.IFS(A1347&lt;=30,"18-30",A1347&lt;=40,"31-40",A1347&lt;=50,"41-50",A1347&gt;50,"51+")</f>
        <v>31-40</v>
      </c>
      <c r="P1347" t="str" cm="1">
        <f t="array" ref="P1347">_xlfn.IFS(F1347&lt;=45,"45 or below",F1347&lt;= 60,"46-60",F1347&lt;=75,"61-75",F1347&lt;=90,"76-90",F1347&gt;90,"91 or above")</f>
        <v>45 or below</v>
      </c>
      <c r="Q13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47" t="str" cm="1">
        <f t="array" ref="R134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48" spans="1:18" x14ac:dyDescent="0.2">
      <c r="A1348">
        <f>Table1[[#This Row],[Age]]</f>
        <v>45</v>
      </c>
      <c r="B1348">
        <f>IF(Table3[[#This Row],[Attrition]] = "Yes", 1,0)</f>
        <v>0</v>
      </c>
      <c r="C1348" t="str">
        <f>Table1[[#This Row],[Attrition]]</f>
        <v>No</v>
      </c>
      <c r="D1348" t="str">
        <f>Table1[[#This Row],[Department]]</f>
        <v>Research &amp; Development</v>
      </c>
      <c r="E1348">
        <f>Table1[[#This Row],[EnvironmentSatisfaction]]</f>
        <v>2</v>
      </c>
      <c r="F1348">
        <f>Table1[[#This Row],[HourlyRate]]</f>
        <v>93</v>
      </c>
      <c r="G1348" t="str">
        <f>Table1[[#This Row],[JobRole]]</f>
        <v>Manufacturing Director</v>
      </c>
      <c r="H1348">
        <f>Table1[[#This Row],[JobSatisfaction]]</f>
        <v>4</v>
      </c>
      <c r="I1348">
        <f>Table1[[#This Row],[YearsAtCompany]]</f>
        <v>9</v>
      </c>
      <c r="J1348">
        <f>Table1[[#This Row],[YearsSinceLastPromotion]]</f>
        <v>3</v>
      </c>
      <c r="K1348">
        <f>Table1[[#This Row],[EmployeeNumber]]</f>
        <v>1888</v>
      </c>
      <c r="L1348">
        <f>Table1[[#This Row],[DistanceFromHome]]</f>
        <v>25</v>
      </c>
      <c r="M1348" t="str">
        <f>Table1[[#This Row],[OverTime]]</f>
        <v>No</v>
      </c>
      <c r="N1348">
        <f>Table1[[#This Row],[WorkLifeBalance]]</f>
        <v>2</v>
      </c>
      <c r="O1348" t="str" cm="1">
        <f t="array" ref="O1348">_xlfn.IFS(A1348&lt;=30,"18-30",A1348&lt;=40,"31-40",A1348&lt;=50,"41-50",A1348&gt;50,"51+")</f>
        <v>41-50</v>
      </c>
      <c r="P1348" t="str" cm="1">
        <f t="array" ref="P1348">_xlfn.IFS(F1348&lt;=45,"45 or below",F1348&lt;= 60,"46-60",F1348&lt;=75,"61-75",F1348&lt;=90,"76-90",F1348&gt;90,"91 or above")</f>
        <v>91 or above</v>
      </c>
      <c r="Q13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48" t="str" cm="1">
        <f t="array" ref="R13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49" spans="1:18" x14ac:dyDescent="0.2">
      <c r="A1349">
        <f>Table1[[#This Row],[Age]]</f>
        <v>36</v>
      </c>
      <c r="B1349">
        <f>IF(Table3[[#This Row],[Attrition]] = "Yes", 1,0)</f>
        <v>0</v>
      </c>
      <c r="C1349" t="str">
        <f>Table1[[#This Row],[Attrition]]</f>
        <v>No</v>
      </c>
      <c r="D1349" t="str">
        <f>Table1[[#This Row],[Department]]</f>
        <v>Human Resources</v>
      </c>
      <c r="E1349">
        <f>Table1[[#This Row],[EnvironmentSatisfaction]]</f>
        <v>2</v>
      </c>
      <c r="F1349">
        <f>Table1[[#This Row],[HourlyRate]]</f>
        <v>94</v>
      </c>
      <c r="G1349" t="str">
        <f>Table1[[#This Row],[JobRole]]</f>
        <v>Human Resources</v>
      </c>
      <c r="H1349">
        <f>Table1[[#This Row],[JobSatisfaction]]</f>
        <v>4</v>
      </c>
      <c r="I1349">
        <f>Table1[[#This Row],[YearsAtCompany]]</f>
        <v>10</v>
      </c>
      <c r="J1349">
        <f>Table1[[#This Row],[YearsSinceLastPromotion]]</f>
        <v>0</v>
      </c>
      <c r="K1349">
        <f>Table1[[#This Row],[EmployeeNumber]]</f>
        <v>1890</v>
      </c>
      <c r="L1349">
        <f>Table1[[#This Row],[DistanceFromHome]]</f>
        <v>2</v>
      </c>
      <c r="M1349" t="str">
        <f>Table1[[#This Row],[OverTime]]</f>
        <v>No</v>
      </c>
      <c r="N1349">
        <f>Table1[[#This Row],[WorkLifeBalance]]</f>
        <v>2</v>
      </c>
      <c r="O1349" t="str" cm="1">
        <f t="array" ref="O1349">_xlfn.IFS(A1349&lt;=30,"18-30",A1349&lt;=40,"31-40",A1349&lt;=50,"41-50",A1349&gt;50,"51+")</f>
        <v>31-40</v>
      </c>
      <c r="P1349" t="str" cm="1">
        <f t="array" ref="P1349">_xlfn.IFS(F1349&lt;=45,"45 or below",F1349&lt;= 60,"46-60",F1349&lt;=75,"61-75",F1349&lt;=90,"76-90",F1349&gt;90,"91 or above")</f>
        <v>91 or above</v>
      </c>
      <c r="Q13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49" t="str" cm="1">
        <f t="array" ref="R13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50" spans="1:18" x14ac:dyDescent="0.2">
      <c r="A1350">
        <f>Table1[[#This Row],[Age]]</f>
        <v>40</v>
      </c>
      <c r="B1350">
        <f>IF(Table3[[#This Row],[Attrition]] = "Yes", 1,0)</f>
        <v>0</v>
      </c>
      <c r="C1350" t="str">
        <f>Table1[[#This Row],[Attrition]]</f>
        <v>No</v>
      </c>
      <c r="D1350" t="str">
        <f>Table1[[#This Row],[Department]]</f>
        <v>Research &amp; Development</v>
      </c>
      <c r="E1350">
        <f>Table1[[#This Row],[EnvironmentSatisfaction]]</f>
        <v>1</v>
      </c>
      <c r="F1350">
        <f>Table1[[#This Row],[HourlyRate]]</f>
        <v>98</v>
      </c>
      <c r="G1350" t="str">
        <f>Table1[[#This Row],[JobRole]]</f>
        <v>Manager</v>
      </c>
      <c r="H1350">
        <f>Table1[[#This Row],[JobSatisfaction]]</f>
        <v>1</v>
      </c>
      <c r="I1350">
        <f>Table1[[#This Row],[YearsAtCompany]]</f>
        <v>19</v>
      </c>
      <c r="J1350">
        <f>Table1[[#This Row],[YearsSinceLastPromotion]]</f>
        <v>11</v>
      </c>
      <c r="K1350">
        <f>Table1[[#This Row],[EmployeeNumber]]</f>
        <v>1892</v>
      </c>
      <c r="L1350">
        <f>Table1[[#This Row],[DistanceFromHome]]</f>
        <v>1</v>
      </c>
      <c r="M1350" t="str">
        <f>Table1[[#This Row],[OverTime]]</f>
        <v>No</v>
      </c>
      <c r="N1350">
        <f>Table1[[#This Row],[WorkLifeBalance]]</f>
        <v>3</v>
      </c>
      <c r="O1350" t="str" cm="1">
        <f t="array" ref="O1350">_xlfn.IFS(A1350&lt;=30,"18-30",A1350&lt;=40,"31-40",A1350&lt;=50,"41-50",A1350&gt;50,"51+")</f>
        <v>31-40</v>
      </c>
      <c r="P1350" t="str" cm="1">
        <f t="array" ref="P1350">_xlfn.IFS(F1350&lt;=45,"45 or below",F1350&lt;= 60,"46-60",F1350&lt;=75,"61-75",F1350&lt;=90,"76-90",F1350&gt;90,"91 or above")</f>
        <v>91 or above</v>
      </c>
      <c r="Q13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50" t="str" cm="1">
        <f t="array" ref="R135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51" spans="1:18" x14ac:dyDescent="0.2">
      <c r="A1351">
        <f>Table1[[#This Row],[Age]]</f>
        <v>26</v>
      </c>
      <c r="B1351">
        <f>IF(Table3[[#This Row],[Attrition]] = "Yes", 1,0)</f>
        <v>0</v>
      </c>
      <c r="C1351" t="str">
        <f>Table1[[#This Row],[Attrition]]</f>
        <v>No</v>
      </c>
      <c r="D1351" t="str">
        <f>Table1[[#This Row],[Department]]</f>
        <v>Research &amp; Development</v>
      </c>
      <c r="E1351">
        <f>Table1[[#This Row],[EnvironmentSatisfaction]]</f>
        <v>2</v>
      </c>
      <c r="F1351">
        <f>Table1[[#This Row],[HourlyRate]]</f>
        <v>90</v>
      </c>
      <c r="G1351" t="str">
        <f>Table1[[#This Row],[JobRole]]</f>
        <v>Research Scientist</v>
      </c>
      <c r="H1351">
        <f>Table1[[#This Row],[JobSatisfaction]]</f>
        <v>3</v>
      </c>
      <c r="I1351">
        <f>Table1[[#This Row],[YearsAtCompany]]</f>
        <v>1</v>
      </c>
      <c r="J1351">
        <f>Table1[[#This Row],[YearsSinceLastPromotion]]</f>
        <v>1</v>
      </c>
      <c r="K1351">
        <f>Table1[[#This Row],[EmployeeNumber]]</f>
        <v>1893</v>
      </c>
      <c r="L1351">
        <f>Table1[[#This Row],[DistanceFromHome]]</f>
        <v>1</v>
      </c>
      <c r="M1351" t="str">
        <f>Table1[[#This Row],[OverTime]]</f>
        <v>Yes</v>
      </c>
      <c r="N1351">
        <f>Table1[[#This Row],[WorkLifeBalance]]</f>
        <v>2</v>
      </c>
      <c r="O1351" t="str" cm="1">
        <f t="array" ref="O1351">_xlfn.IFS(A1351&lt;=30,"18-30",A1351&lt;=40,"31-40",A1351&lt;=50,"41-50",A1351&gt;50,"51+")</f>
        <v>18-30</v>
      </c>
      <c r="P1351" t="str" cm="1">
        <f t="array" ref="P1351">_xlfn.IFS(F1351&lt;=45,"45 or below",F1351&lt;= 60,"46-60",F1351&lt;=75,"61-75",F1351&lt;=90,"76-90",F1351&gt;90,"91 or above")</f>
        <v>76-90</v>
      </c>
      <c r="Q13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51" t="str" cm="1">
        <f t="array" ref="R135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52" spans="1:18" x14ac:dyDescent="0.2">
      <c r="A1352">
        <f>Table1[[#This Row],[Age]]</f>
        <v>27</v>
      </c>
      <c r="B1352">
        <f>IF(Table3[[#This Row],[Attrition]] = "Yes", 1,0)</f>
        <v>0</v>
      </c>
      <c r="C1352" t="str">
        <f>Table1[[#This Row],[Attrition]]</f>
        <v>No</v>
      </c>
      <c r="D1352" t="str">
        <f>Table1[[#This Row],[Department]]</f>
        <v>Sales</v>
      </c>
      <c r="E1352">
        <f>Table1[[#This Row],[EnvironmentSatisfaction]]</f>
        <v>1</v>
      </c>
      <c r="F1352">
        <f>Table1[[#This Row],[HourlyRate]]</f>
        <v>89</v>
      </c>
      <c r="G1352" t="str">
        <f>Table1[[#This Row],[JobRole]]</f>
        <v>Sales Executive</v>
      </c>
      <c r="H1352">
        <f>Table1[[#This Row],[JobSatisfaction]]</f>
        <v>3</v>
      </c>
      <c r="I1352">
        <f>Table1[[#This Row],[YearsAtCompany]]</f>
        <v>8</v>
      </c>
      <c r="J1352">
        <f>Table1[[#This Row],[YearsSinceLastPromotion]]</f>
        <v>0</v>
      </c>
      <c r="K1352">
        <f>Table1[[#This Row],[EmployeeNumber]]</f>
        <v>1898</v>
      </c>
      <c r="L1352">
        <f>Table1[[#This Row],[DistanceFromHome]]</f>
        <v>2</v>
      </c>
      <c r="M1352" t="str">
        <f>Table1[[#This Row],[OverTime]]</f>
        <v>No</v>
      </c>
      <c r="N1352">
        <f>Table1[[#This Row],[WorkLifeBalance]]</f>
        <v>2</v>
      </c>
      <c r="O1352" t="str" cm="1">
        <f t="array" ref="O1352">_xlfn.IFS(A1352&lt;=30,"18-30",A1352&lt;=40,"31-40",A1352&lt;=50,"41-50",A1352&gt;50,"51+")</f>
        <v>18-30</v>
      </c>
      <c r="P1352" t="str" cm="1">
        <f t="array" ref="P1352">_xlfn.IFS(F1352&lt;=45,"45 or below",F1352&lt;= 60,"46-60",F1352&lt;=75,"61-75",F1352&lt;=90,"76-90",F1352&gt;90,"91 or above")</f>
        <v>76-90</v>
      </c>
      <c r="Q13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52" t="str" cm="1">
        <f t="array" ref="R135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53" spans="1:18" x14ac:dyDescent="0.2">
      <c r="A1353">
        <f>Table1[[#This Row],[Age]]</f>
        <v>48</v>
      </c>
      <c r="B1353">
        <f>IF(Table3[[#This Row],[Attrition]] = "Yes", 1,0)</f>
        <v>0</v>
      </c>
      <c r="C1353" t="str">
        <f>Table1[[#This Row],[Attrition]]</f>
        <v>No</v>
      </c>
      <c r="D1353" t="str">
        <f>Table1[[#This Row],[Department]]</f>
        <v>Research &amp; Development</v>
      </c>
      <c r="E1353">
        <f>Table1[[#This Row],[EnvironmentSatisfaction]]</f>
        <v>4</v>
      </c>
      <c r="F1353">
        <f>Table1[[#This Row],[HourlyRate]]</f>
        <v>58</v>
      </c>
      <c r="G1353" t="str">
        <f>Table1[[#This Row],[JobRole]]</f>
        <v>Manager</v>
      </c>
      <c r="H1353">
        <f>Table1[[#This Row],[JobSatisfaction]]</f>
        <v>4</v>
      </c>
      <c r="I1353">
        <f>Table1[[#This Row],[YearsAtCompany]]</f>
        <v>22</v>
      </c>
      <c r="J1353">
        <f>Table1[[#This Row],[YearsSinceLastPromotion]]</f>
        <v>4</v>
      </c>
      <c r="K1353">
        <f>Table1[[#This Row],[EmployeeNumber]]</f>
        <v>1900</v>
      </c>
      <c r="L1353">
        <f>Table1[[#This Row],[DistanceFromHome]]</f>
        <v>22</v>
      </c>
      <c r="M1353" t="str">
        <f>Table1[[#This Row],[OverTime]]</f>
        <v>No</v>
      </c>
      <c r="N1353">
        <f>Table1[[#This Row],[WorkLifeBalance]]</f>
        <v>3</v>
      </c>
      <c r="O1353" t="str" cm="1">
        <f t="array" ref="O1353">_xlfn.IFS(A1353&lt;=30,"18-30",A1353&lt;=40,"31-40",A1353&lt;=50,"41-50",A1353&gt;50,"51+")</f>
        <v>41-50</v>
      </c>
      <c r="P1353" t="str" cm="1">
        <f t="array" ref="P1353">_xlfn.IFS(F1353&lt;=45,"45 or below",F1353&lt;= 60,"46-60",F1353&lt;=75,"61-75",F1353&lt;=90,"76-90",F1353&gt;90,"91 or above")</f>
        <v>46-60</v>
      </c>
      <c r="Q13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53" t="str" cm="1">
        <f t="array" ref="R13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54" spans="1:18" x14ac:dyDescent="0.2">
      <c r="A1354">
        <f>Table1[[#This Row],[Age]]</f>
        <v>44</v>
      </c>
      <c r="B1354">
        <f>IF(Table3[[#This Row],[Attrition]] = "Yes", 1,0)</f>
        <v>0</v>
      </c>
      <c r="C1354" t="str">
        <f>Table1[[#This Row],[Attrition]]</f>
        <v>No</v>
      </c>
      <c r="D1354" t="str">
        <f>Table1[[#This Row],[Department]]</f>
        <v>Research &amp; Development</v>
      </c>
      <c r="E1354">
        <f>Table1[[#This Row],[EnvironmentSatisfaction]]</f>
        <v>2</v>
      </c>
      <c r="F1354">
        <f>Table1[[#This Row],[HourlyRate]]</f>
        <v>78</v>
      </c>
      <c r="G1354" t="str">
        <f>Table1[[#This Row],[JobRole]]</f>
        <v>Healthcare Representative</v>
      </c>
      <c r="H1354">
        <f>Table1[[#This Row],[JobSatisfaction]]</f>
        <v>1</v>
      </c>
      <c r="I1354">
        <f>Table1[[#This Row],[YearsAtCompany]]</f>
        <v>2</v>
      </c>
      <c r="J1354">
        <f>Table1[[#This Row],[YearsSinceLastPromotion]]</f>
        <v>2</v>
      </c>
      <c r="K1354">
        <f>Table1[[#This Row],[EmployeeNumber]]</f>
        <v>1903</v>
      </c>
      <c r="L1354">
        <f>Table1[[#This Row],[DistanceFromHome]]</f>
        <v>1</v>
      </c>
      <c r="M1354" t="str">
        <f>Table1[[#This Row],[OverTime]]</f>
        <v>No</v>
      </c>
      <c r="N1354">
        <f>Table1[[#This Row],[WorkLifeBalance]]</f>
        <v>3</v>
      </c>
      <c r="O1354" t="str" cm="1">
        <f t="array" ref="O1354">_xlfn.IFS(A1354&lt;=30,"18-30",A1354&lt;=40,"31-40",A1354&lt;=50,"41-50",A1354&gt;50,"51+")</f>
        <v>41-50</v>
      </c>
      <c r="P1354" t="str" cm="1">
        <f t="array" ref="P1354">_xlfn.IFS(F1354&lt;=45,"45 or below",F1354&lt;= 60,"46-60",F1354&lt;=75,"61-75",F1354&lt;=90,"76-90",F1354&gt;90,"91 or above")</f>
        <v>76-90</v>
      </c>
      <c r="Q135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54" t="str" cm="1">
        <f t="array" ref="R135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55" spans="1:18" hidden="1" x14ac:dyDescent="0.2">
      <c r="A1355">
        <f>Table1[[#This Row],[Age]]</f>
        <v>34</v>
      </c>
      <c r="B1355">
        <f>IF(Table3[[#This Row],[Attrition]] = "Yes", 1,0)</f>
        <v>1</v>
      </c>
      <c r="C1355" t="str">
        <f>Table1[[#This Row],[Attrition]]</f>
        <v>Yes</v>
      </c>
      <c r="D1355" t="str">
        <f>Table1[[#This Row],[Department]]</f>
        <v>Research &amp; Development</v>
      </c>
      <c r="E1355">
        <f>Table1[[#This Row],[EnvironmentSatisfaction]]</f>
        <v>4</v>
      </c>
      <c r="F1355">
        <f>Table1[[#This Row],[HourlyRate]]</f>
        <v>85</v>
      </c>
      <c r="G1355" t="str">
        <f>Table1[[#This Row],[JobRole]]</f>
        <v>Research Scientist</v>
      </c>
      <c r="H1355">
        <f>Table1[[#This Row],[JobSatisfaction]]</f>
        <v>1</v>
      </c>
      <c r="I1355">
        <f>Table1[[#This Row],[YearsAtCompany]]</f>
        <v>5</v>
      </c>
      <c r="J1355">
        <f>Table1[[#This Row],[YearsSinceLastPromotion]]</f>
        <v>3</v>
      </c>
      <c r="K1355">
        <f>Table1[[#This Row],[EmployeeNumber]]</f>
        <v>1905</v>
      </c>
      <c r="L1355">
        <f>Table1[[#This Row],[DistanceFromHome]]</f>
        <v>16</v>
      </c>
      <c r="M1355" t="str">
        <f>Table1[[#This Row],[OverTime]]</f>
        <v>Yes</v>
      </c>
      <c r="N1355">
        <f>Table1[[#This Row],[WorkLifeBalance]]</f>
        <v>3</v>
      </c>
      <c r="O1355" t="str" cm="1">
        <f t="array" ref="O1355">_xlfn.IFS(A1355&lt;=30,"18-30",A1355&lt;=40,"31-40",A1355&lt;=50,"41-50",A1355&gt;50,"51+")</f>
        <v>31-40</v>
      </c>
      <c r="P1355" t="str" cm="1">
        <f t="array" ref="P1355">_xlfn.IFS(F1355&lt;=45,"45 or below",F1355&lt;= 60,"46-60",F1355&lt;=75,"61-75",F1355&lt;=90,"76-90",F1355&gt;90,"91 or above")</f>
        <v>76-90</v>
      </c>
      <c r="Q1355"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55" t="str" cm="1">
        <f t="array" ref="R1355" xml:space="preserve"> _xlfn.IFS(Table3[[#This Row],[Flight Risk Score]] = "NA","NA",Table3[[#This Row],[Flight Risk Score]] &gt;= 70,"High Risk",Table3[[#This Row],[Flight Risk Score]] &gt;= 50, "Medium Risk", Table3[[#This Row],[Flight Risk Score]] &gt;= 30,"Low Risk",Table3[[#This Row],[Flight Risk Score]] &lt; 30,"Very Low Risk")</f>
        <v>NA</v>
      </c>
    </row>
    <row r="1356" spans="1:18" hidden="1" x14ac:dyDescent="0.2">
      <c r="A1356">
        <f>Table1[[#This Row],[Age]]</f>
        <v>56</v>
      </c>
      <c r="B1356">
        <f>IF(Table3[[#This Row],[Attrition]] = "Yes", 1,0)</f>
        <v>1</v>
      </c>
      <c r="C1356" t="str">
        <f>Table1[[#This Row],[Attrition]]</f>
        <v>Yes</v>
      </c>
      <c r="D1356" t="str">
        <f>Table1[[#This Row],[Department]]</f>
        <v>Research &amp; Development</v>
      </c>
      <c r="E1356">
        <f>Table1[[#This Row],[EnvironmentSatisfaction]]</f>
        <v>1</v>
      </c>
      <c r="F1356">
        <f>Table1[[#This Row],[HourlyRate]]</f>
        <v>97</v>
      </c>
      <c r="G1356" t="str">
        <f>Table1[[#This Row],[JobRole]]</f>
        <v>Laboratory Technician</v>
      </c>
      <c r="H1356">
        <f>Table1[[#This Row],[JobSatisfaction]]</f>
        <v>4</v>
      </c>
      <c r="I1356">
        <f>Table1[[#This Row],[YearsAtCompany]]</f>
        <v>4</v>
      </c>
      <c r="J1356">
        <f>Table1[[#This Row],[YearsSinceLastPromotion]]</f>
        <v>1</v>
      </c>
      <c r="K1356">
        <f>Table1[[#This Row],[EmployeeNumber]]</f>
        <v>1907</v>
      </c>
      <c r="L1356">
        <f>Table1[[#This Row],[DistanceFromHome]]</f>
        <v>24</v>
      </c>
      <c r="M1356" t="str">
        <f>Table1[[#This Row],[OverTime]]</f>
        <v>No</v>
      </c>
      <c r="N1356">
        <f>Table1[[#This Row],[WorkLifeBalance]]</f>
        <v>3</v>
      </c>
      <c r="O1356" t="str" cm="1">
        <f t="array" ref="O1356">_xlfn.IFS(A1356&lt;=30,"18-30",A1356&lt;=40,"31-40",A1356&lt;=50,"41-50",A1356&gt;50,"51+")</f>
        <v>51+</v>
      </c>
      <c r="P1356" t="str" cm="1">
        <f t="array" ref="P1356">_xlfn.IFS(F1356&lt;=45,"45 or below",F1356&lt;= 60,"46-60",F1356&lt;=75,"61-75",F1356&lt;=90,"76-90",F1356&gt;90,"91 or above")</f>
        <v>91 or above</v>
      </c>
      <c r="Q135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56" t="str" cm="1">
        <f t="array" ref="R1356" xml:space="preserve"> _xlfn.IFS(Table3[[#This Row],[Flight Risk Score]] = "NA","NA",Table3[[#This Row],[Flight Risk Score]] &gt;= 70,"High Risk",Table3[[#This Row],[Flight Risk Score]] &gt;= 50, "Medium Risk", Table3[[#This Row],[Flight Risk Score]] &gt;= 30,"Low Risk",Table3[[#This Row],[Flight Risk Score]] &lt; 30,"Very Low Risk")</f>
        <v>NA</v>
      </c>
    </row>
    <row r="1357" spans="1:18" x14ac:dyDescent="0.2">
      <c r="A1357">
        <f>Table1[[#This Row],[Age]]</f>
        <v>36</v>
      </c>
      <c r="B1357">
        <f>IF(Table3[[#This Row],[Attrition]] = "Yes", 1,0)</f>
        <v>0</v>
      </c>
      <c r="C1357" t="str">
        <f>Table1[[#This Row],[Attrition]]</f>
        <v>No</v>
      </c>
      <c r="D1357" t="str">
        <f>Table1[[#This Row],[Department]]</f>
        <v>Sales</v>
      </c>
      <c r="E1357">
        <f>Table1[[#This Row],[EnvironmentSatisfaction]]</f>
        <v>3</v>
      </c>
      <c r="F1357">
        <f>Table1[[#This Row],[HourlyRate]]</f>
        <v>33</v>
      </c>
      <c r="G1357" t="str">
        <f>Table1[[#This Row],[JobRole]]</f>
        <v>Sales Executive</v>
      </c>
      <c r="H1357">
        <f>Table1[[#This Row],[JobSatisfaction]]</f>
        <v>2</v>
      </c>
      <c r="I1357">
        <f>Table1[[#This Row],[YearsAtCompany]]</f>
        <v>4</v>
      </c>
      <c r="J1357">
        <f>Table1[[#This Row],[YearsSinceLastPromotion]]</f>
        <v>1</v>
      </c>
      <c r="K1357">
        <f>Table1[[#This Row],[EmployeeNumber]]</f>
        <v>1908</v>
      </c>
      <c r="L1357">
        <f>Table1[[#This Row],[DistanceFromHome]]</f>
        <v>17</v>
      </c>
      <c r="M1357" t="str">
        <f>Table1[[#This Row],[OverTime]]</f>
        <v>No</v>
      </c>
      <c r="N1357">
        <f>Table1[[#This Row],[WorkLifeBalance]]</f>
        <v>1</v>
      </c>
      <c r="O1357" t="str" cm="1">
        <f t="array" ref="O1357">_xlfn.IFS(A1357&lt;=30,"18-30",A1357&lt;=40,"31-40",A1357&lt;=50,"41-50",A1357&gt;50,"51+")</f>
        <v>31-40</v>
      </c>
      <c r="P1357" t="str" cm="1">
        <f t="array" ref="P1357">_xlfn.IFS(F1357&lt;=45,"45 or below",F1357&lt;= 60,"46-60",F1357&lt;=75,"61-75",F1357&lt;=90,"76-90",F1357&gt;90,"91 or above")</f>
        <v>45 or below</v>
      </c>
      <c r="Q13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57" t="str" cm="1">
        <f t="array" ref="R135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58" spans="1:18" x14ac:dyDescent="0.2">
      <c r="A1358">
        <f>Table1[[#This Row],[Age]]</f>
        <v>41</v>
      </c>
      <c r="B1358">
        <f>IF(Table3[[#This Row],[Attrition]] = "Yes", 1,0)</f>
        <v>0</v>
      </c>
      <c r="C1358" t="str">
        <f>Table1[[#This Row],[Attrition]]</f>
        <v>No</v>
      </c>
      <c r="D1358" t="str">
        <f>Table1[[#This Row],[Department]]</f>
        <v>Sales</v>
      </c>
      <c r="E1358">
        <f>Table1[[#This Row],[EnvironmentSatisfaction]]</f>
        <v>3</v>
      </c>
      <c r="F1358">
        <f>Table1[[#This Row],[HourlyRate]]</f>
        <v>54</v>
      </c>
      <c r="G1358" t="str">
        <f>Table1[[#This Row],[JobRole]]</f>
        <v>Sales Executive</v>
      </c>
      <c r="H1358">
        <f>Table1[[#This Row],[JobSatisfaction]]</f>
        <v>2</v>
      </c>
      <c r="I1358">
        <f>Table1[[#This Row],[YearsAtCompany]]</f>
        <v>5</v>
      </c>
      <c r="J1358">
        <f>Table1[[#This Row],[YearsSinceLastPromotion]]</f>
        <v>1</v>
      </c>
      <c r="K1358">
        <f>Table1[[#This Row],[EmployeeNumber]]</f>
        <v>1909</v>
      </c>
      <c r="L1358">
        <f>Table1[[#This Row],[DistanceFromHome]]</f>
        <v>8</v>
      </c>
      <c r="M1358" t="str">
        <f>Table1[[#This Row],[OverTime]]</f>
        <v>No</v>
      </c>
      <c r="N1358">
        <f>Table1[[#This Row],[WorkLifeBalance]]</f>
        <v>3</v>
      </c>
      <c r="O1358" t="str" cm="1">
        <f t="array" ref="O1358">_xlfn.IFS(A1358&lt;=30,"18-30",A1358&lt;=40,"31-40",A1358&lt;=50,"41-50",A1358&gt;50,"51+")</f>
        <v>41-50</v>
      </c>
      <c r="P1358" t="str" cm="1">
        <f t="array" ref="P1358">_xlfn.IFS(F1358&lt;=45,"45 or below",F1358&lt;= 60,"46-60",F1358&lt;=75,"61-75",F1358&lt;=90,"76-90",F1358&gt;90,"91 or above")</f>
        <v>46-60</v>
      </c>
      <c r="Q13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58" t="str" cm="1">
        <f t="array" ref="R135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59" spans="1:18" x14ac:dyDescent="0.2">
      <c r="A1359">
        <f>Table1[[#This Row],[Age]]</f>
        <v>42</v>
      </c>
      <c r="B1359">
        <f>IF(Table3[[#This Row],[Attrition]] = "Yes", 1,0)</f>
        <v>0</v>
      </c>
      <c r="C1359" t="str">
        <f>Table1[[#This Row],[Attrition]]</f>
        <v>No</v>
      </c>
      <c r="D1359" t="str">
        <f>Table1[[#This Row],[Department]]</f>
        <v>Research &amp; Development</v>
      </c>
      <c r="E1359">
        <f>Table1[[#This Row],[EnvironmentSatisfaction]]</f>
        <v>3</v>
      </c>
      <c r="F1359">
        <f>Table1[[#This Row],[HourlyRate]]</f>
        <v>83</v>
      </c>
      <c r="G1359" t="str">
        <f>Table1[[#This Row],[JobRole]]</f>
        <v>Research Director</v>
      </c>
      <c r="H1359">
        <f>Table1[[#This Row],[JobSatisfaction]]</f>
        <v>1</v>
      </c>
      <c r="I1359">
        <f>Table1[[#This Row],[YearsAtCompany]]</f>
        <v>13</v>
      </c>
      <c r="J1359">
        <f>Table1[[#This Row],[YearsSinceLastPromotion]]</f>
        <v>5</v>
      </c>
      <c r="K1359">
        <f>Table1[[#This Row],[EmployeeNumber]]</f>
        <v>1911</v>
      </c>
      <c r="L1359">
        <f>Table1[[#This Row],[DistanceFromHome]]</f>
        <v>6</v>
      </c>
      <c r="M1359" t="str">
        <f>Table1[[#This Row],[OverTime]]</f>
        <v>No</v>
      </c>
      <c r="N1359">
        <f>Table1[[#This Row],[WorkLifeBalance]]</f>
        <v>4</v>
      </c>
      <c r="O1359" t="str" cm="1">
        <f t="array" ref="O1359">_xlfn.IFS(A1359&lt;=30,"18-30",A1359&lt;=40,"31-40",A1359&lt;=50,"41-50",A1359&gt;50,"51+")</f>
        <v>41-50</v>
      </c>
      <c r="P1359" t="str" cm="1">
        <f t="array" ref="P1359">_xlfn.IFS(F1359&lt;=45,"45 or below",F1359&lt;= 60,"46-60",F1359&lt;=75,"61-75",F1359&lt;=90,"76-90",F1359&gt;90,"91 or above")</f>
        <v>76-90</v>
      </c>
      <c r="Q13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59" t="str" cm="1">
        <f t="array" ref="R13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60" spans="1:18" x14ac:dyDescent="0.2">
      <c r="A1360">
        <f>Table1[[#This Row],[Age]]</f>
        <v>31</v>
      </c>
      <c r="B1360">
        <f>IF(Table3[[#This Row],[Attrition]] = "Yes", 1,0)</f>
        <v>0</v>
      </c>
      <c r="C1360" t="str">
        <f>Table1[[#This Row],[Attrition]]</f>
        <v>No</v>
      </c>
      <c r="D1360" t="str">
        <f>Table1[[#This Row],[Department]]</f>
        <v>Sales</v>
      </c>
      <c r="E1360">
        <f>Table1[[#This Row],[EnvironmentSatisfaction]]</f>
        <v>3</v>
      </c>
      <c r="F1360">
        <f>Table1[[#This Row],[HourlyRate]]</f>
        <v>86</v>
      </c>
      <c r="G1360" t="str">
        <f>Table1[[#This Row],[JobRole]]</f>
        <v>Sales Executive</v>
      </c>
      <c r="H1360">
        <f>Table1[[#This Row],[JobSatisfaction]]</f>
        <v>4</v>
      </c>
      <c r="I1360">
        <f>Table1[[#This Row],[YearsAtCompany]]</f>
        <v>5</v>
      </c>
      <c r="J1360">
        <f>Table1[[#This Row],[YearsSinceLastPromotion]]</f>
        <v>1</v>
      </c>
      <c r="K1360">
        <f>Table1[[#This Row],[EmployeeNumber]]</f>
        <v>1912</v>
      </c>
      <c r="L1360">
        <f>Table1[[#This Row],[DistanceFromHome]]</f>
        <v>10</v>
      </c>
      <c r="M1360" t="str">
        <f>Table1[[#This Row],[OverTime]]</f>
        <v>Yes</v>
      </c>
      <c r="N1360">
        <f>Table1[[#This Row],[WorkLifeBalance]]</f>
        <v>3</v>
      </c>
      <c r="O1360" t="str" cm="1">
        <f t="array" ref="O1360">_xlfn.IFS(A1360&lt;=30,"18-30",A1360&lt;=40,"31-40",A1360&lt;=50,"41-50",A1360&gt;50,"51+")</f>
        <v>31-40</v>
      </c>
      <c r="P1360" t="str" cm="1">
        <f t="array" ref="P1360">_xlfn.IFS(F1360&lt;=45,"45 or below",F1360&lt;= 60,"46-60",F1360&lt;=75,"61-75",F1360&lt;=90,"76-90",F1360&gt;90,"91 or above")</f>
        <v>76-90</v>
      </c>
      <c r="Q13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60" t="str" cm="1">
        <f t="array" ref="R136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61" spans="1:18" x14ac:dyDescent="0.2">
      <c r="A1361">
        <f>Table1[[#This Row],[Age]]</f>
        <v>34</v>
      </c>
      <c r="B1361">
        <f>IF(Table3[[#This Row],[Attrition]] = "Yes", 1,0)</f>
        <v>0</v>
      </c>
      <c r="C1361" t="str">
        <f>Table1[[#This Row],[Attrition]]</f>
        <v>No</v>
      </c>
      <c r="D1361" t="str">
        <f>Table1[[#This Row],[Department]]</f>
        <v>Sales</v>
      </c>
      <c r="E1361">
        <f>Table1[[#This Row],[EnvironmentSatisfaction]]</f>
        <v>4</v>
      </c>
      <c r="F1361">
        <f>Table1[[#This Row],[HourlyRate]]</f>
        <v>75</v>
      </c>
      <c r="G1361" t="str">
        <f>Table1[[#This Row],[JobRole]]</f>
        <v>Sales Executive</v>
      </c>
      <c r="H1361">
        <f>Table1[[#This Row],[JobSatisfaction]]</f>
        <v>4</v>
      </c>
      <c r="I1361">
        <f>Table1[[#This Row],[YearsAtCompany]]</f>
        <v>4</v>
      </c>
      <c r="J1361">
        <f>Table1[[#This Row],[YearsSinceLastPromotion]]</f>
        <v>0</v>
      </c>
      <c r="K1361">
        <f>Table1[[#This Row],[EmployeeNumber]]</f>
        <v>1915</v>
      </c>
      <c r="L1361">
        <f>Table1[[#This Row],[DistanceFromHome]]</f>
        <v>3</v>
      </c>
      <c r="M1361" t="str">
        <f>Table1[[#This Row],[OverTime]]</f>
        <v>Yes</v>
      </c>
      <c r="N1361">
        <f>Table1[[#This Row],[WorkLifeBalance]]</f>
        <v>2</v>
      </c>
      <c r="O1361" t="str" cm="1">
        <f t="array" ref="O1361">_xlfn.IFS(A1361&lt;=30,"18-30",A1361&lt;=40,"31-40",A1361&lt;=50,"41-50",A1361&gt;50,"51+")</f>
        <v>31-40</v>
      </c>
      <c r="P1361" t="str" cm="1">
        <f t="array" ref="P1361">_xlfn.IFS(F1361&lt;=45,"45 or below",F1361&lt;= 60,"46-60",F1361&lt;=75,"61-75",F1361&lt;=90,"76-90",F1361&gt;90,"91 or above")</f>
        <v>61-75</v>
      </c>
      <c r="Q13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61" t="str" cm="1">
        <f t="array" ref="R1361"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62" spans="1:18" x14ac:dyDescent="0.2">
      <c r="A1362">
        <f>Table1[[#This Row],[Age]]</f>
        <v>31</v>
      </c>
      <c r="B1362">
        <f>IF(Table3[[#This Row],[Attrition]] = "Yes", 1,0)</f>
        <v>0</v>
      </c>
      <c r="C1362" t="str">
        <f>Table1[[#This Row],[Attrition]]</f>
        <v>No</v>
      </c>
      <c r="D1362" t="str">
        <f>Table1[[#This Row],[Department]]</f>
        <v>Research &amp; Development</v>
      </c>
      <c r="E1362">
        <f>Table1[[#This Row],[EnvironmentSatisfaction]]</f>
        <v>1</v>
      </c>
      <c r="F1362">
        <f>Table1[[#This Row],[HourlyRate]]</f>
        <v>62</v>
      </c>
      <c r="G1362" t="str">
        <f>Table1[[#This Row],[JobRole]]</f>
        <v>Laboratory Technician</v>
      </c>
      <c r="H1362">
        <f>Table1[[#This Row],[JobSatisfaction]]</f>
        <v>3</v>
      </c>
      <c r="I1362">
        <f>Table1[[#This Row],[YearsAtCompany]]</f>
        <v>2</v>
      </c>
      <c r="J1362">
        <f>Table1[[#This Row],[YearsSinceLastPromotion]]</f>
        <v>2</v>
      </c>
      <c r="K1362">
        <f>Table1[[#This Row],[EmployeeNumber]]</f>
        <v>1916</v>
      </c>
      <c r="L1362">
        <f>Table1[[#This Row],[DistanceFromHome]]</f>
        <v>4</v>
      </c>
      <c r="M1362" t="str">
        <f>Table1[[#This Row],[OverTime]]</f>
        <v>No</v>
      </c>
      <c r="N1362">
        <f>Table1[[#This Row],[WorkLifeBalance]]</f>
        <v>2</v>
      </c>
      <c r="O1362" t="str" cm="1">
        <f t="array" ref="O1362">_xlfn.IFS(A1362&lt;=30,"18-30",A1362&lt;=40,"31-40",A1362&lt;=50,"41-50",A1362&gt;50,"51+")</f>
        <v>31-40</v>
      </c>
      <c r="P1362" t="str" cm="1">
        <f t="array" ref="P1362">_xlfn.IFS(F1362&lt;=45,"45 or below",F1362&lt;= 60,"46-60",F1362&lt;=75,"61-75",F1362&lt;=90,"76-90",F1362&gt;90,"91 or above")</f>
        <v>61-75</v>
      </c>
      <c r="Q13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62" t="str" cm="1">
        <f t="array" ref="R136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63" spans="1:18" x14ac:dyDescent="0.2">
      <c r="A1363">
        <f>Table1[[#This Row],[Age]]</f>
        <v>26</v>
      </c>
      <c r="B1363">
        <f>IF(Table3[[#This Row],[Attrition]] = "Yes", 1,0)</f>
        <v>0</v>
      </c>
      <c r="C1363" t="str">
        <f>Table1[[#This Row],[Attrition]]</f>
        <v>No</v>
      </c>
      <c r="D1363" t="str">
        <f>Table1[[#This Row],[Department]]</f>
        <v>Research &amp; Development</v>
      </c>
      <c r="E1363">
        <f>Table1[[#This Row],[EnvironmentSatisfaction]]</f>
        <v>3</v>
      </c>
      <c r="F1363">
        <f>Table1[[#This Row],[HourlyRate]]</f>
        <v>61</v>
      </c>
      <c r="G1363" t="str">
        <f>Table1[[#This Row],[JobRole]]</f>
        <v>Laboratory Technician</v>
      </c>
      <c r="H1363">
        <f>Table1[[#This Row],[JobSatisfaction]]</f>
        <v>4</v>
      </c>
      <c r="I1363">
        <f>Table1[[#This Row],[YearsAtCompany]]</f>
        <v>7</v>
      </c>
      <c r="J1363">
        <f>Table1[[#This Row],[YearsSinceLastPromotion]]</f>
        <v>7</v>
      </c>
      <c r="K1363">
        <f>Table1[[#This Row],[EmployeeNumber]]</f>
        <v>1918</v>
      </c>
      <c r="L1363">
        <f>Table1[[#This Row],[DistanceFromHome]]</f>
        <v>6</v>
      </c>
      <c r="M1363" t="str">
        <f>Table1[[#This Row],[OverTime]]</f>
        <v>No</v>
      </c>
      <c r="N1363">
        <f>Table1[[#This Row],[WorkLifeBalance]]</f>
        <v>3</v>
      </c>
      <c r="O1363" t="str" cm="1">
        <f t="array" ref="O1363">_xlfn.IFS(A1363&lt;=30,"18-30",A1363&lt;=40,"31-40",A1363&lt;=50,"41-50",A1363&gt;50,"51+")</f>
        <v>18-30</v>
      </c>
      <c r="P1363" t="str" cm="1">
        <f t="array" ref="P1363">_xlfn.IFS(F1363&lt;=45,"45 or below",F1363&lt;= 60,"46-60",F1363&lt;=75,"61-75",F1363&lt;=90,"76-90",F1363&gt;90,"91 or above")</f>
        <v>61-75</v>
      </c>
      <c r="Q136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63" t="str" cm="1">
        <f t="array" ref="R136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64" spans="1:18" x14ac:dyDescent="0.2">
      <c r="A1364">
        <f>Table1[[#This Row],[Age]]</f>
        <v>45</v>
      </c>
      <c r="B1364">
        <f>IF(Table3[[#This Row],[Attrition]] = "Yes", 1,0)</f>
        <v>0</v>
      </c>
      <c r="C1364" t="str">
        <f>Table1[[#This Row],[Attrition]]</f>
        <v>No</v>
      </c>
      <c r="D1364" t="str">
        <f>Table1[[#This Row],[Department]]</f>
        <v>Research &amp; Development</v>
      </c>
      <c r="E1364">
        <f>Table1[[#This Row],[EnvironmentSatisfaction]]</f>
        <v>2</v>
      </c>
      <c r="F1364">
        <f>Table1[[#This Row],[HourlyRate]]</f>
        <v>44</v>
      </c>
      <c r="G1364" t="str">
        <f>Table1[[#This Row],[JobRole]]</f>
        <v>Healthcare Representative</v>
      </c>
      <c r="H1364">
        <f>Table1[[#This Row],[JobSatisfaction]]</f>
        <v>3</v>
      </c>
      <c r="I1364">
        <f>Table1[[#This Row],[YearsAtCompany]]</f>
        <v>4</v>
      </c>
      <c r="J1364">
        <f>Table1[[#This Row],[YearsSinceLastPromotion]]</f>
        <v>0</v>
      </c>
      <c r="K1364">
        <f>Table1[[#This Row],[EmployeeNumber]]</f>
        <v>1922</v>
      </c>
      <c r="L1364">
        <f>Table1[[#This Row],[DistanceFromHome]]</f>
        <v>1</v>
      </c>
      <c r="M1364" t="str">
        <f>Table1[[#This Row],[OverTime]]</f>
        <v>No</v>
      </c>
      <c r="N1364">
        <f>Table1[[#This Row],[WorkLifeBalance]]</f>
        <v>3</v>
      </c>
      <c r="O1364" t="str" cm="1">
        <f t="array" ref="O1364">_xlfn.IFS(A1364&lt;=30,"18-30",A1364&lt;=40,"31-40",A1364&lt;=50,"41-50",A1364&gt;50,"51+")</f>
        <v>41-50</v>
      </c>
      <c r="P1364" t="str" cm="1">
        <f t="array" ref="P1364">_xlfn.IFS(F1364&lt;=45,"45 or below",F1364&lt;= 60,"46-60",F1364&lt;=75,"61-75",F1364&lt;=90,"76-90",F1364&gt;90,"91 or above")</f>
        <v>45 or below</v>
      </c>
      <c r="Q13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64" t="str" cm="1">
        <f t="array" ref="R136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65" spans="1:18" x14ac:dyDescent="0.2">
      <c r="A1365">
        <f>Table1[[#This Row],[Age]]</f>
        <v>33</v>
      </c>
      <c r="B1365">
        <f>IF(Table3[[#This Row],[Attrition]] = "Yes", 1,0)</f>
        <v>0</v>
      </c>
      <c r="C1365" t="str">
        <f>Table1[[#This Row],[Attrition]]</f>
        <v>No</v>
      </c>
      <c r="D1365" t="str">
        <f>Table1[[#This Row],[Department]]</f>
        <v>Sales</v>
      </c>
      <c r="E1365">
        <f>Table1[[#This Row],[EnvironmentSatisfaction]]</f>
        <v>2</v>
      </c>
      <c r="F1365">
        <f>Table1[[#This Row],[HourlyRate]]</f>
        <v>43</v>
      </c>
      <c r="G1365" t="str">
        <f>Table1[[#This Row],[JobRole]]</f>
        <v>Sales Executive</v>
      </c>
      <c r="H1365">
        <f>Table1[[#This Row],[JobSatisfaction]]</f>
        <v>3</v>
      </c>
      <c r="I1365">
        <f>Table1[[#This Row],[YearsAtCompany]]</f>
        <v>10</v>
      </c>
      <c r="J1365">
        <f>Table1[[#This Row],[YearsSinceLastPromotion]]</f>
        <v>0</v>
      </c>
      <c r="K1365">
        <f>Table1[[#This Row],[EmployeeNumber]]</f>
        <v>1924</v>
      </c>
      <c r="L1365">
        <f>Table1[[#This Row],[DistanceFromHome]]</f>
        <v>10</v>
      </c>
      <c r="M1365" t="str">
        <f>Table1[[#This Row],[OverTime]]</f>
        <v>No</v>
      </c>
      <c r="N1365">
        <f>Table1[[#This Row],[WorkLifeBalance]]</f>
        <v>2</v>
      </c>
      <c r="O1365" t="str" cm="1">
        <f t="array" ref="O1365">_xlfn.IFS(A1365&lt;=30,"18-30",A1365&lt;=40,"31-40",A1365&lt;=50,"41-50",A1365&gt;50,"51+")</f>
        <v>31-40</v>
      </c>
      <c r="P1365" t="str" cm="1">
        <f t="array" ref="P1365">_xlfn.IFS(F1365&lt;=45,"45 or below",F1365&lt;= 60,"46-60",F1365&lt;=75,"61-75",F1365&lt;=90,"76-90",F1365&gt;90,"91 or above")</f>
        <v>45 or below</v>
      </c>
      <c r="Q13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65" t="str" cm="1">
        <f t="array" ref="R136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66" spans="1:18" x14ac:dyDescent="0.2">
      <c r="A1366">
        <f>Table1[[#This Row],[Age]]</f>
        <v>28</v>
      </c>
      <c r="B1366">
        <f>IF(Table3[[#This Row],[Attrition]] = "Yes", 1,0)</f>
        <v>0</v>
      </c>
      <c r="C1366" t="str">
        <f>Table1[[#This Row],[Attrition]]</f>
        <v>No</v>
      </c>
      <c r="D1366" t="str">
        <f>Table1[[#This Row],[Department]]</f>
        <v>Sales</v>
      </c>
      <c r="E1366">
        <f>Table1[[#This Row],[EnvironmentSatisfaction]]</f>
        <v>3</v>
      </c>
      <c r="F1366">
        <f>Table1[[#This Row],[HourlyRate]]</f>
        <v>42</v>
      </c>
      <c r="G1366" t="str">
        <f>Table1[[#This Row],[JobRole]]</f>
        <v>Sales Executive</v>
      </c>
      <c r="H1366">
        <f>Table1[[#This Row],[JobSatisfaction]]</f>
        <v>4</v>
      </c>
      <c r="I1366">
        <f>Table1[[#This Row],[YearsAtCompany]]</f>
        <v>7</v>
      </c>
      <c r="J1366">
        <f>Table1[[#This Row],[YearsSinceLastPromotion]]</f>
        <v>0</v>
      </c>
      <c r="K1366">
        <f>Table1[[#This Row],[EmployeeNumber]]</f>
        <v>1927</v>
      </c>
      <c r="L1366">
        <f>Table1[[#This Row],[DistanceFromHome]]</f>
        <v>1</v>
      </c>
      <c r="M1366" t="str">
        <f>Table1[[#This Row],[OverTime]]</f>
        <v>Yes</v>
      </c>
      <c r="N1366">
        <f>Table1[[#This Row],[WorkLifeBalance]]</f>
        <v>3</v>
      </c>
      <c r="O1366" t="str" cm="1">
        <f t="array" ref="O1366">_xlfn.IFS(A1366&lt;=30,"18-30",A1366&lt;=40,"31-40",A1366&lt;=50,"41-50",A1366&gt;50,"51+")</f>
        <v>18-30</v>
      </c>
      <c r="P1366" t="str" cm="1">
        <f t="array" ref="P1366">_xlfn.IFS(F1366&lt;=45,"45 or below",F1366&lt;= 60,"46-60",F1366&lt;=75,"61-75",F1366&lt;=90,"76-90",F1366&gt;90,"91 or above")</f>
        <v>45 or below</v>
      </c>
      <c r="Q13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66" t="str" cm="1">
        <f t="array" ref="R136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67" spans="1:18" hidden="1" x14ac:dyDescent="0.2">
      <c r="A1367">
        <f>Table1[[#This Row],[Age]]</f>
        <v>29</v>
      </c>
      <c r="B1367">
        <f>IF(Table3[[#This Row],[Attrition]] = "Yes", 1,0)</f>
        <v>1</v>
      </c>
      <c r="C1367" t="str">
        <f>Table1[[#This Row],[Attrition]]</f>
        <v>Yes</v>
      </c>
      <c r="D1367" t="str">
        <f>Table1[[#This Row],[Department]]</f>
        <v>Sales</v>
      </c>
      <c r="E1367">
        <f>Table1[[#This Row],[EnvironmentSatisfaction]]</f>
        <v>3</v>
      </c>
      <c r="F1367">
        <f>Table1[[#This Row],[HourlyRate]]</f>
        <v>45</v>
      </c>
      <c r="G1367" t="str">
        <f>Table1[[#This Row],[JobRole]]</f>
        <v>Sales Representative</v>
      </c>
      <c r="H1367">
        <f>Table1[[#This Row],[JobSatisfaction]]</f>
        <v>1</v>
      </c>
      <c r="I1367">
        <f>Table1[[#This Row],[YearsAtCompany]]</f>
        <v>1</v>
      </c>
      <c r="J1367">
        <f>Table1[[#This Row],[YearsSinceLastPromotion]]</f>
        <v>0</v>
      </c>
      <c r="K1367">
        <f>Table1[[#This Row],[EmployeeNumber]]</f>
        <v>1928</v>
      </c>
      <c r="L1367">
        <f>Table1[[#This Row],[DistanceFromHome]]</f>
        <v>24</v>
      </c>
      <c r="M1367" t="str">
        <f>Table1[[#This Row],[OverTime]]</f>
        <v>No</v>
      </c>
      <c r="N1367">
        <f>Table1[[#This Row],[WorkLifeBalance]]</f>
        <v>3</v>
      </c>
      <c r="O1367" t="str" cm="1">
        <f t="array" ref="O1367">_xlfn.IFS(A1367&lt;=30,"18-30",A1367&lt;=40,"31-40",A1367&lt;=50,"41-50",A1367&gt;50,"51+")</f>
        <v>18-30</v>
      </c>
      <c r="P1367" t="str" cm="1">
        <f t="array" ref="P1367">_xlfn.IFS(F1367&lt;=45,"45 or below",F1367&lt;= 60,"46-60",F1367&lt;=75,"61-75",F1367&lt;=90,"76-90",F1367&gt;90,"91 or above")</f>
        <v>45 or below</v>
      </c>
      <c r="Q136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67" t="str" cm="1">
        <f t="array" ref="R1367" xml:space="preserve"> _xlfn.IFS(Table3[[#This Row],[Flight Risk Score]] = "NA","NA",Table3[[#This Row],[Flight Risk Score]] &gt;= 70,"High Risk",Table3[[#This Row],[Flight Risk Score]] &gt;= 50, "Medium Risk", Table3[[#This Row],[Flight Risk Score]] &gt;= 30,"Low Risk",Table3[[#This Row],[Flight Risk Score]] &lt; 30,"Very Low Risk")</f>
        <v>NA</v>
      </c>
    </row>
    <row r="1368" spans="1:18" x14ac:dyDescent="0.2">
      <c r="A1368">
        <f>Table1[[#This Row],[Age]]</f>
        <v>39</v>
      </c>
      <c r="B1368">
        <f>IF(Table3[[#This Row],[Attrition]] = "Yes", 1,0)</f>
        <v>0</v>
      </c>
      <c r="C1368" t="str">
        <f>Table1[[#This Row],[Attrition]]</f>
        <v>No</v>
      </c>
      <c r="D1368" t="str">
        <f>Table1[[#This Row],[Department]]</f>
        <v>Sales</v>
      </c>
      <c r="E1368">
        <f>Table1[[#This Row],[EnvironmentSatisfaction]]</f>
        <v>1</v>
      </c>
      <c r="F1368">
        <f>Table1[[#This Row],[HourlyRate]]</f>
        <v>32</v>
      </c>
      <c r="G1368" t="str">
        <f>Table1[[#This Row],[JobRole]]</f>
        <v>Sales Executive</v>
      </c>
      <c r="H1368">
        <f>Table1[[#This Row],[JobSatisfaction]]</f>
        <v>3</v>
      </c>
      <c r="I1368">
        <f>Table1[[#This Row],[YearsAtCompany]]</f>
        <v>3</v>
      </c>
      <c r="J1368">
        <f>Table1[[#This Row],[YearsSinceLastPromotion]]</f>
        <v>1</v>
      </c>
      <c r="K1368">
        <f>Table1[[#This Row],[EmployeeNumber]]</f>
        <v>1929</v>
      </c>
      <c r="L1368">
        <f>Table1[[#This Row],[DistanceFromHome]]</f>
        <v>21</v>
      </c>
      <c r="M1368" t="str">
        <f>Table1[[#This Row],[OverTime]]</f>
        <v>No</v>
      </c>
      <c r="N1368">
        <f>Table1[[#This Row],[WorkLifeBalance]]</f>
        <v>3</v>
      </c>
      <c r="O1368" t="str" cm="1">
        <f t="array" ref="O1368">_xlfn.IFS(A1368&lt;=30,"18-30",A1368&lt;=40,"31-40",A1368&lt;=50,"41-50",A1368&gt;50,"51+")</f>
        <v>31-40</v>
      </c>
      <c r="P1368" t="str" cm="1">
        <f t="array" ref="P1368">_xlfn.IFS(F1368&lt;=45,"45 or below",F1368&lt;= 60,"46-60",F1368&lt;=75,"61-75",F1368&lt;=90,"76-90",F1368&gt;90,"91 or above")</f>
        <v>45 or below</v>
      </c>
      <c r="Q13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68" t="str" cm="1">
        <f t="array" ref="R136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69" spans="1:18" x14ac:dyDescent="0.2">
      <c r="A1369">
        <f>Table1[[#This Row],[Age]]</f>
        <v>27</v>
      </c>
      <c r="B1369">
        <f>IF(Table3[[#This Row],[Attrition]] = "Yes", 1,0)</f>
        <v>0</v>
      </c>
      <c r="C1369" t="str">
        <f>Table1[[#This Row],[Attrition]]</f>
        <v>No</v>
      </c>
      <c r="D1369" t="str">
        <f>Table1[[#This Row],[Department]]</f>
        <v>Research &amp; Development</v>
      </c>
      <c r="E1369">
        <f>Table1[[#This Row],[EnvironmentSatisfaction]]</f>
        <v>2</v>
      </c>
      <c r="F1369">
        <f>Table1[[#This Row],[HourlyRate]]</f>
        <v>41</v>
      </c>
      <c r="G1369" t="str">
        <f>Table1[[#This Row],[JobRole]]</f>
        <v>Research Scientist</v>
      </c>
      <c r="H1369">
        <f>Table1[[#This Row],[JobSatisfaction]]</f>
        <v>2</v>
      </c>
      <c r="I1369">
        <f>Table1[[#This Row],[YearsAtCompany]]</f>
        <v>5</v>
      </c>
      <c r="J1369">
        <f>Table1[[#This Row],[YearsSinceLastPromotion]]</f>
        <v>1</v>
      </c>
      <c r="K1369">
        <f>Table1[[#This Row],[EmployeeNumber]]</f>
        <v>1931</v>
      </c>
      <c r="L1369">
        <f>Table1[[#This Row],[DistanceFromHome]]</f>
        <v>2</v>
      </c>
      <c r="M1369" t="str">
        <f>Table1[[#This Row],[OverTime]]</f>
        <v>No</v>
      </c>
      <c r="N1369">
        <f>Table1[[#This Row],[WorkLifeBalance]]</f>
        <v>2</v>
      </c>
      <c r="O1369" t="str" cm="1">
        <f t="array" ref="O1369">_xlfn.IFS(A1369&lt;=30,"18-30",A1369&lt;=40,"31-40",A1369&lt;=50,"41-50",A1369&gt;50,"51+")</f>
        <v>18-30</v>
      </c>
      <c r="P1369" t="str" cm="1">
        <f t="array" ref="P1369">_xlfn.IFS(F1369&lt;=45,"45 or below",F1369&lt;= 60,"46-60",F1369&lt;=75,"61-75",F1369&lt;=90,"76-90",F1369&gt;90,"91 or above")</f>
        <v>45 or below</v>
      </c>
      <c r="Q13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69" t="str" cm="1">
        <f t="array" ref="R136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70" spans="1:18" x14ac:dyDescent="0.2">
      <c r="A1370">
        <f>Table1[[#This Row],[Age]]</f>
        <v>34</v>
      </c>
      <c r="B1370">
        <f>IF(Table3[[#This Row],[Attrition]] = "Yes", 1,0)</f>
        <v>0</v>
      </c>
      <c r="C1370" t="str">
        <f>Table1[[#This Row],[Attrition]]</f>
        <v>No</v>
      </c>
      <c r="D1370" t="str">
        <f>Table1[[#This Row],[Department]]</f>
        <v>Research &amp; Development</v>
      </c>
      <c r="E1370">
        <f>Table1[[#This Row],[EnvironmentSatisfaction]]</f>
        <v>3</v>
      </c>
      <c r="F1370">
        <f>Table1[[#This Row],[HourlyRate]]</f>
        <v>86</v>
      </c>
      <c r="G1370" t="str">
        <f>Table1[[#This Row],[JobRole]]</f>
        <v>Research Scientist</v>
      </c>
      <c r="H1370">
        <f>Table1[[#This Row],[JobSatisfaction]]</f>
        <v>4</v>
      </c>
      <c r="I1370">
        <f>Table1[[#This Row],[YearsAtCompany]]</f>
        <v>15</v>
      </c>
      <c r="J1370">
        <f>Table1[[#This Row],[YearsSinceLastPromotion]]</f>
        <v>6</v>
      </c>
      <c r="K1370">
        <f>Table1[[#This Row],[EmployeeNumber]]</f>
        <v>1932</v>
      </c>
      <c r="L1370">
        <f>Table1[[#This Row],[DistanceFromHome]]</f>
        <v>22</v>
      </c>
      <c r="M1370" t="str">
        <f>Table1[[#This Row],[OverTime]]</f>
        <v>Yes</v>
      </c>
      <c r="N1370">
        <f>Table1[[#This Row],[WorkLifeBalance]]</f>
        <v>3</v>
      </c>
      <c r="O1370" t="str" cm="1">
        <f t="array" ref="O1370">_xlfn.IFS(A1370&lt;=30,"18-30",A1370&lt;=40,"31-40",A1370&lt;=50,"41-50",A1370&gt;50,"51+")</f>
        <v>31-40</v>
      </c>
      <c r="P1370" t="str" cm="1">
        <f t="array" ref="P1370">_xlfn.IFS(F1370&lt;=45,"45 or below",F1370&lt;= 60,"46-60",F1370&lt;=75,"61-75",F1370&lt;=90,"76-90",F1370&gt;90,"91 or above")</f>
        <v>76-90</v>
      </c>
      <c r="Q13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70" t="str" cm="1">
        <f t="array" ref="R137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71" spans="1:18" hidden="1" x14ac:dyDescent="0.2">
      <c r="A1371">
        <f>Table1[[#This Row],[Age]]</f>
        <v>28</v>
      </c>
      <c r="B1371">
        <f>IF(Table3[[#This Row],[Attrition]] = "Yes", 1,0)</f>
        <v>1</v>
      </c>
      <c r="C1371" t="str">
        <f>Table1[[#This Row],[Attrition]]</f>
        <v>Yes</v>
      </c>
      <c r="D1371" t="str">
        <f>Table1[[#This Row],[Department]]</f>
        <v>Sales</v>
      </c>
      <c r="E1371">
        <f>Table1[[#This Row],[EnvironmentSatisfaction]]</f>
        <v>4</v>
      </c>
      <c r="F1371">
        <f>Table1[[#This Row],[HourlyRate]]</f>
        <v>84</v>
      </c>
      <c r="G1371" t="str">
        <f>Table1[[#This Row],[JobRole]]</f>
        <v>Sales Executive</v>
      </c>
      <c r="H1371">
        <f>Table1[[#This Row],[JobSatisfaction]]</f>
        <v>3</v>
      </c>
      <c r="I1371">
        <f>Table1[[#This Row],[YearsAtCompany]]</f>
        <v>2</v>
      </c>
      <c r="J1371">
        <f>Table1[[#This Row],[YearsSinceLastPromotion]]</f>
        <v>2</v>
      </c>
      <c r="K1371">
        <f>Table1[[#This Row],[EmployeeNumber]]</f>
        <v>1933</v>
      </c>
      <c r="L1371">
        <f>Table1[[#This Row],[DistanceFromHome]]</f>
        <v>13</v>
      </c>
      <c r="M1371" t="str">
        <f>Table1[[#This Row],[OverTime]]</f>
        <v>Yes</v>
      </c>
      <c r="N1371">
        <f>Table1[[#This Row],[WorkLifeBalance]]</f>
        <v>3</v>
      </c>
      <c r="O1371" t="str" cm="1">
        <f t="array" ref="O1371">_xlfn.IFS(A1371&lt;=30,"18-30",A1371&lt;=40,"31-40",A1371&lt;=50,"41-50",A1371&gt;50,"51+")</f>
        <v>18-30</v>
      </c>
      <c r="P1371" t="str" cm="1">
        <f t="array" ref="P1371">_xlfn.IFS(F1371&lt;=45,"45 or below",F1371&lt;= 60,"46-60",F1371&lt;=75,"61-75",F1371&lt;=90,"76-90",F1371&gt;90,"91 or above")</f>
        <v>76-90</v>
      </c>
      <c r="Q137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71" t="str" cm="1">
        <f t="array" ref="R1371" xml:space="preserve"> _xlfn.IFS(Table3[[#This Row],[Flight Risk Score]] = "NA","NA",Table3[[#This Row],[Flight Risk Score]] &gt;= 70,"High Risk",Table3[[#This Row],[Flight Risk Score]] &gt;= 50, "Medium Risk", Table3[[#This Row],[Flight Risk Score]] &gt;= 30,"Low Risk",Table3[[#This Row],[Flight Risk Score]] &lt; 30,"Very Low Risk")</f>
        <v>NA</v>
      </c>
    </row>
    <row r="1372" spans="1:18" x14ac:dyDescent="0.2">
      <c r="A1372">
        <f>Table1[[#This Row],[Age]]</f>
        <v>47</v>
      </c>
      <c r="B1372">
        <f>IF(Table3[[#This Row],[Attrition]] = "Yes", 1,0)</f>
        <v>0</v>
      </c>
      <c r="C1372" t="str">
        <f>Table1[[#This Row],[Attrition]]</f>
        <v>No</v>
      </c>
      <c r="D1372" t="str">
        <f>Table1[[#This Row],[Department]]</f>
        <v>Research &amp; Development</v>
      </c>
      <c r="E1372">
        <f>Table1[[#This Row],[EnvironmentSatisfaction]]</f>
        <v>3</v>
      </c>
      <c r="F1372">
        <f>Table1[[#This Row],[HourlyRate]]</f>
        <v>64</v>
      </c>
      <c r="G1372" t="str">
        <f>Table1[[#This Row],[JobRole]]</f>
        <v>Research Scientist</v>
      </c>
      <c r="H1372">
        <f>Table1[[#This Row],[JobSatisfaction]]</f>
        <v>2</v>
      </c>
      <c r="I1372">
        <f>Table1[[#This Row],[YearsAtCompany]]</f>
        <v>8</v>
      </c>
      <c r="J1372">
        <f>Table1[[#This Row],[YearsSinceLastPromotion]]</f>
        <v>1</v>
      </c>
      <c r="K1372">
        <f>Table1[[#This Row],[EmployeeNumber]]</f>
        <v>1934</v>
      </c>
      <c r="L1372">
        <f>Table1[[#This Row],[DistanceFromHome]]</f>
        <v>14</v>
      </c>
      <c r="M1372" t="str">
        <f>Table1[[#This Row],[OverTime]]</f>
        <v>No</v>
      </c>
      <c r="N1372">
        <f>Table1[[#This Row],[WorkLifeBalance]]</f>
        <v>4</v>
      </c>
      <c r="O1372" t="str" cm="1">
        <f t="array" ref="O1372">_xlfn.IFS(A1372&lt;=30,"18-30",A1372&lt;=40,"31-40",A1372&lt;=50,"41-50",A1372&gt;50,"51+")</f>
        <v>41-50</v>
      </c>
      <c r="P1372" t="str" cm="1">
        <f t="array" ref="P1372">_xlfn.IFS(F1372&lt;=45,"45 or below",F1372&lt;= 60,"46-60",F1372&lt;=75,"61-75",F1372&lt;=90,"76-90",F1372&gt;90,"91 or above")</f>
        <v>61-75</v>
      </c>
      <c r="Q137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72" t="str" cm="1">
        <f t="array" ref="R137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73" spans="1:18" x14ac:dyDescent="0.2">
      <c r="A1373">
        <f>Table1[[#This Row],[Age]]</f>
        <v>56</v>
      </c>
      <c r="B1373">
        <f>IF(Table3[[#This Row],[Attrition]] = "Yes", 1,0)</f>
        <v>0</v>
      </c>
      <c r="C1373" t="str">
        <f>Table1[[#This Row],[Attrition]]</f>
        <v>No</v>
      </c>
      <c r="D1373" t="str">
        <f>Table1[[#This Row],[Department]]</f>
        <v>Sales</v>
      </c>
      <c r="E1373">
        <f>Table1[[#This Row],[EnvironmentSatisfaction]]</f>
        <v>4</v>
      </c>
      <c r="F1373">
        <f>Table1[[#This Row],[HourlyRate]]</f>
        <v>89</v>
      </c>
      <c r="G1373" t="str">
        <f>Table1[[#This Row],[JobRole]]</f>
        <v>Sales Executive</v>
      </c>
      <c r="H1373">
        <f>Table1[[#This Row],[JobSatisfaction]]</f>
        <v>1</v>
      </c>
      <c r="I1373">
        <f>Table1[[#This Row],[YearsAtCompany]]</f>
        <v>0</v>
      </c>
      <c r="J1373">
        <f>Table1[[#This Row],[YearsSinceLastPromotion]]</f>
        <v>0</v>
      </c>
      <c r="K1373">
        <f>Table1[[#This Row],[EmployeeNumber]]</f>
        <v>1935</v>
      </c>
      <c r="L1373">
        <f>Table1[[#This Row],[DistanceFromHome]]</f>
        <v>11</v>
      </c>
      <c r="M1373" t="str">
        <f>Table1[[#This Row],[OverTime]]</f>
        <v>No</v>
      </c>
      <c r="N1373">
        <f>Table1[[#This Row],[WorkLifeBalance]]</f>
        <v>3</v>
      </c>
      <c r="O1373" t="str" cm="1">
        <f t="array" ref="O1373">_xlfn.IFS(A1373&lt;=30,"18-30",A1373&lt;=40,"31-40",A1373&lt;=50,"41-50",A1373&gt;50,"51+")</f>
        <v>51+</v>
      </c>
      <c r="P1373" t="str" cm="1">
        <f t="array" ref="P1373">_xlfn.IFS(F1373&lt;=45,"45 or below",F1373&lt;= 60,"46-60",F1373&lt;=75,"61-75",F1373&lt;=90,"76-90",F1373&gt;90,"91 or above")</f>
        <v>76-90</v>
      </c>
      <c r="Q137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73" t="str" cm="1">
        <f t="array" ref="R137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74" spans="1:18" x14ac:dyDescent="0.2">
      <c r="A1374">
        <f>Table1[[#This Row],[Age]]</f>
        <v>39</v>
      </c>
      <c r="B1374">
        <f>IF(Table3[[#This Row],[Attrition]] = "Yes", 1,0)</f>
        <v>0</v>
      </c>
      <c r="C1374" t="str">
        <f>Table1[[#This Row],[Attrition]]</f>
        <v>No</v>
      </c>
      <c r="D1374" t="str">
        <f>Table1[[#This Row],[Department]]</f>
        <v>Research &amp; Development</v>
      </c>
      <c r="E1374">
        <f>Table1[[#This Row],[EnvironmentSatisfaction]]</f>
        <v>1</v>
      </c>
      <c r="F1374">
        <f>Table1[[#This Row],[HourlyRate]]</f>
        <v>87</v>
      </c>
      <c r="G1374" t="str">
        <f>Table1[[#This Row],[JobRole]]</f>
        <v>Manufacturing Director</v>
      </c>
      <c r="H1374">
        <f>Table1[[#This Row],[JobSatisfaction]]</f>
        <v>1</v>
      </c>
      <c r="I1374">
        <f>Table1[[#This Row],[YearsAtCompany]]</f>
        <v>10</v>
      </c>
      <c r="J1374">
        <f>Table1[[#This Row],[YearsSinceLastPromotion]]</f>
        <v>7</v>
      </c>
      <c r="K1374">
        <f>Table1[[#This Row],[EmployeeNumber]]</f>
        <v>1936</v>
      </c>
      <c r="L1374">
        <f>Table1[[#This Row],[DistanceFromHome]]</f>
        <v>9</v>
      </c>
      <c r="M1374" t="str">
        <f>Table1[[#This Row],[OverTime]]</f>
        <v>No</v>
      </c>
      <c r="N1374">
        <f>Table1[[#This Row],[WorkLifeBalance]]</f>
        <v>3</v>
      </c>
      <c r="O1374" t="str" cm="1">
        <f t="array" ref="O1374">_xlfn.IFS(A1374&lt;=30,"18-30",A1374&lt;=40,"31-40",A1374&lt;=50,"41-50",A1374&gt;50,"51+")</f>
        <v>31-40</v>
      </c>
      <c r="P1374" t="str" cm="1">
        <f t="array" ref="P1374">_xlfn.IFS(F1374&lt;=45,"45 or below",F1374&lt;= 60,"46-60",F1374&lt;=75,"61-75",F1374&lt;=90,"76-90",F1374&gt;90,"91 or above")</f>
        <v>76-90</v>
      </c>
      <c r="Q137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74" t="str" cm="1">
        <f t="array" ref="R137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75" spans="1:18" x14ac:dyDescent="0.2">
      <c r="A1375">
        <f>Table1[[#This Row],[Age]]</f>
        <v>38</v>
      </c>
      <c r="B1375">
        <f>IF(Table3[[#This Row],[Attrition]] = "Yes", 1,0)</f>
        <v>0</v>
      </c>
      <c r="C1375" t="str">
        <f>Table1[[#This Row],[Attrition]]</f>
        <v>No</v>
      </c>
      <c r="D1375" t="str">
        <f>Table1[[#This Row],[Department]]</f>
        <v>Research &amp; Development</v>
      </c>
      <c r="E1375">
        <f>Table1[[#This Row],[EnvironmentSatisfaction]]</f>
        <v>4</v>
      </c>
      <c r="F1375">
        <f>Table1[[#This Row],[HourlyRate]]</f>
        <v>58</v>
      </c>
      <c r="G1375" t="str">
        <f>Table1[[#This Row],[JobRole]]</f>
        <v>Research Scientist</v>
      </c>
      <c r="H1375">
        <f>Table1[[#This Row],[JobSatisfaction]]</f>
        <v>2</v>
      </c>
      <c r="I1375">
        <f>Table1[[#This Row],[YearsAtCompany]]</f>
        <v>20</v>
      </c>
      <c r="J1375">
        <f>Table1[[#This Row],[YearsSinceLastPromotion]]</f>
        <v>0</v>
      </c>
      <c r="K1375">
        <f>Table1[[#This Row],[EmployeeNumber]]</f>
        <v>1937</v>
      </c>
      <c r="L1375">
        <f>Table1[[#This Row],[DistanceFromHome]]</f>
        <v>8</v>
      </c>
      <c r="M1375" t="str">
        <f>Table1[[#This Row],[OverTime]]</f>
        <v>Yes</v>
      </c>
      <c r="N1375">
        <f>Table1[[#This Row],[WorkLifeBalance]]</f>
        <v>3</v>
      </c>
      <c r="O1375" t="str" cm="1">
        <f t="array" ref="O1375">_xlfn.IFS(A1375&lt;=30,"18-30",A1375&lt;=40,"31-40",A1375&lt;=50,"41-50",A1375&gt;50,"51+")</f>
        <v>31-40</v>
      </c>
      <c r="P1375" t="str" cm="1">
        <f t="array" ref="P1375">_xlfn.IFS(F1375&lt;=45,"45 or below",F1375&lt;= 60,"46-60",F1375&lt;=75,"61-75",F1375&lt;=90,"76-90",F1375&gt;90,"91 or above")</f>
        <v>46-60</v>
      </c>
      <c r="Q137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75" t="str" cm="1">
        <f t="array" ref="R137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76" spans="1:18" x14ac:dyDescent="0.2">
      <c r="A1376">
        <f>Table1[[#This Row],[Age]]</f>
        <v>58</v>
      </c>
      <c r="B1376">
        <f>IF(Table3[[#This Row],[Attrition]] = "Yes", 1,0)</f>
        <v>0</v>
      </c>
      <c r="C1376" t="str">
        <f>Table1[[#This Row],[Attrition]]</f>
        <v>No</v>
      </c>
      <c r="D1376" t="str">
        <f>Table1[[#This Row],[Department]]</f>
        <v>Sales</v>
      </c>
      <c r="E1376">
        <f>Table1[[#This Row],[EnvironmentSatisfaction]]</f>
        <v>4</v>
      </c>
      <c r="F1376">
        <f>Table1[[#This Row],[HourlyRate]]</f>
        <v>72</v>
      </c>
      <c r="G1376" t="str">
        <f>Table1[[#This Row],[JobRole]]</f>
        <v>Manager</v>
      </c>
      <c r="H1376">
        <f>Table1[[#This Row],[JobSatisfaction]]</f>
        <v>4</v>
      </c>
      <c r="I1376">
        <f>Table1[[#This Row],[YearsAtCompany]]</f>
        <v>1</v>
      </c>
      <c r="J1376">
        <f>Table1[[#This Row],[YearsSinceLastPromotion]]</f>
        <v>0</v>
      </c>
      <c r="K1376">
        <f>Table1[[#This Row],[EmployeeNumber]]</f>
        <v>1938</v>
      </c>
      <c r="L1376">
        <f>Table1[[#This Row],[DistanceFromHome]]</f>
        <v>21</v>
      </c>
      <c r="M1376" t="str">
        <f>Table1[[#This Row],[OverTime]]</f>
        <v>Yes</v>
      </c>
      <c r="N1376">
        <f>Table1[[#This Row],[WorkLifeBalance]]</f>
        <v>2</v>
      </c>
      <c r="O1376" t="str" cm="1">
        <f t="array" ref="O1376">_xlfn.IFS(A1376&lt;=30,"18-30",A1376&lt;=40,"31-40",A1376&lt;=50,"41-50",A1376&gt;50,"51+")</f>
        <v>51+</v>
      </c>
      <c r="P1376" t="str" cm="1">
        <f t="array" ref="P1376">_xlfn.IFS(F1376&lt;=45,"45 or below",F1376&lt;= 60,"46-60",F1376&lt;=75,"61-75",F1376&lt;=90,"76-90",F1376&gt;90,"91 or above")</f>
        <v>61-75</v>
      </c>
      <c r="Q137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76" t="str" cm="1">
        <f t="array" ref="R1376"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77" spans="1:18" hidden="1" x14ac:dyDescent="0.2">
      <c r="A1377">
        <f>Table1[[#This Row],[Age]]</f>
        <v>32</v>
      </c>
      <c r="B1377">
        <f>IF(Table3[[#This Row],[Attrition]] = "Yes", 1,0)</f>
        <v>1</v>
      </c>
      <c r="C1377" t="str">
        <f>Table1[[#This Row],[Attrition]]</f>
        <v>Yes</v>
      </c>
      <c r="D1377" t="str">
        <f>Table1[[#This Row],[Department]]</f>
        <v>Research &amp; Development</v>
      </c>
      <c r="E1377">
        <f>Table1[[#This Row],[EnvironmentSatisfaction]]</f>
        <v>1</v>
      </c>
      <c r="F1377">
        <f>Table1[[#This Row],[HourlyRate]]</f>
        <v>47</v>
      </c>
      <c r="G1377" t="str">
        <f>Table1[[#This Row],[JobRole]]</f>
        <v>Research Scientist</v>
      </c>
      <c r="H1377">
        <f>Table1[[#This Row],[JobSatisfaction]]</f>
        <v>3</v>
      </c>
      <c r="I1377">
        <f>Table1[[#This Row],[YearsAtCompany]]</f>
        <v>4</v>
      </c>
      <c r="J1377">
        <f>Table1[[#This Row],[YearsSinceLastPromotion]]</f>
        <v>0</v>
      </c>
      <c r="K1377">
        <f>Table1[[#This Row],[EmployeeNumber]]</f>
        <v>1939</v>
      </c>
      <c r="L1377">
        <f>Table1[[#This Row],[DistanceFromHome]]</f>
        <v>5</v>
      </c>
      <c r="M1377" t="str">
        <f>Table1[[#This Row],[OverTime]]</f>
        <v>Yes</v>
      </c>
      <c r="N1377">
        <f>Table1[[#This Row],[WorkLifeBalance]]</f>
        <v>3</v>
      </c>
      <c r="O1377" t="str" cm="1">
        <f t="array" ref="O1377">_xlfn.IFS(A1377&lt;=30,"18-30",A1377&lt;=40,"31-40",A1377&lt;=50,"41-50",A1377&gt;50,"51+")</f>
        <v>31-40</v>
      </c>
      <c r="P1377" t="str" cm="1">
        <f t="array" ref="P1377">_xlfn.IFS(F1377&lt;=45,"45 or below",F1377&lt;= 60,"46-60",F1377&lt;=75,"61-75",F1377&lt;=90,"76-90",F1377&gt;90,"91 or above")</f>
        <v>46-60</v>
      </c>
      <c r="Q137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77" t="str" cm="1">
        <f t="array" ref="R1377" xml:space="preserve"> _xlfn.IFS(Table3[[#This Row],[Flight Risk Score]] = "NA","NA",Table3[[#This Row],[Flight Risk Score]] &gt;= 70,"High Risk",Table3[[#This Row],[Flight Risk Score]] &gt;= 50, "Medium Risk", Table3[[#This Row],[Flight Risk Score]] &gt;= 30,"Low Risk",Table3[[#This Row],[Flight Risk Score]] &lt; 30,"Very Low Risk")</f>
        <v>NA</v>
      </c>
    </row>
    <row r="1378" spans="1:18" x14ac:dyDescent="0.2">
      <c r="A1378">
        <f>Table1[[#This Row],[Age]]</f>
        <v>38</v>
      </c>
      <c r="B1378">
        <f>IF(Table3[[#This Row],[Attrition]] = "Yes", 1,0)</f>
        <v>0</v>
      </c>
      <c r="C1378" t="str">
        <f>Table1[[#This Row],[Attrition]]</f>
        <v>No</v>
      </c>
      <c r="D1378" t="str">
        <f>Table1[[#This Row],[Department]]</f>
        <v>Research &amp; Development</v>
      </c>
      <c r="E1378">
        <f>Table1[[#This Row],[EnvironmentSatisfaction]]</f>
        <v>2</v>
      </c>
      <c r="F1378">
        <f>Table1[[#This Row],[HourlyRate]]</f>
        <v>71</v>
      </c>
      <c r="G1378" t="str">
        <f>Table1[[#This Row],[JobRole]]</f>
        <v>Research Scientist</v>
      </c>
      <c r="H1378">
        <f>Table1[[#This Row],[JobSatisfaction]]</f>
        <v>4</v>
      </c>
      <c r="I1378">
        <f>Table1[[#This Row],[YearsAtCompany]]</f>
        <v>5</v>
      </c>
      <c r="J1378">
        <f>Table1[[#This Row],[YearsSinceLastPromotion]]</f>
        <v>0</v>
      </c>
      <c r="K1378">
        <f>Table1[[#This Row],[EmployeeNumber]]</f>
        <v>1940</v>
      </c>
      <c r="L1378">
        <f>Table1[[#This Row],[DistanceFromHome]]</f>
        <v>9</v>
      </c>
      <c r="M1378" t="str">
        <f>Table1[[#This Row],[OverTime]]</f>
        <v>No</v>
      </c>
      <c r="N1378">
        <f>Table1[[#This Row],[WorkLifeBalance]]</f>
        <v>4</v>
      </c>
      <c r="O1378" t="str" cm="1">
        <f t="array" ref="O1378">_xlfn.IFS(A1378&lt;=30,"18-30",A1378&lt;=40,"31-40",A1378&lt;=50,"41-50",A1378&gt;50,"51+")</f>
        <v>31-40</v>
      </c>
      <c r="P1378" t="str" cm="1">
        <f t="array" ref="P1378">_xlfn.IFS(F1378&lt;=45,"45 or below",F1378&lt;= 60,"46-60",F1378&lt;=75,"61-75",F1378&lt;=90,"76-90",F1378&gt;90,"91 or above")</f>
        <v>61-75</v>
      </c>
      <c r="Q137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78" t="str" cm="1">
        <f t="array" ref="R137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79" spans="1:18" x14ac:dyDescent="0.2">
      <c r="A1379">
        <f>Table1[[#This Row],[Age]]</f>
        <v>49</v>
      </c>
      <c r="B1379">
        <f>IF(Table3[[#This Row],[Attrition]] = "Yes", 1,0)</f>
        <v>0</v>
      </c>
      <c r="C1379" t="str">
        <f>Table1[[#This Row],[Attrition]]</f>
        <v>No</v>
      </c>
      <c r="D1379" t="str">
        <f>Table1[[#This Row],[Department]]</f>
        <v>Research &amp; Development</v>
      </c>
      <c r="E1379">
        <f>Table1[[#This Row],[EnvironmentSatisfaction]]</f>
        <v>2</v>
      </c>
      <c r="F1379">
        <f>Table1[[#This Row],[HourlyRate]]</f>
        <v>42</v>
      </c>
      <c r="G1379" t="str">
        <f>Table1[[#This Row],[JobRole]]</f>
        <v>Research Director</v>
      </c>
      <c r="H1379">
        <f>Table1[[#This Row],[JobSatisfaction]]</f>
        <v>4</v>
      </c>
      <c r="I1379">
        <f>Table1[[#This Row],[YearsAtCompany]]</f>
        <v>5</v>
      </c>
      <c r="J1379">
        <f>Table1[[#This Row],[YearsSinceLastPromotion]]</f>
        <v>4</v>
      </c>
      <c r="K1379">
        <f>Table1[[#This Row],[EmployeeNumber]]</f>
        <v>1941</v>
      </c>
      <c r="L1379">
        <f>Table1[[#This Row],[DistanceFromHome]]</f>
        <v>2</v>
      </c>
      <c r="M1379" t="str">
        <f>Table1[[#This Row],[OverTime]]</f>
        <v>No</v>
      </c>
      <c r="N1379">
        <f>Table1[[#This Row],[WorkLifeBalance]]</f>
        <v>3</v>
      </c>
      <c r="O1379" t="str" cm="1">
        <f t="array" ref="O1379">_xlfn.IFS(A1379&lt;=30,"18-30",A1379&lt;=40,"31-40",A1379&lt;=50,"41-50",A1379&gt;50,"51+")</f>
        <v>41-50</v>
      </c>
      <c r="P1379" t="str" cm="1">
        <f t="array" ref="P1379">_xlfn.IFS(F1379&lt;=45,"45 or below",F1379&lt;= 60,"46-60",F1379&lt;=75,"61-75",F1379&lt;=90,"76-90",F1379&gt;90,"91 or above")</f>
        <v>45 or below</v>
      </c>
      <c r="Q137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79" t="str" cm="1">
        <f t="array" ref="R137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80" spans="1:18" x14ac:dyDescent="0.2">
      <c r="A1380">
        <f>Table1[[#This Row],[Age]]</f>
        <v>42</v>
      </c>
      <c r="B1380">
        <f>IF(Table3[[#This Row],[Attrition]] = "Yes", 1,0)</f>
        <v>0</v>
      </c>
      <c r="C1380" t="str">
        <f>Table1[[#This Row],[Attrition]]</f>
        <v>No</v>
      </c>
      <c r="D1380" t="str">
        <f>Table1[[#This Row],[Department]]</f>
        <v>Sales</v>
      </c>
      <c r="E1380">
        <f>Table1[[#This Row],[EnvironmentSatisfaction]]</f>
        <v>2</v>
      </c>
      <c r="F1380">
        <f>Table1[[#This Row],[HourlyRate]]</f>
        <v>77</v>
      </c>
      <c r="G1380" t="str">
        <f>Table1[[#This Row],[JobRole]]</f>
        <v>Sales Executive</v>
      </c>
      <c r="H1380">
        <f>Table1[[#This Row],[JobSatisfaction]]</f>
        <v>4</v>
      </c>
      <c r="I1380">
        <f>Table1[[#This Row],[YearsAtCompany]]</f>
        <v>0</v>
      </c>
      <c r="J1380">
        <f>Table1[[#This Row],[YearsSinceLastPromotion]]</f>
        <v>0</v>
      </c>
      <c r="K1380">
        <f>Table1[[#This Row],[EmployeeNumber]]</f>
        <v>1943</v>
      </c>
      <c r="L1380">
        <f>Table1[[#This Row],[DistanceFromHome]]</f>
        <v>12</v>
      </c>
      <c r="M1380" t="str">
        <f>Table1[[#This Row],[OverTime]]</f>
        <v>Yes</v>
      </c>
      <c r="N1380">
        <f>Table1[[#This Row],[WorkLifeBalance]]</f>
        <v>3</v>
      </c>
      <c r="O1380" t="str" cm="1">
        <f t="array" ref="O1380">_xlfn.IFS(A1380&lt;=30,"18-30",A1380&lt;=40,"31-40",A1380&lt;=50,"41-50",A1380&gt;50,"51+")</f>
        <v>41-50</v>
      </c>
      <c r="P1380" t="str" cm="1">
        <f t="array" ref="P1380">_xlfn.IFS(F1380&lt;=45,"45 or below",F1380&lt;= 60,"46-60",F1380&lt;=75,"61-75",F1380&lt;=90,"76-90",F1380&gt;90,"91 or above")</f>
        <v>76-90</v>
      </c>
      <c r="Q138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80" t="str" cm="1">
        <f t="array" ref="R1380"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81" spans="1:18" hidden="1" x14ac:dyDescent="0.2">
      <c r="A1381">
        <f>Table1[[#This Row],[Age]]</f>
        <v>27</v>
      </c>
      <c r="B1381">
        <f>IF(Table3[[#This Row],[Attrition]] = "Yes", 1,0)</f>
        <v>1</v>
      </c>
      <c r="C1381" t="str">
        <f>Table1[[#This Row],[Attrition]]</f>
        <v>Yes</v>
      </c>
      <c r="D1381" t="str">
        <f>Table1[[#This Row],[Department]]</f>
        <v>Human Resources</v>
      </c>
      <c r="E1381">
        <f>Table1[[#This Row],[EnvironmentSatisfaction]]</f>
        <v>1</v>
      </c>
      <c r="F1381">
        <f>Table1[[#This Row],[HourlyRate]]</f>
        <v>58</v>
      </c>
      <c r="G1381" t="str">
        <f>Table1[[#This Row],[JobRole]]</f>
        <v>Human Resources</v>
      </c>
      <c r="H1381">
        <f>Table1[[#This Row],[JobSatisfaction]]</f>
        <v>2</v>
      </c>
      <c r="I1381">
        <f>Table1[[#This Row],[YearsAtCompany]]</f>
        <v>1</v>
      </c>
      <c r="J1381">
        <f>Table1[[#This Row],[YearsSinceLastPromotion]]</f>
        <v>0</v>
      </c>
      <c r="K1381">
        <f>Table1[[#This Row],[EmployeeNumber]]</f>
        <v>1944</v>
      </c>
      <c r="L1381">
        <f>Table1[[#This Row],[DistanceFromHome]]</f>
        <v>22</v>
      </c>
      <c r="M1381" t="str">
        <f>Table1[[#This Row],[OverTime]]</f>
        <v>No</v>
      </c>
      <c r="N1381">
        <f>Table1[[#This Row],[WorkLifeBalance]]</f>
        <v>3</v>
      </c>
      <c r="O1381" t="str" cm="1">
        <f t="array" ref="O1381">_xlfn.IFS(A1381&lt;=30,"18-30",A1381&lt;=40,"31-40",A1381&lt;=50,"41-50",A1381&gt;50,"51+")</f>
        <v>18-30</v>
      </c>
      <c r="P1381" t="str" cm="1">
        <f t="array" ref="P1381">_xlfn.IFS(F1381&lt;=45,"45 or below",F1381&lt;= 60,"46-60",F1381&lt;=75,"61-75",F1381&lt;=90,"76-90",F1381&gt;90,"91 or above")</f>
        <v>46-60</v>
      </c>
      <c r="Q1381"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81" t="str" cm="1">
        <f t="array" ref="R1381" xml:space="preserve"> _xlfn.IFS(Table3[[#This Row],[Flight Risk Score]] = "NA","NA",Table3[[#This Row],[Flight Risk Score]] &gt;= 70,"High Risk",Table3[[#This Row],[Flight Risk Score]] &gt;= 50, "Medium Risk", Table3[[#This Row],[Flight Risk Score]] &gt;= 30,"Low Risk",Table3[[#This Row],[Flight Risk Score]] &lt; 30,"Very Low Risk")</f>
        <v>NA</v>
      </c>
    </row>
    <row r="1382" spans="1:18" x14ac:dyDescent="0.2">
      <c r="A1382">
        <f>Table1[[#This Row],[Age]]</f>
        <v>35</v>
      </c>
      <c r="B1382">
        <f>IF(Table3[[#This Row],[Attrition]] = "Yes", 1,0)</f>
        <v>0</v>
      </c>
      <c r="C1382" t="str">
        <f>Table1[[#This Row],[Attrition]]</f>
        <v>No</v>
      </c>
      <c r="D1382" t="str">
        <f>Table1[[#This Row],[Department]]</f>
        <v>Sales</v>
      </c>
      <c r="E1382">
        <f>Table1[[#This Row],[EnvironmentSatisfaction]]</f>
        <v>2</v>
      </c>
      <c r="F1382">
        <f>Table1[[#This Row],[HourlyRate]]</f>
        <v>71</v>
      </c>
      <c r="G1382" t="str">
        <f>Table1[[#This Row],[JobRole]]</f>
        <v>Sales Executive</v>
      </c>
      <c r="H1382">
        <f>Table1[[#This Row],[JobSatisfaction]]</f>
        <v>1</v>
      </c>
      <c r="I1382">
        <f>Table1[[#This Row],[YearsAtCompany]]</f>
        <v>5</v>
      </c>
      <c r="J1382">
        <f>Table1[[#This Row],[YearsSinceLastPromotion]]</f>
        <v>0</v>
      </c>
      <c r="K1382">
        <f>Table1[[#This Row],[EmployeeNumber]]</f>
        <v>1945</v>
      </c>
      <c r="L1382">
        <f>Table1[[#This Row],[DistanceFromHome]]</f>
        <v>18</v>
      </c>
      <c r="M1382" t="str">
        <f>Table1[[#This Row],[OverTime]]</f>
        <v>No</v>
      </c>
      <c r="N1382">
        <f>Table1[[#This Row],[WorkLifeBalance]]</f>
        <v>1</v>
      </c>
      <c r="O1382" t="str" cm="1">
        <f t="array" ref="O1382">_xlfn.IFS(A1382&lt;=30,"18-30",A1382&lt;=40,"31-40",A1382&lt;=50,"41-50",A1382&gt;50,"51+")</f>
        <v>31-40</v>
      </c>
      <c r="P1382" t="str" cm="1">
        <f t="array" ref="P1382">_xlfn.IFS(F1382&lt;=45,"45 or below",F1382&lt;= 60,"46-60",F1382&lt;=75,"61-75",F1382&lt;=90,"76-90",F1382&gt;90,"91 or above")</f>
        <v>61-75</v>
      </c>
      <c r="Q138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382" t="str" cm="1">
        <f t="array" ref="R138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83" spans="1:18" x14ac:dyDescent="0.2">
      <c r="A1383">
        <f>Table1[[#This Row],[Age]]</f>
        <v>28</v>
      </c>
      <c r="B1383">
        <f>IF(Table3[[#This Row],[Attrition]] = "Yes", 1,0)</f>
        <v>0</v>
      </c>
      <c r="C1383" t="str">
        <f>Table1[[#This Row],[Attrition]]</f>
        <v>No</v>
      </c>
      <c r="D1383" t="str">
        <f>Table1[[#This Row],[Department]]</f>
        <v>Research &amp; Development</v>
      </c>
      <c r="E1383">
        <f>Table1[[#This Row],[EnvironmentSatisfaction]]</f>
        <v>3</v>
      </c>
      <c r="F1383">
        <f>Table1[[#This Row],[HourlyRate]]</f>
        <v>49</v>
      </c>
      <c r="G1383" t="str">
        <f>Table1[[#This Row],[JobRole]]</f>
        <v>Research Scientist</v>
      </c>
      <c r="H1383">
        <f>Table1[[#This Row],[JobSatisfaction]]</f>
        <v>3</v>
      </c>
      <c r="I1383">
        <f>Table1[[#This Row],[YearsAtCompany]]</f>
        <v>5</v>
      </c>
      <c r="J1383">
        <f>Table1[[#This Row],[YearsSinceLastPromotion]]</f>
        <v>1</v>
      </c>
      <c r="K1383">
        <f>Table1[[#This Row],[EmployeeNumber]]</f>
        <v>1947</v>
      </c>
      <c r="L1383">
        <f>Table1[[#This Row],[DistanceFromHome]]</f>
        <v>16</v>
      </c>
      <c r="M1383" t="str">
        <f>Table1[[#This Row],[OverTime]]</f>
        <v>No</v>
      </c>
      <c r="N1383">
        <f>Table1[[#This Row],[WorkLifeBalance]]</f>
        <v>2</v>
      </c>
      <c r="O1383" t="str" cm="1">
        <f t="array" ref="O1383">_xlfn.IFS(A1383&lt;=30,"18-30",A1383&lt;=40,"31-40",A1383&lt;=50,"41-50",A1383&gt;50,"51+")</f>
        <v>18-30</v>
      </c>
      <c r="P1383" t="str" cm="1">
        <f t="array" ref="P1383">_xlfn.IFS(F1383&lt;=45,"45 or below",F1383&lt;= 60,"46-60",F1383&lt;=75,"61-75",F1383&lt;=90,"76-90",F1383&gt;90,"91 or above")</f>
        <v>46-60</v>
      </c>
      <c r="Q138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83" t="str" cm="1">
        <f t="array" ref="R138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84" spans="1:18" x14ac:dyDescent="0.2">
      <c r="A1384">
        <f>Table1[[#This Row],[Age]]</f>
        <v>31</v>
      </c>
      <c r="B1384">
        <f>IF(Table3[[#This Row],[Attrition]] = "Yes", 1,0)</f>
        <v>0</v>
      </c>
      <c r="C1384" t="str">
        <f>Table1[[#This Row],[Attrition]]</f>
        <v>No</v>
      </c>
      <c r="D1384" t="str">
        <f>Table1[[#This Row],[Department]]</f>
        <v>Research &amp; Development</v>
      </c>
      <c r="E1384">
        <f>Table1[[#This Row],[EnvironmentSatisfaction]]</f>
        <v>3</v>
      </c>
      <c r="F1384">
        <f>Table1[[#This Row],[HourlyRate]]</f>
        <v>48</v>
      </c>
      <c r="G1384" t="str">
        <f>Table1[[#This Row],[JobRole]]</f>
        <v>Research Scientist</v>
      </c>
      <c r="H1384">
        <f>Table1[[#This Row],[JobSatisfaction]]</f>
        <v>1</v>
      </c>
      <c r="I1384">
        <f>Table1[[#This Row],[YearsAtCompany]]</f>
        <v>4</v>
      </c>
      <c r="J1384">
        <f>Table1[[#This Row],[YearsSinceLastPromotion]]</f>
        <v>2</v>
      </c>
      <c r="K1384">
        <f>Table1[[#This Row],[EmployeeNumber]]</f>
        <v>1948</v>
      </c>
      <c r="L1384">
        <f>Table1[[#This Row],[DistanceFromHome]]</f>
        <v>3</v>
      </c>
      <c r="M1384" t="str">
        <f>Table1[[#This Row],[OverTime]]</f>
        <v>Yes</v>
      </c>
      <c r="N1384">
        <f>Table1[[#This Row],[WorkLifeBalance]]</f>
        <v>4</v>
      </c>
      <c r="O1384" t="str" cm="1">
        <f t="array" ref="O1384">_xlfn.IFS(A1384&lt;=30,"18-30",A1384&lt;=40,"31-40",A1384&lt;=50,"41-50",A1384&gt;50,"51+")</f>
        <v>31-40</v>
      </c>
      <c r="P1384" t="str" cm="1">
        <f t="array" ref="P1384">_xlfn.IFS(F1384&lt;=45,"45 or below",F1384&lt;= 60,"46-60",F1384&lt;=75,"61-75",F1384&lt;=90,"76-90",F1384&gt;90,"91 or above")</f>
        <v>46-60</v>
      </c>
      <c r="Q138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384" t="str" cm="1">
        <f t="array" ref="R1384"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385" spans="1:18" x14ac:dyDescent="0.2">
      <c r="A1385">
        <f>Table1[[#This Row],[Age]]</f>
        <v>36</v>
      </c>
      <c r="B1385">
        <f>IF(Table3[[#This Row],[Attrition]] = "Yes", 1,0)</f>
        <v>0</v>
      </c>
      <c r="C1385" t="str">
        <f>Table1[[#This Row],[Attrition]]</f>
        <v>No</v>
      </c>
      <c r="D1385" t="str">
        <f>Table1[[#This Row],[Department]]</f>
        <v>Research &amp; Development</v>
      </c>
      <c r="E1385">
        <f>Table1[[#This Row],[EnvironmentSatisfaction]]</f>
        <v>1</v>
      </c>
      <c r="F1385">
        <f>Table1[[#This Row],[HourlyRate]]</f>
        <v>66</v>
      </c>
      <c r="G1385" t="str">
        <f>Table1[[#This Row],[JobRole]]</f>
        <v>Laboratory Technician</v>
      </c>
      <c r="H1385">
        <f>Table1[[#This Row],[JobSatisfaction]]</f>
        <v>2</v>
      </c>
      <c r="I1385">
        <f>Table1[[#This Row],[YearsAtCompany]]</f>
        <v>5</v>
      </c>
      <c r="J1385">
        <f>Table1[[#This Row],[YearsSinceLastPromotion]]</f>
        <v>0</v>
      </c>
      <c r="K1385">
        <f>Table1[[#This Row],[EmployeeNumber]]</f>
        <v>1949</v>
      </c>
      <c r="L1385">
        <f>Table1[[#This Row],[DistanceFromHome]]</f>
        <v>9</v>
      </c>
      <c r="M1385" t="str">
        <f>Table1[[#This Row],[OverTime]]</f>
        <v>No</v>
      </c>
      <c r="N1385">
        <f>Table1[[#This Row],[WorkLifeBalance]]</f>
        <v>3</v>
      </c>
      <c r="O1385" t="str" cm="1">
        <f t="array" ref="O1385">_xlfn.IFS(A1385&lt;=30,"18-30",A1385&lt;=40,"31-40",A1385&lt;=50,"41-50",A1385&gt;50,"51+")</f>
        <v>31-40</v>
      </c>
      <c r="P1385" t="str" cm="1">
        <f t="array" ref="P1385">_xlfn.IFS(F1385&lt;=45,"45 or below",F1385&lt;= 60,"46-60",F1385&lt;=75,"61-75",F1385&lt;=90,"76-90",F1385&gt;90,"91 or above")</f>
        <v>61-75</v>
      </c>
      <c r="Q138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85" t="str" cm="1">
        <f t="array" ref="R138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86" spans="1:18" x14ac:dyDescent="0.2">
      <c r="A1386">
        <f>Table1[[#This Row],[Age]]</f>
        <v>34</v>
      </c>
      <c r="B1386">
        <f>IF(Table3[[#This Row],[Attrition]] = "Yes", 1,0)</f>
        <v>0</v>
      </c>
      <c r="C1386" t="str">
        <f>Table1[[#This Row],[Attrition]]</f>
        <v>No</v>
      </c>
      <c r="D1386" t="str">
        <f>Table1[[#This Row],[Department]]</f>
        <v>Sales</v>
      </c>
      <c r="E1386">
        <f>Table1[[#This Row],[EnvironmentSatisfaction]]</f>
        <v>1</v>
      </c>
      <c r="F1386">
        <f>Table1[[#This Row],[HourlyRate]]</f>
        <v>32</v>
      </c>
      <c r="G1386" t="str">
        <f>Table1[[#This Row],[JobRole]]</f>
        <v>Sales Executive</v>
      </c>
      <c r="H1386">
        <f>Table1[[#This Row],[JobSatisfaction]]</f>
        <v>4</v>
      </c>
      <c r="I1386">
        <f>Table1[[#This Row],[YearsAtCompany]]</f>
        <v>14</v>
      </c>
      <c r="J1386">
        <f>Table1[[#This Row],[YearsSinceLastPromotion]]</f>
        <v>2</v>
      </c>
      <c r="K1386">
        <f>Table1[[#This Row],[EmployeeNumber]]</f>
        <v>1950</v>
      </c>
      <c r="L1386">
        <f>Table1[[#This Row],[DistanceFromHome]]</f>
        <v>1</v>
      </c>
      <c r="M1386" t="str">
        <f>Table1[[#This Row],[OverTime]]</f>
        <v>No</v>
      </c>
      <c r="N1386">
        <f>Table1[[#This Row],[WorkLifeBalance]]</f>
        <v>2</v>
      </c>
      <c r="O1386" t="str" cm="1">
        <f t="array" ref="O1386">_xlfn.IFS(A1386&lt;=30,"18-30",A1386&lt;=40,"31-40",A1386&lt;=50,"41-50",A1386&gt;50,"51+")</f>
        <v>31-40</v>
      </c>
      <c r="P1386" t="str" cm="1">
        <f t="array" ref="P1386">_xlfn.IFS(F1386&lt;=45,"45 or below",F1386&lt;= 60,"46-60",F1386&lt;=75,"61-75",F1386&lt;=90,"76-90",F1386&gt;90,"91 or above")</f>
        <v>45 or below</v>
      </c>
      <c r="Q138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86" t="str" cm="1">
        <f t="array" ref="R138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87" spans="1:18" x14ac:dyDescent="0.2">
      <c r="A1387">
        <f>Table1[[#This Row],[Age]]</f>
        <v>34</v>
      </c>
      <c r="B1387">
        <f>IF(Table3[[#This Row],[Attrition]] = "Yes", 1,0)</f>
        <v>0</v>
      </c>
      <c r="C1387" t="str">
        <f>Table1[[#This Row],[Attrition]]</f>
        <v>No</v>
      </c>
      <c r="D1387" t="str">
        <f>Table1[[#This Row],[Department]]</f>
        <v>Sales</v>
      </c>
      <c r="E1387">
        <f>Table1[[#This Row],[EnvironmentSatisfaction]]</f>
        <v>4</v>
      </c>
      <c r="F1387">
        <f>Table1[[#This Row],[HourlyRate]]</f>
        <v>39</v>
      </c>
      <c r="G1387" t="str">
        <f>Table1[[#This Row],[JobRole]]</f>
        <v>Sales Executive</v>
      </c>
      <c r="H1387">
        <f>Table1[[#This Row],[JobSatisfaction]]</f>
        <v>3</v>
      </c>
      <c r="I1387">
        <f>Table1[[#This Row],[YearsAtCompany]]</f>
        <v>8</v>
      </c>
      <c r="J1387">
        <f>Table1[[#This Row],[YearsSinceLastPromotion]]</f>
        <v>1</v>
      </c>
      <c r="K1387">
        <f>Table1[[#This Row],[EmployeeNumber]]</f>
        <v>1951</v>
      </c>
      <c r="L1387">
        <f>Table1[[#This Row],[DistanceFromHome]]</f>
        <v>13</v>
      </c>
      <c r="M1387" t="str">
        <f>Table1[[#This Row],[OverTime]]</f>
        <v>No</v>
      </c>
      <c r="N1387">
        <f>Table1[[#This Row],[WorkLifeBalance]]</f>
        <v>2</v>
      </c>
      <c r="O1387" t="str" cm="1">
        <f t="array" ref="O1387">_xlfn.IFS(A1387&lt;=30,"18-30",A1387&lt;=40,"31-40",A1387&lt;=50,"41-50",A1387&gt;50,"51+")</f>
        <v>31-40</v>
      </c>
      <c r="P1387" t="str" cm="1">
        <f t="array" ref="P1387">_xlfn.IFS(F1387&lt;=45,"45 or below",F1387&lt;= 60,"46-60",F1387&lt;=75,"61-75",F1387&lt;=90,"76-90",F1387&gt;90,"91 or above")</f>
        <v>45 or below</v>
      </c>
      <c r="Q138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87" t="str" cm="1">
        <f t="array" ref="R138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88" spans="1:18" x14ac:dyDescent="0.2">
      <c r="A1388">
        <f>Table1[[#This Row],[Age]]</f>
        <v>26</v>
      </c>
      <c r="B1388">
        <f>IF(Table3[[#This Row],[Attrition]] = "Yes", 1,0)</f>
        <v>0</v>
      </c>
      <c r="C1388" t="str">
        <f>Table1[[#This Row],[Attrition]]</f>
        <v>No</v>
      </c>
      <c r="D1388" t="str">
        <f>Table1[[#This Row],[Department]]</f>
        <v>Research &amp; Development</v>
      </c>
      <c r="E1388">
        <f>Table1[[#This Row],[EnvironmentSatisfaction]]</f>
        <v>3</v>
      </c>
      <c r="F1388">
        <f>Table1[[#This Row],[HourlyRate]]</f>
        <v>95</v>
      </c>
      <c r="G1388" t="str">
        <f>Table1[[#This Row],[JobRole]]</f>
        <v>Laboratory Technician</v>
      </c>
      <c r="H1388">
        <f>Table1[[#This Row],[JobSatisfaction]]</f>
        <v>1</v>
      </c>
      <c r="I1388">
        <f>Table1[[#This Row],[YearsAtCompany]]</f>
        <v>7</v>
      </c>
      <c r="J1388">
        <f>Table1[[#This Row],[YearsSinceLastPromotion]]</f>
        <v>7</v>
      </c>
      <c r="K1388">
        <f>Table1[[#This Row],[EmployeeNumber]]</f>
        <v>1952</v>
      </c>
      <c r="L1388">
        <f>Table1[[#This Row],[DistanceFromHome]]</f>
        <v>1</v>
      </c>
      <c r="M1388" t="str">
        <f>Table1[[#This Row],[OverTime]]</f>
        <v>No</v>
      </c>
      <c r="N1388">
        <f>Table1[[#This Row],[WorkLifeBalance]]</f>
        <v>2</v>
      </c>
      <c r="O1388" t="str" cm="1">
        <f t="array" ref="O1388">_xlfn.IFS(A1388&lt;=30,"18-30",A1388&lt;=40,"31-40",A1388&lt;=50,"41-50",A1388&gt;50,"51+")</f>
        <v>18-30</v>
      </c>
      <c r="P1388" t="str" cm="1">
        <f t="array" ref="P1388">_xlfn.IFS(F1388&lt;=45,"45 or below",F1388&lt;= 60,"46-60",F1388&lt;=75,"61-75",F1388&lt;=90,"76-90",F1388&gt;90,"91 or above")</f>
        <v>91 or above</v>
      </c>
      <c r="Q138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88" t="str" cm="1">
        <f t="array" ref="R138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89" spans="1:18" x14ac:dyDescent="0.2">
      <c r="A1389">
        <f>Table1[[#This Row],[Age]]</f>
        <v>29</v>
      </c>
      <c r="B1389">
        <f>IF(Table3[[#This Row],[Attrition]] = "Yes", 1,0)</f>
        <v>0</v>
      </c>
      <c r="C1389" t="str">
        <f>Table1[[#This Row],[Attrition]]</f>
        <v>No</v>
      </c>
      <c r="D1389" t="str">
        <f>Table1[[#This Row],[Department]]</f>
        <v>Research &amp; Development</v>
      </c>
      <c r="E1389">
        <f>Table1[[#This Row],[EnvironmentSatisfaction]]</f>
        <v>1</v>
      </c>
      <c r="F1389">
        <f>Table1[[#This Row],[HourlyRate]]</f>
        <v>89</v>
      </c>
      <c r="G1389" t="str">
        <f>Table1[[#This Row],[JobRole]]</f>
        <v>Healthcare Representative</v>
      </c>
      <c r="H1389">
        <f>Table1[[#This Row],[JobSatisfaction]]</f>
        <v>1</v>
      </c>
      <c r="I1389">
        <f>Table1[[#This Row],[YearsAtCompany]]</f>
        <v>5</v>
      </c>
      <c r="J1389">
        <f>Table1[[#This Row],[YearsSinceLastPromotion]]</f>
        <v>0</v>
      </c>
      <c r="K1389">
        <f>Table1[[#This Row],[EmployeeNumber]]</f>
        <v>1954</v>
      </c>
      <c r="L1389">
        <f>Table1[[#This Row],[DistanceFromHome]]</f>
        <v>1</v>
      </c>
      <c r="M1389" t="str">
        <f>Table1[[#This Row],[OverTime]]</f>
        <v>No</v>
      </c>
      <c r="N1389">
        <f>Table1[[#This Row],[WorkLifeBalance]]</f>
        <v>2</v>
      </c>
      <c r="O1389" t="str" cm="1">
        <f t="array" ref="O1389">_xlfn.IFS(A1389&lt;=30,"18-30",A1389&lt;=40,"31-40",A1389&lt;=50,"41-50",A1389&gt;50,"51+")</f>
        <v>18-30</v>
      </c>
      <c r="P1389" t="str" cm="1">
        <f t="array" ref="P1389">_xlfn.IFS(F1389&lt;=45,"45 or below",F1389&lt;= 60,"46-60",F1389&lt;=75,"61-75",F1389&lt;=90,"76-90",F1389&gt;90,"91 or above")</f>
        <v>76-90</v>
      </c>
      <c r="Q138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89" t="str" cm="1">
        <f t="array" ref="R1389"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90" spans="1:18" x14ac:dyDescent="0.2">
      <c r="A1390">
        <f>Table1[[#This Row],[Age]]</f>
        <v>32</v>
      </c>
      <c r="B1390">
        <f>IF(Table3[[#This Row],[Attrition]] = "Yes", 1,0)</f>
        <v>0</v>
      </c>
      <c r="C1390" t="str">
        <f>Table1[[#This Row],[Attrition]]</f>
        <v>No</v>
      </c>
      <c r="D1390" t="str">
        <f>Table1[[#This Row],[Department]]</f>
        <v>Research &amp; Development</v>
      </c>
      <c r="E1390">
        <f>Table1[[#This Row],[EnvironmentSatisfaction]]</f>
        <v>3</v>
      </c>
      <c r="F1390">
        <f>Table1[[#This Row],[HourlyRate]]</f>
        <v>34</v>
      </c>
      <c r="G1390" t="str">
        <f>Table1[[#This Row],[JobRole]]</f>
        <v>Healthcare Representative</v>
      </c>
      <c r="H1390">
        <f>Table1[[#This Row],[JobSatisfaction]]</f>
        <v>4</v>
      </c>
      <c r="I1390">
        <f>Table1[[#This Row],[YearsAtCompany]]</f>
        <v>5</v>
      </c>
      <c r="J1390">
        <f>Table1[[#This Row],[YearsSinceLastPromotion]]</f>
        <v>1</v>
      </c>
      <c r="K1390">
        <f>Table1[[#This Row],[EmployeeNumber]]</f>
        <v>1955</v>
      </c>
      <c r="L1390">
        <f>Table1[[#This Row],[DistanceFromHome]]</f>
        <v>15</v>
      </c>
      <c r="M1390" t="str">
        <f>Table1[[#This Row],[OverTime]]</f>
        <v>No</v>
      </c>
      <c r="N1390">
        <f>Table1[[#This Row],[WorkLifeBalance]]</f>
        <v>3</v>
      </c>
      <c r="O1390" t="str" cm="1">
        <f t="array" ref="O1390">_xlfn.IFS(A1390&lt;=30,"18-30",A1390&lt;=40,"31-40",A1390&lt;=50,"41-50",A1390&gt;50,"51+")</f>
        <v>31-40</v>
      </c>
      <c r="P1390" t="str" cm="1">
        <f t="array" ref="P1390">_xlfn.IFS(F1390&lt;=45,"45 or below",F1390&lt;= 60,"46-60",F1390&lt;=75,"61-75",F1390&lt;=90,"76-90",F1390&gt;90,"91 or above")</f>
        <v>45 or below</v>
      </c>
      <c r="Q139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90" t="str" cm="1">
        <f t="array" ref="R139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91" spans="1:18" x14ac:dyDescent="0.2">
      <c r="A1391">
        <f>Table1[[#This Row],[Age]]</f>
        <v>31</v>
      </c>
      <c r="B1391">
        <f>IF(Table3[[#This Row],[Attrition]] = "Yes", 1,0)</f>
        <v>0</v>
      </c>
      <c r="C1391" t="str">
        <f>Table1[[#This Row],[Attrition]]</f>
        <v>No</v>
      </c>
      <c r="D1391" t="str">
        <f>Table1[[#This Row],[Department]]</f>
        <v>Research &amp; Development</v>
      </c>
      <c r="E1391">
        <f>Table1[[#This Row],[EnvironmentSatisfaction]]</f>
        <v>4</v>
      </c>
      <c r="F1391">
        <f>Table1[[#This Row],[HourlyRate]]</f>
        <v>48</v>
      </c>
      <c r="G1391" t="str">
        <f>Table1[[#This Row],[JobRole]]</f>
        <v>Research Scientist</v>
      </c>
      <c r="H1391">
        <f>Table1[[#This Row],[JobSatisfaction]]</f>
        <v>1</v>
      </c>
      <c r="I1391">
        <f>Table1[[#This Row],[YearsAtCompany]]</f>
        <v>10</v>
      </c>
      <c r="J1391">
        <f>Table1[[#This Row],[YearsSinceLastPromotion]]</f>
        <v>8</v>
      </c>
      <c r="K1391">
        <f>Table1[[#This Row],[EmployeeNumber]]</f>
        <v>1956</v>
      </c>
      <c r="L1391">
        <f>Table1[[#This Row],[DistanceFromHome]]</f>
        <v>1</v>
      </c>
      <c r="M1391" t="str">
        <f>Table1[[#This Row],[OverTime]]</f>
        <v>No</v>
      </c>
      <c r="N1391">
        <f>Table1[[#This Row],[WorkLifeBalance]]</f>
        <v>3</v>
      </c>
      <c r="O1391" t="str" cm="1">
        <f t="array" ref="O1391">_xlfn.IFS(A1391&lt;=30,"18-30",A1391&lt;=40,"31-40",A1391&lt;=50,"41-50",A1391&gt;50,"51+")</f>
        <v>31-40</v>
      </c>
      <c r="P1391" t="str" cm="1">
        <f t="array" ref="P1391">_xlfn.IFS(F1391&lt;=45,"45 or below",F1391&lt;= 60,"46-60",F1391&lt;=75,"61-75",F1391&lt;=90,"76-90",F1391&gt;90,"91 or above")</f>
        <v>46-60</v>
      </c>
      <c r="Q139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91" t="str" cm="1">
        <f t="array" ref="R139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92" spans="1:18" hidden="1" x14ac:dyDescent="0.2">
      <c r="A1392">
        <f>Table1[[#This Row],[Age]]</f>
        <v>28</v>
      </c>
      <c r="B1392">
        <f>IF(Table3[[#This Row],[Attrition]] = "Yes", 1,0)</f>
        <v>1</v>
      </c>
      <c r="C1392" t="str">
        <f>Table1[[#This Row],[Attrition]]</f>
        <v>Yes</v>
      </c>
      <c r="D1392" t="str">
        <f>Table1[[#This Row],[Department]]</f>
        <v>Research &amp; Development</v>
      </c>
      <c r="E1392">
        <f>Table1[[#This Row],[EnvironmentSatisfaction]]</f>
        <v>3</v>
      </c>
      <c r="F1392">
        <f>Table1[[#This Row],[HourlyRate]]</f>
        <v>32</v>
      </c>
      <c r="G1392" t="str">
        <f>Table1[[#This Row],[JobRole]]</f>
        <v>Laboratory Technician</v>
      </c>
      <c r="H1392">
        <f>Table1[[#This Row],[JobSatisfaction]]</f>
        <v>4</v>
      </c>
      <c r="I1392">
        <f>Table1[[#This Row],[YearsAtCompany]]</f>
        <v>4</v>
      </c>
      <c r="J1392">
        <f>Table1[[#This Row],[YearsSinceLastPromotion]]</f>
        <v>0</v>
      </c>
      <c r="K1392">
        <f>Table1[[#This Row],[EmployeeNumber]]</f>
        <v>1960</v>
      </c>
      <c r="L1392">
        <f>Table1[[#This Row],[DistanceFromHome]]</f>
        <v>17</v>
      </c>
      <c r="M1392" t="str">
        <f>Table1[[#This Row],[OverTime]]</f>
        <v>No</v>
      </c>
      <c r="N1392">
        <f>Table1[[#This Row],[WorkLifeBalance]]</f>
        <v>2</v>
      </c>
      <c r="O1392" t="str" cm="1">
        <f t="array" ref="O1392">_xlfn.IFS(A1392&lt;=30,"18-30",A1392&lt;=40,"31-40",A1392&lt;=50,"41-50",A1392&gt;50,"51+")</f>
        <v>18-30</v>
      </c>
      <c r="P1392" t="str" cm="1">
        <f t="array" ref="P1392">_xlfn.IFS(F1392&lt;=45,"45 or below",F1392&lt;= 60,"46-60",F1392&lt;=75,"61-75",F1392&lt;=90,"76-90",F1392&gt;90,"91 or above")</f>
        <v>45 or below</v>
      </c>
      <c r="Q1392"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92" t="str" cm="1">
        <f t="array" ref="R1392" xml:space="preserve"> _xlfn.IFS(Table3[[#This Row],[Flight Risk Score]] = "NA","NA",Table3[[#This Row],[Flight Risk Score]] &gt;= 70,"High Risk",Table3[[#This Row],[Flight Risk Score]] &gt;= 50, "Medium Risk", Table3[[#This Row],[Flight Risk Score]] &gt;= 30,"Low Risk",Table3[[#This Row],[Flight Risk Score]] &lt; 30,"Very Low Risk")</f>
        <v>NA</v>
      </c>
    </row>
    <row r="1393" spans="1:18" x14ac:dyDescent="0.2">
      <c r="A1393">
        <f>Table1[[#This Row],[Age]]</f>
        <v>38</v>
      </c>
      <c r="B1393">
        <f>IF(Table3[[#This Row],[Attrition]] = "Yes", 1,0)</f>
        <v>0</v>
      </c>
      <c r="C1393" t="str">
        <f>Table1[[#This Row],[Attrition]]</f>
        <v>No</v>
      </c>
      <c r="D1393" t="str">
        <f>Table1[[#This Row],[Department]]</f>
        <v>Sales</v>
      </c>
      <c r="E1393">
        <f>Table1[[#This Row],[EnvironmentSatisfaction]]</f>
        <v>1</v>
      </c>
      <c r="F1393">
        <f>Table1[[#This Row],[HourlyRate]]</f>
        <v>59</v>
      </c>
      <c r="G1393" t="str">
        <f>Table1[[#This Row],[JobRole]]</f>
        <v>Sales Representative</v>
      </c>
      <c r="H1393">
        <f>Table1[[#This Row],[JobSatisfaction]]</f>
        <v>1</v>
      </c>
      <c r="I1393">
        <f>Table1[[#This Row],[YearsAtCompany]]</f>
        <v>1</v>
      </c>
      <c r="J1393">
        <f>Table1[[#This Row],[YearsSinceLastPromotion]]</f>
        <v>0</v>
      </c>
      <c r="K1393">
        <f>Table1[[#This Row],[EmployeeNumber]]</f>
        <v>1961</v>
      </c>
      <c r="L1393">
        <f>Table1[[#This Row],[DistanceFromHome]]</f>
        <v>1</v>
      </c>
      <c r="M1393" t="str">
        <f>Table1[[#This Row],[OverTime]]</f>
        <v>No</v>
      </c>
      <c r="N1393">
        <f>Table1[[#This Row],[WorkLifeBalance]]</f>
        <v>2</v>
      </c>
      <c r="O1393" t="str" cm="1">
        <f t="array" ref="O1393">_xlfn.IFS(A1393&lt;=30,"18-30",A1393&lt;=40,"31-40",A1393&lt;=50,"41-50",A1393&gt;50,"51+")</f>
        <v>31-40</v>
      </c>
      <c r="P1393" t="str" cm="1">
        <f t="array" ref="P1393">_xlfn.IFS(F1393&lt;=45,"45 or below",F1393&lt;= 60,"46-60",F1393&lt;=75,"61-75",F1393&lt;=90,"76-90",F1393&gt;90,"91 or above")</f>
        <v>46-60</v>
      </c>
      <c r="Q139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393" t="str" cm="1">
        <f t="array" ref="R1393"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94" spans="1:18" x14ac:dyDescent="0.2">
      <c r="A1394">
        <f>Table1[[#This Row],[Age]]</f>
        <v>35</v>
      </c>
      <c r="B1394">
        <f>IF(Table3[[#This Row],[Attrition]] = "Yes", 1,0)</f>
        <v>0</v>
      </c>
      <c r="C1394" t="str">
        <f>Table1[[#This Row],[Attrition]]</f>
        <v>No</v>
      </c>
      <c r="D1394" t="str">
        <f>Table1[[#This Row],[Department]]</f>
        <v>Sales</v>
      </c>
      <c r="E1394">
        <f>Table1[[#This Row],[EnvironmentSatisfaction]]</f>
        <v>3</v>
      </c>
      <c r="F1394">
        <f>Table1[[#This Row],[HourlyRate]]</f>
        <v>55</v>
      </c>
      <c r="G1394" t="str">
        <f>Table1[[#This Row],[JobRole]]</f>
        <v>Sales Executive</v>
      </c>
      <c r="H1394">
        <f>Table1[[#This Row],[JobSatisfaction]]</f>
        <v>4</v>
      </c>
      <c r="I1394">
        <f>Table1[[#This Row],[YearsAtCompany]]</f>
        <v>10</v>
      </c>
      <c r="J1394">
        <f>Table1[[#This Row],[YearsSinceLastPromotion]]</f>
        <v>0</v>
      </c>
      <c r="K1394">
        <f>Table1[[#This Row],[EmployeeNumber]]</f>
        <v>1962</v>
      </c>
      <c r="L1394">
        <f>Table1[[#This Row],[DistanceFromHome]]</f>
        <v>7</v>
      </c>
      <c r="M1394" t="str">
        <f>Table1[[#This Row],[OverTime]]</f>
        <v>Yes</v>
      </c>
      <c r="N1394">
        <f>Table1[[#This Row],[WorkLifeBalance]]</f>
        <v>3</v>
      </c>
      <c r="O1394" t="str" cm="1">
        <f t="array" ref="O1394">_xlfn.IFS(A1394&lt;=30,"18-30",A1394&lt;=40,"31-40",A1394&lt;=50,"41-50",A1394&gt;50,"51+")</f>
        <v>31-40</v>
      </c>
      <c r="P1394" t="str" cm="1">
        <f t="array" ref="P1394">_xlfn.IFS(F1394&lt;=45,"45 or below",F1394&lt;= 60,"46-60",F1394&lt;=75,"61-75",F1394&lt;=90,"76-90",F1394&gt;90,"91 or above")</f>
        <v>46-60</v>
      </c>
      <c r="Q139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394" t="str" cm="1">
        <f t="array" ref="R139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395" spans="1:18" x14ac:dyDescent="0.2">
      <c r="A1395">
        <f>Table1[[#This Row],[Age]]</f>
        <v>27</v>
      </c>
      <c r="B1395">
        <f>IF(Table3[[#This Row],[Attrition]] = "Yes", 1,0)</f>
        <v>0</v>
      </c>
      <c r="C1395" t="str">
        <f>Table1[[#This Row],[Attrition]]</f>
        <v>No</v>
      </c>
      <c r="D1395" t="str">
        <f>Table1[[#This Row],[Department]]</f>
        <v>Sales</v>
      </c>
      <c r="E1395">
        <f>Table1[[#This Row],[EnvironmentSatisfaction]]</f>
        <v>4</v>
      </c>
      <c r="F1395">
        <f>Table1[[#This Row],[HourlyRate]]</f>
        <v>44</v>
      </c>
      <c r="G1395" t="str">
        <f>Table1[[#This Row],[JobRole]]</f>
        <v>Sales Executive</v>
      </c>
      <c r="H1395">
        <f>Table1[[#This Row],[JobSatisfaction]]</f>
        <v>4</v>
      </c>
      <c r="I1395">
        <f>Table1[[#This Row],[YearsAtCompany]]</f>
        <v>7</v>
      </c>
      <c r="J1395">
        <f>Table1[[#This Row],[YearsSinceLastPromotion]]</f>
        <v>0</v>
      </c>
      <c r="K1395">
        <f>Table1[[#This Row],[EmployeeNumber]]</f>
        <v>1965</v>
      </c>
      <c r="L1395">
        <f>Table1[[#This Row],[DistanceFromHome]]</f>
        <v>9</v>
      </c>
      <c r="M1395" t="str">
        <f>Table1[[#This Row],[OverTime]]</f>
        <v>No</v>
      </c>
      <c r="N1395">
        <f>Table1[[#This Row],[WorkLifeBalance]]</f>
        <v>3</v>
      </c>
      <c r="O1395" t="str" cm="1">
        <f t="array" ref="O1395">_xlfn.IFS(A1395&lt;=30,"18-30",A1395&lt;=40,"31-40",A1395&lt;=50,"41-50",A1395&gt;50,"51+")</f>
        <v>18-30</v>
      </c>
      <c r="P1395" t="str" cm="1">
        <f t="array" ref="P1395">_xlfn.IFS(F1395&lt;=45,"45 or below",F1395&lt;= 60,"46-60",F1395&lt;=75,"61-75",F1395&lt;=90,"76-90",F1395&gt;90,"91 or above")</f>
        <v>45 or below</v>
      </c>
      <c r="Q139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95" t="str" cm="1">
        <f t="array" ref="R139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96" spans="1:18" x14ac:dyDescent="0.2">
      <c r="A1396">
        <f>Table1[[#This Row],[Age]]</f>
        <v>32</v>
      </c>
      <c r="B1396">
        <f>IF(Table3[[#This Row],[Attrition]] = "Yes", 1,0)</f>
        <v>0</v>
      </c>
      <c r="C1396" t="str">
        <f>Table1[[#This Row],[Attrition]]</f>
        <v>No</v>
      </c>
      <c r="D1396" t="str">
        <f>Table1[[#This Row],[Department]]</f>
        <v>Research &amp; Development</v>
      </c>
      <c r="E1396">
        <f>Table1[[#This Row],[EnvironmentSatisfaction]]</f>
        <v>4</v>
      </c>
      <c r="F1396">
        <f>Table1[[#This Row],[HourlyRate]]</f>
        <v>56</v>
      </c>
      <c r="G1396" t="str">
        <f>Table1[[#This Row],[JobRole]]</f>
        <v>Manufacturing Director</v>
      </c>
      <c r="H1396">
        <f>Table1[[#This Row],[JobSatisfaction]]</f>
        <v>4</v>
      </c>
      <c r="I1396">
        <f>Table1[[#This Row],[YearsAtCompany]]</f>
        <v>1</v>
      </c>
      <c r="J1396">
        <f>Table1[[#This Row],[YearsSinceLastPromotion]]</f>
        <v>0</v>
      </c>
      <c r="K1396">
        <f>Table1[[#This Row],[EmployeeNumber]]</f>
        <v>1966</v>
      </c>
      <c r="L1396">
        <f>Table1[[#This Row],[DistanceFromHome]]</f>
        <v>5</v>
      </c>
      <c r="M1396" t="str">
        <f>Table1[[#This Row],[OverTime]]</f>
        <v>No</v>
      </c>
      <c r="N1396">
        <f>Table1[[#This Row],[WorkLifeBalance]]</f>
        <v>3</v>
      </c>
      <c r="O1396" t="str" cm="1">
        <f t="array" ref="O1396">_xlfn.IFS(A1396&lt;=30,"18-30",A1396&lt;=40,"31-40",A1396&lt;=50,"41-50",A1396&gt;50,"51+")</f>
        <v>31-40</v>
      </c>
      <c r="P1396" t="str" cm="1">
        <f t="array" ref="P1396">_xlfn.IFS(F1396&lt;=45,"45 or below",F1396&lt;= 60,"46-60",F1396&lt;=75,"61-75",F1396&lt;=90,"76-90",F1396&gt;90,"91 or above")</f>
        <v>46-60</v>
      </c>
      <c r="Q139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396" t="str" cm="1">
        <f t="array" ref="R139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397" spans="1:18" hidden="1" x14ac:dyDescent="0.2">
      <c r="A1397">
        <f>Table1[[#This Row],[Age]]</f>
        <v>31</v>
      </c>
      <c r="B1397">
        <f>IF(Table3[[#This Row],[Attrition]] = "Yes", 1,0)</f>
        <v>1</v>
      </c>
      <c r="C1397" t="str">
        <f>Table1[[#This Row],[Attrition]]</f>
        <v>Yes</v>
      </c>
      <c r="D1397" t="str">
        <f>Table1[[#This Row],[Department]]</f>
        <v>Sales</v>
      </c>
      <c r="E1397">
        <f>Table1[[#This Row],[EnvironmentSatisfaction]]</f>
        <v>1</v>
      </c>
      <c r="F1397">
        <f>Table1[[#This Row],[HourlyRate]]</f>
        <v>63</v>
      </c>
      <c r="G1397" t="str">
        <f>Table1[[#This Row],[JobRole]]</f>
        <v>Sales Executive</v>
      </c>
      <c r="H1397">
        <f>Table1[[#This Row],[JobSatisfaction]]</f>
        <v>4</v>
      </c>
      <c r="I1397">
        <f>Table1[[#This Row],[YearsAtCompany]]</f>
        <v>10</v>
      </c>
      <c r="J1397">
        <f>Table1[[#This Row],[YearsSinceLastPromotion]]</f>
        <v>0</v>
      </c>
      <c r="K1397">
        <f>Table1[[#This Row],[EmployeeNumber]]</f>
        <v>1967</v>
      </c>
      <c r="L1397">
        <f>Table1[[#This Row],[DistanceFromHome]]</f>
        <v>26</v>
      </c>
      <c r="M1397" t="str">
        <f>Table1[[#This Row],[OverTime]]</f>
        <v>Yes</v>
      </c>
      <c r="N1397">
        <f>Table1[[#This Row],[WorkLifeBalance]]</f>
        <v>3</v>
      </c>
      <c r="O1397" t="str" cm="1">
        <f t="array" ref="O1397">_xlfn.IFS(A1397&lt;=30,"18-30",A1397&lt;=40,"31-40",A1397&lt;=50,"41-50",A1397&gt;50,"51+")</f>
        <v>31-40</v>
      </c>
      <c r="P1397" t="str" cm="1">
        <f t="array" ref="P1397">_xlfn.IFS(F1397&lt;=45,"45 or below",F1397&lt;= 60,"46-60",F1397&lt;=75,"61-75",F1397&lt;=90,"76-90",F1397&gt;90,"91 or above")</f>
        <v>61-75</v>
      </c>
      <c r="Q1397"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97" t="str" cm="1">
        <f t="array" ref="R1397" xml:space="preserve"> _xlfn.IFS(Table3[[#This Row],[Flight Risk Score]] = "NA","NA",Table3[[#This Row],[Flight Risk Score]] &gt;= 70,"High Risk",Table3[[#This Row],[Flight Risk Score]] &gt;= 50, "Medium Risk", Table3[[#This Row],[Flight Risk Score]] &gt;= 30,"Low Risk",Table3[[#This Row],[Flight Risk Score]] &lt; 30,"Very Low Risk")</f>
        <v>NA</v>
      </c>
    </row>
    <row r="1398" spans="1:18" hidden="1" x14ac:dyDescent="0.2">
      <c r="A1398">
        <f>Table1[[#This Row],[Age]]</f>
        <v>53</v>
      </c>
      <c r="B1398">
        <f>IF(Table3[[#This Row],[Attrition]] = "Yes", 1,0)</f>
        <v>1</v>
      </c>
      <c r="C1398" t="str">
        <f>Table1[[#This Row],[Attrition]]</f>
        <v>Yes</v>
      </c>
      <c r="D1398" t="str">
        <f>Table1[[#This Row],[Department]]</f>
        <v>Sales</v>
      </c>
      <c r="E1398">
        <f>Table1[[#This Row],[EnvironmentSatisfaction]]</f>
        <v>1</v>
      </c>
      <c r="F1398">
        <f>Table1[[#This Row],[HourlyRate]]</f>
        <v>66</v>
      </c>
      <c r="G1398" t="str">
        <f>Table1[[#This Row],[JobRole]]</f>
        <v>Sales Executive</v>
      </c>
      <c r="H1398">
        <f>Table1[[#This Row],[JobSatisfaction]]</f>
        <v>1</v>
      </c>
      <c r="I1398">
        <f>Table1[[#This Row],[YearsAtCompany]]</f>
        <v>2</v>
      </c>
      <c r="J1398">
        <f>Table1[[#This Row],[YearsSinceLastPromotion]]</f>
        <v>2</v>
      </c>
      <c r="K1398">
        <f>Table1[[#This Row],[EmployeeNumber]]</f>
        <v>1968</v>
      </c>
      <c r="L1398">
        <f>Table1[[#This Row],[DistanceFromHome]]</f>
        <v>24</v>
      </c>
      <c r="M1398" t="str">
        <f>Table1[[#This Row],[OverTime]]</f>
        <v>Yes</v>
      </c>
      <c r="N1398">
        <f>Table1[[#This Row],[WorkLifeBalance]]</f>
        <v>2</v>
      </c>
      <c r="O1398" t="str" cm="1">
        <f t="array" ref="O1398">_xlfn.IFS(A1398&lt;=30,"18-30",A1398&lt;=40,"31-40",A1398&lt;=50,"41-50",A1398&gt;50,"51+")</f>
        <v>51+</v>
      </c>
      <c r="P1398" t="str" cm="1">
        <f t="array" ref="P1398">_xlfn.IFS(F1398&lt;=45,"45 or below",F1398&lt;= 60,"46-60",F1398&lt;=75,"61-75",F1398&lt;=90,"76-90",F1398&gt;90,"91 or above")</f>
        <v>61-75</v>
      </c>
      <c r="Q1398"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398" t="str" cm="1">
        <f t="array" ref="R1398" xml:space="preserve"> _xlfn.IFS(Table3[[#This Row],[Flight Risk Score]] = "NA","NA",Table3[[#This Row],[Flight Risk Score]] &gt;= 70,"High Risk",Table3[[#This Row],[Flight Risk Score]] &gt;= 50, "Medium Risk", Table3[[#This Row],[Flight Risk Score]] &gt;= 30,"Low Risk",Table3[[#This Row],[Flight Risk Score]] &lt; 30,"Very Low Risk")</f>
        <v>NA</v>
      </c>
    </row>
    <row r="1399" spans="1:18" x14ac:dyDescent="0.2">
      <c r="A1399">
        <f>Table1[[#This Row],[Age]]</f>
        <v>54</v>
      </c>
      <c r="B1399">
        <f>IF(Table3[[#This Row],[Attrition]] = "Yes", 1,0)</f>
        <v>0</v>
      </c>
      <c r="C1399" t="str">
        <f>Table1[[#This Row],[Attrition]]</f>
        <v>No</v>
      </c>
      <c r="D1399" t="str">
        <f>Table1[[#This Row],[Department]]</f>
        <v>Research &amp; Development</v>
      </c>
      <c r="E1399">
        <f>Table1[[#This Row],[EnvironmentSatisfaction]]</f>
        <v>1</v>
      </c>
      <c r="F1399">
        <f>Table1[[#This Row],[HourlyRate]]</f>
        <v>67</v>
      </c>
      <c r="G1399" t="str">
        <f>Table1[[#This Row],[JobRole]]</f>
        <v>Research Scientist</v>
      </c>
      <c r="H1399">
        <f>Table1[[#This Row],[JobSatisfaction]]</f>
        <v>3</v>
      </c>
      <c r="I1399">
        <f>Table1[[#This Row],[YearsAtCompany]]</f>
        <v>4</v>
      </c>
      <c r="J1399">
        <f>Table1[[#This Row],[YearsSinceLastPromotion]]</f>
        <v>2</v>
      </c>
      <c r="K1399">
        <f>Table1[[#This Row],[EmployeeNumber]]</f>
        <v>1969</v>
      </c>
      <c r="L1399">
        <f>Table1[[#This Row],[DistanceFromHome]]</f>
        <v>9</v>
      </c>
      <c r="M1399" t="str">
        <f>Table1[[#This Row],[OverTime]]</f>
        <v>No</v>
      </c>
      <c r="N1399">
        <f>Table1[[#This Row],[WorkLifeBalance]]</f>
        <v>2</v>
      </c>
      <c r="O1399" t="str" cm="1">
        <f t="array" ref="O1399">_xlfn.IFS(A1399&lt;=30,"18-30",A1399&lt;=40,"31-40",A1399&lt;=50,"41-50",A1399&gt;50,"51+")</f>
        <v>51+</v>
      </c>
      <c r="P1399" t="str" cm="1">
        <f t="array" ref="P1399">_xlfn.IFS(F1399&lt;=45,"45 or below",F1399&lt;= 60,"46-60",F1399&lt;=75,"61-75",F1399&lt;=90,"76-90",F1399&gt;90,"91 or above")</f>
        <v>61-75</v>
      </c>
      <c r="Q139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399" t="str" cm="1">
        <f t="array" ref="R139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00" spans="1:18" x14ac:dyDescent="0.2">
      <c r="A1400">
        <f>Table1[[#This Row],[Age]]</f>
        <v>33</v>
      </c>
      <c r="B1400">
        <f>IF(Table3[[#This Row],[Attrition]] = "Yes", 1,0)</f>
        <v>0</v>
      </c>
      <c r="C1400" t="str">
        <f>Table1[[#This Row],[Attrition]]</f>
        <v>No</v>
      </c>
      <c r="D1400" t="str">
        <f>Table1[[#This Row],[Department]]</f>
        <v>Research &amp; Development</v>
      </c>
      <c r="E1400">
        <f>Table1[[#This Row],[EnvironmentSatisfaction]]</f>
        <v>4</v>
      </c>
      <c r="F1400">
        <f>Table1[[#This Row],[HourlyRate]]</f>
        <v>36</v>
      </c>
      <c r="G1400" t="str">
        <f>Table1[[#This Row],[JobRole]]</f>
        <v>Healthcare Representative</v>
      </c>
      <c r="H1400">
        <f>Table1[[#This Row],[JobSatisfaction]]</f>
        <v>3</v>
      </c>
      <c r="I1400">
        <f>Table1[[#This Row],[YearsAtCompany]]</f>
        <v>9</v>
      </c>
      <c r="J1400">
        <f>Table1[[#This Row],[YearsSinceLastPromotion]]</f>
        <v>2</v>
      </c>
      <c r="K1400">
        <f>Table1[[#This Row],[EmployeeNumber]]</f>
        <v>1970</v>
      </c>
      <c r="L1400">
        <f>Table1[[#This Row],[DistanceFromHome]]</f>
        <v>7</v>
      </c>
      <c r="M1400" t="str">
        <f>Table1[[#This Row],[OverTime]]</f>
        <v>No</v>
      </c>
      <c r="N1400">
        <f>Table1[[#This Row],[WorkLifeBalance]]</f>
        <v>3</v>
      </c>
      <c r="O1400" t="str" cm="1">
        <f t="array" ref="O1400">_xlfn.IFS(A1400&lt;=30,"18-30",A1400&lt;=40,"31-40",A1400&lt;=50,"41-50",A1400&gt;50,"51+")</f>
        <v>31-40</v>
      </c>
      <c r="P1400" t="str" cm="1">
        <f t="array" ref="P1400">_xlfn.IFS(F1400&lt;=45,"45 or below",F1400&lt;= 60,"46-60",F1400&lt;=75,"61-75",F1400&lt;=90,"76-90",F1400&gt;90,"91 or above")</f>
        <v>45 or below</v>
      </c>
      <c r="Q140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00" t="str" cm="1">
        <f t="array" ref="R140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01" spans="1:18" x14ac:dyDescent="0.2">
      <c r="A1401">
        <f>Table1[[#This Row],[Age]]</f>
        <v>43</v>
      </c>
      <c r="B1401">
        <f>IF(Table3[[#This Row],[Attrition]] = "Yes", 1,0)</f>
        <v>0</v>
      </c>
      <c r="C1401" t="str">
        <f>Table1[[#This Row],[Attrition]]</f>
        <v>No</v>
      </c>
      <c r="D1401" t="str">
        <f>Table1[[#This Row],[Department]]</f>
        <v>Research &amp; Development</v>
      </c>
      <c r="E1401">
        <f>Table1[[#This Row],[EnvironmentSatisfaction]]</f>
        <v>1</v>
      </c>
      <c r="F1401">
        <f>Table1[[#This Row],[HourlyRate]]</f>
        <v>30</v>
      </c>
      <c r="G1401" t="str">
        <f>Table1[[#This Row],[JobRole]]</f>
        <v>Healthcare Representative</v>
      </c>
      <c r="H1401">
        <f>Table1[[#This Row],[JobSatisfaction]]</f>
        <v>3</v>
      </c>
      <c r="I1401">
        <f>Table1[[#This Row],[YearsAtCompany]]</f>
        <v>10</v>
      </c>
      <c r="J1401">
        <f>Table1[[#This Row],[YearsSinceLastPromotion]]</f>
        <v>0</v>
      </c>
      <c r="K1401">
        <f>Table1[[#This Row],[EmployeeNumber]]</f>
        <v>1971</v>
      </c>
      <c r="L1401">
        <f>Table1[[#This Row],[DistanceFromHome]]</f>
        <v>11</v>
      </c>
      <c r="M1401" t="str">
        <f>Table1[[#This Row],[OverTime]]</f>
        <v>No</v>
      </c>
      <c r="N1401">
        <f>Table1[[#This Row],[WorkLifeBalance]]</f>
        <v>3</v>
      </c>
      <c r="O1401" t="str" cm="1">
        <f t="array" ref="O1401">_xlfn.IFS(A1401&lt;=30,"18-30",A1401&lt;=40,"31-40",A1401&lt;=50,"41-50",A1401&gt;50,"51+")</f>
        <v>41-50</v>
      </c>
      <c r="P1401" t="str" cm="1">
        <f t="array" ref="P1401">_xlfn.IFS(F1401&lt;=45,"45 or below",F1401&lt;= 60,"46-60",F1401&lt;=75,"61-75",F1401&lt;=90,"76-90",F1401&gt;90,"91 or above")</f>
        <v>45 or below</v>
      </c>
      <c r="Q140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01" t="str" cm="1">
        <f t="array" ref="R140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02" spans="1:18" x14ac:dyDescent="0.2">
      <c r="A1402">
        <f>Table1[[#This Row],[Age]]</f>
        <v>38</v>
      </c>
      <c r="B1402">
        <f>IF(Table3[[#This Row],[Attrition]] = "Yes", 1,0)</f>
        <v>0</v>
      </c>
      <c r="C1402" t="str">
        <f>Table1[[#This Row],[Attrition]]</f>
        <v>No</v>
      </c>
      <c r="D1402" t="str">
        <f>Table1[[#This Row],[Department]]</f>
        <v>Human Resources</v>
      </c>
      <c r="E1402">
        <f>Table1[[#This Row],[EnvironmentSatisfaction]]</f>
        <v>4</v>
      </c>
      <c r="F1402">
        <f>Table1[[#This Row],[HourlyRate]]</f>
        <v>88</v>
      </c>
      <c r="G1402" t="str">
        <f>Table1[[#This Row],[JobRole]]</f>
        <v>Human Resources</v>
      </c>
      <c r="H1402">
        <f>Table1[[#This Row],[JobSatisfaction]]</f>
        <v>2</v>
      </c>
      <c r="I1402">
        <f>Table1[[#This Row],[YearsAtCompany]]</f>
        <v>6</v>
      </c>
      <c r="J1402">
        <f>Table1[[#This Row],[YearsSinceLastPromotion]]</f>
        <v>1</v>
      </c>
      <c r="K1402">
        <f>Table1[[#This Row],[EmployeeNumber]]</f>
        <v>1972</v>
      </c>
      <c r="L1402">
        <f>Table1[[#This Row],[DistanceFromHome]]</f>
        <v>1</v>
      </c>
      <c r="M1402" t="str">
        <f>Table1[[#This Row],[OverTime]]</f>
        <v>Yes</v>
      </c>
      <c r="N1402">
        <f>Table1[[#This Row],[WorkLifeBalance]]</f>
        <v>3</v>
      </c>
      <c r="O1402" t="str" cm="1">
        <f t="array" ref="O1402">_xlfn.IFS(A1402&lt;=30,"18-30",A1402&lt;=40,"31-40",A1402&lt;=50,"41-50",A1402&gt;50,"51+")</f>
        <v>31-40</v>
      </c>
      <c r="P1402" t="str" cm="1">
        <f t="array" ref="P1402">_xlfn.IFS(F1402&lt;=45,"45 or below",F1402&lt;= 60,"46-60",F1402&lt;=75,"61-75",F1402&lt;=90,"76-90",F1402&gt;90,"91 or above")</f>
        <v>76-90</v>
      </c>
      <c r="Q140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02" t="str" cm="1">
        <f t="array" ref="R140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03" spans="1:18" x14ac:dyDescent="0.2">
      <c r="A1403">
        <f>Table1[[#This Row],[Age]]</f>
        <v>55</v>
      </c>
      <c r="B1403">
        <f>IF(Table3[[#This Row],[Attrition]] = "Yes", 1,0)</f>
        <v>0</v>
      </c>
      <c r="C1403" t="str">
        <f>Table1[[#This Row],[Attrition]]</f>
        <v>No</v>
      </c>
      <c r="D1403" t="str">
        <f>Table1[[#This Row],[Department]]</f>
        <v>Human Resources</v>
      </c>
      <c r="E1403">
        <f>Table1[[#This Row],[EnvironmentSatisfaction]]</f>
        <v>3</v>
      </c>
      <c r="F1403">
        <f>Table1[[#This Row],[HourlyRate]]</f>
        <v>71</v>
      </c>
      <c r="G1403" t="str">
        <f>Table1[[#This Row],[JobRole]]</f>
        <v>Manager</v>
      </c>
      <c r="H1403">
        <f>Table1[[#This Row],[JobSatisfaction]]</f>
        <v>2</v>
      </c>
      <c r="I1403">
        <f>Table1[[#This Row],[YearsAtCompany]]</f>
        <v>10</v>
      </c>
      <c r="J1403">
        <f>Table1[[#This Row],[YearsSinceLastPromotion]]</f>
        <v>1</v>
      </c>
      <c r="K1403">
        <f>Table1[[#This Row],[EmployeeNumber]]</f>
        <v>1973</v>
      </c>
      <c r="L1403">
        <f>Table1[[#This Row],[DistanceFromHome]]</f>
        <v>26</v>
      </c>
      <c r="M1403" t="str">
        <f>Table1[[#This Row],[OverTime]]</f>
        <v>Yes</v>
      </c>
      <c r="N1403">
        <f>Table1[[#This Row],[WorkLifeBalance]]</f>
        <v>3</v>
      </c>
      <c r="O1403" t="str" cm="1">
        <f t="array" ref="O1403">_xlfn.IFS(A1403&lt;=30,"18-30",A1403&lt;=40,"31-40",A1403&lt;=50,"41-50",A1403&gt;50,"51+")</f>
        <v>51+</v>
      </c>
      <c r="P1403" t="str" cm="1">
        <f t="array" ref="P1403">_xlfn.IFS(F1403&lt;=45,"45 or below",F1403&lt;= 60,"46-60",F1403&lt;=75,"61-75",F1403&lt;=90,"76-90",F1403&gt;90,"91 or above")</f>
        <v>61-75</v>
      </c>
      <c r="Q140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03" t="str" cm="1">
        <f t="array" ref="R140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04" spans="1:18" x14ac:dyDescent="0.2">
      <c r="A1404">
        <f>Table1[[#This Row],[Age]]</f>
        <v>31</v>
      </c>
      <c r="B1404">
        <f>IF(Table3[[#This Row],[Attrition]] = "Yes", 1,0)</f>
        <v>0</v>
      </c>
      <c r="C1404" t="str">
        <f>Table1[[#This Row],[Attrition]]</f>
        <v>No</v>
      </c>
      <c r="D1404" t="str">
        <f>Table1[[#This Row],[Department]]</f>
        <v>Research &amp; Development</v>
      </c>
      <c r="E1404">
        <f>Table1[[#This Row],[EnvironmentSatisfaction]]</f>
        <v>4</v>
      </c>
      <c r="F1404">
        <f>Table1[[#This Row],[HourlyRate]]</f>
        <v>59</v>
      </c>
      <c r="G1404" t="str">
        <f>Table1[[#This Row],[JobRole]]</f>
        <v>Laboratory Technician</v>
      </c>
      <c r="H1404">
        <f>Table1[[#This Row],[JobSatisfaction]]</f>
        <v>4</v>
      </c>
      <c r="I1404">
        <f>Table1[[#This Row],[YearsAtCompany]]</f>
        <v>1</v>
      </c>
      <c r="J1404">
        <f>Table1[[#This Row],[YearsSinceLastPromotion]]</f>
        <v>0</v>
      </c>
      <c r="K1404">
        <f>Table1[[#This Row],[EmployeeNumber]]</f>
        <v>1974</v>
      </c>
      <c r="L1404">
        <f>Table1[[#This Row],[DistanceFromHome]]</f>
        <v>2</v>
      </c>
      <c r="M1404" t="str">
        <f>Table1[[#This Row],[OverTime]]</f>
        <v>Yes</v>
      </c>
      <c r="N1404">
        <f>Table1[[#This Row],[WorkLifeBalance]]</f>
        <v>3</v>
      </c>
      <c r="O1404" t="str" cm="1">
        <f t="array" ref="O1404">_xlfn.IFS(A1404&lt;=30,"18-30",A1404&lt;=40,"31-40",A1404&lt;=50,"41-50",A1404&gt;50,"51+")</f>
        <v>31-40</v>
      </c>
      <c r="P1404" t="str" cm="1">
        <f t="array" ref="P1404">_xlfn.IFS(F1404&lt;=45,"45 or below",F1404&lt;= 60,"46-60",F1404&lt;=75,"61-75",F1404&lt;=90,"76-90",F1404&gt;90,"91 or above")</f>
        <v>46-60</v>
      </c>
      <c r="Q140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04" t="str" cm="1">
        <f t="array" ref="R140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05" spans="1:18" x14ac:dyDescent="0.2">
      <c r="A1405">
        <f>Table1[[#This Row],[Age]]</f>
        <v>39</v>
      </c>
      <c r="B1405">
        <f>IF(Table3[[#This Row],[Attrition]] = "Yes", 1,0)</f>
        <v>0</v>
      </c>
      <c r="C1405" t="str">
        <f>Table1[[#This Row],[Attrition]]</f>
        <v>No</v>
      </c>
      <c r="D1405" t="str">
        <f>Table1[[#This Row],[Department]]</f>
        <v>Sales</v>
      </c>
      <c r="E1405">
        <f>Table1[[#This Row],[EnvironmentSatisfaction]]</f>
        <v>2</v>
      </c>
      <c r="F1405">
        <f>Table1[[#This Row],[HourlyRate]]</f>
        <v>77</v>
      </c>
      <c r="G1405" t="str">
        <f>Table1[[#This Row],[JobRole]]</f>
        <v>Sales Executive</v>
      </c>
      <c r="H1405">
        <f>Table1[[#This Row],[JobSatisfaction]]</f>
        <v>1</v>
      </c>
      <c r="I1405">
        <f>Table1[[#This Row],[YearsAtCompany]]</f>
        <v>20</v>
      </c>
      <c r="J1405">
        <f>Table1[[#This Row],[YearsSinceLastPromotion]]</f>
        <v>11</v>
      </c>
      <c r="K1405">
        <f>Table1[[#This Row],[EmployeeNumber]]</f>
        <v>1975</v>
      </c>
      <c r="L1405">
        <f>Table1[[#This Row],[DistanceFromHome]]</f>
        <v>15</v>
      </c>
      <c r="M1405" t="str">
        <f>Table1[[#This Row],[OverTime]]</f>
        <v>No</v>
      </c>
      <c r="N1405">
        <f>Table1[[#This Row],[WorkLifeBalance]]</f>
        <v>3</v>
      </c>
      <c r="O1405" t="str" cm="1">
        <f t="array" ref="O1405">_xlfn.IFS(A1405&lt;=30,"18-30",A1405&lt;=40,"31-40",A1405&lt;=50,"41-50",A1405&gt;50,"51+")</f>
        <v>31-40</v>
      </c>
      <c r="P1405" t="str" cm="1">
        <f t="array" ref="P1405">_xlfn.IFS(F1405&lt;=45,"45 or below",F1405&lt;= 60,"46-60",F1405&lt;=75,"61-75",F1405&lt;=90,"76-90",F1405&gt;90,"91 or above")</f>
        <v>76-90</v>
      </c>
      <c r="Q140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405" t="str" cm="1">
        <f t="array" ref="R140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06" spans="1:18" x14ac:dyDescent="0.2">
      <c r="A1406">
        <f>Table1[[#This Row],[Age]]</f>
        <v>42</v>
      </c>
      <c r="B1406">
        <f>IF(Table3[[#This Row],[Attrition]] = "Yes", 1,0)</f>
        <v>0</v>
      </c>
      <c r="C1406" t="str">
        <f>Table1[[#This Row],[Attrition]]</f>
        <v>No</v>
      </c>
      <c r="D1406" t="str">
        <f>Table1[[#This Row],[Department]]</f>
        <v>Research &amp; Development</v>
      </c>
      <c r="E1406">
        <f>Table1[[#This Row],[EnvironmentSatisfaction]]</f>
        <v>4</v>
      </c>
      <c r="F1406">
        <f>Table1[[#This Row],[HourlyRate]]</f>
        <v>37</v>
      </c>
      <c r="G1406" t="str">
        <f>Table1[[#This Row],[JobRole]]</f>
        <v>Research Scientist</v>
      </c>
      <c r="H1406">
        <f>Table1[[#This Row],[JobSatisfaction]]</f>
        <v>3</v>
      </c>
      <c r="I1406">
        <f>Table1[[#This Row],[YearsAtCompany]]</f>
        <v>20</v>
      </c>
      <c r="J1406">
        <f>Table1[[#This Row],[YearsSinceLastPromotion]]</f>
        <v>3</v>
      </c>
      <c r="K1406">
        <f>Table1[[#This Row],[EmployeeNumber]]</f>
        <v>1976</v>
      </c>
      <c r="L1406">
        <f>Table1[[#This Row],[DistanceFromHome]]</f>
        <v>23</v>
      </c>
      <c r="M1406" t="str">
        <f>Table1[[#This Row],[OverTime]]</f>
        <v>No</v>
      </c>
      <c r="N1406">
        <f>Table1[[#This Row],[WorkLifeBalance]]</f>
        <v>3</v>
      </c>
      <c r="O1406" t="str" cm="1">
        <f t="array" ref="O1406">_xlfn.IFS(A1406&lt;=30,"18-30",A1406&lt;=40,"31-40",A1406&lt;=50,"41-50",A1406&gt;50,"51+")</f>
        <v>41-50</v>
      </c>
      <c r="P1406" t="str" cm="1">
        <f t="array" ref="P1406">_xlfn.IFS(F1406&lt;=45,"45 or below",F1406&lt;= 60,"46-60",F1406&lt;=75,"61-75",F1406&lt;=90,"76-90",F1406&gt;90,"91 or above")</f>
        <v>45 or below</v>
      </c>
      <c r="Q140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06" t="str" cm="1">
        <f t="array" ref="R140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07" spans="1:18" x14ac:dyDescent="0.2">
      <c r="A1407">
        <f>Table1[[#This Row],[Age]]</f>
        <v>31</v>
      </c>
      <c r="B1407">
        <f>IF(Table3[[#This Row],[Attrition]] = "Yes", 1,0)</f>
        <v>0</v>
      </c>
      <c r="C1407" t="str">
        <f>Table1[[#This Row],[Attrition]]</f>
        <v>No</v>
      </c>
      <c r="D1407" t="str">
        <f>Table1[[#This Row],[Department]]</f>
        <v>Research &amp; Development</v>
      </c>
      <c r="E1407">
        <f>Table1[[#This Row],[EnvironmentSatisfaction]]</f>
        <v>3</v>
      </c>
      <c r="F1407">
        <f>Table1[[#This Row],[HourlyRate]]</f>
        <v>40</v>
      </c>
      <c r="G1407" t="str">
        <f>Table1[[#This Row],[JobRole]]</f>
        <v>Research Director</v>
      </c>
      <c r="H1407">
        <f>Table1[[#This Row],[JobSatisfaction]]</f>
        <v>3</v>
      </c>
      <c r="I1407">
        <f>Table1[[#This Row],[YearsAtCompany]]</f>
        <v>11</v>
      </c>
      <c r="J1407">
        <f>Table1[[#This Row],[YearsSinceLastPromotion]]</f>
        <v>4</v>
      </c>
      <c r="K1407">
        <f>Table1[[#This Row],[EmployeeNumber]]</f>
        <v>1979</v>
      </c>
      <c r="L1407">
        <f>Table1[[#This Row],[DistanceFromHome]]</f>
        <v>10</v>
      </c>
      <c r="M1407" t="str">
        <f>Table1[[#This Row],[OverTime]]</f>
        <v>No</v>
      </c>
      <c r="N1407">
        <f>Table1[[#This Row],[WorkLifeBalance]]</f>
        <v>4</v>
      </c>
      <c r="O1407" t="str" cm="1">
        <f t="array" ref="O1407">_xlfn.IFS(A1407&lt;=30,"18-30",A1407&lt;=40,"31-40",A1407&lt;=50,"41-50",A1407&gt;50,"51+")</f>
        <v>31-40</v>
      </c>
      <c r="P1407" t="str" cm="1">
        <f t="array" ref="P1407">_xlfn.IFS(F1407&lt;=45,"45 or below",F1407&lt;= 60,"46-60",F1407&lt;=75,"61-75",F1407&lt;=90,"76-90",F1407&gt;90,"91 or above")</f>
        <v>45 or below</v>
      </c>
      <c r="Q140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07" t="str" cm="1">
        <f t="array" ref="R140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08" spans="1:18" x14ac:dyDescent="0.2">
      <c r="A1408">
        <f>Table1[[#This Row],[Age]]</f>
        <v>54</v>
      </c>
      <c r="B1408">
        <f>IF(Table3[[#This Row],[Attrition]] = "Yes", 1,0)</f>
        <v>0</v>
      </c>
      <c r="C1408" t="str">
        <f>Table1[[#This Row],[Attrition]]</f>
        <v>No</v>
      </c>
      <c r="D1408" t="str">
        <f>Table1[[#This Row],[Department]]</f>
        <v>Research &amp; Development</v>
      </c>
      <c r="E1408">
        <f>Table1[[#This Row],[EnvironmentSatisfaction]]</f>
        <v>3</v>
      </c>
      <c r="F1408">
        <f>Table1[[#This Row],[HourlyRate]]</f>
        <v>77</v>
      </c>
      <c r="G1408" t="str">
        <f>Table1[[#This Row],[JobRole]]</f>
        <v>Manufacturing Director</v>
      </c>
      <c r="H1408">
        <f>Table1[[#This Row],[JobSatisfaction]]</f>
        <v>1</v>
      </c>
      <c r="I1408">
        <f>Table1[[#This Row],[YearsAtCompany]]</f>
        <v>5</v>
      </c>
      <c r="J1408">
        <f>Table1[[#This Row],[YearsSinceLastPromotion]]</f>
        <v>1</v>
      </c>
      <c r="K1408">
        <f>Table1[[#This Row],[EmployeeNumber]]</f>
        <v>1980</v>
      </c>
      <c r="L1408">
        <f>Table1[[#This Row],[DistanceFromHome]]</f>
        <v>10</v>
      </c>
      <c r="M1408" t="str">
        <f>Table1[[#This Row],[OverTime]]</f>
        <v>Yes</v>
      </c>
      <c r="N1408">
        <f>Table1[[#This Row],[WorkLifeBalance]]</f>
        <v>3</v>
      </c>
      <c r="O1408" t="str" cm="1">
        <f t="array" ref="O1408">_xlfn.IFS(A1408&lt;=30,"18-30",A1408&lt;=40,"31-40",A1408&lt;=50,"41-50",A1408&gt;50,"51+")</f>
        <v>51+</v>
      </c>
      <c r="P1408" t="str" cm="1">
        <f t="array" ref="P1408">_xlfn.IFS(F1408&lt;=45,"45 or below",F1408&lt;= 60,"46-60",F1408&lt;=75,"61-75",F1408&lt;=90,"76-90",F1408&gt;90,"91 or above")</f>
        <v>76-90</v>
      </c>
      <c r="Q140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08" t="str" cm="1">
        <f t="array" ref="R140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09" spans="1:18" x14ac:dyDescent="0.2">
      <c r="A1409">
        <f>Table1[[#This Row],[Age]]</f>
        <v>24</v>
      </c>
      <c r="B1409">
        <f>IF(Table3[[#This Row],[Attrition]] = "Yes", 1,0)</f>
        <v>0</v>
      </c>
      <c r="C1409" t="str">
        <f>Table1[[#This Row],[Attrition]]</f>
        <v>No</v>
      </c>
      <c r="D1409" t="str">
        <f>Table1[[#This Row],[Department]]</f>
        <v>Research &amp; Development</v>
      </c>
      <c r="E1409">
        <f>Table1[[#This Row],[EnvironmentSatisfaction]]</f>
        <v>2</v>
      </c>
      <c r="F1409">
        <f>Table1[[#This Row],[HourlyRate]]</f>
        <v>45</v>
      </c>
      <c r="G1409" t="str">
        <f>Table1[[#This Row],[JobRole]]</f>
        <v>Healthcare Representative</v>
      </c>
      <c r="H1409">
        <f>Table1[[#This Row],[JobSatisfaction]]</f>
        <v>3</v>
      </c>
      <c r="I1409">
        <f>Table1[[#This Row],[YearsAtCompany]]</f>
        <v>4</v>
      </c>
      <c r="J1409">
        <f>Table1[[#This Row],[YearsSinceLastPromotion]]</f>
        <v>1</v>
      </c>
      <c r="K1409">
        <f>Table1[[#This Row],[EmployeeNumber]]</f>
        <v>1981</v>
      </c>
      <c r="L1409">
        <f>Table1[[#This Row],[DistanceFromHome]]</f>
        <v>1</v>
      </c>
      <c r="M1409" t="str">
        <f>Table1[[#This Row],[OverTime]]</f>
        <v>No</v>
      </c>
      <c r="N1409">
        <f>Table1[[#This Row],[WorkLifeBalance]]</f>
        <v>2</v>
      </c>
      <c r="O1409" t="str" cm="1">
        <f t="array" ref="O1409">_xlfn.IFS(A1409&lt;=30,"18-30",A1409&lt;=40,"31-40",A1409&lt;=50,"41-50",A1409&gt;50,"51+")</f>
        <v>18-30</v>
      </c>
      <c r="P1409" t="str" cm="1">
        <f t="array" ref="P1409">_xlfn.IFS(F1409&lt;=45,"45 or below",F1409&lt;= 60,"46-60",F1409&lt;=75,"61-75",F1409&lt;=90,"76-90",F1409&gt;90,"91 or above")</f>
        <v>45 or below</v>
      </c>
      <c r="Q140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09" t="str" cm="1">
        <f t="array" ref="R140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0" spans="1:18" x14ac:dyDescent="0.2">
      <c r="A1410">
        <f>Table1[[#This Row],[Age]]</f>
        <v>23</v>
      </c>
      <c r="B1410">
        <f>IF(Table3[[#This Row],[Attrition]] = "Yes", 1,0)</f>
        <v>0</v>
      </c>
      <c r="C1410" t="str">
        <f>Table1[[#This Row],[Attrition]]</f>
        <v>No</v>
      </c>
      <c r="D1410" t="str">
        <f>Table1[[#This Row],[Department]]</f>
        <v>Research &amp; Development</v>
      </c>
      <c r="E1410">
        <f>Table1[[#This Row],[EnvironmentSatisfaction]]</f>
        <v>4</v>
      </c>
      <c r="F1410">
        <f>Table1[[#This Row],[HourlyRate]]</f>
        <v>78</v>
      </c>
      <c r="G1410" t="str">
        <f>Table1[[#This Row],[JobRole]]</f>
        <v>Laboratory Technician</v>
      </c>
      <c r="H1410">
        <f>Table1[[#This Row],[JobSatisfaction]]</f>
        <v>4</v>
      </c>
      <c r="I1410">
        <f>Table1[[#This Row],[YearsAtCompany]]</f>
        <v>5</v>
      </c>
      <c r="J1410">
        <f>Table1[[#This Row],[YearsSinceLastPromotion]]</f>
        <v>1</v>
      </c>
      <c r="K1410">
        <f>Table1[[#This Row],[EmployeeNumber]]</f>
        <v>1982</v>
      </c>
      <c r="L1410">
        <f>Table1[[#This Row],[DistanceFromHome]]</f>
        <v>12</v>
      </c>
      <c r="M1410" t="str">
        <f>Table1[[#This Row],[OverTime]]</f>
        <v>No</v>
      </c>
      <c r="N1410">
        <f>Table1[[#This Row],[WorkLifeBalance]]</f>
        <v>4</v>
      </c>
      <c r="O1410" t="str" cm="1">
        <f t="array" ref="O1410">_xlfn.IFS(A1410&lt;=30,"18-30",A1410&lt;=40,"31-40",A1410&lt;=50,"41-50",A1410&gt;50,"51+")</f>
        <v>18-30</v>
      </c>
      <c r="P1410" t="str" cm="1">
        <f t="array" ref="P1410">_xlfn.IFS(F1410&lt;=45,"45 or below",F1410&lt;= 60,"46-60",F1410&lt;=75,"61-75",F1410&lt;=90,"76-90",F1410&gt;90,"91 or above")</f>
        <v>76-90</v>
      </c>
      <c r="Q141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10" t="str" cm="1">
        <f t="array" ref="R141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1" spans="1:18" x14ac:dyDescent="0.2">
      <c r="A1411">
        <f>Table1[[#This Row],[Age]]</f>
        <v>40</v>
      </c>
      <c r="B1411">
        <f>IF(Table3[[#This Row],[Attrition]] = "Yes", 1,0)</f>
        <v>0</v>
      </c>
      <c r="C1411" t="str">
        <f>Table1[[#This Row],[Attrition]]</f>
        <v>No</v>
      </c>
      <c r="D1411" t="str">
        <f>Table1[[#This Row],[Department]]</f>
        <v>Research &amp; Development</v>
      </c>
      <c r="E1411">
        <f>Table1[[#This Row],[EnvironmentSatisfaction]]</f>
        <v>4</v>
      </c>
      <c r="F1411">
        <f>Table1[[#This Row],[HourlyRate]]</f>
        <v>73</v>
      </c>
      <c r="G1411" t="str">
        <f>Table1[[#This Row],[JobRole]]</f>
        <v>Laboratory Technician</v>
      </c>
      <c r="H1411">
        <f>Table1[[#This Row],[JobSatisfaction]]</f>
        <v>3</v>
      </c>
      <c r="I1411">
        <f>Table1[[#This Row],[YearsAtCompany]]</f>
        <v>10</v>
      </c>
      <c r="J1411">
        <f>Table1[[#This Row],[YearsSinceLastPromotion]]</f>
        <v>9</v>
      </c>
      <c r="K1411">
        <f>Table1[[#This Row],[EmployeeNumber]]</f>
        <v>1985</v>
      </c>
      <c r="L1411">
        <f>Table1[[#This Row],[DistanceFromHome]]</f>
        <v>11</v>
      </c>
      <c r="M1411" t="str">
        <f>Table1[[#This Row],[OverTime]]</f>
        <v>No</v>
      </c>
      <c r="N1411">
        <f>Table1[[#This Row],[WorkLifeBalance]]</f>
        <v>4</v>
      </c>
      <c r="O1411" t="str" cm="1">
        <f t="array" ref="O1411">_xlfn.IFS(A1411&lt;=30,"18-30",A1411&lt;=40,"31-40",A1411&lt;=50,"41-50",A1411&gt;50,"51+")</f>
        <v>31-40</v>
      </c>
      <c r="P1411" t="str" cm="1">
        <f t="array" ref="P1411">_xlfn.IFS(F1411&lt;=45,"45 or below",F1411&lt;= 60,"46-60",F1411&lt;=75,"61-75",F1411&lt;=90,"76-90",F1411&gt;90,"91 or above")</f>
        <v>61-75</v>
      </c>
      <c r="Q141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11" t="str" cm="1">
        <f t="array" ref="R141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2" spans="1:18" x14ac:dyDescent="0.2">
      <c r="A1412">
        <f>Table1[[#This Row],[Age]]</f>
        <v>40</v>
      </c>
      <c r="B1412">
        <f>IF(Table3[[#This Row],[Attrition]] = "Yes", 1,0)</f>
        <v>0</v>
      </c>
      <c r="C1412" t="str">
        <f>Table1[[#This Row],[Attrition]]</f>
        <v>No</v>
      </c>
      <c r="D1412" t="str">
        <f>Table1[[#This Row],[Department]]</f>
        <v>Sales</v>
      </c>
      <c r="E1412">
        <f>Table1[[#This Row],[EnvironmentSatisfaction]]</f>
        <v>2</v>
      </c>
      <c r="F1412">
        <f>Table1[[#This Row],[HourlyRate]]</f>
        <v>92</v>
      </c>
      <c r="G1412" t="str">
        <f>Table1[[#This Row],[JobRole]]</f>
        <v>Sales Executive</v>
      </c>
      <c r="H1412">
        <f>Table1[[#This Row],[JobSatisfaction]]</f>
        <v>2</v>
      </c>
      <c r="I1412">
        <f>Table1[[#This Row],[YearsAtCompany]]</f>
        <v>11</v>
      </c>
      <c r="J1412">
        <f>Table1[[#This Row],[YearsSinceLastPromotion]]</f>
        <v>5</v>
      </c>
      <c r="K1412">
        <f>Table1[[#This Row],[EmployeeNumber]]</f>
        <v>1986</v>
      </c>
      <c r="L1412">
        <f>Table1[[#This Row],[DistanceFromHome]]</f>
        <v>2</v>
      </c>
      <c r="M1412" t="str">
        <f>Table1[[#This Row],[OverTime]]</f>
        <v>No</v>
      </c>
      <c r="N1412">
        <f>Table1[[#This Row],[WorkLifeBalance]]</f>
        <v>3</v>
      </c>
      <c r="O1412" t="str" cm="1">
        <f t="array" ref="O1412">_xlfn.IFS(A1412&lt;=30,"18-30",A1412&lt;=40,"31-40",A1412&lt;=50,"41-50",A1412&gt;50,"51+")</f>
        <v>31-40</v>
      </c>
      <c r="P1412" t="str" cm="1">
        <f t="array" ref="P1412">_xlfn.IFS(F1412&lt;=45,"45 or below",F1412&lt;= 60,"46-60",F1412&lt;=75,"61-75",F1412&lt;=90,"76-90",F1412&gt;90,"91 or above")</f>
        <v>91 or above</v>
      </c>
      <c r="Q141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412" t="str" cm="1">
        <f t="array" ref="R141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13" spans="1:18" x14ac:dyDescent="0.2">
      <c r="A1413">
        <f>Table1[[#This Row],[Age]]</f>
        <v>25</v>
      </c>
      <c r="B1413">
        <f>IF(Table3[[#This Row],[Attrition]] = "Yes", 1,0)</f>
        <v>0</v>
      </c>
      <c r="C1413" t="str">
        <f>Table1[[#This Row],[Attrition]]</f>
        <v>No</v>
      </c>
      <c r="D1413" t="str">
        <f>Table1[[#This Row],[Department]]</f>
        <v>Human Resources</v>
      </c>
      <c r="E1413">
        <f>Table1[[#This Row],[EnvironmentSatisfaction]]</f>
        <v>3</v>
      </c>
      <c r="F1413">
        <f>Table1[[#This Row],[HourlyRate]]</f>
        <v>82</v>
      </c>
      <c r="G1413" t="str">
        <f>Table1[[#This Row],[JobRole]]</f>
        <v>Human Resources</v>
      </c>
      <c r="H1413">
        <f>Table1[[#This Row],[JobSatisfaction]]</f>
        <v>2</v>
      </c>
      <c r="I1413">
        <f>Table1[[#This Row],[YearsAtCompany]]</f>
        <v>2</v>
      </c>
      <c r="J1413">
        <f>Table1[[#This Row],[YearsSinceLastPromotion]]</f>
        <v>1</v>
      </c>
      <c r="K1413">
        <f>Table1[[#This Row],[EmployeeNumber]]</f>
        <v>1987</v>
      </c>
      <c r="L1413">
        <f>Table1[[#This Row],[DistanceFromHome]]</f>
        <v>2</v>
      </c>
      <c r="M1413" t="str">
        <f>Table1[[#This Row],[OverTime]]</f>
        <v>No</v>
      </c>
      <c r="N1413">
        <f>Table1[[#This Row],[WorkLifeBalance]]</f>
        <v>3</v>
      </c>
      <c r="O1413" t="str" cm="1">
        <f t="array" ref="O1413">_xlfn.IFS(A1413&lt;=30,"18-30",A1413&lt;=40,"31-40",A1413&lt;=50,"41-50",A1413&gt;50,"51+")</f>
        <v>18-30</v>
      </c>
      <c r="P1413" t="str" cm="1">
        <f t="array" ref="P1413">_xlfn.IFS(F1413&lt;=45,"45 or below",F1413&lt;= 60,"46-60",F1413&lt;=75,"61-75",F1413&lt;=90,"76-90",F1413&gt;90,"91 or above")</f>
        <v>76-90</v>
      </c>
      <c r="Q141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13" t="str" cm="1">
        <f t="array" ref="R141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4" spans="1:18" x14ac:dyDescent="0.2">
      <c r="A1414">
        <f>Table1[[#This Row],[Age]]</f>
        <v>30</v>
      </c>
      <c r="B1414">
        <f>IF(Table3[[#This Row],[Attrition]] = "Yes", 1,0)</f>
        <v>0</v>
      </c>
      <c r="C1414" t="str">
        <f>Table1[[#This Row],[Attrition]]</f>
        <v>No</v>
      </c>
      <c r="D1414" t="str">
        <f>Table1[[#This Row],[Department]]</f>
        <v>Research &amp; Development</v>
      </c>
      <c r="E1414">
        <f>Table1[[#This Row],[EnvironmentSatisfaction]]</f>
        <v>4</v>
      </c>
      <c r="F1414">
        <f>Table1[[#This Row],[HourlyRate]]</f>
        <v>76</v>
      </c>
      <c r="G1414" t="str">
        <f>Table1[[#This Row],[JobRole]]</f>
        <v>Laboratory Technician</v>
      </c>
      <c r="H1414">
        <f>Table1[[#This Row],[JobSatisfaction]]</f>
        <v>2</v>
      </c>
      <c r="I1414">
        <f>Table1[[#This Row],[YearsAtCompany]]</f>
        <v>12</v>
      </c>
      <c r="J1414">
        <f>Table1[[#This Row],[YearsSinceLastPromotion]]</f>
        <v>1</v>
      </c>
      <c r="K1414">
        <f>Table1[[#This Row],[EmployeeNumber]]</f>
        <v>1989</v>
      </c>
      <c r="L1414">
        <f>Table1[[#This Row],[DistanceFromHome]]</f>
        <v>1</v>
      </c>
      <c r="M1414" t="str">
        <f>Table1[[#This Row],[OverTime]]</f>
        <v>No</v>
      </c>
      <c r="N1414">
        <f>Table1[[#This Row],[WorkLifeBalance]]</f>
        <v>2</v>
      </c>
      <c r="O1414" t="str" cm="1">
        <f t="array" ref="O1414">_xlfn.IFS(A1414&lt;=30,"18-30",A1414&lt;=40,"31-40",A1414&lt;=50,"41-50",A1414&gt;50,"51+")</f>
        <v>18-30</v>
      </c>
      <c r="P1414" t="str" cm="1">
        <f t="array" ref="P1414">_xlfn.IFS(F1414&lt;=45,"45 or below",F1414&lt;= 60,"46-60",F1414&lt;=75,"61-75",F1414&lt;=90,"76-90",F1414&gt;90,"91 or above")</f>
        <v>76-90</v>
      </c>
      <c r="Q141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14" t="str" cm="1">
        <f t="array" ref="R141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5" spans="1:18" x14ac:dyDescent="0.2">
      <c r="A1415">
        <f>Table1[[#This Row],[Age]]</f>
        <v>25</v>
      </c>
      <c r="B1415">
        <f>IF(Table3[[#This Row],[Attrition]] = "Yes", 1,0)</f>
        <v>0</v>
      </c>
      <c r="C1415" t="str">
        <f>Table1[[#This Row],[Attrition]]</f>
        <v>No</v>
      </c>
      <c r="D1415" t="str">
        <f>Table1[[#This Row],[Department]]</f>
        <v>Research &amp; Development</v>
      </c>
      <c r="E1415">
        <f>Table1[[#This Row],[EnvironmentSatisfaction]]</f>
        <v>4</v>
      </c>
      <c r="F1415">
        <f>Table1[[#This Row],[HourlyRate]]</f>
        <v>57</v>
      </c>
      <c r="G1415" t="str">
        <f>Table1[[#This Row],[JobRole]]</f>
        <v>Laboratory Technician</v>
      </c>
      <c r="H1415">
        <f>Table1[[#This Row],[JobSatisfaction]]</f>
        <v>3</v>
      </c>
      <c r="I1415">
        <f>Table1[[#This Row],[YearsAtCompany]]</f>
        <v>2</v>
      </c>
      <c r="J1415">
        <f>Table1[[#This Row],[YearsSinceLastPromotion]]</f>
        <v>0</v>
      </c>
      <c r="K1415">
        <f>Table1[[#This Row],[EmployeeNumber]]</f>
        <v>1992</v>
      </c>
      <c r="L1415">
        <f>Table1[[#This Row],[DistanceFromHome]]</f>
        <v>2</v>
      </c>
      <c r="M1415" t="str">
        <f>Table1[[#This Row],[OverTime]]</f>
        <v>Yes</v>
      </c>
      <c r="N1415">
        <f>Table1[[#This Row],[WorkLifeBalance]]</f>
        <v>2</v>
      </c>
      <c r="O1415" t="str" cm="1">
        <f t="array" ref="O1415">_xlfn.IFS(A1415&lt;=30,"18-30",A1415&lt;=40,"31-40",A1415&lt;=50,"41-50",A1415&gt;50,"51+")</f>
        <v>18-30</v>
      </c>
      <c r="P1415" t="str" cm="1">
        <f t="array" ref="P1415">_xlfn.IFS(F1415&lt;=45,"45 or below",F1415&lt;= 60,"46-60",F1415&lt;=75,"61-75",F1415&lt;=90,"76-90",F1415&gt;90,"91 or above")</f>
        <v>46-60</v>
      </c>
      <c r="Q141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15" t="str" cm="1">
        <f t="array" ref="R141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16" spans="1:18" x14ac:dyDescent="0.2">
      <c r="A1416">
        <f>Table1[[#This Row],[Age]]</f>
        <v>47</v>
      </c>
      <c r="B1416">
        <f>IF(Table3[[#This Row],[Attrition]] = "Yes", 1,0)</f>
        <v>0</v>
      </c>
      <c r="C1416" t="str">
        <f>Table1[[#This Row],[Attrition]]</f>
        <v>No</v>
      </c>
      <c r="D1416" t="str">
        <f>Table1[[#This Row],[Department]]</f>
        <v>Research &amp; Development</v>
      </c>
      <c r="E1416">
        <f>Table1[[#This Row],[EnvironmentSatisfaction]]</f>
        <v>1</v>
      </c>
      <c r="F1416">
        <f>Table1[[#This Row],[HourlyRate]]</f>
        <v>84</v>
      </c>
      <c r="G1416" t="str">
        <f>Table1[[#This Row],[JobRole]]</f>
        <v>Healthcare Representative</v>
      </c>
      <c r="H1416">
        <f>Table1[[#This Row],[JobSatisfaction]]</f>
        <v>3</v>
      </c>
      <c r="I1416">
        <f>Table1[[#This Row],[YearsAtCompany]]</f>
        <v>17</v>
      </c>
      <c r="J1416">
        <f>Table1[[#This Row],[YearsSinceLastPromotion]]</f>
        <v>12</v>
      </c>
      <c r="K1416">
        <f>Table1[[#This Row],[EmployeeNumber]]</f>
        <v>1993</v>
      </c>
      <c r="L1416">
        <f>Table1[[#This Row],[DistanceFromHome]]</f>
        <v>25</v>
      </c>
      <c r="M1416" t="str">
        <f>Table1[[#This Row],[OverTime]]</f>
        <v>No</v>
      </c>
      <c r="N1416">
        <f>Table1[[#This Row],[WorkLifeBalance]]</f>
        <v>3</v>
      </c>
      <c r="O1416" t="str" cm="1">
        <f t="array" ref="O1416">_xlfn.IFS(A1416&lt;=30,"18-30",A1416&lt;=40,"31-40",A1416&lt;=50,"41-50",A1416&gt;50,"51+")</f>
        <v>41-50</v>
      </c>
      <c r="P1416" t="str" cm="1">
        <f t="array" ref="P1416">_xlfn.IFS(F1416&lt;=45,"45 or below",F1416&lt;= 60,"46-60",F1416&lt;=75,"61-75",F1416&lt;=90,"76-90",F1416&gt;90,"91 or above")</f>
        <v>76-90</v>
      </c>
      <c r="Q141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16" t="str" cm="1">
        <f t="array" ref="R141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7" spans="1:18" x14ac:dyDescent="0.2">
      <c r="A1417">
        <f>Table1[[#This Row],[Age]]</f>
        <v>33</v>
      </c>
      <c r="B1417">
        <f>IF(Table3[[#This Row],[Attrition]] = "Yes", 1,0)</f>
        <v>0</v>
      </c>
      <c r="C1417" t="str">
        <f>Table1[[#This Row],[Attrition]]</f>
        <v>No</v>
      </c>
      <c r="D1417" t="str">
        <f>Table1[[#This Row],[Department]]</f>
        <v>Research &amp; Development</v>
      </c>
      <c r="E1417">
        <f>Table1[[#This Row],[EnvironmentSatisfaction]]</f>
        <v>2</v>
      </c>
      <c r="F1417">
        <f>Table1[[#This Row],[HourlyRate]]</f>
        <v>59</v>
      </c>
      <c r="G1417" t="str">
        <f>Table1[[#This Row],[JobRole]]</f>
        <v>Laboratory Technician</v>
      </c>
      <c r="H1417">
        <f>Table1[[#This Row],[JobSatisfaction]]</f>
        <v>3</v>
      </c>
      <c r="I1417">
        <f>Table1[[#This Row],[YearsAtCompany]]</f>
        <v>1</v>
      </c>
      <c r="J1417">
        <f>Table1[[#This Row],[YearsSinceLastPromotion]]</f>
        <v>0</v>
      </c>
      <c r="K1417">
        <f>Table1[[#This Row],[EmployeeNumber]]</f>
        <v>1994</v>
      </c>
      <c r="L1417">
        <f>Table1[[#This Row],[DistanceFromHome]]</f>
        <v>1</v>
      </c>
      <c r="M1417" t="str">
        <f>Table1[[#This Row],[OverTime]]</f>
        <v>No</v>
      </c>
      <c r="N1417">
        <f>Table1[[#This Row],[WorkLifeBalance]]</f>
        <v>2</v>
      </c>
      <c r="O1417" t="str" cm="1">
        <f t="array" ref="O1417">_xlfn.IFS(A1417&lt;=30,"18-30",A1417&lt;=40,"31-40",A1417&lt;=50,"41-50",A1417&gt;50,"51+")</f>
        <v>31-40</v>
      </c>
      <c r="P1417" t="str" cm="1">
        <f t="array" ref="P1417">_xlfn.IFS(F1417&lt;=45,"45 or below",F1417&lt;= 60,"46-60",F1417&lt;=75,"61-75",F1417&lt;=90,"76-90",F1417&gt;90,"91 or above")</f>
        <v>46-60</v>
      </c>
      <c r="Q141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17" t="str" cm="1">
        <f t="array" ref="R141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8" spans="1:18" x14ac:dyDescent="0.2">
      <c r="A1418">
        <f>Table1[[#This Row],[Age]]</f>
        <v>38</v>
      </c>
      <c r="B1418">
        <f>IF(Table3[[#This Row],[Attrition]] = "Yes", 1,0)</f>
        <v>0</v>
      </c>
      <c r="C1418" t="str">
        <f>Table1[[#This Row],[Attrition]]</f>
        <v>No</v>
      </c>
      <c r="D1418" t="str">
        <f>Table1[[#This Row],[Department]]</f>
        <v>Sales</v>
      </c>
      <c r="E1418">
        <f>Table1[[#This Row],[EnvironmentSatisfaction]]</f>
        <v>4</v>
      </c>
      <c r="F1418">
        <f>Table1[[#This Row],[HourlyRate]]</f>
        <v>86</v>
      </c>
      <c r="G1418" t="str">
        <f>Table1[[#This Row],[JobRole]]</f>
        <v>Sales Executive</v>
      </c>
      <c r="H1418">
        <f>Table1[[#This Row],[JobSatisfaction]]</f>
        <v>2</v>
      </c>
      <c r="I1418">
        <f>Table1[[#This Row],[YearsAtCompany]]</f>
        <v>15</v>
      </c>
      <c r="J1418">
        <f>Table1[[#This Row],[YearsSinceLastPromotion]]</f>
        <v>5</v>
      </c>
      <c r="K1418">
        <f>Table1[[#This Row],[EmployeeNumber]]</f>
        <v>1995</v>
      </c>
      <c r="L1418">
        <f>Table1[[#This Row],[DistanceFromHome]]</f>
        <v>1</v>
      </c>
      <c r="M1418" t="str">
        <f>Table1[[#This Row],[OverTime]]</f>
        <v>No</v>
      </c>
      <c r="N1418">
        <f>Table1[[#This Row],[WorkLifeBalance]]</f>
        <v>3</v>
      </c>
      <c r="O1418" t="str" cm="1">
        <f t="array" ref="O1418">_xlfn.IFS(A1418&lt;=30,"18-30",A1418&lt;=40,"31-40",A1418&lt;=50,"41-50",A1418&gt;50,"51+")</f>
        <v>31-40</v>
      </c>
      <c r="P1418" t="str" cm="1">
        <f t="array" ref="P1418">_xlfn.IFS(F1418&lt;=45,"45 or below",F1418&lt;= 60,"46-60",F1418&lt;=75,"61-75",F1418&lt;=90,"76-90",F1418&gt;90,"91 or above")</f>
        <v>76-90</v>
      </c>
      <c r="Q141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18" t="str" cm="1">
        <f t="array" ref="R141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19" spans="1:18" x14ac:dyDescent="0.2">
      <c r="A1419">
        <f>Table1[[#This Row],[Age]]</f>
        <v>31</v>
      </c>
      <c r="B1419">
        <f>IF(Table3[[#This Row],[Attrition]] = "Yes", 1,0)</f>
        <v>0</v>
      </c>
      <c r="C1419" t="str">
        <f>Table1[[#This Row],[Attrition]]</f>
        <v>No</v>
      </c>
      <c r="D1419" t="str">
        <f>Table1[[#This Row],[Department]]</f>
        <v>Sales</v>
      </c>
      <c r="E1419">
        <f>Table1[[#This Row],[EnvironmentSatisfaction]]</f>
        <v>1</v>
      </c>
      <c r="F1419">
        <f>Table1[[#This Row],[HourlyRate]]</f>
        <v>54</v>
      </c>
      <c r="G1419" t="str">
        <f>Table1[[#This Row],[JobRole]]</f>
        <v>Sales Representative</v>
      </c>
      <c r="H1419">
        <f>Table1[[#This Row],[JobSatisfaction]]</f>
        <v>3</v>
      </c>
      <c r="I1419">
        <f>Table1[[#This Row],[YearsAtCompany]]</f>
        <v>2</v>
      </c>
      <c r="J1419">
        <f>Table1[[#This Row],[YearsSinceLastPromotion]]</f>
        <v>1</v>
      </c>
      <c r="K1419">
        <f>Table1[[#This Row],[EmployeeNumber]]</f>
        <v>1996</v>
      </c>
      <c r="L1419">
        <f>Table1[[#This Row],[DistanceFromHome]]</f>
        <v>2</v>
      </c>
      <c r="M1419" t="str">
        <f>Table1[[#This Row],[OverTime]]</f>
        <v>No</v>
      </c>
      <c r="N1419">
        <f>Table1[[#This Row],[WorkLifeBalance]]</f>
        <v>3</v>
      </c>
      <c r="O1419" t="str" cm="1">
        <f t="array" ref="O1419">_xlfn.IFS(A1419&lt;=30,"18-30",A1419&lt;=40,"31-40",A1419&lt;=50,"41-50",A1419&gt;50,"51+")</f>
        <v>31-40</v>
      </c>
      <c r="P1419" t="str" cm="1">
        <f t="array" ref="P1419">_xlfn.IFS(F1419&lt;=45,"45 or below",F1419&lt;= 60,"46-60",F1419&lt;=75,"61-75",F1419&lt;=90,"76-90",F1419&gt;90,"91 or above")</f>
        <v>46-60</v>
      </c>
      <c r="Q141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19" t="str" cm="1">
        <f t="array" ref="R141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20" spans="1:18" x14ac:dyDescent="0.2">
      <c r="A1420">
        <f>Table1[[#This Row],[Age]]</f>
        <v>38</v>
      </c>
      <c r="B1420">
        <f>IF(Table3[[#This Row],[Attrition]] = "Yes", 1,0)</f>
        <v>0</v>
      </c>
      <c r="C1420" t="str">
        <f>Table1[[#This Row],[Attrition]]</f>
        <v>No</v>
      </c>
      <c r="D1420" t="str">
        <f>Table1[[#This Row],[Department]]</f>
        <v>Research &amp; Development</v>
      </c>
      <c r="E1420">
        <f>Table1[[#This Row],[EnvironmentSatisfaction]]</f>
        <v>1</v>
      </c>
      <c r="F1420">
        <f>Table1[[#This Row],[HourlyRate]]</f>
        <v>72</v>
      </c>
      <c r="G1420" t="str">
        <f>Table1[[#This Row],[JobRole]]</f>
        <v>Manufacturing Director</v>
      </c>
      <c r="H1420">
        <f>Table1[[#This Row],[JobSatisfaction]]</f>
        <v>3</v>
      </c>
      <c r="I1420">
        <f>Table1[[#This Row],[YearsAtCompany]]</f>
        <v>8</v>
      </c>
      <c r="J1420">
        <f>Table1[[#This Row],[YearsSinceLastPromotion]]</f>
        <v>7</v>
      </c>
      <c r="K1420">
        <f>Table1[[#This Row],[EmployeeNumber]]</f>
        <v>1997</v>
      </c>
      <c r="L1420">
        <f>Table1[[#This Row],[DistanceFromHome]]</f>
        <v>6</v>
      </c>
      <c r="M1420" t="str">
        <f>Table1[[#This Row],[OverTime]]</f>
        <v>No</v>
      </c>
      <c r="N1420">
        <f>Table1[[#This Row],[WorkLifeBalance]]</f>
        <v>3</v>
      </c>
      <c r="O1420" t="str" cm="1">
        <f t="array" ref="O1420">_xlfn.IFS(A1420&lt;=30,"18-30",A1420&lt;=40,"31-40",A1420&lt;=50,"41-50",A1420&gt;50,"51+")</f>
        <v>31-40</v>
      </c>
      <c r="P1420" t="str" cm="1">
        <f t="array" ref="P1420">_xlfn.IFS(F1420&lt;=45,"45 or below",F1420&lt;= 60,"46-60",F1420&lt;=75,"61-75",F1420&lt;=90,"76-90",F1420&gt;90,"91 or above")</f>
        <v>61-75</v>
      </c>
      <c r="Q142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20" t="str" cm="1">
        <f t="array" ref="R142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21" spans="1:18" x14ac:dyDescent="0.2">
      <c r="A1421">
        <f>Table1[[#This Row],[Age]]</f>
        <v>42</v>
      </c>
      <c r="B1421">
        <f>IF(Table3[[#This Row],[Attrition]] = "Yes", 1,0)</f>
        <v>0</v>
      </c>
      <c r="C1421" t="str">
        <f>Table1[[#This Row],[Attrition]]</f>
        <v>No</v>
      </c>
      <c r="D1421" t="str">
        <f>Table1[[#This Row],[Department]]</f>
        <v>Research &amp; Development</v>
      </c>
      <c r="E1421">
        <f>Table1[[#This Row],[EnvironmentSatisfaction]]</f>
        <v>4</v>
      </c>
      <c r="F1421">
        <f>Table1[[#This Row],[HourlyRate]]</f>
        <v>35</v>
      </c>
      <c r="G1421" t="str">
        <f>Table1[[#This Row],[JobRole]]</f>
        <v>Research Scientist</v>
      </c>
      <c r="H1421">
        <f>Table1[[#This Row],[JobSatisfaction]]</f>
        <v>1</v>
      </c>
      <c r="I1421">
        <f>Table1[[#This Row],[YearsAtCompany]]</f>
        <v>4</v>
      </c>
      <c r="J1421">
        <f>Table1[[#This Row],[YearsSinceLastPromotion]]</f>
        <v>1</v>
      </c>
      <c r="K1421">
        <f>Table1[[#This Row],[EmployeeNumber]]</f>
        <v>1998</v>
      </c>
      <c r="L1421">
        <f>Table1[[#This Row],[DistanceFromHome]]</f>
        <v>18</v>
      </c>
      <c r="M1421" t="str">
        <f>Table1[[#This Row],[OverTime]]</f>
        <v>Yes</v>
      </c>
      <c r="N1421">
        <f>Table1[[#This Row],[WorkLifeBalance]]</f>
        <v>2</v>
      </c>
      <c r="O1421" t="str" cm="1">
        <f t="array" ref="O1421">_xlfn.IFS(A1421&lt;=30,"18-30",A1421&lt;=40,"31-40",A1421&lt;=50,"41-50",A1421&gt;50,"51+")</f>
        <v>41-50</v>
      </c>
      <c r="P1421" t="str" cm="1">
        <f t="array" ref="P1421">_xlfn.IFS(F1421&lt;=45,"45 or below",F1421&lt;= 60,"46-60",F1421&lt;=75,"61-75",F1421&lt;=90,"76-90",F1421&gt;90,"91 or above")</f>
        <v>45 or below</v>
      </c>
      <c r="Q142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21" t="str" cm="1">
        <f t="array" ref="R142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22" spans="1:18" x14ac:dyDescent="0.2">
      <c r="A1422">
        <f>Table1[[#This Row],[Age]]</f>
        <v>41</v>
      </c>
      <c r="B1422">
        <f>IF(Table3[[#This Row],[Attrition]] = "Yes", 1,0)</f>
        <v>0</v>
      </c>
      <c r="C1422" t="str">
        <f>Table1[[#This Row],[Attrition]]</f>
        <v>No</v>
      </c>
      <c r="D1422" t="str">
        <f>Table1[[#This Row],[Department]]</f>
        <v>Research &amp; Development</v>
      </c>
      <c r="E1422">
        <f>Table1[[#This Row],[EnvironmentSatisfaction]]</f>
        <v>4</v>
      </c>
      <c r="F1422">
        <f>Table1[[#This Row],[HourlyRate]]</f>
        <v>76</v>
      </c>
      <c r="G1422" t="str">
        <f>Table1[[#This Row],[JobRole]]</f>
        <v>Research Scientist</v>
      </c>
      <c r="H1422">
        <f>Table1[[#This Row],[JobSatisfaction]]</f>
        <v>4</v>
      </c>
      <c r="I1422">
        <f>Table1[[#This Row],[YearsAtCompany]]</f>
        <v>5</v>
      </c>
      <c r="J1422">
        <f>Table1[[#This Row],[YearsSinceLastPromotion]]</f>
        <v>1</v>
      </c>
      <c r="K1422">
        <f>Table1[[#This Row],[EmployeeNumber]]</f>
        <v>1999</v>
      </c>
      <c r="L1422">
        <f>Table1[[#This Row],[DistanceFromHome]]</f>
        <v>1</v>
      </c>
      <c r="M1422" t="str">
        <f>Table1[[#This Row],[OverTime]]</f>
        <v>No</v>
      </c>
      <c r="N1422">
        <f>Table1[[#This Row],[WorkLifeBalance]]</f>
        <v>3</v>
      </c>
      <c r="O1422" t="str" cm="1">
        <f t="array" ref="O1422">_xlfn.IFS(A1422&lt;=30,"18-30",A1422&lt;=40,"31-40",A1422&lt;=50,"41-50",A1422&gt;50,"51+")</f>
        <v>41-50</v>
      </c>
      <c r="P1422" t="str" cm="1">
        <f t="array" ref="P1422">_xlfn.IFS(F1422&lt;=45,"45 or below",F1422&lt;= 60,"46-60",F1422&lt;=75,"61-75",F1422&lt;=90,"76-90",F1422&gt;90,"91 or above")</f>
        <v>76-90</v>
      </c>
      <c r="Q142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22" t="str" cm="1">
        <f t="array" ref="R142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23" spans="1:18" x14ac:dyDescent="0.2">
      <c r="A1423">
        <f>Table1[[#This Row],[Age]]</f>
        <v>47</v>
      </c>
      <c r="B1423">
        <f>IF(Table3[[#This Row],[Attrition]] = "Yes", 1,0)</f>
        <v>0</v>
      </c>
      <c r="C1423" t="str">
        <f>Table1[[#This Row],[Attrition]]</f>
        <v>No</v>
      </c>
      <c r="D1423" t="str">
        <f>Table1[[#This Row],[Department]]</f>
        <v>Research &amp; Development</v>
      </c>
      <c r="E1423">
        <f>Table1[[#This Row],[EnvironmentSatisfaction]]</f>
        <v>3</v>
      </c>
      <c r="F1423">
        <f>Table1[[#This Row],[HourlyRate]]</f>
        <v>98</v>
      </c>
      <c r="G1423" t="str">
        <f>Table1[[#This Row],[JobRole]]</f>
        <v>Research Director</v>
      </c>
      <c r="H1423">
        <f>Table1[[#This Row],[JobSatisfaction]]</f>
        <v>2</v>
      </c>
      <c r="I1423">
        <f>Table1[[#This Row],[YearsAtCompany]]</f>
        <v>13</v>
      </c>
      <c r="J1423">
        <f>Table1[[#This Row],[YearsSinceLastPromotion]]</f>
        <v>5</v>
      </c>
      <c r="K1423">
        <f>Table1[[#This Row],[EmployeeNumber]]</f>
        <v>2000</v>
      </c>
      <c r="L1423">
        <f>Table1[[#This Row],[DistanceFromHome]]</f>
        <v>1</v>
      </c>
      <c r="M1423" t="str">
        <f>Table1[[#This Row],[OverTime]]</f>
        <v>No</v>
      </c>
      <c r="N1423">
        <f>Table1[[#This Row],[WorkLifeBalance]]</f>
        <v>1</v>
      </c>
      <c r="O1423" t="str" cm="1">
        <f t="array" ref="O1423">_xlfn.IFS(A1423&lt;=30,"18-30",A1423&lt;=40,"31-40",A1423&lt;=50,"41-50",A1423&gt;50,"51+")</f>
        <v>41-50</v>
      </c>
      <c r="P1423" t="str" cm="1">
        <f t="array" ref="P1423">_xlfn.IFS(F1423&lt;=45,"45 or below",F1423&lt;= 60,"46-60",F1423&lt;=75,"61-75",F1423&lt;=90,"76-90",F1423&gt;90,"91 or above")</f>
        <v>91 or above</v>
      </c>
      <c r="Q142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23" t="str" cm="1">
        <f t="array" ref="R1423"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24" spans="1:18" x14ac:dyDescent="0.2">
      <c r="A1424">
        <f>Table1[[#This Row],[Age]]</f>
        <v>35</v>
      </c>
      <c r="B1424">
        <f>IF(Table3[[#This Row],[Attrition]] = "Yes", 1,0)</f>
        <v>0</v>
      </c>
      <c r="C1424" t="str">
        <f>Table1[[#This Row],[Attrition]]</f>
        <v>No</v>
      </c>
      <c r="D1424" t="str">
        <f>Table1[[#This Row],[Department]]</f>
        <v>Research &amp; Development</v>
      </c>
      <c r="E1424">
        <f>Table1[[#This Row],[EnvironmentSatisfaction]]</f>
        <v>4</v>
      </c>
      <c r="F1424">
        <f>Table1[[#This Row],[HourlyRate]]</f>
        <v>43</v>
      </c>
      <c r="G1424" t="str">
        <f>Table1[[#This Row],[JobRole]]</f>
        <v>Laboratory Technician</v>
      </c>
      <c r="H1424">
        <f>Table1[[#This Row],[JobSatisfaction]]</f>
        <v>3</v>
      </c>
      <c r="I1424">
        <f>Table1[[#This Row],[YearsAtCompany]]</f>
        <v>2</v>
      </c>
      <c r="J1424">
        <f>Table1[[#This Row],[YearsSinceLastPromotion]]</f>
        <v>2</v>
      </c>
      <c r="K1424">
        <f>Table1[[#This Row],[EmployeeNumber]]</f>
        <v>2003</v>
      </c>
      <c r="L1424">
        <f>Table1[[#This Row],[DistanceFromHome]]</f>
        <v>11</v>
      </c>
      <c r="M1424" t="str">
        <f>Table1[[#This Row],[OverTime]]</f>
        <v>Yes</v>
      </c>
      <c r="N1424">
        <f>Table1[[#This Row],[WorkLifeBalance]]</f>
        <v>3</v>
      </c>
      <c r="O1424" t="str" cm="1">
        <f t="array" ref="O1424">_xlfn.IFS(A1424&lt;=30,"18-30",A1424&lt;=40,"31-40",A1424&lt;=50,"41-50",A1424&gt;50,"51+")</f>
        <v>31-40</v>
      </c>
      <c r="P1424" t="str" cm="1">
        <f t="array" ref="P1424">_xlfn.IFS(F1424&lt;=45,"45 or below",F1424&lt;= 60,"46-60",F1424&lt;=75,"61-75",F1424&lt;=90,"76-90",F1424&gt;90,"91 or above")</f>
        <v>45 or below</v>
      </c>
      <c r="Q142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24" t="str" cm="1">
        <f t="array" ref="R142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25" spans="1:18" x14ac:dyDescent="0.2">
      <c r="A1425">
        <f>Table1[[#This Row],[Age]]</f>
        <v>22</v>
      </c>
      <c r="B1425">
        <f>IF(Table3[[#This Row],[Attrition]] = "Yes", 1,0)</f>
        <v>0</v>
      </c>
      <c r="C1425" t="str">
        <f>Table1[[#This Row],[Attrition]]</f>
        <v>No</v>
      </c>
      <c r="D1425" t="str">
        <f>Table1[[#This Row],[Department]]</f>
        <v>Research &amp; Development</v>
      </c>
      <c r="E1425">
        <f>Table1[[#This Row],[EnvironmentSatisfaction]]</f>
        <v>4</v>
      </c>
      <c r="F1425">
        <f>Table1[[#This Row],[HourlyRate]]</f>
        <v>63</v>
      </c>
      <c r="G1425" t="str">
        <f>Table1[[#This Row],[JobRole]]</f>
        <v>Research Scientist</v>
      </c>
      <c r="H1425">
        <f>Table1[[#This Row],[JobSatisfaction]]</f>
        <v>3</v>
      </c>
      <c r="I1425">
        <f>Table1[[#This Row],[YearsAtCompany]]</f>
        <v>3</v>
      </c>
      <c r="J1425">
        <f>Table1[[#This Row],[YearsSinceLastPromotion]]</f>
        <v>1</v>
      </c>
      <c r="K1425">
        <f>Table1[[#This Row],[EmployeeNumber]]</f>
        <v>2007</v>
      </c>
      <c r="L1425">
        <f>Table1[[#This Row],[DistanceFromHome]]</f>
        <v>1</v>
      </c>
      <c r="M1425" t="str">
        <f>Table1[[#This Row],[OverTime]]</f>
        <v>No</v>
      </c>
      <c r="N1425">
        <f>Table1[[#This Row],[WorkLifeBalance]]</f>
        <v>4</v>
      </c>
      <c r="O1425" t="str" cm="1">
        <f t="array" ref="O1425">_xlfn.IFS(A1425&lt;=30,"18-30",A1425&lt;=40,"31-40",A1425&lt;=50,"41-50",A1425&gt;50,"51+")</f>
        <v>18-30</v>
      </c>
      <c r="P1425" t="str" cm="1">
        <f t="array" ref="P1425">_xlfn.IFS(F1425&lt;=45,"45 or below",F1425&lt;= 60,"46-60",F1425&lt;=75,"61-75",F1425&lt;=90,"76-90",F1425&gt;90,"91 or above")</f>
        <v>61-75</v>
      </c>
      <c r="Q142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25" t="str" cm="1">
        <f t="array" ref="R142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26" spans="1:18" x14ac:dyDescent="0.2">
      <c r="A1426">
        <f>Table1[[#This Row],[Age]]</f>
        <v>35</v>
      </c>
      <c r="B1426">
        <f>IF(Table3[[#This Row],[Attrition]] = "Yes", 1,0)</f>
        <v>0</v>
      </c>
      <c r="C1426" t="str">
        <f>Table1[[#This Row],[Attrition]]</f>
        <v>No</v>
      </c>
      <c r="D1426" t="str">
        <f>Table1[[#This Row],[Department]]</f>
        <v>Research &amp; Development</v>
      </c>
      <c r="E1426">
        <f>Table1[[#This Row],[EnvironmentSatisfaction]]</f>
        <v>2</v>
      </c>
      <c r="F1426">
        <f>Table1[[#This Row],[HourlyRate]]</f>
        <v>48</v>
      </c>
      <c r="G1426" t="str">
        <f>Table1[[#This Row],[JobRole]]</f>
        <v>Research Scientist</v>
      </c>
      <c r="H1426">
        <f>Table1[[#This Row],[JobSatisfaction]]</f>
        <v>3</v>
      </c>
      <c r="I1426">
        <f>Table1[[#This Row],[YearsAtCompany]]</f>
        <v>10</v>
      </c>
      <c r="J1426">
        <f>Table1[[#This Row],[YearsSinceLastPromotion]]</f>
        <v>0</v>
      </c>
      <c r="K1426">
        <f>Table1[[#This Row],[EmployeeNumber]]</f>
        <v>2008</v>
      </c>
      <c r="L1426">
        <f>Table1[[#This Row],[DistanceFromHome]]</f>
        <v>9</v>
      </c>
      <c r="M1426" t="str">
        <f>Table1[[#This Row],[OverTime]]</f>
        <v>No</v>
      </c>
      <c r="N1426">
        <f>Table1[[#This Row],[WorkLifeBalance]]</f>
        <v>3</v>
      </c>
      <c r="O1426" t="str" cm="1">
        <f t="array" ref="O1426">_xlfn.IFS(A1426&lt;=30,"18-30",A1426&lt;=40,"31-40",A1426&lt;=50,"41-50",A1426&gt;50,"51+")</f>
        <v>31-40</v>
      </c>
      <c r="P1426" t="str" cm="1">
        <f t="array" ref="P1426">_xlfn.IFS(F1426&lt;=45,"45 or below",F1426&lt;= 60,"46-60",F1426&lt;=75,"61-75",F1426&lt;=90,"76-90",F1426&gt;90,"91 or above")</f>
        <v>46-60</v>
      </c>
      <c r="Q142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26" t="str" cm="1">
        <f t="array" ref="R142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27" spans="1:18" x14ac:dyDescent="0.2">
      <c r="A1427">
        <f>Table1[[#This Row],[Age]]</f>
        <v>33</v>
      </c>
      <c r="B1427">
        <f>IF(Table3[[#This Row],[Attrition]] = "Yes", 1,0)</f>
        <v>0</v>
      </c>
      <c r="C1427" t="str">
        <f>Table1[[#This Row],[Attrition]]</f>
        <v>No</v>
      </c>
      <c r="D1427" t="str">
        <f>Table1[[#This Row],[Department]]</f>
        <v>Research &amp; Development</v>
      </c>
      <c r="E1427">
        <f>Table1[[#This Row],[EnvironmentSatisfaction]]</f>
        <v>2</v>
      </c>
      <c r="F1427">
        <f>Table1[[#This Row],[HourlyRate]]</f>
        <v>95</v>
      </c>
      <c r="G1427" t="str">
        <f>Table1[[#This Row],[JobRole]]</f>
        <v>Healthcare Representative</v>
      </c>
      <c r="H1427">
        <f>Table1[[#This Row],[JobSatisfaction]]</f>
        <v>4</v>
      </c>
      <c r="I1427">
        <f>Table1[[#This Row],[YearsAtCompany]]</f>
        <v>9</v>
      </c>
      <c r="J1427">
        <f>Table1[[#This Row],[YearsSinceLastPromotion]]</f>
        <v>8</v>
      </c>
      <c r="K1427">
        <f>Table1[[#This Row],[EmployeeNumber]]</f>
        <v>2009</v>
      </c>
      <c r="L1427">
        <f>Table1[[#This Row],[DistanceFromHome]]</f>
        <v>15</v>
      </c>
      <c r="M1427" t="str">
        <f>Table1[[#This Row],[OverTime]]</f>
        <v>Yes</v>
      </c>
      <c r="N1427">
        <f>Table1[[#This Row],[WorkLifeBalance]]</f>
        <v>3</v>
      </c>
      <c r="O1427" t="str" cm="1">
        <f t="array" ref="O1427">_xlfn.IFS(A1427&lt;=30,"18-30",A1427&lt;=40,"31-40",A1427&lt;=50,"41-50",A1427&gt;50,"51+")</f>
        <v>31-40</v>
      </c>
      <c r="P1427" t="str" cm="1">
        <f t="array" ref="P1427">_xlfn.IFS(F1427&lt;=45,"45 or below",F1427&lt;= 60,"46-60",F1427&lt;=75,"61-75",F1427&lt;=90,"76-90",F1427&gt;90,"91 or above")</f>
        <v>91 or above</v>
      </c>
      <c r="Q142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27" t="str" cm="1">
        <f t="array" ref="R142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28" spans="1:18" x14ac:dyDescent="0.2">
      <c r="A1428">
        <f>Table1[[#This Row],[Age]]</f>
        <v>32</v>
      </c>
      <c r="B1428">
        <f>IF(Table3[[#This Row],[Attrition]] = "Yes", 1,0)</f>
        <v>0</v>
      </c>
      <c r="C1428" t="str">
        <f>Table1[[#This Row],[Attrition]]</f>
        <v>No</v>
      </c>
      <c r="D1428" t="str">
        <f>Table1[[#This Row],[Department]]</f>
        <v>Research &amp; Development</v>
      </c>
      <c r="E1428">
        <f>Table1[[#This Row],[EnvironmentSatisfaction]]</f>
        <v>3</v>
      </c>
      <c r="F1428">
        <f>Table1[[#This Row],[HourlyRate]]</f>
        <v>49</v>
      </c>
      <c r="G1428" t="str">
        <f>Table1[[#This Row],[JobRole]]</f>
        <v>Laboratory Technician</v>
      </c>
      <c r="H1428">
        <f>Table1[[#This Row],[JobSatisfaction]]</f>
        <v>2</v>
      </c>
      <c r="I1428">
        <f>Table1[[#This Row],[YearsAtCompany]]</f>
        <v>6</v>
      </c>
      <c r="J1428">
        <f>Table1[[#This Row],[YearsSinceLastPromotion]]</f>
        <v>4</v>
      </c>
      <c r="K1428">
        <f>Table1[[#This Row],[EmployeeNumber]]</f>
        <v>2010</v>
      </c>
      <c r="L1428">
        <f>Table1[[#This Row],[DistanceFromHome]]</f>
        <v>29</v>
      </c>
      <c r="M1428" t="str">
        <f>Table1[[#This Row],[OverTime]]</f>
        <v>No</v>
      </c>
      <c r="N1428">
        <f>Table1[[#This Row],[WorkLifeBalance]]</f>
        <v>3</v>
      </c>
      <c r="O1428" t="str" cm="1">
        <f t="array" ref="O1428">_xlfn.IFS(A1428&lt;=30,"18-30",A1428&lt;=40,"31-40",A1428&lt;=50,"41-50",A1428&gt;50,"51+")</f>
        <v>31-40</v>
      </c>
      <c r="P1428" t="str" cm="1">
        <f t="array" ref="P1428">_xlfn.IFS(F1428&lt;=45,"45 or below",F1428&lt;= 60,"46-60",F1428&lt;=75,"61-75",F1428&lt;=90,"76-90",F1428&gt;90,"91 or above")</f>
        <v>46-60</v>
      </c>
      <c r="Q142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28" t="str" cm="1">
        <f t="array" ref="R142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29" spans="1:18" x14ac:dyDescent="0.2">
      <c r="A1429">
        <f>Table1[[#This Row],[Age]]</f>
        <v>40</v>
      </c>
      <c r="B1429">
        <f>IF(Table3[[#This Row],[Attrition]] = "Yes", 1,0)</f>
        <v>0</v>
      </c>
      <c r="C1429" t="str">
        <f>Table1[[#This Row],[Attrition]]</f>
        <v>No</v>
      </c>
      <c r="D1429" t="str">
        <f>Table1[[#This Row],[Department]]</f>
        <v>Research &amp; Development</v>
      </c>
      <c r="E1429">
        <f>Table1[[#This Row],[EnvironmentSatisfaction]]</f>
        <v>1</v>
      </c>
      <c r="F1429">
        <f>Table1[[#This Row],[HourlyRate]]</f>
        <v>83</v>
      </c>
      <c r="G1429" t="str">
        <f>Table1[[#This Row],[JobRole]]</f>
        <v>Laboratory Technician</v>
      </c>
      <c r="H1429">
        <f>Table1[[#This Row],[JobSatisfaction]]</f>
        <v>4</v>
      </c>
      <c r="I1429">
        <f>Table1[[#This Row],[YearsAtCompany]]</f>
        <v>1</v>
      </c>
      <c r="J1429">
        <f>Table1[[#This Row],[YearsSinceLastPromotion]]</f>
        <v>0</v>
      </c>
      <c r="K1429">
        <f>Table1[[#This Row],[EmployeeNumber]]</f>
        <v>2012</v>
      </c>
      <c r="L1429">
        <f>Table1[[#This Row],[DistanceFromHome]]</f>
        <v>1</v>
      </c>
      <c r="M1429" t="str">
        <f>Table1[[#This Row],[OverTime]]</f>
        <v>No</v>
      </c>
      <c r="N1429">
        <f>Table1[[#This Row],[WorkLifeBalance]]</f>
        <v>2</v>
      </c>
      <c r="O1429" t="str" cm="1">
        <f t="array" ref="O1429">_xlfn.IFS(A1429&lt;=30,"18-30",A1429&lt;=40,"31-40",A1429&lt;=50,"41-50",A1429&gt;50,"51+")</f>
        <v>31-40</v>
      </c>
      <c r="P1429" t="str" cm="1">
        <f t="array" ref="P1429">_xlfn.IFS(F1429&lt;=45,"45 or below",F1429&lt;= 60,"46-60",F1429&lt;=75,"61-75",F1429&lt;=90,"76-90",F1429&gt;90,"91 or above")</f>
        <v>76-90</v>
      </c>
      <c r="Q142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29" t="str" cm="1">
        <f t="array" ref="R142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30" spans="1:18" x14ac:dyDescent="0.2">
      <c r="A1430">
        <f>Table1[[#This Row],[Age]]</f>
        <v>32</v>
      </c>
      <c r="B1430">
        <f>IF(Table3[[#This Row],[Attrition]] = "Yes", 1,0)</f>
        <v>0</v>
      </c>
      <c r="C1430" t="str">
        <f>Table1[[#This Row],[Attrition]]</f>
        <v>No</v>
      </c>
      <c r="D1430" t="str">
        <f>Table1[[#This Row],[Department]]</f>
        <v>Sales</v>
      </c>
      <c r="E1430">
        <f>Table1[[#This Row],[EnvironmentSatisfaction]]</f>
        <v>2</v>
      </c>
      <c r="F1430">
        <f>Table1[[#This Row],[HourlyRate]]</f>
        <v>68</v>
      </c>
      <c r="G1430" t="str">
        <f>Table1[[#This Row],[JobRole]]</f>
        <v>Sales Representative</v>
      </c>
      <c r="H1430">
        <f>Table1[[#This Row],[JobSatisfaction]]</f>
        <v>2</v>
      </c>
      <c r="I1430">
        <f>Table1[[#This Row],[YearsAtCompany]]</f>
        <v>2</v>
      </c>
      <c r="J1430">
        <f>Table1[[#This Row],[YearsSinceLastPromotion]]</f>
        <v>2</v>
      </c>
      <c r="K1430">
        <f>Table1[[#This Row],[EmployeeNumber]]</f>
        <v>2013</v>
      </c>
      <c r="L1430">
        <f>Table1[[#This Row],[DistanceFromHome]]</f>
        <v>1</v>
      </c>
      <c r="M1430" t="str">
        <f>Table1[[#This Row],[OverTime]]</f>
        <v>No</v>
      </c>
      <c r="N1430">
        <f>Table1[[#This Row],[WorkLifeBalance]]</f>
        <v>3</v>
      </c>
      <c r="O1430" t="str" cm="1">
        <f t="array" ref="O1430">_xlfn.IFS(A1430&lt;=30,"18-30",A1430&lt;=40,"31-40",A1430&lt;=50,"41-50",A1430&gt;50,"51+")</f>
        <v>31-40</v>
      </c>
      <c r="P1430" t="str" cm="1">
        <f t="array" ref="P1430">_xlfn.IFS(F1430&lt;=45,"45 or below",F1430&lt;= 60,"46-60",F1430&lt;=75,"61-75",F1430&lt;=90,"76-90",F1430&gt;90,"91 or above")</f>
        <v>61-75</v>
      </c>
      <c r="Q143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430" t="str" cm="1">
        <f t="array" ref="R1430"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31" spans="1:18" x14ac:dyDescent="0.2">
      <c r="A1431">
        <f>Table1[[#This Row],[Age]]</f>
        <v>39</v>
      </c>
      <c r="B1431">
        <f>IF(Table3[[#This Row],[Attrition]] = "Yes", 1,0)</f>
        <v>0</v>
      </c>
      <c r="C1431" t="str">
        <f>Table1[[#This Row],[Attrition]]</f>
        <v>No</v>
      </c>
      <c r="D1431" t="str">
        <f>Table1[[#This Row],[Department]]</f>
        <v>Research &amp; Development</v>
      </c>
      <c r="E1431">
        <f>Table1[[#This Row],[EnvironmentSatisfaction]]</f>
        <v>1</v>
      </c>
      <c r="F1431">
        <f>Table1[[#This Row],[HourlyRate]]</f>
        <v>52</v>
      </c>
      <c r="G1431" t="str">
        <f>Table1[[#This Row],[JobRole]]</f>
        <v>Research Scientist</v>
      </c>
      <c r="H1431">
        <f>Table1[[#This Row],[JobSatisfaction]]</f>
        <v>4</v>
      </c>
      <c r="I1431">
        <f>Table1[[#This Row],[YearsAtCompany]]</f>
        <v>7</v>
      </c>
      <c r="J1431">
        <f>Table1[[#This Row],[YearsSinceLastPromotion]]</f>
        <v>1</v>
      </c>
      <c r="K1431">
        <f>Table1[[#This Row],[EmployeeNumber]]</f>
        <v>2014</v>
      </c>
      <c r="L1431">
        <f>Table1[[#This Row],[DistanceFromHome]]</f>
        <v>24</v>
      </c>
      <c r="M1431" t="str">
        <f>Table1[[#This Row],[OverTime]]</f>
        <v>No</v>
      </c>
      <c r="N1431">
        <f>Table1[[#This Row],[WorkLifeBalance]]</f>
        <v>3</v>
      </c>
      <c r="O1431" t="str" cm="1">
        <f t="array" ref="O1431">_xlfn.IFS(A1431&lt;=30,"18-30",A1431&lt;=40,"31-40",A1431&lt;=50,"41-50",A1431&gt;50,"51+")</f>
        <v>31-40</v>
      </c>
      <c r="P1431" t="str" cm="1">
        <f t="array" ref="P1431">_xlfn.IFS(F1431&lt;=45,"45 or below",F1431&lt;= 60,"46-60",F1431&lt;=75,"61-75",F1431&lt;=90,"76-90",F1431&gt;90,"91 or above")</f>
        <v>46-60</v>
      </c>
      <c r="Q143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31" t="str" cm="1">
        <f t="array" ref="R143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32" spans="1:18" x14ac:dyDescent="0.2">
      <c r="A1432">
        <f>Table1[[#This Row],[Age]]</f>
        <v>38</v>
      </c>
      <c r="B1432">
        <f>IF(Table3[[#This Row],[Attrition]] = "Yes", 1,0)</f>
        <v>0</v>
      </c>
      <c r="C1432" t="str">
        <f>Table1[[#This Row],[Attrition]]</f>
        <v>No</v>
      </c>
      <c r="D1432" t="str">
        <f>Table1[[#This Row],[Department]]</f>
        <v>Research &amp; Development</v>
      </c>
      <c r="E1432">
        <f>Table1[[#This Row],[EnvironmentSatisfaction]]</f>
        <v>2</v>
      </c>
      <c r="F1432">
        <f>Table1[[#This Row],[HourlyRate]]</f>
        <v>99</v>
      </c>
      <c r="G1432" t="str">
        <f>Table1[[#This Row],[JobRole]]</f>
        <v>Research Director</v>
      </c>
      <c r="H1432">
        <f>Table1[[#This Row],[JobSatisfaction]]</f>
        <v>3</v>
      </c>
      <c r="I1432">
        <f>Table1[[#This Row],[YearsAtCompany]]</f>
        <v>18</v>
      </c>
      <c r="J1432">
        <f>Table1[[#This Row],[YearsSinceLastPromotion]]</f>
        <v>1</v>
      </c>
      <c r="K1432">
        <f>Table1[[#This Row],[EmployeeNumber]]</f>
        <v>2015</v>
      </c>
      <c r="L1432">
        <f>Table1[[#This Row],[DistanceFromHome]]</f>
        <v>10</v>
      </c>
      <c r="M1432" t="str">
        <f>Table1[[#This Row],[OverTime]]</f>
        <v>No</v>
      </c>
      <c r="N1432">
        <f>Table1[[#This Row],[WorkLifeBalance]]</f>
        <v>3</v>
      </c>
      <c r="O1432" t="str" cm="1">
        <f t="array" ref="O1432">_xlfn.IFS(A1432&lt;=30,"18-30",A1432&lt;=40,"31-40",A1432&lt;=50,"41-50",A1432&gt;50,"51+")</f>
        <v>31-40</v>
      </c>
      <c r="P1432" t="str" cm="1">
        <f t="array" ref="P1432">_xlfn.IFS(F1432&lt;=45,"45 or below",F1432&lt;= 60,"46-60",F1432&lt;=75,"61-75",F1432&lt;=90,"76-90",F1432&gt;90,"91 or above")</f>
        <v>91 or above</v>
      </c>
      <c r="Q143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32" t="str" cm="1">
        <f t="array" ref="R143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33" spans="1:18" x14ac:dyDescent="0.2">
      <c r="A1433">
        <f>Table1[[#This Row],[Age]]</f>
        <v>32</v>
      </c>
      <c r="B1433">
        <f>IF(Table3[[#This Row],[Attrition]] = "Yes", 1,0)</f>
        <v>0</v>
      </c>
      <c r="C1433" t="str">
        <f>Table1[[#This Row],[Attrition]]</f>
        <v>No</v>
      </c>
      <c r="D1433" t="str">
        <f>Table1[[#This Row],[Department]]</f>
        <v>Sales</v>
      </c>
      <c r="E1433">
        <f>Table1[[#This Row],[EnvironmentSatisfaction]]</f>
        <v>3</v>
      </c>
      <c r="F1433">
        <f>Table1[[#This Row],[HourlyRate]]</f>
        <v>48</v>
      </c>
      <c r="G1433" t="str">
        <f>Table1[[#This Row],[JobRole]]</f>
        <v>Sales Executive</v>
      </c>
      <c r="H1433">
        <f>Table1[[#This Row],[JobSatisfaction]]</f>
        <v>4</v>
      </c>
      <c r="I1433">
        <f>Table1[[#This Row],[YearsAtCompany]]</f>
        <v>14</v>
      </c>
      <c r="J1433">
        <f>Table1[[#This Row],[YearsSinceLastPromotion]]</f>
        <v>5</v>
      </c>
      <c r="K1433">
        <f>Table1[[#This Row],[EmployeeNumber]]</f>
        <v>2016</v>
      </c>
      <c r="L1433">
        <f>Table1[[#This Row],[DistanceFromHome]]</f>
        <v>1</v>
      </c>
      <c r="M1433" t="str">
        <f>Table1[[#This Row],[OverTime]]</f>
        <v>No</v>
      </c>
      <c r="N1433">
        <f>Table1[[#This Row],[WorkLifeBalance]]</f>
        <v>3</v>
      </c>
      <c r="O1433" t="str" cm="1">
        <f t="array" ref="O1433">_xlfn.IFS(A1433&lt;=30,"18-30",A1433&lt;=40,"31-40",A1433&lt;=50,"41-50",A1433&gt;50,"51+")</f>
        <v>31-40</v>
      </c>
      <c r="P1433" t="str" cm="1">
        <f t="array" ref="P1433">_xlfn.IFS(F1433&lt;=45,"45 or below",F1433&lt;= 60,"46-60",F1433&lt;=75,"61-75",F1433&lt;=90,"76-90",F1433&gt;90,"91 or above")</f>
        <v>46-60</v>
      </c>
      <c r="Q143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33" t="str" cm="1">
        <f t="array" ref="R143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34" spans="1:18" x14ac:dyDescent="0.2">
      <c r="A1434">
        <f>Table1[[#This Row],[Age]]</f>
        <v>37</v>
      </c>
      <c r="B1434">
        <f>IF(Table3[[#This Row],[Attrition]] = "Yes", 1,0)</f>
        <v>0</v>
      </c>
      <c r="C1434" t="str">
        <f>Table1[[#This Row],[Attrition]]</f>
        <v>No</v>
      </c>
      <c r="D1434" t="str">
        <f>Table1[[#This Row],[Department]]</f>
        <v>Research &amp; Development</v>
      </c>
      <c r="E1434">
        <f>Table1[[#This Row],[EnvironmentSatisfaction]]</f>
        <v>3</v>
      </c>
      <c r="F1434">
        <f>Table1[[#This Row],[HourlyRate]]</f>
        <v>42</v>
      </c>
      <c r="G1434" t="str">
        <f>Table1[[#This Row],[JobRole]]</f>
        <v>Research Director</v>
      </c>
      <c r="H1434">
        <f>Table1[[#This Row],[JobSatisfaction]]</f>
        <v>4</v>
      </c>
      <c r="I1434">
        <f>Table1[[#This Row],[YearsAtCompany]]</f>
        <v>16</v>
      </c>
      <c r="J1434">
        <f>Table1[[#This Row],[YearsSinceLastPromotion]]</f>
        <v>6</v>
      </c>
      <c r="K1434">
        <f>Table1[[#This Row],[EmployeeNumber]]</f>
        <v>2017</v>
      </c>
      <c r="L1434">
        <f>Table1[[#This Row],[DistanceFromHome]]</f>
        <v>10</v>
      </c>
      <c r="M1434" t="str">
        <f>Table1[[#This Row],[OverTime]]</f>
        <v>Yes</v>
      </c>
      <c r="N1434">
        <f>Table1[[#This Row],[WorkLifeBalance]]</f>
        <v>3</v>
      </c>
      <c r="O1434" t="str" cm="1">
        <f t="array" ref="O1434">_xlfn.IFS(A1434&lt;=30,"18-30",A1434&lt;=40,"31-40",A1434&lt;=50,"41-50",A1434&gt;50,"51+")</f>
        <v>31-40</v>
      </c>
      <c r="P1434" t="str" cm="1">
        <f t="array" ref="P1434">_xlfn.IFS(F1434&lt;=45,"45 or below",F1434&lt;= 60,"46-60",F1434&lt;=75,"61-75",F1434&lt;=90,"76-90",F1434&gt;90,"91 or above")</f>
        <v>45 or below</v>
      </c>
      <c r="Q143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34" t="str" cm="1">
        <f t="array" ref="R1434"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35" spans="1:18" x14ac:dyDescent="0.2">
      <c r="A1435">
        <f>Table1[[#This Row],[Age]]</f>
        <v>25</v>
      </c>
      <c r="B1435">
        <f>IF(Table3[[#This Row],[Attrition]] = "Yes", 1,0)</f>
        <v>0</v>
      </c>
      <c r="C1435" t="str">
        <f>Table1[[#This Row],[Attrition]]</f>
        <v>No</v>
      </c>
      <c r="D1435" t="str">
        <f>Table1[[#This Row],[Department]]</f>
        <v>Sales</v>
      </c>
      <c r="E1435">
        <f>Table1[[#This Row],[EnvironmentSatisfaction]]</f>
        <v>1</v>
      </c>
      <c r="F1435">
        <f>Table1[[#This Row],[HourlyRate]]</f>
        <v>85</v>
      </c>
      <c r="G1435" t="str">
        <f>Table1[[#This Row],[JobRole]]</f>
        <v>Sales Executive</v>
      </c>
      <c r="H1435">
        <f>Table1[[#This Row],[JobSatisfaction]]</f>
        <v>3</v>
      </c>
      <c r="I1435">
        <f>Table1[[#This Row],[YearsAtCompany]]</f>
        <v>5</v>
      </c>
      <c r="J1435">
        <f>Table1[[#This Row],[YearsSinceLastPromotion]]</f>
        <v>0</v>
      </c>
      <c r="K1435">
        <f>Table1[[#This Row],[EmployeeNumber]]</f>
        <v>2018</v>
      </c>
      <c r="L1435">
        <f>Table1[[#This Row],[DistanceFromHome]]</f>
        <v>8</v>
      </c>
      <c r="M1435" t="str">
        <f>Table1[[#This Row],[OverTime]]</f>
        <v>Yes</v>
      </c>
      <c r="N1435">
        <f>Table1[[#This Row],[WorkLifeBalance]]</f>
        <v>2</v>
      </c>
      <c r="O1435" t="str" cm="1">
        <f t="array" ref="O1435">_xlfn.IFS(A1435&lt;=30,"18-30",A1435&lt;=40,"31-40",A1435&lt;=50,"41-50",A1435&gt;50,"51+")</f>
        <v>18-30</v>
      </c>
      <c r="P1435" t="str" cm="1">
        <f t="array" ref="P1435">_xlfn.IFS(F1435&lt;=45,"45 or below",F1435&lt;= 60,"46-60",F1435&lt;=75,"61-75",F1435&lt;=90,"76-90",F1435&gt;90,"91 or above")</f>
        <v>76-90</v>
      </c>
      <c r="Q143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35" t="str" cm="1">
        <f t="array" ref="R1435"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36" spans="1:18" x14ac:dyDescent="0.2">
      <c r="A1436">
        <f>Table1[[#This Row],[Age]]</f>
        <v>52</v>
      </c>
      <c r="B1436">
        <f>IF(Table3[[#This Row],[Attrition]] = "Yes", 1,0)</f>
        <v>0</v>
      </c>
      <c r="C1436" t="str">
        <f>Table1[[#This Row],[Attrition]]</f>
        <v>No</v>
      </c>
      <c r="D1436" t="str">
        <f>Table1[[#This Row],[Department]]</f>
        <v>Sales</v>
      </c>
      <c r="E1436">
        <f>Table1[[#This Row],[EnvironmentSatisfaction]]</f>
        <v>1</v>
      </c>
      <c r="F1436">
        <f>Table1[[#This Row],[HourlyRate]]</f>
        <v>40</v>
      </c>
      <c r="G1436" t="str">
        <f>Table1[[#This Row],[JobRole]]</f>
        <v>Sales Representative</v>
      </c>
      <c r="H1436">
        <f>Table1[[#This Row],[JobSatisfaction]]</f>
        <v>4</v>
      </c>
      <c r="I1436">
        <f>Table1[[#This Row],[YearsAtCompany]]</f>
        <v>9</v>
      </c>
      <c r="J1436">
        <f>Table1[[#This Row],[YearsSinceLastPromotion]]</f>
        <v>0</v>
      </c>
      <c r="K1436">
        <f>Table1[[#This Row],[EmployeeNumber]]</f>
        <v>2019</v>
      </c>
      <c r="L1436">
        <f>Table1[[#This Row],[DistanceFromHome]]</f>
        <v>29</v>
      </c>
      <c r="M1436" t="str">
        <f>Table1[[#This Row],[OverTime]]</f>
        <v>No</v>
      </c>
      <c r="N1436">
        <f>Table1[[#This Row],[WorkLifeBalance]]</f>
        <v>2</v>
      </c>
      <c r="O1436" t="str" cm="1">
        <f t="array" ref="O1436">_xlfn.IFS(A1436&lt;=30,"18-30",A1436&lt;=40,"31-40",A1436&lt;=50,"41-50",A1436&gt;50,"51+")</f>
        <v>51+</v>
      </c>
      <c r="P1436" t="str" cm="1">
        <f t="array" ref="P1436">_xlfn.IFS(F1436&lt;=45,"45 or below",F1436&lt;= 60,"46-60",F1436&lt;=75,"61-75",F1436&lt;=90,"76-90",F1436&gt;90,"91 or above")</f>
        <v>45 or below</v>
      </c>
      <c r="Q143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36" t="str" cm="1">
        <f t="array" ref="R143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37" spans="1:18" x14ac:dyDescent="0.2">
      <c r="A1437">
        <f>Table1[[#This Row],[Age]]</f>
        <v>44</v>
      </c>
      <c r="B1437">
        <f>IF(Table3[[#This Row],[Attrition]] = "Yes", 1,0)</f>
        <v>0</v>
      </c>
      <c r="C1437" t="str">
        <f>Table1[[#This Row],[Attrition]]</f>
        <v>No</v>
      </c>
      <c r="D1437" t="str">
        <f>Table1[[#This Row],[Department]]</f>
        <v>Research &amp; Development</v>
      </c>
      <c r="E1437">
        <f>Table1[[#This Row],[EnvironmentSatisfaction]]</f>
        <v>2</v>
      </c>
      <c r="F1437">
        <f>Table1[[#This Row],[HourlyRate]]</f>
        <v>42</v>
      </c>
      <c r="G1437" t="str">
        <f>Table1[[#This Row],[JobRole]]</f>
        <v>Research Scientist</v>
      </c>
      <c r="H1437">
        <f>Table1[[#This Row],[JobSatisfaction]]</f>
        <v>4</v>
      </c>
      <c r="I1437">
        <f>Table1[[#This Row],[YearsAtCompany]]</f>
        <v>4</v>
      </c>
      <c r="J1437">
        <f>Table1[[#This Row],[YearsSinceLastPromotion]]</f>
        <v>1</v>
      </c>
      <c r="K1437">
        <f>Table1[[#This Row],[EmployeeNumber]]</f>
        <v>2020</v>
      </c>
      <c r="L1437">
        <f>Table1[[#This Row],[DistanceFromHome]]</f>
        <v>1</v>
      </c>
      <c r="M1437" t="str">
        <f>Table1[[#This Row],[OverTime]]</f>
        <v>Yes</v>
      </c>
      <c r="N1437">
        <f>Table1[[#This Row],[WorkLifeBalance]]</f>
        <v>3</v>
      </c>
      <c r="O1437" t="str" cm="1">
        <f t="array" ref="O1437">_xlfn.IFS(A1437&lt;=30,"18-30",A1437&lt;=40,"31-40",A1437&lt;=50,"41-50",A1437&gt;50,"51+")</f>
        <v>41-50</v>
      </c>
      <c r="P1437" t="str" cm="1">
        <f t="array" ref="P1437">_xlfn.IFS(F1437&lt;=45,"45 or below",F1437&lt;= 60,"46-60",F1437&lt;=75,"61-75",F1437&lt;=90,"76-90",F1437&gt;90,"91 or above")</f>
        <v>45 or below</v>
      </c>
      <c r="Q143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37" t="str" cm="1">
        <f t="array" ref="R1437"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38" spans="1:18" x14ac:dyDescent="0.2">
      <c r="A1438">
        <f>Table1[[#This Row],[Age]]</f>
        <v>21</v>
      </c>
      <c r="B1438">
        <f>IF(Table3[[#This Row],[Attrition]] = "Yes", 1,0)</f>
        <v>0</v>
      </c>
      <c r="C1438" t="str">
        <f>Table1[[#This Row],[Attrition]]</f>
        <v>No</v>
      </c>
      <c r="D1438" t="str">
        <f>Table1[[#This Row],[Department]]</f>
        <v>Sales</v>
      </c>
      <c r="E1438">
        <f>Table1[[#This Row],[EnvironmentSatisfaction]]</f>
        <v>3</v>
      </c>
      <c r="F1438">
        <f>Table1[[#This Row],[HourlyRate]]</f>
        <v>58</v>
      </c>
      <c r="G1438" t="str">
        <f>Table1[[#This Row],[JobRole]]</f>
        <v>Sales Representative</v>
      </c>
      <c r="H1438">
        <f>Table1[[#This Row],[JobSatisfaction]]</f>
        <v>1</v>
      </c>
      <c r="I1438">
        <f>Table1[[#This Row],[YearsAtCompany]]</f>
        <v>2</v>
      </c>
      <c r="J1438">
        <f>Table1[[#This Row],[YearsSinceLastPromotion]]</f>
        <v>1</v>
      </c>
      <c r="K1438">
        <f>Table1[[#This Row],[EmployeeNumber]]</f>
        <v>2021</v>
      </c>
      <c r="L1438">
        <f>Table1[[#This Row],[DistanceFromHome]]</f>
        <v>5</v>
      </c>
      <c r="M1438" t="str">
        <f>Table1[[#This Row],[OverTime]]</f>
        <v>Yes</v>
      </c>
      <c r="N1438">
        <f>Table1[[#This Row],[WorkLifeBalance]]</f>
        <v>3</v>
      </c>
      <c r="O1438" t="str" cm="1">
        <f t="array" ref="O1438">_xlfn.IFS(A1438&lt;=30,"18-30",A1438&lt;=40,"31-40",A1438&lt;=50,"41-50",A1438&gt;50,"51+")</f>
        <v>18-30</v>
      </c>
      <c r="P1438" t="str" cm="1">
        <f t="array" ref="P1438">_xlfn.IFS(F1438&lt;=45,"45 or below",F1438&lt;= 60,"46-60",F1438&lt;=75,"61-75",F1438&lt;=90,"76-90",F1438&gt;90,"91 or above")</f>
        <v>46-60</v>
      </c>
      <c r="Q143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38" t="str" cm="1">
        <f t="array" ref="R1438"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39" spans="1:18" x14ac:dyDescent="0.2">
      <c r="A1439">
        <f>Table1[[#This Row],[Age]]</f>
        <v>39</v>
      </c>
      <c r="B1439">
        <f>IF(Table3[[#This Row],[Attrition]] = "Yes", 1,0)</f>
        <v>0</v>
      </c>
      <c r="C1439" t="str">
        <f>Table1[[#This Row],[Attrition]]</f>
        <v>No</v>
      </c>
      <c r="D1439" t="str">
        <f>Table1[[#This Row],[Department]]</f>
        <v>Research &amp; Development</v>
      </c>
      <c r="E1439">
        <f>Table1[[#This Row],[EnvironmentSatisfaction]]</f>
        <v>4</v>
      </c>
      <c r="F1439">
        <f>Table1[[#This Row],[HourlyRate]]</f>
        <v>87</v>
      </c>
      <c r="G1439" t="str">
        <f>Table1[[#This Row],[JobRole]]</f>
        <v>Manager</v>
      </c>
      <c r="H1439">
        <f>Table1[[#This Row],[JobSatisfaction]]</f>
        <v>4</v>
      </c>
      <c r="I1439">
        <f>Table1[[#This Row],[YearsAtCompany]]</f>
        <v>6</v>
      </c>
      <c r="J1439">
        <f>Table1[[#This Row],[YearsSinceLastPromotion]]</f>
        <v>1</v>
      </c>
      <c r="K1439">
        <f>Table1[[#This Row],[EmployeeNumber]]</f>
        <v>2022</v>
      </c>
      <c r="L1439">
        <f>Table1[[#This Row],[DistanceFromHome]]</f>
        <v>9</v>
      </c>
      <c r="M1439" t="str">
        <f>Table1[[#This Row],[OverTime]]</f>
        <v>No</v>
      </c>
      <c r="N1439">
        <f>Table1[[#This Row],[WorkLifeBalance]]</f>
        <v>2</v>
      </c>
      <c r="O1439" t="str" cm="1">
        <f t="array" ref="O1439">_xlfn.IFS(A1439&lt;=30,"18-30",A1439&lt;=40,"31-40",A1439&lt;=50,"41-50",A1439&gt;50,"51+")</f>
        <v>31-40</v>
      </c>
      <c r="P1439" t="str" cm="1">
        <f t="array" ref="P1439">_xlfn.IFS(F1439&lt;=45,"45 or below",F1439&lt;= 60,"46-60",F1439&lt;=75,"61-75",F1439&lt;=90,"76-90",F1439&gt;90,"91 or above")</f>
        <v>76-90</v>
      </c>
      <c r="Q143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39" t="str" cm="1">
        <f t="array" ref="R143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0" spans="1:18" hidden="1" x14ac:dyDescent="0.2">
      <c r="A1440">
        <f>Table1[[#This Row],[Age]]</f>
        <v>23</v>
      </c>
      <c r="B1440">
        <f>IF(Table3[[#This Row],[Attrition]] = "Yes", 1,0)</f>
        <v>1</v>
      </c>
      <c r="C1440" t="str">
        <f>Table1[[#This Row],[Attrition]]</f>
        <v>Yes</v>
      </c>
      <c r="D1440" t="str">
        <f>Table1[[#This Row],[Department]]</f>
        <v>Sales</v>
      </c>
      <c r="E1440">
        <f>Table1[[#This Row],[EnvironmentSatisfaction]]</f>
        <v>4</v>
      </c>
      <c r="F1440">
        <f>Table1[[#This Row],[HourlyRate]]</f>
        <v>33</v>
      </c>
      <c r="G1440" t="str">
        <f>Table1[[#This Row],[JobRole]]</f>
        <v>Sales Representative</v>
      </c>
      <c r="H1440">
        <f>Table1[[#This Row],[JobSatisfaction]]</f>
        <v>1</v>
      </c>
      <c r="I1440">
        <f>Table1[[#This Row],[YearsAtCompany]]</f>
        <v>1</v>
      </c>
      <c r="J1440">
        <f>Table1[[#This Row],[YearsSinceLastPromotion]]</f>
        <v>1</v>
      </c>
      <c r="K1440">
        <f>Table1[[#This Row],[EmployeeNumber]]</f>
        <v>2023</v>
      </c>
      <c r="L1440">
        <f>Table1[[#This Row],[DistanceFromHome]]</f>
        <v>9</v>
      </c>
      <c r="M1440" t="str">
        <f>Table1[[#This Row],[OverTime]]</f>
        <v>No</v>
      </c>
      <c r="N1440">
        <f>Table1[[#This Row],[WorkLifeBalance]]</f>
        <v>2</v>
      </c>
      <c r="O1440" t="str" cm="1">
        <f t="array" ref="O1440">_xlfn.IFS(A1440&lt;=30,"18-30",A1440&lt;=40,"31-40",A1440&lt;=50,"41-50",A1440&gt;50,"51+")</f>
        <v>18-30</v>
      </c>
      <c r="P1440" t="str" cm="1">
        <f t="array" ref="P1440">_xlfn.IFS(F1440&lt;=45,"45 or below",F1440&lt;= 60,"46-60",F1440&lt;=75,"61-75",F1440&lt;=90,"76-90",F1440&gt;90,"91 or above")</f>
        <v>45 or below</v>
      </c>
      <c r="Q1440"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440" t="str" cm="1">
        <f t="array" ref="R1440" xml:space="preserve"> _xlfn.IFS(Table3[[#This Row],[Flight Risk Score]] = "NA","NA",Table3[[#This Row],[Flight Risk Score]] &gt;= 70,"High Risk",Table3[[#This Row],[Flight Risk Score]] &gt;= 50, "Medium Risk", Table3[[#This Row],[Flight Risk Score]] &gt;= 30,"Low Risk",Table3[[#This Row],[Flight Risk Score]] &lt; 30,"Very Low Risk")</f>
        <v>NA</v>
      </c>
    </row>
    <row r="1441" spans="1:18" x14ac:dyDescent="0.2">
      <c r="A1441">
        <f>Table1[[#This Row],[Age]]</f>
        <v>36</v>
      </c>
      <c r="B1441">
        <f>IF(Table3[[#This Row],[Attrition]] = "Yes", 1,0)</f>
        <v>0</v>
      </c>
      <c r="C1441" t="str">
        <f>Table1[[#This Row],[Attrition]]</f>
        <v>No</v>
      </c>
      <c r="D1441" t="str">
        <f>Table1[[#This Row],[Department]]</f>
        <v>Sales</v>
      </c>
      <c r="E1441">
        <f>Table1[[#This Row],[EnvironmentSatisfaction]]</f>
        <v>1</v>
      </c>
      <c r="F1441">
        <f>Table1[[#This Row],[HourlyRate]]</f>
        <v>94</v>
      </c>
      <c r="G1441" t="str">
        <f>Table1[[#This Row],[JobRole]]</f>
        <v>Sales Executive</v>
      </c>
      <c r="H1441">
        <f>Table1[[#This Row],[JobSatisfaction]]</f>
        <v>4</v>
      </c>
      <c r="I1441">
        <f>Table1[[#This Row],[YearsAtCompany]]</f>
        <v>9</v>
      </c>
      <c r="J1441">
        <f>Table1[[#This Row],[YearsSinceLastPromotion]]</f>
        <v>3</v>
      </c>
      <c r="K1441">
        <f>Table1[[#This Row],[EmployeeNumber]]</f>
        <v>2024</v>
      </c>
      <c r="L1441">
        <f>Table1[[#This Row],[DistanceFromHome]]</f>
        <v>3</v>
      </c>
      <c r="M1441" t="str">
        <f>Table1[[#This Row],[OverTime]]</f>
        <v>No</v>
      </c>
      <c r="N1441">
        <f>Table1[[#This Row],[WorkLifeBalance]]</f>
        <v>3</v>
      </c>
      <c r="O1441" t="str" cm="1">
        <f t="array" ref="O1441">_xlfn.IFS(A1441&lt;=30,"18-30",A1441&lt;=40,"31-40",A1441&lt;=50,"41-50",A1441&gt;50,"51+")</f>
        <v>31-40</v>
      </c>
      <c r="P1441" t="str" cm="1">
        <f t="array" ref="P1441">_xlfn.IFS(F1441&lt;=45,"45 or below",F1441&lt;= 60,"46-60",F1441&lt;=75,"61-75",F1441&lt;=90,"76-90",F1441&gt;90,"91 or above")</f>
        <v>91 or above</v>
      </c>
      <c r="Q144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41" t="str" cm="1">
        <f t="array" ref="R144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2" spans="1:18" x14ac:dyDescent="0.2">
      <c r="A1442">
        <f>Table1[[#This Row],[Age]]</f>
        <v>36</v>
      </c>
      <c r="B1442">
        <f>IF(Table3[[#This Row],[Attrition]] = "Yes", 1,0)</f>
        <v>0</v>
      </c>
      <c r="C1442" t="str">
        <f>Table1[[#This Row],[Attrition]]</f>
        <v>No</v>
      </c>
      <c r="D1442" t="str">
        <f>Table1[[#This Row],[Department]]</f>
        <v>Research &amp; Development</v>
      </c>
      <c r="E1442">
        <f>Table1[[#This Row],[EnvironmentSatisfaction]]</f>
        <v>4</v>
      </c>
      <c r="F1442">
        <f>Table1[[#This Row],[HourlyRate]]</f>
        <v>97</v>
      </c>
      <c r="G1442" t="str">
        <f>Table1[[#This Row],[JobRole]]</f>
        <v>Manufacturing Director</v>
      </c>
      <c r="H1442">
        <f>Table1[[#This Row],[JobSatisfaction]]</f>
        <v>2</v>
      </c>
      <c r="I1442">
        <f>Table1[[#This Row],[YearsAtCompany]]</f>
        <v>4</v>
      </c>
      <c r="J1442">
        <f>Table1[[#This Row],[YearsSinceLastPromotion]]</f>
        <v>0</v>
      </c>
      <c r="K1442">
        <f>Table1[[#This Row],[EmployeeNumber]]</f>
        <v>2025</v>
      </c>
      <c r="L1442">
        <f>Table1[[#This Row],[DistanceFromHome]]</f>
        <v>4</v>
      </c>
      <c r="M1442" t="str">
        <f>Table1[[#This Row],[OverTime]]</f>
        <v>No</v>
      </c>
      <c r="N1442">
        <f>Table1[[#This Row],[WorkLifeBalance]]</f>
        <v>3</v>
      </c>
      <c r="O1442" t="str" cm="1">
        <f t="array" ref="O1442">_xlfn.IFS(A1442&lt;=30,"18-30",A1442&lt;=40,"31-40",A1442&lt;=50,"41-50",A1442&gt;50,"51+")</f>
        <v>31-40</v>
      </c>
      <c r="P1442" t="str" cm="1">
        <f t="array" ref="P1442">_xlfn.IFS(F1442&lt;=45,"45 or below",F1442&lt;= 60,"46-60",F1442&lt;=75,"61-75",F1442&lt;=90,"76-90",F1442&gt;90,"91 or above")</f>
        <v>91 or above</v>
      </c>
      <c r="Q144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42" t="str" cm="1">
        <f t="array" ref="R1442"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3" spans="1:18" x14ac:dyDescent="0.2">
      <c r="A1443">
        <f>Table1[[#This Row],[Age]]</f>
        <v>56</v>
      </c>
      <c r="B1443">
        <f>IF(Table3[[#This Row],[Attrition]] = "Yes", 1,0)</f>
        <v>0</v>
      </c>
      <c r="C1443" t="str">
        <f>Table1[[#This Row],[Attrition]]</f>
        <v>No</v>
      </c>
      <c r="D1443" t="str">
        <f>Table1[[#This Row],[Department]]</f>
        <v>Research &amp; Development</v>
      </c>
      <c r="E1443">
        <f>Table1[[#This Row],[EnvironmentSatisfaction]]</f>
        <v>3</v>
      </c>
      <c r="F1443">
        <f>Table1[[#This Row],[HourlyRate]]</f>
        <v>57</v>
      </c>
      <c r="G1443" t="str">
        <f>Table1[[#This Row],[JobRole]]</f>
        <v>Healthcare Representative</v>
      </c>
      <c r="H1443">
        <f>Table1[[#This Row],[JobSatisfaction]]</f>
        <v>3</v>
      </c>
      <c r="I1443">
        <f>Table1[[#This Row],[YearsAtCompany]]</f>
        <v>13</v>
      </c>
      <c r="J1443">
        <f>Table1[[#This Row],[YearsSinceLastPromotion]]</f>
        <v>1</v>
      </c>
      <c r="K1443">
        <f>Table1[[#This Row],[EmployeeNumber]]</f>
        <v>2026</v>
      </c>
      <c r="L1443">
        <f>Table1[[#This Row],[DistanceFromHome]]</f>
        <v>1</v>
      </c>
      <c r="M1443" t="str">
        <f>Table1[[#This Row],[OverTime]]</f>
        <v>No</v>
      </c>
      <c r="N1443">
        <f>Table1[[#This Row],[WorkLifeBalance]]</f>
        <v>2</v>
      </c>
      <c r="O1443" t="str" cm="1">
        <f t="array" ref="O1443">_xlfn.IFS(A1443&lt;=30,"18-30",A1443&lt;=40,"31-40",A1443&lt;=50,"41-50",A1443&gt;50,"51+")</f>
        <v>51+</v>
      </c>
      <c r="P1443" t="str" cm="1">
        <f t="array" ref="P1443">_xlfn.IFS(F1443&lt;=45,"45 or below",F1443&lt;= 60,"46-60",F1443&lt;=75,"61-75",F1443&lt;=90,"76-90",F1443&gt;90,"91 or above")</f>
        <v>46-60</v>
      </c>
      <c r="Q144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43" t="str" cm="1">
        <f t="array" ref="R144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4" spans="1:18" hidden="1" x14ac:dyDescent="0.2">
      <c r="A1444">
        <f>Table1[[#This Row],[Age]]</f>
        <v>29</v>
      </c>
      <c r="B1444">
        <f>IF(Table3[[#This Row],[Attrition]] = "Yes", 1,0)</f>
        <v>1</v>
      </c>
      <c r="C1444" t="str">
        <f>Table1[[#This Row],[Attrition]]</f>
        <v>Yes</v>
      </c>
      <c r="D1444" t="str">
        <f>Table1[[#This Row],[Department]]</f>
        <v>Research &amp; Development</v>
      </c>
      <c r="E1444">
        <f>Table1[[#This Row],[EnvironmentSatisfaction]]</f>
        <v>1</v>
      </c>
      <c r="F1444">
        <f>Table1[[#This Row],[HourlyRate]]</f>
        <v>36</v>
      </c>
      <c r="G1444" t="str">
        <f>Table1[[#This Row],[JobRole]]</f>
        <v>Research Scientist</v>
      </c>
      <c r="H1444">
        <f>Table1[[#This Row],[JobSatisfaction]]</f>
        <v>4</v>
      </c>
      <c r="I1444">
        <f>Table1[[#This Row],[YearsAtCompany]]</f>
        <v>2</v>
      </c>
      <c r="J1444">
        <f>Table1[[#This Row],[YearsSinceLastPromotion]]</f>
        <v>2</v>
      </c>
      <c r="K1444">
        <f>Table1[[#This Row],[EmployeeNumber]]</f>
        <v>2027</v>
      </c>
      <c r="L1444">
        <f>Table1[[#This Row],[DistanceFromHome]]</f>
        <v>1</v>
      </c>
      <c r="M1444" t="str">
        <f>Table1[[#This Row],[OverTime]]</f>
        <v>Yes</v>
      </c>
      <c r="N1444">
        <f>Table1[[#This Row],[WorkLifeBalance]]</f>
        <v>4</v>
      </c>
      <c r="O1444" t="str" cm="1">
        <f t="array" ref="O1444">_xlfn.IFS(A1444&lt;=30,"18-30",A1444&lt;=40,"31-40",A1444&lt;=50,"41-50",A1444&gt;50,"51+")</f>
        <v>18-30</v>
      </c>
      <c r="P1444" t="str" cm="1">
        <f t="array" ref="P1444">_xlfn.IFS(F1444&lt;=45,"45 or below",F1444&lt;= 60,"46-60",F1444&lt;=75,"61-75",F1444&lt;=90,"76-90",F1444&gt;90,"91 or above")</f>
        <v>45 or below</v>
      </c>
      <c r="Q144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444" t="str" cm="1">
        <f t="array" ref="R1444" xml:space="preserve"> _xlfn.IFS(Table3[[#This Row],[Flight Risk Score]] = "NA","NA",Table3[[#This Row],[Flight Risk Score]] &gt;= 70,"High Risk",Table3[[#This Row],[Flight Risk Score]] &gt;= 50, "Medium Risk", Table3[[#This Row],[Flight Risk Score]] &gt;= 30,"Low Risk",Table3[[#This Row],[Flight Risk Score]] &lt; 30,"Very Low Risk")</f>
        <v>NA</v>
      </c>
    </row>
    <row r="1445" spans="1:18" x14ac:dyDescent="0.2">
      <c r="A1445">
        <f>Table1[[#This Row],[Age]]</f>
        <v>42</v>
      </c>
      <c r="B1445">
        <f>IF(Table3[[#This Row],[Attrition]] = "Yes", 1,0)</f>
        <v>0</v>
      </c>
      <c r="C1445" t="str">
        <f>Table1[[#This Row],[Attrition]]</f>
        <v>No</v>
      </c>
      <c r="D1445" t="str">
        <f>Table1[[#This Row],[Department]]</f>
        <v>Research &amp; Development</v>
      </c>
      <c r="E1445">
        <f>Table1[[#This Row],[EnvironmentSatisfaction]]</f>
        <v>1</v>
      </c>
      <c r="F1445">
        <f>Table1[[#This Row],[HourlyRate]]</f>
        <v>56</v>
      </c>
      <c r="G1445" t="str">
        <f>Table1[[#This Row],[JobRole]]</f>
        <v>Manager</v>
      </c>
      <c r="H1445">
        <f>Table1[[#This Row],[JobSatisfaction]]</f>
        <v>3</v>
      </c>
      <c r="I1445">
        <f>Table1[[#This Row],[YearsAtCompany]]</f>
        <v>22</v>
      </c>
      <c r="J1445">
        <f>Table1[[#This Row],[YearsSinceLastPromotion]]</f>
        <v>4</v>
      </c>
      <c r="K1445">
        <f>Table1[[#This Row],[EmployeeNumber]]</f>
        <v>2031</v>
      </c>
      <c r="L1445">
        <f>Table1[[#This Row],[DistanceFromHome]]</f>
        <v>2</v>
      </c>
      <c r="M1445" t="str">
        <f>Table1[[#This Row],[OverTime]]</f>
        <v>No</v>
      </c>
      <c r="N1445">
        <f>Table1[[#This Row],[WorkLifeBalance]]</f>
        <v>2</v>
      </c>
      <c r="O1445" t="str" cm="1">
        <f t="array" ref="O1445">_xlfn.IFS(A1445&lt;=30,"18-30",A1445&lt;=40,"31-40",A1445&lt;=50,"41-50",A1445&gt;50,"51+")</f>
        <v>41-50</v>
      </c>
      <c r="P1445" t="str" cm="1">
        <f t="array" ref="P1445">_xlfn.IFS(F1445&lt;=45,"45 or below",F1445&lt;= 60,"46-60",F1445&lt;=75,"61-75",F1445&lt;=90,"76-90",F1445&gt;90,"91 or above")</f>
        <v>46-60</v>
      </c>
      <c r="Q144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45" t="str" cm="1">
        <f t="array" ref="R144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6" spans="1:18" hidden="1" x14ac:dyDescent="0.2">
      <c r="A1446">
        <f>Table1[[#This Row],[Age]]</f>
        <v>56</v>
      </c>
      <c r="B1446">
        <f>IF(Table3[[#This Row],[Attrition]] = "Yes", 1,0)</f>
        <v>1</v>
      </c>
      <c r="C1446" t="str">
        <f>Table1[[#This Row],[Attrition]]</f>
        <v>Yes</v>
      </c>
      <c r="D1446" t="str">
        <f>Table1[[#This Row],[Department]]</f>
        <v>Research &amp; Development</v>
      </c>
      <c r="E1446">
        <f>Table1[[#This Row],[EnvironmentSatisfaction]]</f>
        <v>4</v>
      </c>
      <c r="F1446">
        <f>Table1[[#This Row],[HourlyRate]]</f>
        <v>72</v>
      </c>
      <c r="G1446" t="str">
        <f>Table1[[#This Row],[JobRole]]</f>
        <v>Laboratory Technician</v>
      </c>
      <c r="H1446">
        <f>Table1[[#This Row],[JobSatisfaction]]</f>
        <v>3</v>
      </c>
      <c r="I1446">
        <f>Table1[[#This Row],[YearsAtCompany]]</f>
        <v>10</v>
      </c>
      <c r="J1446">
        <f>Table1[[#This Row],[YearsSinceLastPromotion]]</f>
        <v>9</v>
      </c>
      <c r="K1446">
        <f>Table1[[#This Row],[EmployeeNumber]]</f>
        <v>2032</v>
      </c>
      <c r="L1446">
        <f>Table1[[#This Row],[DistanceFromHome]]</f>
        <v>7</v>
      </c>
      <c r="M1446" t="str">
        <f>Table1[[#This Row],[OverTime]]</f>
        <v>No</v>
      </c>
      <c r="N1446">
        <f>Table1[[#This Row],[WorkLifeBalance]]</f>
        <v>1</v>
      </c>
      <c r="O1446" t="str" cm="1">
        <f t="array" ref="O1446">_xlfn.IFS(A1446&lt;=30,"18-30",A1446&lt;=40,"31-40",A1446&lt;=50,"41-50",A1446&gt;50,"51+")</f>
        <v>51+</v>
      </c>
      <c r="P1446" t="str" cm="1">
        <f t="array" ref="P1446">_xlfn.IFS(F1446&lt;=45,"45 or below",F1446&lt;= 60,"46-60",F1446&lt;=75,"61-75",F1446&lt;=90,"76-90",F1446&gt;90,"91 or above")</f>
        <v>61-75</v>
      </c>
      <c r="Q1446"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446" t="str" cm="1">
        <f t="array" ref="R1446" xml:space="preserve"> _xlfn.IFS(Table3[[#This Row],[Flight Risk Score]] = "NA","NA",Table3[[#This Row],[Flight Risk Score]] &gt;= 70,"High Risk",Table3[[#This Row],[Flight Risk Score]] &gt;= 50, "Medium Risk", Table3[[#This Row],[Flight Risk Score]] &gt;= 30,"Low Risk",Table3[[#This Row],[Flight Risk Score]] &lt; 30,"Very Low Risk")</f>
        <v>NA</v>
      </c>
    </row>
    <row r="1447" spans="1:18" x14ac:dyDescent="0.2">
      <c r="A1447">
        <f>Table1[[#This Row],[Age]]</f>
        <v>41</v>
      </c>
      <c r="B1447">
        <f>IF(Table3[[#This Row],[Attrition]] = "Yes", 1,0)</f>
        <v>0</v>
      </c>
      <c r="C1447" t="str">
        <f>Table1[[#This Row],[Attrition]]</f>
        <v>No</v>
      </c>
      <c r="D1447" t="str">
        <f>Table1[[#This Row],[Department]]</f>
        <v>Research &amp; Development</v>
      </c>
      <c r="E1447">
        <f>Table1[[#This Row],[EnvironmentSatisfaction]]</f>
        <v>1</v>
      </c>
      <c r="F1447">
        <f>Table1[[#This Row],[HourlyRate]]</f>
        <v>60</v>
      </c>
      <c r="G1447" t="str">
        <f>Table1[[#This Row],[JobRole]]</f>
        <v>Manufacturing Director</v>
      </c>
      <c r="H1447">
        <f>Table1[[#This Row],[JobSatisfaction]]</f>
        <v>2</v>
      </c>
      <c r="I1447">
        <f>Table1[[#This Row],[YearsAtCompany]]</f>
        <v>20</v>
      </c>
      <c r="J1447">
        <f>Table1[[#This Row],[YearsSinceLastPromotion]]</f>
        <v>0</v>
      </c>
      <c r="K1447">
        <f>Table1[[#This Row],[EmployeeNumber]]</f>
        <v>2034</v>
      </c>
      <c r="L1447">
        <f>Table1[[#This Row],[DistanceFromHome]]</f>
        <v>28</v>
      </c>
      <c r="M1447" t="str">
        <f>Table1[[#This Row],[OverTime]]</f>
        <v>No</v>
      </c>
      <c r="N1447">
        <f>Table1[[#This Row],[WorkLifeBalance]]</f>
        <v>3</v>
      </c>
      <c r="O1447" t="str" cm="1">
        <f t="array" ref="O1447">_xlfn.IFS(A1447&lt;=30,"18-30",A1447&lt;=40,"31-40",A1447&lt;=50,"41-50",A1447&gt;50,"51+")</f>
        <v>41-50</v>
      </c>
      <c r="P1447" t="str" cm="1">
        <f t="array" ref="P1447">_xlfn.IFS(F1447&lt;=45,"45 or below",F1447&lt;= 60,"46-60",F1447&lt;=75,"61-75",F1447&lt;=90,"76-90",F1447&gt;90,"91 or above")</f>
        <v>46-60</v>
      </c>
      <c r="Q144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447" t="str" cm="1">
        <f t="array" ref="R1447"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48" spans="1:18" x14ac:dyDescent="0.2">
      <c r="A1448">
        <f>Table1[[#This Row],[Age]]</f>
        <v>34</v>
      </c>
      <c r="B1448">
        <f>IF(Table3[[#This Row],[Attrition]] = "Yes", 1,0)</f>
        <v>0</v>
      </c>
      <c r="C1448" t="str">
        <f>Table1[[#This Row],[Attrition]]</f>
        <v>No</v>
      </c>
      <c r="D1448" t="str">
        <f>Table1[[#This Row],[Department]]</f>
        <v>Sales</v>
      </c>
      <c r="E1448">
        <f>Table1[[#This Row],[EnvironmentSatisfaction]]</f>
        <v>4</v>
      </c>
      <c r="F1448">
        <f>Table1[[#This Row],[HourlyRate]]</f>
        <v>95</v>
      </c>
      <c r="G1448" t="str">
        <f>Table1[[#This Row],[JobRole]]</f>
        <v>Sales Executive</v>
      </c>
      <c r="H1448">
        <f>Table1[[#This Row],[JobSatisfaction]]</f>
        <v>3</v>
      </c>
      <c r="I1448">
        <f>Table1[[#This Row],[YearsAtCompany]]</f>
        <v>8</v>
      </c>
      <c r="J1448">
        <f>Table1[[#This Row],[YearsSinceLastPromotion]]</f>
        <v>1</v>
      </c>
      <c r="K1448">
        <f>Table1[[#This Row],[EmployeeNumber]]</f>
        <v>2035</v>
      </c>
      <c r="L1448">
        <f>Table1[[#This Row],[DistanceFromHome]]</f>
        <v>28</v>
      </c>
      <c r="M1448" t="str">
        <f>Table1[[#This Row],[OverTime]]</f>
        <v>No</v>
      </c>
      <c r="N1448">
        <f>Table1[[#This Row],[WorkLifeBalance]]</f>
        <v>3</v>
      </c>
      <c r="O1448" t="str" cm="1">
        <f t="array" ref="O1448">_xlfn.IFS(A1448&lt;=30,"18-30",A1448&lt;=40,"31-40",A1448&lt;=50,"41-50",A1448&gt;50,"51+")</f>
        <v>31-40</v>
      </c>
      <c r="P1448" t="str" cm="1">
        <f t="array" ref="P1448">_xlfn.IFS(F1448&lt;=45,"45 or below",F1448&lt;= 60,"46-60",F1448&lt;=75,"61-75",F1448&lt;=90,"76-90",F1448&gt;90,"91 or above")</f>
        <v>91 or above</v>
      </c>
      <c r="Q144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48" t="str" cm="1">
        <f t="array" ref="R144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49" spans="1:18" x14ac:dyDescent="0.2">
      <c r="A1449">
        <f>Table1[[#This Row],[Age]]</f>
        <v>36</v>
      </c>
      <c r="B1449">
        <f>IF(Table3[[#This Row],[Attrition]] = "Yes", 1,0)</f>
        <v>0</v>
      </c>
      <c r="C1449" t="str">
        <f>Table1[[#This Row],[Attrition]]</f>
        <v>No</v>
      </c>
      <c r="D1449" t="str">
        <f>Table1[[#This Row],[Department]]</f>
        <v>Sales</v>
      </c>
      <c r="E1449">
        <f>Table1[[#This Row],[EnvironmentSatisfaction]]</f>
        <v>4</v>
      </c>
      <c r="F1449">
        <f>Table1[[#This Row],[HourlyRate]]</f>
        <v>88</v>
      </c>
      <c r="G1449" t="str">
        <f>Table1[[#This Row],[JobRole]]</f>
        <v>Sales Executive</v>
      </c>
      <c r="H1449">
        <f>Table1[[#This Row],[JobSatisfaction]]</f>
        <v>4</v>
      </c>
      <c r="I1449">
        <f>Table1[[#This Row],[YearsAtCompany]]</f>
        <v>15</v>
      </c>
      <c r="J1449">
        <f>Table1[[#This Row],[YearsSinceLastPromotion]]</f>
        <v>11</v>
      </c>
      <c r="K1449">
        <f>Table1[[#This Row],[EmployeeNumber]]</f>
        <v>2036</v>
      </c>
      <c r="L1449">
        <f>Table1[[#This Row],[DistanceFromHome]]</f>
        <v>15</v>
      </c>
      <c r="M1449" t="str">
        <f>Table1[[#This Row],[OverTime]]</f>
        <v>No</v>
      </c>
      <c r="N1449">
        <f>Table1[[#This Row],[WorkLifeBalance]]</f>
        <v>2</v>
      </c>
      <c r="O1449" t="str" cm="1">
        <f t="array" ref="O1449">_xlfn.IFS(A1449&lt;=30,"18-30",A1449&lt;=40,"31-40",A1449&lt;=50,"41-50",A1449&gt;50,"51+")</f>
        <v>31-40</v>
      </c>
      <c r="P1449" t="str" cm="1">
        <f t="array" ref="P1449">_xlfn.IFS(F1449&lt;=45,"45 or below",F1449&lt;= 60,"46-60",F1449&lt;=75,"61-75",F1449&lt;=90,"76-90",F1449&gt;90,"91 or above")</f>
        <v>76-90</v>
      </c>
      <c r="Q144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49" t="str" cm="1">
        <f t="array" ref="R144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0" spans="1:18" x14ac:dyDescent="0.2">
      <c r="A1450">
        <f>Table1[[#This Row],[Age]]</f>
        <v>41</v>
      </c>
      <c r="B1450">
        <f>IF(Table3[[#This Row],[Attrition]] = "Yes", 1,0)</f>
        <v>0</v>
      </c>
      <c r="C1450" t="str">
        <f>Table1[[#This Row],[Attrition]]</f>
        <v>No</v>
      </c>
      <c r="D1450" t="str">
        <f>Table1[[#This Row],[Department]]</f>
        <v>Sales</v>
      </c>
      <c r="E1450">
        <f>Table1[[#This Row],[EnvironmentSatisfaction]]</f>
        <v>3</v>
      </c>
      <c r="F1450">
        <f>Table1[[#This Row],[HourlyRate]]</f>
        <v>57</v>
      </c>
      <c r="G1450" t="str">
        <f>Table1[[#This Row],[JobRole]]</f>
        <v>Sales Executive</v>
      </c>
      <c r="H1450">
        <f>Table1[[#This Row],[JobSatisfaction]]</f>
        <v>2</v>
      </c>
      <c r="I1450">
        <f>Table1[[#This Row],[YearsAtCompany]]</f>
        <v>5</v>
      </c>
      <c r="J1450">
        <f>Table1[[#This Row],[YearsSinceLastPromotion]]</f>
        <v>0</v>
      </c>
      <c r="K1450">
        <f>Table1[[#This Row],[EmployeeNumber]]</f>
        <v>2037</v>
      </c>
      <c r="L1450">
        <f>Table1[[#This Row],[DistanceFromHome]]</f>
        <v>3</v>
      </c>
      <c r="M1450" t="str">
        <f>Table1[[#This Row],[OverTime]]</f>
        <v>No</v>
      </c>
      <c r="N1450">
        <f>Table1[[#This Row],[WorkLifeBalance]]</f>
        <v>3</v>
      </c>
      <c r="O1450" t="str" cm="1">
        <f t="array" ref="O1450">_xlfn.IFS(A1450&lt;=30,"18-30",A1450&lt;=40,"31-40",A1450&lt;=50,"41-50",A1450&gt;50,"51+")</f>
        <v>41-50</v>
      </c>
      <c r="P1450" t="str" cm="1">
        <f t="array" ref="P1450">_xlfn.IFS(F1450&lt;=45,"45 or below",F1450&lt;= 60,"46-60",F1450&lt;=75,"61-75",F1450&lt;=90,"76-90",F1450&gt;90,"91 or above")</f>
        <v>46-60</v>
      </c>
      <c r="Q145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50" t="str" cm="1">
        <f t="array" ref="R145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1" spans="1:18" x14ac:dyDescent="0.2">
      <c r="A1451">
        <f>Table1[[#This Row],[Age]]</f>
        <v>32</v>
      </c>
      <c r="B1451">
        <f>IF(Table3[[#This Row],[Attrition]] = "Yes", 1,0)</f>
        <v>0</v>
      </c>
      <c r="C1451" t="str">
        <f>Table1[[#This Row],[Attrition]]</f>
        <v>No</v>
      </c>
      <c r="D1451" t="str">
        <f>Table1[[#This Row],[Department]]</f>
        <v>Research &amp; Development</v>
      </c>
      <c r="E1451">
        <f>Table1[[#This Row],[EnvironmentSatisfaction]]</f>
        <v>4</v>
      </c>
      <c r="F1451">
        <f>Table1[[#This Row],[HourlyRate]]</f>
        <v>78</v>
      </c>
      <c r="G1451" t="str">
        <f>Table1[[#This Row],[JobRole]]</f>
        <v>Research Scientist</v>
      </c>
      <c r="H1451">
        <f>Table1[[#This Row],[JobSatisfaction]]</f>
        <v>1</v>
      </c>
      <c r="I1451">
        <f>Table1[[#This Row],[YearsAtCompany]]</f>
        <v>4</v>
      </c>
      <c r="J1451">
        <f>Table1[[#This Row],[YearsSinceLastPromotion]]</f>
        <v>1</v>
      </c>
      <c r="K1451">
        <f>Table1[[#This Row],[EmployeeNumber]]</f>
        <v>2038</v>
      </c>
      <c r="L1451">
        <f>Table1[[#This Row],[DistanceFromHome]]</f>
        <v>2</v>
      </c>
      <c r="M1451" t="str">
        <f>Table1[[#This Row],[OverTime]]</f>
        <v>No</v>
      </c>
      <c r="N1451">
        <f>Table1[[#This Row],[WorkLifeBalance]]</f>
        <v>3</v>
      </c>
      <c r="O1451" t="str" cm="1">
        <f t="array" ref="O1451">_xlfn.IFS(A1451&lt;=30,"18-30",A1451&lt;=40,"31-40",A1451&lt;=50,"41-50",A1451&gt;50,"51+")</f>
        <v>31-40</v>
      </c>
      <c r="P1451" t="str" cm="1">
        <f t="array" ref="P1451">_xlfn.IFS(F1451&lt;=45,"45 or below",F1451&lt;= 60,"46-60",F1451&lt;=75,"61-75",F1451&lt;=90,"76-90",F1451&gt;90,"91 or above")</f>
        <v>76-90</v>
      </c>
      <c r="Q145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51" t="str" cm="1">
        <f t="array" ref="R145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2" spans="1:18" x14ac:dyDescent="0.2">
      <c r="A1452">
        <f>Table1[[#This Row],[Age]]</f>
        <v>35</v>
      </c>
      <c r="B1452">
        <f>IF(Table3[[#This Row],[Attrition]] = "Yes", 1,0)</f>
        <v>0</v>
      </c>
      <c r="C1452" t="str">
        <f>Table1[[#This Row],[Attrition]]</f>
        <v>No</v>
      </c>
      <c r="D1452" t="str">
        <f>Table1[[#This Row],[Department]]</f>
        <v>Human Resources</v>
      </c>
      <c r="E1452">
        <f>Table1[[#This Row],[EnvironmentSatisfaction]]</f>
        <v>3</v>
      </c>
      <c r="F1452">
        <f>Table1[[#This Row],[HourlyRate]]</f>
        <v>31</v>
      </c>
      <c r="G1452" t="str">
        <f>Table1[[#This Row],[JobRole]]</f>
        <v>Human Resources</v>
      </c>
      <c r="H1452">
        <f>Table1[[#This Row],[JobSatisfaction]]</f>
        <v>4</v>
      </c>
      <c r="I1452">
        <f>Table1[[#This Row],[YearsAtCompany]]</f>
        <v>9</v>
      </c>
      <c r="J1452">
        <f>Table1[[#This Row],[YearsSinceLastPromotion]]</f>
        <v>1</v>
      </c>
      <c r="K1452">
        <f>Table1[[#This Row],[EmployeeNumber]]</f>
        <v>2040</v>
      </c>
      <c r="L1452">
        <f>Table1[[#This Row],[DistanceFromHome]]</f>
        <v>26</v>
      </c>
      <c r="M1452" t="str">
        <f>Table1[[#This Row],[OverTime]]</f>
        <v>Yes</v>
      </c>
      <c r="N1452">
        <f>Table1[[#This Row],[WorkLifeBalance]]</f>
        <v>3</v>
      </c>
      <c r="O1452" t="str" cm="1">
        <f t="array" ref="O1452">_xlfn.IFS(A1452&lt;=30,"18-30",A1452&lt;=40,"31-40",A1452&lt;=50,"41-50",A1452&gt;50,"51+")</f>
        <v>31-40</v>
      </c>
      <c r="P1452" t="str" cm="1">
        <f t="array" ref="P1452">_xlfn.IFS(F1452&lt;=45,"45 or below",F1452&lt;= 60,"46-60",F1452&lt;=75,"61-75",F1452&lt;=90,"76-90",F1452&gt;90,"91 or above")</f>
        <v>45 or below</v>
      </c>
      <c r="Q145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52" t="str" cm="1">
        <f t="array" ref="R1452"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53" spans="1:18" x14ac:dyDescent="0.2">
      <c r="A1453">
        <f>Table1[[#This Row],[Age]]</f>
        <v>38</v>
      </c>
      <c r="B1453">
        <f>IF(Table3[[#This Row],[Attrition]] = "Yes", 1,0)</f>
        <v>0</v>
      </c>
      <c r="C1453" t="str">
        <f>Table1[[#This Row],[Attrition]]</f>
        <v>No</v>
      </c>
      <c r="D1453" t="str">
        <f>Table1[[#This Row],[Department]]</f>
        <v>Sales</v>
      </c>
      <c r="E1453">
        <f>Table1[[#This Row],[EnvironmentSatisfaction]]</f>
        <v>1</v>
      </c>
      <c r="F1453">
        <f>Table1[[#This Row],[HourlyRate]]</f>
        <v>100</v>
      </c>
      <c r="G1453" t="str">
        <f>Table1[[#This Row],[JobRole]]</f>
        <v>Sales Executive</v>
      </c>
      <c r="H1453">
        <f>Table1[[#This Row],[JobSatisfaction]]</f>
        <v>4</v>
      </c>
      <c r="I1453">
        <f>Table1[[#This Row],[YearsAtCompany]]</f>
        <v>10</v>
      </c>
      <c r="J1453">
        <f>Table1[[#This Row],[YearsSinceLastPromotion]]</f>
        <v>1</v>
      </c>
      <c r="K1453">
        <f>Table1[[#This Row],[EmployeeNumber]]</f>
        <v>2041</v>
      </c>
      <c r="L1453">
        <f>Table1[[#This Row],[DistanceFromHome]]</f>
        <v>10</v>
      </c>
      <c r="M1453" t="str">
        <f>Table1[[#This Row],[OverTime]]</f>
        <v>No</v>
      </c>
      <c r="N1453">
        <f>Table1[[#This Row],[WorkLifeBalance]]</f>
        <v>3</v>
      </c>
      <c r="O1453" t="str" cm="1">
        <f t="array" ref="O1453">_xlfn.IFS(A1453&lt;=30,"18-30",A1453&lt;=40,"31-40",A1453&lt;=50,"41-50",A1453&gt;50,"51+")</f>
        <v>31-40</v>
      </c>
      <c r="P1453" t="str" cm="1">
        <f t="array" ref="P1453">_xlfn.IFS(F1453&lt;=45,"45 or below",F1453&lt;= 60,"46-60",F1453&lt;=75,"61-75",F1453&lt;=90,"76-90",F1453&gt;90,"91 or above")</f>
        <v>91 or above</v>
      </c>
      <c r="Q1453">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53" t="str" cm="1">
        <f t="array" ref="R1453"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4" spans="1:18" hidden="1" x14ac:dyDescent="0.2">
      <c r="A1454">
        <f>Table1[[#This Row],[Age]]</f>
        <v>50</v>
      </c>
      <c r="B1454">
        <f>IF(Table3[[#This Row],[Attrition]] = "Yes", 1,0)</f>
        <v>1</v>
      </c>
      <c r="C1454" t="str">
        <f>Table1[[#This Row],[Attrition]]</f>
        <v>Yes</v>
      </c>
      <c r="D1454" t="str">
        <f>Table1[[#This Row],[Department]]</f>
        <v>Sales</v>
      </c>
      <c r="E1454">
        <f>Table1[[#This Row],[EnvironmentSatisfaction]]</f>
        <v>2</v>
      </c>
      <c r="F1454">
        <f>Table1[[#This Row],[HourlyRate]]</f>
        <v>94</v>
      </c>
      <c r="G1454" t="str">
        <f>Table1[[#This Row],[JobRole]]</f>
        <v>Sales Executive</v>
      </c>
      <c r="H1454">
        <f>Table1[[#This Row],[JobSatisfaction]]</f>
        <v>3</v>
      </c>
      <c r="I1454">
        <f>Table1[[#This Row],[YearsAtCompany]]</f>
        <v>6</v>
      </c>
      <c r="J1454">
        <f>Table1[[#This Row],[YearsSinceLastPromotion]]</f>
        <v>0</v>
      </c>
      <c r="K1454">
        <f>Table1[[#This Row],[EmployeeNumber]]</f>
        <v>2044</v>
      </c>
      <c r="L1454">
        <f>Table1[[#This Row],[DistanceFromHome]]</f>
        <v>1</v>
      </c>
      <c r="M1454" t="str">
        <f>Table1[[#This Row],[OverTime]]</f>
        <v>No</v>
      </c>
      <c r="N1454">
        <f>Table1[[#This Row],[WorkLifeBalance]]</f>
        <v>3</v>
      </c>
      <c r="O1454" t="str" cm="1">
        <f t="array" ref="O1454">_xlfn.IFS(A1454&lt;=30,"18-30",A1454&lt;=40,"31-40",A1454&lt;=50,"41-50",A1454&gt;50,"51+")</f>
        <v>41-50</v>
      </c>
      <c r="P1454" t="str" cm="1">
        <f t="array" ref="P1454">_xlfn.IFS(F1454&lt;=45,"45 or below",F1454&lt;= 60,"46-60",F1454&lt;=75,"61-75",F1454&lt;=90,"76-90",F1454&gt;90,"91 or above")</f>
        <v>91 or above</v>
      </c>
      <c r="Q1454"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454" t="str" cm="1">
        <f t="array" ref="R1454" xml:space="preserve"> _xlfn.IFS(Table3[[#This Row],[Flight Risk Score]] = "NA","NA",Table3[[#This Row],[Flight Risk Score]] &gt;= 70,"High Risk",Table3[[#This Row],[Flight Risk Score]] &gt;= 50, "Medium Risk", Table3[[#This Row],[Flight Risk Score]] &gt;= 30,"Low Risk",Table3[[#This Row],[Flight Risk Score]] &lt; 30,"Very Low Risk")</f>
        <v>NA</v>
      </c>
    </row>
    <row r="1455" spans="1:18" x14ac:dyDescent="0.2">
      <c r="A1455">
        <f>Table1[[#This Row],[Age]]</f>
        <v>36</v>
      </c>
      <c r="B1455">
        <f>IF(Table3[[#This Row],[Attrition]] = "Yes", 1,0)</f>
        <v>0</v>
      </c>
      <c r="C1455" t="str">
        <f>Table1[[#This Row],[Attrition]]</f>
        <v>No</v>
      </c>
      <c r="D1455" t="str">
        <f>Table1[[#This Row],[Department]]</f>
        <v>Sales</v>
      </c>
      <c r="E1455">
        <f>Table1[[#This Row],[EnvironmentSatisfaction]]</f>
        <v>2</v>
      </c>
      <c r="F1455">
        <f>Table1[[#This Row],[HourlyRate]]</f>
        <v>100</v>
      </c>
      <c r="G1455" t="str">
        <f>Table1[[#This Row],[JobRole]]</f>
        <v>Sales Executive</v>
      </c>
      <c r="H1455">
        <f>Table1[[#This Row],[JobSatisfaction]]</f>
        <v>4</v>
      </c>
      <c r="I1455">
        <f>Table1[[#This Row],[YearsAtCompany]]</f>
        <v>6</v>
      </c>
      <c r="J1455">
        <f>Table1[[#This Row],[YearsSinceLastPromotion]]</f>
        <v>0</v>
      </c>
      <c r="K1455">
        <f>Table1[[#This Row],[EmployeeNumber]]</f>
        <v>2045</v>
      </c>
      <c r="L1455">
        <f>Table1[[#This Row],[DistanceFromHome]]</f>
        <v>11</v>
      </c>
      <c r="M1455" t="str">
        <f>Table1[[#This Row],[OverTime]]</f>
        <v>No</v>
      </c>
      <c r="N1455">
        <f>Table1[[#This Row],[WorkLifeBalance]]</f>
        <v>2</v>
      </c>
      <c r="O1455" t="str" cm="1">
        <f t="array" ref="O1455">_xlfn.IFS(A1455&lt;=30,"18-30",A1455&lt;=40,"31-40",A1455&lt;=50,"41-50",A1455&gt;50,"51+")</f>
        <v>31-40</v>
      </c>
      <c r="P1455" t="str" cm="1">
        <f t="array" ref="P1455">_xlfn.IFS(F1455&lt;=45,"45 or below",F1455&lt;= 60,"46-60",F1455&lt;=75,"61-75",F1455&lt;=90,"76-90",F1455&gt;90,"91 or above")</f>
        <v>91 or above</v>
      </c>
      <c r="Q145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55" t="str" cm="1">
        <f t="array" ref="R1455"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6" spans="1:18" x14ac:dyDescent="0.2">
      <c r="A1456">
        <f>Table1[[#This Row],[Age]]</f>
        <v>45</v>
      </c>
      <c r="B1456">
        <f>IF(Table3[[#This Row],[Attrition]] = "Yes", 1,0)</f>
        <v>0</v>
      </c>
      <c r="C1456" t="str">
        <f>Table1[[#This Row],[Attrition]]</f>
        <v>No</v>
      </c>
      <c r="D1456" t="str">
        <f>Table1[[#This Row],[Department]]</f>
        <v>Sales</v>
      </c>
      <c r="E1456">
        <f>Table1[[#This Row],[EnvironmentSatisfaction]]</f>
        <v>4</v>
      </c>
      <c r="F1456">
        <f>Table1[[#This Row],[HourlyRate]]</f>
        <v>50</v>
      </c>
      <c r="G1456" t="str">
        <f>Table1[[#This Row],[JobRole]]</f>
        <v>Sales Executive</v>
      </c>
      <c r="H1456">
        <f>Table1[[#This Row],[JobSatisfaction]]</f>
        <v>3</v>
      </c>
      <c r="I1456">
        <f>Table1[[#This Row],[YearsAtCompany]]</f>
        <v>5</v>
      </c>
      <c r="J1456">
        <f>Table1[[#This Row],[YearsSinceLastPromotion]]</f>
        <v>0</v>
      </c>
      <c r="K1456">
        <f>Table1[[#This Row],[EmployeeNumber]]</f>
        <v>2046</v>
      </c>
      <c r="L1456">
        <f>Table1[[#This Row],[DistanceFromHome]]</f>
        <v>20</v>
      </c>
      <c r="M1456" t="str">
        <f>Table1[[#This Row],[OverTime]]</f>
        <v>No</v>
      </c>
      <c r="N1456">
        <f>Table1[[#This Row],[WorkLifeBalance]]</f>
        <v>3</v>
      </c>
      <c r="O1456" t="str" cm="1">
        <f t="array" ref="O1456">_xlfn.IFS(A1456&lt;=30,"18-30",A1456&lt;=40,"31-40",A1456&lt;=50,"41-50",A1456&gt;50,"51+")</f>
        <v>41-50</v>
      </c>
      <c r="P1456" t="str" cm="1">
        <f t="array" ref="P1456">_xlfn.IFS(F1456&lt;=45,"45 or below",F1456&lt;= 60,"46-60",F1456&lt;=75,"61-75",F1456&lt;=90,"76-90",F1456&gt;90,"91 or above")</f>
        <v>46-60</v>
      </c>
      <c r="Q145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56" t="str" cm="1">
        <f t="array" ref="R145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7" spans="1:18" x14ac:dyDescent="0.2">
      <c r="A1457">
        <f>Table1[[#This Row],[Age]]</f>
        <v>40</v>
      </c>
      <c r="B1457">
        <f>IF(Table3[[#This Row],[Attrition]] = "Yes", 1,0)</f>
        <v>0</v>
      </c>
      <c r="C1457" t="str">
        <f>Table1[[#This Row],[Attrition]]</f>
        <v>No</v>
      </c>
      <c r="D1457" t="str">
        <f>Table1[[#This Row],[Department]]</f>
        <v>Research &amp; Development</v>
      </c>
      <c r="E1457">
        <f>Table1[[#This Row],[EnvironmentSatisfaction]]</f>
        <v>3</v>
      </c>
      <c r="F1457">
        <f>Table1[[#This Row],[HourlyRate]]</f>
        <v>52</v>
      </c>
      <c r="G1457" t="str">
        <f>Table1[[#This Row],[JobRole]]</f>
        <v>Research Scientist</v>
      </c>
      <c r="H1457">
        <f>Table1[[#This Row],[JobSatisfaction]]</f>
        <v>3</v>
      </c>
      <c r="I1457">
        <f>Table1[[#This Row],[YearsAtCompany]]</f>
        <v>2</v>
      </c>
      <c r="J1457">
        <f>Table1[[#This Row],[YearsSinceLastPromotion]]</f>
        <v>2</v>
      </c>
      <c r="K1457">
        <f>Table1[[#This Row],[EmployeeNumber]]</f>
        <v>2048</v>
      </c>
      <c r="L1457">
        <f>Table1[[#This Row],[DistanceFromHome]]</f>
        <v>2</v>
      </c>
      <c r="M1457" t="str">
        <f>Table1[[#This Row],[OverTime]]</f>
        <v>No</v>
      </c>
      <c r="N1457">
        <f>Table1[[#This Row],[WorkLifeBalance]]</f>
        <v>3</v>
      </c>
      <c r="O1457" t="str" cm="1">
        <f t="array" ref="O1457">_xlfn.IFS(A1457&lt;=30,"18-30",A1457&lt;=40,"31-40",A1457&lt;=50,"41-50",A1457&gt;50,"51+")</f>
        <v>31-40</v>
      </c>
      <c r="P1457" t="str" cm="1">
        <f t="array" ref="P1457">_xlfn.IFS(F1457&lt;=45,"45 or below",F1457&lt;= 60,"46-60",F1457&lt;=75,"61-75",F1457&lt;=90,"76-90",F1457&gt;90,"91 or above")</f>
        <v>46-60</v>
      </c>
      <c r="Q145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57" t="str" cm="1">
        <f t="array" ref="R145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58" spans="1:18" x14ac:dyDescent="0.2">
      <c r="A1458">
        <f>Table1[[#This Row],[Age]]</f>
        <v>35</v>
      </c>
      <c r="B1458">
        <f>IF(Table3[[#This Row],[Attrition]] = "Yes", 1,0)</f>
        <v>0</v>
      </c>
      <c r="C1458" t="str">
        <f>Table1[[#This Row],[Attrition]]</f>
        <v>No</v>
      </c>
      <c r="D1458" t="str">
        <f>Table1[[#This Row],[Department]]</f>
        <v>Research &amp; Development</v>
      </c>
      <c r="E1458">
        <f>Table1[[#This Row],[EnvironmentSatisfaction]]</f>
        <v>3</v>
      </c>
      <c r="F1458">
        <f>Table1[[#This Row],[HourlyRate]]</f>
        <v>80</v>
      </c>
      <c r="G1458" t="str">
        <f>Table1[[#This Row],[JobRole]]</f>
        <v>Healthcare Representative</v>
      </c>
      <c r="H1458">
        <f>Table1[[#This Row],[JobSatisfaction]]</f>
        <v>3</v>
      </c>
      <c r="I1458">
        <f>Table1[[#This Row],[YearsAtCompany]]</f>
        <v>10</v>
      </c>
      <c r="J1458">
        <f>Table1[[#This Row],[YearsSinceLastPromotion]]</f>
        <v>0</v>
      </c>
      <c r="K1458">
        <f>Table1[[#This Row],[EmployeeNumber]]</f>
        <v>2049</v>
      </c>
      <c r="L1458">
        <f>Table1[[#This Row],[DistanceFromHome]]</f>
        <v>18</v>
      </c>
      <c r="M1458" t="str">
        <f>Table1[[#This Row],[OverTime]]</f>
        <v>Yes</v>
      </c>
      <c r="N1458">
        <f>Table1[[#This Row],[WorkLifeBalance]]</f>
        <v>4</v>
      </c>
      <c r="O1458" t="str" cm="1">
        <f t="array" ref="O1458">_xlfn.IFS(A1458&lt;=30,"18-30",A1458&lt;=40,"31-40",A1458&lt;=50,"41-50",A1458&gt;50,"51+")</f>
        <v>31-40</v>
      </c>
      <c r="P1458" t="str" cm="1">
        <f t="array" ref="P1458">_xlfn.IFS(F1458&lt;=45,"45 or below",F1458&lt;= 60,"46-60",F1458&lt;=75,"61-75",F1458&lt;=90,"76-90",F1458&gt;90,"91 or above")</f>
        <v>76-90</v>
      </c>
      <c r="Q145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35</v>
      </c>
      <c r="R1458" t="str" cm="1">
        <f t="array" ref="R1458"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59" spans="1:18" x14ac:dyDescent="0.2">
      <c r="A1459">
        <f>Table1[[#This Row],[Age]]</f>
        <v>40</v>
      </c>
      <c r="B1459">
        <f>IF(Table3[[#This Row],[Attrition]] = "Yes", 1,0)</f>
        <v>0</v>
      </c>
      <c r="C1459" t="str">
        <f>Table1[[#This Row],[Attrition]]</f>
        <v>No</v>
      </c>
      <c r="D1459" t="str">
        <f>Table1[[#This Row],[Department]]</f>
        <v>Research &amp; Development</v>
      </c>
      <c r="E1459">
        <f>Table1[[#This Row],[EnvironmentSatisfaction]]</f>
        <v>3</v>
      </c>
      <c r="F1459">
        <f>Table1[[#This Row],[HourlyRate]]</f>
        <v>98</v>
      </c>
      <c r="G1459" t="str">
        <f>Table1[[#This Row],[JobRole]]</f>
        <v>Research Scientist</v>
      </c>
      <c r="H1459">
        <f>Table1[[#This Row],[JobSatisfaction]]</f>
        <v>3</v>
      </c>
      <c r="I1459">
        <f>Table1[[#This Row],[YearsAtCompany]]</f>
        <v>5</v>
      </c>
      <c r="J1459">
        <f>Table1[[#This Row],[YearsSinceLastPromotion]]</f>
        <v>0</v>
      </c>
      <c r="K1459">
        <f>Table1[[#This Row],[EmployeeNumber]]</f>
        <v>2051</v>
      </c>
      <c r="L1459">
        <f>Table1[[#This Row],[DistanceFromHome]]</f>
        <v>2</v>
      </c>
      <c r="M1459" t="str">
        <f>Table1[[#This Row],[OverTime]]</f>
        <v>No</v>
      </c>
      <c r="N1459">
        <f>Table1[[#This Row],[WorkLifeBalance]]</f>
        <v>3</v>
      </c>
      <c r="O1459" t="str" cm="1">
        <f t="array" ref="O1459">_xlfn.IFS(A1459&lt;=30,"18-30",A1459&lt;=40,"31-40",A1459&lt;=50,"41-50",A1459&gt;50,"51+")</f>
        <v>31-40</v>
      </c>
      <c r="P1459" t="str" cm="1">
        <f t="array" ref="P1459">_xlfn.IFS(F1459&lt;=45,"45 or below",F1459&lt;= 60,"46-60",F1459&lt;=75,"61-75",F1459&lt;=90,"76-90",F1459&gt;90,"91 or above")</f>
        <v>91 or above</v>
      </c>
      <c r="Q145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59" t="str" cm="1">
        <f t="array" ref="R1459"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0" spans="1:18" x14ac:dyDescent="0.2">
      <c r="A1460">
        <f>Table1[[#This Row],[Age]]</f>
        <v>35</v>
      </c>
      <c r="B1460">
        <f>IF(Table3[[#This Row],[Attrition]] = "Yes", 1,0)</f>
        <v>0</v>
      </c>
      <c r="C1460" t="str">
        <f>Table1[[#This Row],[Attrition]]</f>
        <v>No</v>
      </c>
      <c r="D1460" t="str">
        <f>Table1[[#This Row],[Department]]</f>
        <v>Research &amp; Development</v>
      </c>
      <c r="E1460">
        <f>Table1[[#This Row],[EnvironmentSatisfaction]]</f>
        <v>3</v>
      </c>
      <c r="F1460">
        <f>Table1[[#This Row],[HourlyRate]]</f>
        <v>62</v>
      </c>
      <c r="G1460" t="str">
        <f>Table1[[#This Row],[JobRole]]</f>
        <v>Research Scientist</v>
      </c>
      <c r="H1460">
        <f>Table1[[#This Row],[JobSatisfaction]]</f>
        <v>4</v>
      </c>
      <c r="I1460">
        <f>Table1[[#This Row],[YearsAtCompany]]</f>
        <v>4</v>
      </c>
      <c r="J1460">
        <f>Table1[[#This Row],[YearsSinceLastPromotion]]</f>
        <v>1</v>
      </c>
      <c r="K1460">
        <f>Table1[[#This Row],[EmployeeNumber]]</f>
        <v>2052</v>
      </c>
      <c r="L1460">
        <f>Table1[[#This Row],[DistanceFromHome]]</f>
        <v>1</v>
      </c>
      <c r="M1460" t="str">
        <f>Table1[[#This Row],[OverTime]]</f>
        <v>No</v>
      </c>
      <c r="N1460">
        <f>Table1[[#This Row],[WorkLifeBalance]]</f>
        <v>3</v>
      </c>
      <c r="O1460" t="str" cm="1">
        <f t="array" ref="O1460">_xlfn.IFS(A1460&lt;=30,"18-30",A1460&lt;=40,"31-40",A1460&lt;=50,"41-50",A1460&gt;50,"51+")</f>
        <v>31-40</v>
      </c>
      <c r="P1460" t="str" cm="1">
        <f t="array" ref="P1460">_xlfn.IFS(F1460&lt;=45,"45 or below",F1460&lt;= 60,"46-60",F1460&lt;=75,"61-75",F1460&lt;=90,"76-90",F1460&gt;90,"91 or above")</f>
        <v>61-75</v>
      </c>
      <c r="Q146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60" t="str" cm="1">
        <f t="array" ref="R146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1" spans="1:18" x14ac:dyDescent="0.2">
      <c r="A1461">
        <f>Table1[[#This Row],[Age]]</f>
        <v>29</v>
      </c>
      <c r="B1461">
        <f>IF(Table3[[#This Row],[Attrition]] = "Yes", 1,0)</f>
        <v>0</v>
      </c>
      <c r="C1461" t="str">
        <f>Table1[[#This Row],[Attrition]]</f>
        <v>No</v>
      </c>
      <c r="D1461" t="str">
        <f>Table1[[#This Row],[Department]]</f>
        <v>Research &amp; Development</v>
      </c>
      <c r="E1461">
        <f>Table1[[#This Row],[EnvironmentSatisfaction]]</f>
        <v>4</v>
      </c>
      <c r="F1461">
        <f>Table1[[#This Row],[HourlyRate]]</f>
        <v>46</v>
      </c>
      <c r="G1461" t="str">
        <f>Table1[[#This Row],[JobRole]]</f>
        <v>Laboratory Technician</v>
      </c>
      <c r="H1461">
        <f>Table1[[#This Row],[JobSatisfaction]]</f>
        <v>2</v>
      </c>
      <c r="I1461">
        <f>Table1[[#This Row],[YearsAtCompany]]</f>
        <v>4</v>
      </c>
      <c r="J1461">
        <f>Table1[[#This Row],[YearsSinceLastPromotion]]</f>
        <v>0</v>
      </c>
      <c r="K1461">
        <f>Table1[[#This Row],[EmployeeNumber]]</f>
        <v>2053</v>
      </c>
      <c r="L1461">
        <f>Table1[[#This Row],[DistanceFromHome]]</f>
        <v>13</v>
      </c>
      <c r="M1461" t="str">
        <f>Table1[[#This Row],[OverTime]]</f>
        <v>Yes</v>
      </c>
      <c r="N1461">
        <f>Table1[[#This Row],[WorkLifeBalance]]</f>
        <v>3</v>
      </c>
      <c r="O1461" t="str" cm="1">
        <f t="array" ref="O1461">_xlfn.IFS(A1461&lt;=30,"18-30",A1461&lt;=40,"31-40",A1461&lt;=50,"41-50",A1461&gt;50,"51+")</f>
        <v>18-30</v>
      </c>
      <c r="P1461" t="str" cm="1">
        <f t="array" ref="P1461">_xlfn.IFS(F1461&lt;=45,"45 or below",F1461&lt;= 60,"46-60",F1461&lt;=75,"61-75",F1461&lt;=90,"76-90",F1461&gt;90,"91 or above")</f>
        <v>46-60</v>
      </c>
      <c r="Q146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61" t="str" cm="1">
        <f t="array" ref="R1461"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62" spans="1:18" x14ac:dyDescent="0.2">
      <c r="A1462">
        <f>Table1[[#This Row],[Age]]</f>
        <v>29</v>
      </c>
      <c r="B1462">
        <f>IF(Table3[[#This Row],[Attrition]] = "Yes", 1,0)</f>
        <v>0</v>
      </c>
      <c r="C1462" t="str">
        <f>Table1[[#This Row],[Attrition]]</f>
        <v>No</v>
      </c>
      <c r="D1462" t="str">
        <f>Table1[[#This Row],[Department]]</f>
        <v>Research &amp; Development</v>
      </c>
      <c r="E1462">
        <f>Table1[[#This Row],[EnvironmentSatisfaction]]</f>
        <v>4</v>
      </c>
      <c r="F1462">
        <f>Table1[[#This Row],[HourlyRate]]</f>
        <v>73</v>
      </c>
      <c r="G1462" t="str">
        <f>Table1[[#This Row],[JobRole]]</f>
        <v>Research Scientist</v>
      </c>
      <c r="H1462">
        <f>Table1[[#This Row],[JobSatisfaction]]</f>
        <v>1</v>
      </c>
      <c r="I1462">
        <f>Table1[[#This Row],[YearsAtCompany]]</f>
        <v>5</v>
      </c>
      <c r="J1462">
        <f>Table1[[#This Row],[YearsSinceLastPromotion]]</f>
        <v>0</v>
      </c>
      <c r="K1462">
        <f>Table1[[#This Row],[EmployeeNumber]]</f>
        <v>2054</v>
      </c>
      <c r="L1462">
        <f>Table1[[#This Row],[DistanceFromHome]]</f>
        <v>28</v>
      </c>
      <c r="M1462" t="str">
        <f>Table1[[#This Row],[OverTime]]</f>
        <v>No</v>
      </c>
      <c r="N1462">
        <f>Table1[[#This Row],[WorkLifeBalance]]</f>
        <v>1</v>
      </c>
      <c r="O1462" t="str" cm="1">
        <f t="array" ref="O1462">_xlfn.IFS(A1462&lt;=30,"18-30",A1462&lt;=40,"31-40",A1462&lt;=50,"41-50",A1462&gt;50,"51+")</f>
        <v>18-30</v>
      </c>
      <c r="P1462" t="str" cm="1">
        <f t="array" ref="P1462">_xlfn.IFS(F1462&lt;=45,"45 or below",F1462&lt;= 60,"46-60",F1462&lt;=75,"61-75",F1462&lt;=90,"76-90",F1462&gt;90,"91 or above")</f>
        <v>61-75</v>
      </c>
      <c r="Q1462">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50</v>
      </c>
      <c r="R1462" t="str" cm="1">
        <f t="array" ref="R1462"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63" spans="1:18" hidden="1" x14ac:dyDescent="0.2">
      <c r="A1463">
        <f>Table1[[#This Row],[Age]]</f>
        <v>50</v>
      </c>
      <c r="B1463">
        <f>IF(Table3[[#This Row],[Attrition]] = "Yes", 1,0)</f>
        <v>1</v>
      </c>
      <c r="C1463" t="str">
        <f>Table1[[#This Row],[Attrition]]</f>
        <v>Yes</v>
      </c>
      <c r="D1463" t="str">
        <f>Table1[[#This Row],[Department]]</f>
        <v>Sales</v>
      </c>
      <c r="E1463">
        <f>Table1[[#This Row],[EnvironmentSatisfaction]]</f>
        <v>4</v>
      </c>
      <c r="F1463">
        <f>Table1[[#This Row],[HourlyRate]]</f>
        <v>39</v>
      </c>
      <c r="G1463" t="str">
        <f>Table1[[#This Row],[JobRole]]</f>
        <v>Sales Executive</v>
      </c>
      <c r="H1463">
        <f>Table1[[#This Row],[JobSatisfaction]]</f>
        <v>1</v>
      </c>
      <c r="I1463">
        <f>Table1[[#This Row],[YearsAtCompany]]</f>
        <v>3</v>
      </c>
      <c r="J1463">
        <f>Table1[[#This Row],[YearsSinceLastPromotion]]</f>
        <v>2</v>
      </c>
      <c r="K1463">
        <f>Table1[[#This Row],[EmployeeNumber]]</f>
        <v>2055</v>
      </c>
      <c r="L1463">
        <f>Table1[[#This Row],[DistanceFromHome]]</f>
        <v>28</v>
      </c>
      <c r="M1463" t="str">
        <f>Table1[[#This Row],[OverTime]]</f>
        <v>Yes</v>
      </c>
      <c r="N1463">
        <f>Table1[[#This Row],[WorkLifeBalance]]</f>
        <v>3</v>
      </c>
      <c r="O1463" t="str" cm="1">
        <f t="array" ref="O1463">_xlfn.IFS(A1463&lt;=30,"18-30",A1463&lt;=40,"31-40",A1463&lt;=50,"41-50",A1463&gt;50,"51+")</f>
        <v>41-50</v>
      </c>
      <c r="P1463" t="str" cm="1">
        <f t="array" ref="P1463">_xlfn.IFS(F1463&lt;=45,"45 or below",F1463&lt;= 60,"46-60",F1463&lt;=75,"61-75",F1463&lt;=90,"76-90",F1463&gt;90,"91 or above")</f>
        <v>45 or below</v>
      </c>
      <c r="Q1463" t="str">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NA</v>
      </c>
      <c r="R1463" t="str" cm="1">
        <f t="array" ref="R1463" xml:space="preserve"> _xlfn.IFS(Table3[[#This Row],[Flight Risk Score]] = "NA","NA",Table3[[#This Row],[Flight Risk Score]] &gt;= 70,"High Risk",Table3[[#This Row],[Flight Risk Score]] &gt;= 50, "Medium Risk", Table3[[#This Row],[Flight Risk Score]] &gt;= 30,"Low Risk",Table3[[#This Row],[Flight Risk Score]] &lt; 30,"Very Low Risk")</f>
        <v>NA</v>
      </c>
    </row>
    <row r="1464" spans="1:18" x14ac:dyDescent="0.2">
      <c r="A1464">
        <f>Table1[[#This Row],[Age]]</f>
        <v>39</v>
      </c>
      <c r="B1464">
        <f>IF(Table3[[#This Row],[Attrition]] = "Yes", 1,0)</f>
        <v>0</v>
      </c>
      <c r="C1464" t="str">
        <f>Table1[[#This Row],[Attrition]]</f>
        <v>No</v>
      </c>
      <c r="D1464" t="str">
        <f>Table1[[#This Row],[Department]]</f>
        <v>Sales</v>
      </c>
      <c r="E1464">
        <f>Table1[[#This Row],[EnvironmentSatisfaction]]</f>
        <v>2</v>
      </c>
      <c r="F1464">
        <f>Table1[[#This Row],[HourlyRate]]</f>
        <v>60</v>
      </c>
      <c r="G1464" t="str">
        <f>Table1[[#This Row],[JobRole]]</f>
        <v>Sales Executive</v>
      </c>
      <c r="H1464">
        <f>Table1[[#This Row],[JobSatisfaction]]</f>
        <v>4</v>
      </c>
      <c r="I1464">
        <f>Table1[[#This Row],[YearsAtCompany]]</f>
        <v>20</v>
      </c>
      <c r="J1464">
        <f>Table1[[#This Row],[YearsSinceLastPromotion]]</f>
        <v>9</v>
      </c>
      <c r="K1464">
        <f>Table1[[#This Row],[EmployeeNumber]]</f>
        <v>2056</v>
      </c>
      <c r="L1464">
        <f>Table1[[#This Row],[DistanceFromHome]]</f>
        <v>24</v>
      </c>
      <c r="M1464" t="str">
        <f>Table1[[#This Row],[OverTime]]</f>
        <v>No</v>
      </c>
      <c r="N1464">
        <f>Table1[[#This Row],[WorkLifeBalance]]</f>
        <v>2</v>
      </c>
      <c r="O1464" t="str" cm="1">
        <f t="array" ref="O1464">_xlfn.IFS(A1464&lt;=30,"18-30",A1464&lt;=40,"31-40",A1464&lt;=50,"41-50",A1464&gt;50,"51+")</f>
        <v>31-40</v>
      </c>
      <c r="P1464" t="str" cm="1">
        <f t="array" ref="P1464">_xlfn.IFS(F1464&lt;=45,"45 or below",F1464&lt;= 60,"46-60",F1464&lt;=75,"61-75",F1464&lt;=90,"76-90",F1464&gt;90,"91 or above")</f>
        <v>46-60</v>
      </c>
      <c r="Q1464">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64" t="str" cm="1">
        <f t="array" ref="R1464"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5" spans="1:18" x14ac:dyDescent="0.2">
      <c r="A1465">
        <f>Table1[[#This Row],[Age]]</f>
        <v>31</v>
      </c>
      <c r="B1465">
        <f>IF(Table3[[#This Row],[Attrition]] = "Yes", 1,0)</f>
        <v>0</v>
      </c>
      <c r="C1465" t="str">
        <f>Table1[[#This Row],[Attrition]]</f>
        <v>No</v>
      </c>
      <c r="D1465" t="str">
        <f>Table1[[#This Row],[Department]]</f>
        <v>Research &amp; Development</v>
      </c>
      <c r="E1465">
        <f>Table1[[#This Row],[EnvironmentSatisfaction]]</f>
        <v>2</v>
      </c>
      <c r="F1465">
        <f>Table1[[#This Row],[HourlyRate]]</f>
        <v>74</v>
      </c>
      <c r="G1465" t="str">
        <f>Table1[[#This Row],[JobRole]]</f>
        <v>Manufacturing Director</v>
      </c>
      <c r="H1465">
        <f>Table1[[#This Row],[JobSatisfaction]]</f>
        <v>1</v>
      </c>
      <c r="I1465">
        <f>Table1[[#This Row],[YearsAtCompany]]</f>
        <v>9</v>
      </c>
      <c r="J1465">
        <f>Table1[[#This Row],[YearsSinceLastPromotion]]</f>
        <v>1</v>
      </c>
      <c r="K1465">
        <f>Table1[[#This Row],[EmployeeNumber]]</f>
        <v>2057</v>
      </c>
      <c r="L1465">
        <f>Table1[[#This Row],[DistanceFromHome]]</f>
        <v>5</v>
      </c>
      <c r="M1465" t="str">
        <f>Table1[[#This Row],[OverTime]]</f>
        <v>No</v>
      </c>
      <c r="N1465">
        <f>Table1[[#This Row],[WorkLifeBalance]]</f>
        <v>3</v>
      </c>
      <c r="O1465" t="str" cm="1">
        <f t="array" ref="O1465">_xlfn.IFS(A1465&lt;=30,"18-30",A1465&lt;=40,"31-40",A1465&lt;=50,"41-50",A1465&gt;50,"51+")</f>
        <v>31-40</v>
      </c>
      <c r="P1465" t="str" cm="1">
        <f t="array" ref="P1465">_xlfn.IFS(F1465&lt;=45,"45 or below",F1465&lt;= 60,"46-60",F1465&lt;=75,"61-75",F1465&lt;=90,"76-90",F1465&gt;90,"91 or above")</f>
        <v>61-75</v>
      </c>
      <c r="Q1465">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30</v>
      </c>
      <c r="R1465" t="str" cm="1">
        <f t="array" ref="R1465" xml:space="preserve"> _xlfn.IFS(Table3[[#This Row],[Flight Risk Score]] = "NA","NA",Table3[[#This Row],[Flight Risk Score]] &gt;= 70,"High Risk",Table3[[#This Row],[Flight Risk Score]] &gt;= 50, "Medium Risk", Table3[[#This Row],[Flight Risk Score]] &gt;= 30,"Low Risk",Table3[[#This Row],[Flight Risk Score]] &lt; 30,"Very Low Risk")</f>
        <v>Low Risk</v>
      </c>
    </row>
    <row r="1466" spans="1:18" x14ac:dyDescent="0.2">
      <c r="A1466">
        <f>Table1[[#This Row],[Age]]</f>
        <v>26</v>
      </c>
      <c r="B1466">
        <f>IF(Table3[[#This Row],[Attrition]] = "Yes", 1,0)</f>
        <v>0</v>
      </c>
      <c r="C1466" t="str">
        <f>Table1[[#This Row],[Attrition]]</f>
        <v>No</v>
      </c>
      <c r="D1466" t="str">
        <f>Table1[[#This Row],[Department]]</f>
        <v>Sales</v>
      </c>
      <c r="E1466">
        <f>Table1[[#This Row],[EnvironmentSatisfaction]]</f>
        <v>4</v>
      </c>
      <c r="F1466">
        <f>Table1[[#This Row],[HourlyRate]]</f>
        <v>30</v>
      </c>
      <c r="G1466" t="str">
        <f>Table1[[#This Row],[JobRole]]</f>
        <v>Sales Representative</v>
      </c>
      <c r="H1466">
        <f>Table1[[#This Row],[JobSatisfaction]]</f>
        <v>3</v>
      </c>
      <c r="I1466">
        <f>Table1[[#This Row],[YearsAtCompany]]</f>
        <v>4</v>
      </c>
      <c r="J1466">
        <f>Table1[[#This Row],[YearsSinceLastPromotion]]</f>
        <v>0</v>
      </c>
      <c r="K1466">
        <f>Table1[[#This Row],[EmployeeNumber]]</f>
        <v>2060</v>
      </c>
      <c r="L1466">
        <f>Table1[[#This Row],[DistanceFromHome]]</f>
        <v>5</v>
      </c>
      <c r="M1466" t="str">
        <f>Table1[[#This Row],[OverTime]]</f>
        <v>No</v>
      </c>
      <c r="N1466">
        <f>Table1[[#This Row],[WorkLifeBalance]]</f>
        <v>3</v>
      </c>
      <c r="O1466" t="str" cm="1">
        <f t="array" ref="O1466">_xlfn.IFS(A1466&lt;=30,"18-30",A1466&lt;=40,"31-40",A1466&lt;=50,"41-50",A1466&gt;50,"51+")</f>
        <v>18-30</v>
      </c>
      <c r="P1466" t="str" cm="1">
        <f t="array" ref="P1466">_xlfn.IFS(F1466&lt;=45,"45 or below",F1466&lt;= 60,"46-60",F1466&lt;=75,"61-75",F1466&lt;=90,"76-90",F1466&gt;90,"91 or above")</f>
        <v>45 or below</v>
      </c>
      <c r="Q1466">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66" t="str" cm="1">
        <f t="array" ref="R1466"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7" spans="1:18" x14ac:dyDescent="0.2">
      <c r="A1467">
        <f>Table1[[#This Row],[Age]]</f>
        <v>36</v>
      </c>
      <c r="B1467">
        <f>IF(Table3[[#This Row],[Attrition]] = "Yes", 1,0)</f>
        <v>0</v>
      </c>
      <c r="C1467" t="str">
        <f>Table1[[#This Row],[Attrition]]</f>
        <v>No</v>
      </c>
      <c r="D1467" t="str">
        <f>Table1[[#This Row],[Department]]</f>
        <v>Research &amp; Development</v>
      </c>
      <c r="E1467">
        <f>Table1[[#This Row],[EnvironmentSatisfaction]]</f>
        <v>3</v>
      </c>
      <c r="F1467">
        <f>Table1[[#This Row],[HourlyRate]]</f>
        <v>41</v>
      </c>
      <c r="G1467" t="str">
        <f>Table1[[#This Row],[JobRole]]</f>
        <v>Laboratory Technician</v>
      </c>
      <c r="H1467">
        <f>Table1[[#This Row],[JobSatisfaction]]</f>
        <v>4</v>
      </c>
      <c r="I1467">
        <f>Table1[[#This Row],[YearsAtCompany]]</f>
        <v>5</v>
      </c>
      <c r="J1467">
        <f>Table1[[#This Row],[YearsSinceLastPromotion]]</f>
        <v>0</v>
      </c>
      <c r="K1467">
        <f>Table1[[#This Row],[EmployeeNumber]]</f>
        <v>2061</v>
      </c>
      <c r="L1467">
        <f>Table1[[#This Row],[DistanceFromHome]]</f>
        <v>23</v>
      </c>
      <c r="M1467" t="str">
        <f>Table1[[#This Row],[OverTime]]</f>
        <v>No</v>
      </c>
      <c r="N1467">
        <f>Table1[[#This Row],[WorkLifeBalance]]</f>
        <v>3</v>
      </c>
      <c r="O1467" t="str" cm="1">
        <f t="array" ref="O1467">_xlfn.IFS(A1467&lt;=30,"18-30",A1467&lt;=40,"31-40",A1467&lt;=50,"41-50",A1467&gt;50,"51+")</f>
        <v>31-40</v>
      </c>
      <c r="P1467" t="str" cm="1">
        <f t="array" ref="P1467">_xlfn.IFS(F1467&lt;=45,"45 or below",F1467&lt;= 60,"46-60",F1467&lt;=75,"61-75",F1467&lt;=90,"76-90",F1467&gt;90,"91 or above")</f>
        <v>45 or below</v>
      </c>
      <c r="Q1467">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0</v>
      </c>
      <c r="R1467" t="str" cm="1">
        <f t="array" ref="R1467"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8" spans="1:18" x14ac:dyDescent="0.2">
      <c r="A1468">
        <f>Table1[[#This Row],[Age]]</f>
        <v>39</v>
      </c>
      <c r="B1468">
        <f>IF(Table3[[#This Row],[Attrition]] = "Yes", 1,0)</f>
        <v>0</v>
      </c>
      <c r="C1468" t="str">
        <f>Table1[[#This Row],[Attrition]]</f>
        <v>No</v>
      </c>
      <c r="D1468" t="str">
        <f>Table1[[#This Row],[Department]]</f>
        <v>Research &amp; Development</v>
      </c>
      <c r="E1468">
        <f>Table1[[#This Row],[EnvironmentSatisfaction]]</f>
        <v>4</v>
      </c>
      <c r="F1468">
        <f>Table1[[#This Row],[HourlyRate]]</f>
        <v>42</v>
      </c>
      <c r="G1468" t="str">
        <f>Table1[[#This Row],[JobRole]]</f>
        <v>Healthcare Representative</v>
      </c>
      <c r="H1468">
        <f>Table1[[#This Row],[JobSatisfaction]]</f>
        <v>1</v>
      </c>
      <c r="I1468">
        <f>Table1[[#This Row],[YearsAtCompany]]</f>
        <v>7</v>
      </c>
      <c r="J1468">
        <f>Table1[[#This Row],[YearsSinceLastPromotion]]</f>
        <v>1</v>
      </c>
      <c r="K1468">
        <f>Table1[[#This Row],[EmployeeNumber]]</f>
        <v>2062</v>
      </c>
      <c r="L1468">
        <f>Table1[[#This Row],[DistanceFromHome]]</f>
        <v>6</v>
      </c>
      <c r="M1468" t="str">
        <f>Table1[[#This Row],[OverTime]]</f>
        <v>No</v>
      </c>
      <c r="N1468">
        <f>Table1[[#This Row],[WorkLifeBalance]]</f>
        <v>3</v>
      </c>
      <c r="O1468" t="str" cm="1">
        <f t="array" ref="O1468">_xlfn.IFS(A1468&lt;=30,"18-30",A1468&lt;=40,"31-40",A1468&lt;=50,"41-50",A1468&gt;50,"51+")</f>
        <v>31-40</v>
      </c>
      <c r="P1468" t="str" cm="1">
        <f t="array" ref="P1468">_xlfn.IFS(F1468&lt;=45,"45 or below",F1468&lt;= 60,"46-60",F1468&lt;=75,"61-75",F1468&lt;=90,"76-90",F1468&gt;90,"91 or above")</f>
        <v>45 or below</v>
      </c>
      <c r="Q1468">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68" t="str" cm="1">
        <f t="array" ref="R1468"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69" spans="1:18" x14ac:dyDescent="0.2">
      <c r="A1469">
        <f>Table1[[#This Row],[Age]]</f>
        <v>27</v>
      </c>
      <c r="B1469">
        <f>IF(Table3[[#This Row],[Attrition]] = "Yes", 1,0)</f>
        <v>0</v>
      </c>
      <c r="C1469" t="str">
        <f>Table1[[#This Row],[Attrition]]</f>
        <v>No</v>
      </c>
      <c r="D1469" t="str">
        <f>Table1[[#This Row],[Department]]</f>
        <v>Research &amp; Development</v>
      </c>
      <c r="E1469">
        <f>Table1[[#This Row],[EnvironmentSatisfaction]]</f>
        <v>2</v>
      </c>
      <c r="F1469">
        <f>Table1[[#This Row],[HourlyRate]]</f>
        <v>87</v>
      </c>
      <c r="G1469" t="str">
        <f>Table1[[#This Row],[JobRole]]</f>
        <v>Manufacturing Director</v>
      </c>
      <c r="H1469">
        <f>Table1[[#This Row],[JobSatisfaction]]</f>
        <v>2</v>
      </c>
      <c r="I1469">
        <f>Table1[[#This Row],[YearsAtCompany]]</f>
        <v>6</v>
      </c>
      <c r="J1469">
        <f>Table1[[#This Row],[YearsSinceLastPromotion]]</f>
        <v>0</v>
      </c>
      <c r="K1469">
        <f>Table1[[#This Row],[EmployeeNumber]]</f>
        <v>2064</v>
      </c>
      <c r="L1469">
        <f>Table1[[#This Row],[DistanceFromHome]]</f>
        <v>4</v>
      </c>
      <c r="M1469" t="str">
        <f>Table1[[#This Row],[OverTime]]</f>
        <v>Yes</v>
      </c>
      <c r="N1469">
        <f>Table1[[#This Row],[WorkLifeBalance]]</f>
        <v>3</v>
      </c>
      <c r="O1469" t="str" cm="1">
        <f t="array" ref="O1469">_xlfn.IFS(A1469&lt;=30,"18-30",A1469&lt;=40,"31-40",A1469&lt;=50,"41-50",A1469&gt;50,"51+")</f>
        <v>18-30</v>
      </c>
      <c r="P1469" t="str" cm="1">
        <f t="array" ref="P1469">_xlfn.IFS(F1469&lt;=45,"45 or below",F1469&lt;= 60,"46-60",F1469&lt;=75,"61-75",F1469&lt;=90,"76-90",F1469&gt;90,"91 or above")</f>
        <v>76-90</v>
      </c>
      <c r="Q1469">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65</v>
      </c>
      <c r="R1469" t="str" cm="1">
        <f t="array" ref="R1469" xml:space="preserve"> _xlfn.IFS(Table3[[#This Row],[Flight Risk Score]] = "NA","NA",Table3[[#This Row],[Flight Risk Score]] &gt;= 70,"High Risk",Table3[[#This Row],[Flight Risk Score]] &gt;= 50, "Medium Risk", Table3[[#This Row],[Flight Risk Score]] &gt;= 30,"Low Risk",Table3[[#This Row],[Flight Risk Score]] &lt; 30,"Very Low Risk")</f>
        <v>Medium Risk</v>
      </c>
    </row>
    <row r="1470" spans="1:18" x14ac:dyDescent="0.2">
      <c r="A1470">
        <f>Table1[[#This Row],[Age]]</f>
        <v>49</v>
      </c>
      <c r="B1470">
        <f>IF(Table3[[#This Row],[Attrition]] = "Yes", 1,0)</f>
        <v>0</v>
      </c>
      <c r="C1470" t="str">
        <f>Table1[[#This Row],[Attrition]]</f>
        <v>No</v>
      </c>
      <c r="D1470" t="str">
        <f>Table1[[#This Row],[Department]]</f>
        <v>Sales</v>
      </c>
      <c r="E1470">
        <f>Table1[[#This Row],[EnvironmentSatisfaction]]</f>
        <v>4</v>
      </c>
      <c r="F1470">
        <f>Table1[[#This Row],[HourlyRate]]</f>
        <v>63</v>
      </c>
      <c r="G1470" t="str">
        <f>Table1[[#This Row],[JobRole]]</f>
        <v>Sales Executive</v>
      </c>
      <c r="H1470">
        <f>Table1[[#This Row],[JobSatisfaction]]</f>
        <v>2</v>
      </c>
      <c r="I1470">
        <f>Table1[[#This Row],[YearsAtCompany]]</f>
        <v>9</v>
      </c>
      <c r="J1470">
        <f>Table1[[#This Row],[YearsSinceLastPromotion]]</f>
        <v>0</v>
      </c>
      <c r="K1470">
        <f>Table1[[#This Row],[EmployeeNumber]]</f>
        <v>2065</v>
      </c>
      <c r="L1470">
        <f>Table1[[#This Row],[DistanceFromHome]]</f>
        <v>2</v>
      </c>
      <c r="M1470" t="str">
        <f>Table1[[#This Row],[OverTime]]</f>
        <v>No</v>
      </c>
      <c r="N1470">
        <f>Table1[[#This Row],[WorkLifeBalance]]</f>
        <v>2</v>
      </c>
      <c r="O1470" t="str" cm="1">
        <f t="array" ref="O1470">_xlfn.IFS(A1470&lt;=30,"18-30",A1470&lt;=40,"31-40",A1470&lt;=50,"41-50",A1470&gt;50,"51+")</f>
        <v>41-50</v>
      </c>
      <c r="P1470" t="str" cm="1">
        <f t="array" ref="P1470">_xlfn.IFS(F1470&lt;=45,"45 or below",F1470&lt;= 60,"46-60",F1470&lt;=75,"61-75",F1470&lt;=90,"76-90",F1470&gt;90,"91 or above")</f>
        <v>61-75</v>
      </c>
      <c r="Q1470">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70" t="str" cm="1">
        <f t="array" ref="R1470"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71" spans="1:18" x14ac:dyDescent="0.2">
      <c r="A1471">
        <f>Table1[[#This Row],[Age]]</f>
        <v>34</v>
      </c>
      <c r="B1471">
        <f>IF(Table3[[#This Row],[Attrition]] = "Yes", 1,0)</f>
        <v>0</v>
      </c>
      <c r="C1471" t="str">
        <f>Table1[[#This Row],[Attrition]]</f>
        <v>No</v>
      </c>
      <c r="D1471" t="str">
        <f>Table1[[#This Row],[Department]]</f>
        <v>Research &amp; Development</v>
      </c>
      <c r="E1471">
        <f>Table1[[#This Row],[EnvironmentSatisfaction]]</f>
        <v>2</v>
      </c>
      <c r="F1471">
        <f>Table1[[#This Row],[HourlyRate]]</f>
        <v>82</v>
      </c>
      <c r="G1471" t="str">
        <f>Table1[[#This Row],[JobRole]]</f>
        <v>Laboratory Technician</v>
      </c>
      <c r="H1471">
        <f>Table1[[#This Row],[JobSatisfaction]]</f>
        <v>3</v>
      </c>
      <c r="I1471">
        <f>Table1[[#This Row],[YearsAtCompany]]</f>
        <v>4</v>
      </c>
      <c r="J1471">
        <f>Table1[[#This Row],[YearsSinceLastPromotion]]</f>
        <v>1</v>
      </c>
      <c r="K1471">
        <f>Table1[[#This Row],[EmployeeNumber]]</f>
        <v>2068</v>
      </c>
      <c r="L1471">
        <f>Table1[[#This Row],[DistanceFromHome]]</f>
        <v>8</v>
      </c>
      <c r="M1471" t="str">
        <f>Table1[[#This Row],[OverTime]]</f>
        <v>No</v>
      </c>
      <c r="N1471">
        <f>Table1[[#This Row],[WorkLifeBalance]]</f>
        <v>4</v>
      </c>
      <c r="O1471" t="str" cm="1">
        <f t="array" ref="O1471">_xlfn.IFS(A1471&lt;=30,"18-30",A1471&lt;=40,"31-40",A1471&lt;=50,"41-50",A1471&gt;50,"51+")</f>
        <v>31-40</v>
      </c>
      <c r="P1471" t="str" cm="1">
        <f t="array" ref="P1471">_xlfn.IFS(F1471&lt;=45,"45 or below",F1471&lt;= 60,"46-60",F1471&lt;=75,"61-75",F1471&lt;=90,"76-90",F1471&gt;90,"91 or above")</f>
        <v>76-90</v>
      </c>
      <c r="Q1471">
        <f xml:space="preserve"> IF(Table3[[#This Row],[Attrition]] = "No", IF(Table3[[#This Row],[Overtime]]="Yes",VLOOKUP("Overtime", Table28[], 6, FALSE), 0) + IF(Table3[[#This Row],[Environment Satisfaction]] &lt;=2,VLOOKUP("Environment Satisfaction", Table28[], 6, FALSE), 0) + IF(Table3[[#This Row],[JobSatisfaction]] &lt;= 2,VLOOKUP("Job Satisfaction", Table28[], 6,0),0) + IF(Table3[[#This Row],[WorkLifeBalance]] &lt;=1,VLOOKUP("WorkLifeBalance", Table28[], 6,0),0), "NA")</f>
        <v>15</v>
      </c>
      <c r="R1471" t="str" cm="1">
        <f t="array" ref="R1471" xml:space="preserve"> _xlfn.IFS(Table3[[#This Row],[Flight Risk Score]] = "NA","NA",Table3[[#This Row],[Flight Risk Score]] &gt;= 70,"High Risk",Table3[[#This Row],[Flight Risk Score]] &gt;= 50, "Medium Risk", Table3[[#This Row],[Flight Risk Score]] &gt;= 30,"Low Risk",Table3[[#This Row],[Flight Risk Score]] &lt; 30,"Very Low Risk")</f>
        <v>Very Low Risk</v>
      </c>
    </row>
    <row r="1476" spans="4:7" ht="34" x14ac:dyDescent="0.4">
      <c r="G1476" s="1" t="s">
        <v>66</v>
      </c>
    </row>
    <row r="1477" spans="4:7" ht="24" x14ac:dyDescent="0.3">
      <c r="D1477" s="3" t="s">
        <v>70</v>
      </c>
    </row>
    <row r="1479" spans="4:7" x14ac:dyDescent="0.2">
      <c r="D1479" t="s">
        <v>3</v>
      </c>
      <c r="E1479" t="s">
        <v>67</v>
      </c>
      <c r="F1479" t="s">
        <v>68</v>
      </c>
      <c r="G1479" t="s">
        <v>69</v>
      </c>
    </row>
    <row r="1480" spans="4:7" x14ac:dyDescent="0.2">
      <c r="D1480" t="s">
        <v>36</v>
      </c>
      <c r="E1480">
        <f>COUNTIFS($D$2:$D$1471,D1480,$C$2:$C$1471,"Yes")</f>
        <v>92</v>
      </c>
      <c r="F1480">
        <f>COUNTIF(Table3[Department], D1480)</f>
        <v>446</v>
      </c>
      <c r="G1480" s="2">
        <f>E1480/F1480</f>
        <v>0.20627802690582961</v>
      </c>
    </row>
    <row r="1481" spans="4:7" x14ac:dyDescent="0.2">
      <c r="D1481" t="s">
        <v>60</v>
      </c>
      <c r="E1481">
        <f>COUNTIFS($D$2:$D$1471,D1481,$C$2:$C$1471,"Yes")</f>
        <v>12</v>
      </c>
      <c r="F1481">
        <f>COUNTIF(Table3[Department], D1481)</f>
        <v>63</v>
      </c>
      <c r="G1481" s="2">
        <f t="shared" ref="G1481:G1482" si="0">E1481/F1481</f>
        <v>0.19047619047619047</v>
      </c>
    </row>
    <row r="1482" spans="4:7" x14ac:dyDescent="0.2">
      <c r="D1482" t="s">
        <v>44</v>
      </c>
      <c r="E1482">
        <f>COUNTIFS($D$2:$D$1471,D1482,$C$2:$C$1471,"Yes")</f>
        <v>133</v>
      </c>
      <c r="F1482">
        <f>COUNTIF(Table3[Department], D1482)</f>
        <v>961</v>
      </c>
      <c r="G1482" s="2">
        <f t="shared" si="0"/>
        <v>0.13839750260145681</v>
      </c>
    </row>
    <row r="1485" spans="4:7" ht="24" x14ac:dyDescent="0.3">
      <c r="D1485" s="3" t="s">
        <v>71</v>
      </c>
    </row>
    <row r="1487" spans="4:7" x14ac:dyDescent="0.2">
      <c r="D1487" t="s">
        <v>72</v>
      </c>
      <c r="E1487" t="s">
        <v>73</v>
      </c>
      <c r="F1487" t="s">
        <v>68</v>
      </c>
      <c r="G1487" t="s">
        <v>69</v>
      </c>
    </row>
    <row r="1488" spans="4:7" x14ac:dyDescent="0.2">
      <c r="D1488" t="s">
        <v>74</v>
      </c>
      <c r="E1488">
        <f>COUNTIFS($P$2:$P$1471,D1488,$C$2:$C$1471,"Yes")</f>
        <v>45</v>
      </c>
      <c r="F1488">
        <f>COUNTIF(Table3[Salary Range], D1488)</f>
        <v>306</v>
      </c>
      <c r="G1488" s="2">
        <f>E1488/F1488</f>
        <v>0.14705882352941177</v>
      </c>
    </row>
    <row r="1489" spans="4:8" x14ac:dyDescent="0.2">
      <c r="D1489" t="s">
        <v>75</v>
      </c>
      <c r="E1489">
        <f>COUNTIFS($P$2:$P$1471,D1489,$C$2:$C$1471,"Yes")</f>
        <v>58</v>
      </c>
      <c r="F1489">
        <f>COUNTIF(Table3[Salary Range], D1489)</f>
        <v>321</v>
      </c>
      <c r="G1489" s="2">
        <f>E1489/F1489</f>
        <v>0.18068535825545171</v>
      </c>
    </row>
    <row r="1490" spans="4:8" x14ac:dyDescent="0.2">
      <c r="D1490" t="s">
        <v>76</v>
      </c>
      <c r="E1490">
        <f t="shared" ref="E1490:E1492" si="1">COUNTIFS($P$2:$P$1471,D1490,$C$2:$C$1471,"Yes")</f>
        <v>53</v>
      </c>
      <c r="F1490">
        <f>COUNTIF(Table3[Salary Range], D1490)</f>
        <v>297</v>
      </c>
      <c r="G1490" s="2">
        <f>E1490/F1490</f>
        <v>0.17845117845117844</v>
      </c>
    </row>
    <row r="1491" spans="4:8" x14ac:dyDescent="0.2">
      <c r="D1491" t="s">
        <v>77</v>
      </c>
      <c r="E1491">
        <f t="shared" si="1"/>
        <v>46</v>
      </c>
      <c r="F1491">
        <f>COUNTIF(Table3[Salary Range], D1491)</f>
        <v>327</v>
      </c>
      <c r="G1491" s="2">
        <f>E1491/F1491</f>
        <v>0.14067278287461774</v>
      </c>
    </row>
    <row r="1492" spans="4:8" x14ac:dyDescent="0.2">
      <c r="D1492" t="s">
        <v>78</v>
      </c>
      <c r="E1492">
        <f t="shared" si="1"/>
        <v>35</v>
      </c>
      <c r="F1492">
        <f>COUNTIF(Table3[Salary Range], D1492)</f>
        <v>219</v>
      </c>
      <c r="G1492" s="2">
        <f>E1492/F1492</f>
        <v>0.15981735159817351</v>
      </c>
    </row>
    <row r="1493" spans="4:8" x14ac:dyDescent="0.2">
      <c r="G1493" s="2"/>
    </row>
    <row r="1494" spans="4:8" ht="24" x14ac:dyDescent="0.3">
      <c r="D1494" s="3" t="s">
        <v>80</v>
      </c>
      <c r="G1494" s="2"/>
    </row>
    <row r="1496" spans="4:8" x14ac:dyDescent="0.2">
      <c r="D1496" t="s">
        <v>3</v>
      </c>
      <c r="E1496" t="s">
        <v>65</v>
      </c>
      <c r="F1496" t="s">
        <v>79</v>
      </c>
      <c r="G1496" t="s">
        <v>68</v>
      </c>
      <c r="H1496" t="s">
        <v>69</v>
      </c>
    </row>
    <row r="1497" spans="4:8" x14ac:dyDescent="0.2">
      <c r="D1497" t="s">
        <v>60</v>
      </c>
      <c r="E1497" t="s">
        <v>75</v>
      </c>
      <c r="F1497">
        <f>COUNTIFS(Table3[Department],D1497,Table3[Attrition],"Yes",Table3[Salary Range], E1497 )</f>
        <v>6</v>
      </c>
      <c r="G1497">
        <f>COUNTIFS(Table3[Department],D1497, Table3[Salary Range], E1497 )</f>
        <v>18</v>
      </c>
      <c r="H1497" s="2">
        <f>F1497/G1497</f>
        <v>0.33333333333333331</v>
      </c>
    </row>
    <row r="1498" spans="4:8" x14ac:dyDescent="0.2">
      <c r="D1498" t="s">
        <v>60</v>
      </c>
      <c r="E1498" t="s">
        <v>76</v>
      </c>
      <c r="F1498">
        <f>COUNTIFS(Table3[Department],D1498,Table3[Attrition],"Yes",Table3[Salary Range], E1498 )</f>
        <v>3</v>
      </c>
      <c r="G1498">
        <f>COUNTIFS(Table3[Department],D1498, Table3[Salary Range], E1498 )</f>
        <v>9</v>
      </c>
      <c r="H1498" s="2">
        <f>F1498/G1498</f>
        <v>0.33333333333333331</v>
      </c>
    </row>
    <row r="1499" spans="4:8" x14ac:dyDescent="0.2">
      <c r="D1499" t="s">
        <v>36</v>
      </c>
      <c r="E1499" t="s">
        <v>75</v>
      </c>
      <c r="F1499">
        <f>COUNTIFS(Table3[Department],D1499,Table3[Attrition],"Yes",Table3[Salary Range], E1499 )</f>
        <v>23</v>
      </c>
      <c r="G1499">
        <f>COUNTIFS(Table3[Department],D1499, Table3[Salary Range], E1499 )</f>
        <v>97</v>
      </c>
      <c r="H1499" s="2">
        <f>F1499/G1499</f>
        <v>0.23711340206185566</v>
      </c>
    </row>
    <row r="1500" spans="4:8" x14ac:dyDescent="0.2">
      <c r="D1500" t="s">
        <v>36</v>
      </c>
      <c r="E1500" t="s">
        <v>76</v>
      </c>
      <c r="F1500">
        <f>COUNTIFS(Table3[Department],D1500,Table3[Attrition],"Yes",Table3[Salary Range], E1500 )</f>
        <v>21</v>
      </c>
      <c r="G1500">
        <f>COUNTIFS(Table3[Department],D1500, Table3[Salary Range], E1500 )</f>
        <v>93</v>
      </c>
      <c r="H1500" s="2">
        <f>F1500/G1500</f>
        <v>0.22580645161290322</v>
      </c>
    </row>
    <row r="1501" spans="4:8" x14ac:dyDescent="0.2">
      <c r="D1501" t="s">
        <v>36</v>
      </c>
      <c r="E1501" t="s">
        <v>74</v>
      </c>
      <c r="F1501">
        <f>COUNTIFS(Table3[Department],D1501,Table3[Attrition],"Yes",Table3[Salary Range], E1501 )</f>
        <v>19</v>
      </c>
      <c r="G1501">
        <f>COUNTIFS(Table3[Department],D1501, Table3[Salary Range], E1501 )</f>
        <v>95</v>
      </c>
      <c r="H1501" s="2">
        <f>F1501/G1501</f>
        <v>0.2</v>
      </c>
    </row>
    <row r="1502" spans="4:8" x14ac:dyDescent="0.2">
      <c r="D1502" t="s">
        <v>36</v>
      </c>
      <c r="E1502" t="s">
        <v>77</v>
      </c>
      <c r="F1502">
        <f>COUNTIFS(Table3[Department],D1502,Table3[Attrition],"Yes",Table3[Salary Range], E1502 )</f>
        <v>18</v>
      </c>
      <c r="G1502">
        <f>COUNTIFS(Table3[Department],D1502, Table3[Salary Range], E1502 )</f>
        <v>98</v>
      </c>
      <c r="H1502" s="2">
        <f>F1502/G1502</f>
        <v>0.18367346938775511</v>
      </c>
    </row>
    <row r="1503" spans="4:8" x14ac:dyDescent="0.2">
      <c r="D1503" t="s">
        <v>36</v>
      </c>
      <c r="E1503" t="s">
        <v>78</v>
      </c>
      <c r="F1503">
        <f>COUNTIFS(Table3[Department],D1503,Table3[Attrition],"Yes",Table3[Salary Range], E1503 )</f>
        <v>11</v>
      </c>
      <c r="G1503">
        <f>COUNTIFS(Table3[Department],D1503, Table3[Salary Range], E1503 )</f>
        <v>63</v>
      </c>
      <c r="H1503" s="2">
        <f>F1503/G1503</f>
        <v>0.17460317460317459</v>
      </c>
    </row>
    <row r="1504" spans="4:8" x14ac:dyDescent="0.2">
      <c r="D1504" t="s">
        <v>44</v>
      </c>
      <c r="E1504" t="s">
        <v>78</v>
      </c>
      <c r="F1504">
        <f>COUNTIFS(Table3[Department],D1504,Table3[Attrition],"Yes",Table3[Salary Range], E1504 )</f>
        <v>23</v>
      </c>
      <c r="G1504">
        <f>COUNTIFS(Table3[Department],D1504, Table3[Salary Range], E1504 )</f>
        <v>146</v>
      </c>
      <c r="H1504" s="2">
        <f>F1504/G1504</f>
        <v>0.15753424657534246</v>
      </c>
    </row>
    <row r="1505" spans="4:8" x14ac:dyDescent="0.2">
      <c r="D1505" t="s">
        <v>44</v>
      </c>
      <c r="E1505" t="s">
        <v>76</v>
      </c>
      <c r="F1505">
        <f>COUNTIFS(Table3[Department],D1505,Table3[Attrition],"Yes",Table3[Salary Range], E1505 )</f>
        <v>29</v>
      </c>
      <c r="G1505">
        <f>COUNTIFS(Table3[Department],D1505, Table3[Salary Range], E1505 )</f>
        <v>195</v>
      </c>
      <c r="H1505" s="2">
        <f>F1505/G1505</f>
        <v>0.14871794871794872</v>
      </c>
    </row>
    <row r="1506" spans="4:8" x14ac:dyDescent="0.2">
      <c r="D1506" t="s">
        <v>44</v>
      </c>
      <c r="E1506" t="s">
        <v>75</v>
      </c>
      <c r="F1506">
        <f>COUNTIFS(Table3[Department],D1506,Table3[Attrition],"Yes",Table3[Salary Range], E1506 )</f>
        <v>29</v>
      </c>
      <c r="G1506">
        <f>COUNTIFS(Table3[Department],D1506, Table3[Salary Range], E1506 )</f>
        <v>206</v>
      </c>
      <c r="H1506" s="2">
        <f>F1506/G1506</f>
        <v>0.14077669902912621</v>
      </c>
    </row>
    <row r="1507" spans="4:8" x14ac:dyDescent="0.2">
      <c r="D1507" t="s">
        <v>44</v>
      </c>
      <c r="E1507" t="s">
        <v>74</v>
      </c>
      <c r="F1507">
        <f>COUNTIFS(Table3[Department],D1507,Table3[Attrition],"Yes",Table3[Salary Range], E1507 )</f>
        <v>25</v>
      </c>
      <c r="G1507">
        <f>COUNTIFS(Table3[Department],D1507, Table3[Salary Range], E1507 )</f>
        <v>196</v>
      </c>
      <c r="H1507" s="2">
        <f>F1507/G1507</f>
        <v>0.12755102040816327</v>
      </c>
    </row>
    <row r="1508" spans="4:8" x14ac:dyDescent="0.2">
      <c r="D1508" t="s">
        <v>44</v>
      </c>
      <c r="E1508" t="s">
        <v>77</v>
      </c>
      <c r="F1508">
        <f>COUNTIFS(Table3[Department],D1508,Table3[Attrition],"Yes",Table3[Salary Range], E1508 )</f>
        <v>27</v>
      </c>
      <c r="G1508">
        <f>COUNTIFS(Table3[Department],D1508, Table3[Salary Range], E1508 )</f>
        <v>218</v>
      </c>
      <c r="H1508" s="2">
        <f>F1508/G1508</f>
        <v>0.12385321100917432</v>
      </c>
    </row>
    <row r="1509" spans="4:8" x14ac:dyDescent="0.2">
      <c r="D1509" t="s">
        <v>60</v>
      </c>
      <c r="E1509" t="s">
        <v>78</v>
      </c>
      <c r="F1509">
        <f>COUNTIFS(Table3[Department],D1509,Table3[Attrition],"Yes",Table3[Salary Range], E1509 )</f>
        <v>1</v>
      </c>
      <c r="G1509">
        <f>COUNTIFS(Table3[Department],D1509, Table3[Salary Range], E1509 )</f>
        <v>10</v>
      </c>
      <c r="H1509" s="2">
        <f>F1509/G1509</f>
        <v>0.1</v>
      </c>
    </row>
    <row r="1510" spans="4:8" x14ac:dyDescent="0.2">
      <c r="D1510" t="s">
        <v>60</v>
      </c>
      <c r="E1510" t="s">
        <v>77</v>
      </c>
      <c r="F1510">
        <f>COUNTIFS(Table3[Department],D1510,Table3[Attrition],"Yes",Table3[Salary Range], E1510 )</f>
        <v>1</v>
      </c>
      <c r="G1510">
        <f>COUNTIFS(Table3[Department],D1510, Table3[Salary Range], E1510 )</f>
        <v>11</v>
      </c>
      <c r="H1510" s="2">
        <f>F1510/G1510</f>
        <v>9.0909090909090912E-2</v>
      </c>
    </row>
    <row r="1511" spans="4:8" x14ac:dyDescent="0.2">
      <c r="D1511" t="s">
        <v>60</v>
      </c>
      <c r="E1511" t="s">
        <v>74</v>
      </c>
      <c r="F1511">
        <f>COUNTIFS(Table3[Department],D1511,Table3[Attrition],"Yes",Table3[Salary Range], E1511 )</f>
        <v>1</v>
      </c>
      <c r="G1511">
        <f>COUNTIFS(Table3[Department],D1511, Table3[Salary Range], E1511 )</f>
        <v>15</v>
      </c>
      <c r="H1511" s="2">
        <f>F1511/G1511</f>
        <v>6.6666666666666666E-2</v>
      </c>
    </row>
    <row r="1514" spans="4:8" ht="24" x14ac:dyDescent="0.3">
      <c r="D1514" s="3" t="s">
        <v>81</v>
      </c>
    </row>
    <row r="1516" spans="4:8" ht="26" customHeight="1" x14ac:dyDescent="0.2"/>
    <row r="1517" spans="4:8" ht="17" x14ac:dyDescent="0.2">
      <c r="D1517" t="s">
        <v>82</v>
      </c>
      <c r="E1517" s="4" t="s">
        <v>83</v>
      </c>
      <c r="F1517" s="4" t="s">
        <v>86</v>
      </c>
      <c r="G1517" t="s">
        <v>89</v>
      </c>
      <c r="H1517" t="s">
        <v>96</v>
      </c>
    </row>
    <row r="1518" spans="4:8" ht="34" x14ac:dyDescent="0.2">
      <c r="D1518" t="s">
        <v>84</v>
      </c>
      <c r="E1518" s="2">
        <f>COUNTIFS(Table3[Overtime], "Yes", Table3[Attrition], "Yes")/COUNTIFS(Table3[Overtime], "Yes")</f>
        <v>0.30528846153846156</v>
      </c>
      <c r="F1518" s="2">
        <f>COUNTIFS(Table3[Overtime], "No", Table3[Attrition], "Yes")/COUNTIFS(Table3[Overtime], "No")</f>
        <v>0.10436432637571158</v>
      </c>
      <c r="G1518" s="6" t="s">
        <v>90</v>
      </c>
      <c r="H1518">
        <v>35</v>
      </c>
    </row>
    <row r="1519" spans="4:8" ht="34" x14ac:dyDescent="0.2">
      <c r="D1519" t="s">
        <v>94</v>
      </c>
      <c r="E1519" s="2">
        <f>COUNTIFS(Table3[Attrition],"Yes", Table3[Environment Satisfaction],"&lt;=2")/COUNTIF(Table3[Environment Satisfaction],"&lt;=2")</f>
        <v>0.20140105078809106</v>
      </c>
      <c r="F1519" s="2">
        <f>COUNTIFS(Table3[Attrition],"Yes", Table3[Environment Satisfaction],"&gt;2")/COUNTIF(Table3[Environment Satisfaction],"&gt;2")</f>
        <v>0.13570634037819801</v>
      </c>
      <c r="G1519" s="5" t="s">
        <v>97</v>
      </c>
      <c r="H1519">
        <v>15</v>
      </c>
    </row>
    <row r="1520" spans="4:8" ht="34" x14ac:dyDescent="0.2">
      <c r="D1520" t="s">
        <v>85</v>
      </c>
      <c r="E1520" s="2">
        <f>COUNTIFS(Table3[Attrition],"Yes", Table3[JobSatisfaction],"&lt;=2")/COUNTIF(Table3[JobSatisfaction],"&lt;=2")</f>
        <v>0.19683655536028119</v>
      </c>
      <c r="F1520" s="2">
        <f>COUNTIFS(Table3[Attrition],"Yes", Table3[JobSatisfaction],"&gt;2")/COUNTIF(Table3[JobSatisfaction],"&gt;2")</f>
        <v>0.13873473917869034</v>
      </c>
      <c r="G1520" s="5" t="s">
        <v>91</v>
      </c>
      <c r="H1520">
        <v>15</v>
      </c>
    </row>
    <row r="1521" spans="4:8" x14ac:dyDescent="0.2">
      <c r="D1521" t="s">
        <v>87</v>
      </c>
      <c r="E1521" s="2">
        <f>COUNTIFS(Table3[Attrition],"Yes", Table3[YearsSinceLastPromotion],"&gt;=3")/COUNTIF(Table3[YearsSinceLastPromotion],"&gt;=3")</f>
        <v>0.13672922252010725</v>
      </c>
      <c r="F1521" s="2">
        <f>COUNTIFS(Table3[Attrition],"Yes", Table3[YearsSinceLastPromotion],"&lt;3")/COUNTIF(Table3[YearsSinceLastPromotion],"&lt;3")</f>
        <v>0.16955332725615316</v>
      </c>
      <c r="G1521" t="s">
        <v>93</v>
      </c>
      <c r="H1521">
        <v>0</v>
      </c>
    </row>
    <row r="1522" spans="4:8" ht="34" x14ac:dyDescent="0.2">
      <c r="D1522" t="s">
        <v>88</v>
      </c>
      <c r="E1522" s="2">
        <f>COUNTIFS(Table3[Attrition],"Yes", Table3[WorkLifeBalance],"&lt;=1")/COUNTIF(Table3[WorkLifeBalance],"&lt;=1")</f>
        <v>0.3125</v>
      </c>
      <c r="F1522" s="2">
        <f>COUNTIFS(Table3[Attrition],"Yes", Table3[WorkLifeBalance],"&gt;1")/COUNTIF(Table3[WorkLifeBalance],"&gt;1")</f>
        <v>0.15251798561151078</v>
      </c>
      <c r="G1522" s="5" t="s">
        <v>92</v>
      </c>
      <c r="H1522">
        <v>35</v>
      </c>
    </row>
    <row r="1524" spans="4:8" x14ac:dyDescent="0.2">
      <c r="D1524" t="s">
        <v>95</v>
      </c>
    </row>
  </sheetData>
  <conditionalFormatting sqref="R3:R1471">
    <cfRule type="cellIs" dxfId="3" priority="1" operator="equal">
      <formula>"Very Low Risk"</formula>
    </cfRule>
    <cfRule type="cellIs" dxfId="2" priority="2" operator="equal">
      <formula>"Low Risk"</formula>
    </cfRule>
    <cfRule type="cellIs" dxfId="1" priority="3" operator="equal">
      <formula>"Medium Risk"</formula>
    </cfRule>
    <cfRule type="cellIs" dxfId="0" priority="4" operator="equal">
      <formula>"High Risk"</formula>
    </cfRule>
  </conditionalFormatting>
  <pageMargins left="0.7" right="0.7" top="0.75" bottom="0.75" header="0.3" footer="0.3"/>
  <pageSetup paperSize="9" orientation="portrait" horizontalDpi="0" verticalDpi="0"/>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A74F6-C08C-9641-8B5E-3142EA211D3C}">
  <dimension ref="A1:O8"/>
  <sheetViews>
    <sheetView zoomScale="117" workbookViewId="0">
      <selection activeCell="O5" sqref="O5"/>
    </sheetView>
  </sheetViews>
  <sheetFormatPr baseColWidth="10" defaultRowHeight="16" x14ac:dyDescent="0.2"/>
  <cols>
    <col min="1" max="1" width="21.83203125" bestFit="1" customWidth="1"/>
    <col min="2" max="2" width="16" bestFit="1" customWidth="1"/>
    <col min="3" max="5" width="5.83203125" bestFit="1" customWidth="1"/>
    <col min="6" max="7" width="10.5" bestFit="1" customWidth="1"/>
    <col min="9" max="9" width="21.83203125" bestFit="1" customWidth="1"/>
    <col min="10" max="10" width="16" bestFit="1" customWidth="1"/>
    <col min="11" max="13" width="5.83203125" bestFit="1" customWidth="1"/>
    <col min="14" max="15" width="10.5" bestFit="1" customWidth="1"/>
  </cols>
  <sheetData>
    <row r="1" spans="1:15" x14ac:dyDescent="0.2">
      <c r="A1" s="8" t="s">
        <v>1</v>
      </c>
      <c r="B1" t="s">
        <v>34</v>
      </c>
    </row>
    <row r="3" spans="1:15" x14ac:dyDescent="0.2">
      <c r="A3" s="8" t="s">
        <v>123</v>
      </c>
      <c r="B3" s="8" t="s">
        <v>122</v>
      </c>
      <c r="I3" s="8" t="s">
        <v>126</v>
      </c>
      <c r="J3" s="8" t="s">
        <v>122</v>
      </c>
    </row>
    <row r="4" spans="1:15" x14ac:dyDescent="0.2">
      <c r="A4" s="8" t="s">
        <v>120</v>
      </c>
      <c r="B4" t="s">
        <v>74</v>
      </c>
      <c r="C4" t="s">
        <v>75</v>
      </c>
      <c r="D4" t="s">
        <v>76</v>
      </c>
      <c r="E4" t="s">
        <v>77</v>
      </c>
      <c r="F4" t="s">
        <v>78</v>
      </c>
      <c r="G4" t="s">
        <v>121</v>
      </c>
      <c r="I4" s="8" t="s">
        <v>120</v>
      </c>
      <c r="J4" t="s">
        <v>74</v>
      </c>
      <c r="K4" t="s">
        <v>75</v>
      </c>
      <c r="L4" t="s">
        <v>76</v>
      </c>
      <c r="M4" t="s">
        <v>77</v>
      </c>
      <c r="N4" t="s">
        <v>78</v>
      </c>
      <c r="O4" t="s">
        <v>121</v>
      </c>
    </row>
    <row r="5" spans="1:15" x14ac:dyDescent="0.2">
      <c r="A5" s="9" t="s">
        <v>60</v>
      </c>
      <c r="B5">
        <v>1</v>
      </c>
      <c r="C5">
        <v>6</v>
      </c>
      <c r="D5">
        <v>3</v>
      </c>
      <c r="E5">
        <v>1</v>
      </c>
      <c r="F5">
        <v>1</v>
      </c>
      <c r="G5">
        <v>12</v>
      </c>
      <c r="I5" s="9" t="s">
        <v>60</v>
      </c>
      <c r="J5" s="10">
        <v>6.6666666666666666E-2</v>
      </c>
      <c r="K5" s="10">
        <v>0.33333333333333331</v>
      </c>
      <c r="L5" s="10">
        <v>0.33333333333333331</v>
      </c>
      <c r="M5" s="10">
        <v>9.0909090909090912E-2</v>
      </c>
      <c r="N5" s="10">
        <v>0.1</v>
      </c>
      <c r="O5" s="10">
        <v>0.18484848484848485</v>
      </c>
    </row>
    <row r="6" spans="1:15" x14ac:dyDescent="0.2">
      <c r="A6" s="9" t="s">
        <v>44</v>
      </c>
      <c r="B6">
        <v>25</v>
      </c>
      <c r="C6">
        <v>29</v>
      </c>
      <c r="D6">
        <v>29</v>
      </c>
      <c r="E6">
        <v>27</v>
      </c>
      <c r="F6">
        <v>23</v>
      </c>
      <c r="G6">
        <v>133</v>
      </c>
      <c r="I6" s="9" t="s">
        <v>44</v>
      </c>
      <c r="J6" s="10">
        <v>0.12755102040816327</v>
      </c>
      <c r="K6" s="10">
        <v>0.14077669902912621</v>
      </c>
      <c r="L6" s="10">
        <v>0.14871794871794872</v>
      </c>
      <c r="M6" s="10">
        <v>0.12385321100917432</v>
      </c>
      <c r="N6" s="10">
        <v>0.15753424657534246</v>
      </c>
      <c r="O6" s="10">
        <v>0.13968662514795099</v>
      </c>
    </row>
    <row r="7" spans="1:15" x14ac:dyDescent="0.2">
      <c r="A7" s="9" t="s">
        <v>36</v>
      </c>
      <c r="B7">
        <v>19</v>
      </c>
      <c r="C7">
        <v>23</v>
      </c>
      <c r="D7">
        <v>21</v>
      </c>
      <c r="E7">
        <v>18</v>
      </c>
      <c r="F7">
        <v>11</v>
      </c>
      <c r="G7">
        <v>92</v>
      </c>
      <c r="I7" s="9" t="s">
        <v>36</v>
      </c>
      <c r="J7" s="10">
        <v>0.2</v>
      </c>
      <c r="K7" s="10">
        <v>0.23711340206185566</v>
      </c>
      <c r="L7" s="10">
        <v>0.22580645161290322</v>
      </c>
      <c r="M7" s="10">
        <v>0.18367346938775511</v>
      </c>
      <c r="N7" s="10">
        <v>0.17460317460317459</v>
      </c>
      <c r="O7" s="10">
        <v>0.20423929953313774</v>
      </c>
    </row>
    <row r="8" spans="1:15" x14ac:dyDescent="0.2">
      <c r="A8" s="9" t="s">
        <v>121</v>
      </c>
      <c r="B8">
        <v>45</v>
      </c>
      <c r="C8">
        <v>58</v>
      </c>
      <c r="D8">
        <v>53</v>
      </c>
      <c r="E8">
        <v>46</v>
      </c>
      <c r="F8">
        <v>35</v>
      </c>
      <c r="G8">
        <v>237</v>
      </c>
      <c r="I8" s="9" t="s">
        <v>121</v>
      </c>
      <c r="J8" s="10">
        <v>0.13140589569160999</v>
      </c>
      <c r="K8" s="10">
        <v>0.23707447814143837</v>
      </c>
      <c r="L8" s="10">
        <v>0.23595257788806176</v>
      </c>
      <c r="M8" s="10">
        <v>0.13281192376867346</v>
      </c>
      <c r="N8" s="10">
        <v>0.14404580705950568</v>
      </c>
      <c r="O8" s="10">
        <v>0.17625813650985786</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43EE1-1202-AB40-A12F-F25F0A8CD9CC}">
  <dimension ref="A3:G16"/>
  <sheetViews>
    <sheetView tabSelected="1" zoomScale="136" zoomScaleNormal="106" workbookViewId="0">
      <selection activeCell="B6" sqref="B6"/>
    </sheetView>
  </sheetViews>
  <sheetFormatPr baseColWidth="10" defaultRowHeight="16" x14ac:dyDescent="0.2"/>
  <cols>
    <col min="1" max="1" width="21.83203125" bestFit="1" customWidth="1"/>
    <col min="2" max="2" width="16" bestFit="1" customWidth="1"/>
    <col min="3" max="3" width="8.5" bestFit="1" customWidth="1"/>
    <col min="4" max="4" width="11.83203125" bestFit="1" customWidth="1"/>
    <col min="5" max="5" width="4.1640625" bestFit="1" customWidth="1"/>
    <col min="6" max="6" width="12.5" bestFit="1" customWidth="1"/>
    <col min="7" max="7" width="10.5" bestFit="1" customWidth="1"/>
  </cols>
  <sheetData>
    <row r="3" spans="1:7" x14ac:dyDescent="0.2">
      <c r="A3" s="8" t="s">
        <v>125</v>
      </c>
      <c r="B3" s="8" t="s">
        <v>122</v>
      </c>
    </row>
    <row r="4" spans="1:7" x14ac:dyDescent="0.2">
      <c r="A4" s="8" t="s">
        <v>120</v>
      </c>
      <c r="B4" t="s">
        <v>108</v>
      </c>
      <c r="C4" t="s">
        <v>112</v>
      </c>
      <c r="D4" t="s">
        <v>110</v>
      </c>
      <c r="E4" t="s">
        <v>131</v>
      </c>
      <c r="F4" t="s">
        <v>116</v>
      </c>
      <c r="G4" t="s">
        <v>121</v>
      </c>
    </row>
    <row r="5" spans="1:7" x14ac:dyDescent="0.2">
      <c r="A5" s="9" t="s">
        <v>60</v>
      </c>
      <c r="B5">
        <v>1</v>
      </c>
      <c r="C5">
        <v>13</v>
      </c>
      <c r="D5">
        <v>7</v>
      </c>
      <c r="E5">
        <v>12</v>
      </c>
      <c r="F5">
        <v>30</v>
      </c>
      <c r="G5">
        <v>63</v>
      </c>
    </row>
    <row r="6" spans="1:7" x14ac:dyDescent="0.2">
      <c r="A6" s="9" t="s">
        <v>44</v>
      </c>
      <c r="B6">
        <v>8</v>
      </c>
      <c r="C6">
        <v>161</v>
      </c>
      <c r="D6">
        <v>135</v>
      </c>
      <c r="E6">
        <v>133</v>
      </c>
      <c r="F6">
        <v>524</v>
      </c>
      <c r="G6">
        <v>961</v>
      </c>
    </row>
    <row r="7" spans="1:7" x14ac:dyDescent="0.2">
      <c r="A7" s="9" t="s">
        <v>36</v>
      </c>
      <c r="B7">
        <v>3</v>
      </c>
      <c r="C7">
        <v>83</v>
      </c>
      <c r="D7">
        <v>41</v>
      </c>
      <c r="E7">
        <v>92</v>
      </c>
      <c r="F7">
        <v>227</v>
      </c>
      <c r="G7">
        <v>446</v>
      </c>
    </row>
    <row r="8" spans="1:7" x14ac:dyDescent="0.2">
      <c r="A8" s="9" t="s">
        <v>121</v>
      </c>
      <c r="B8">
        <v>12</v>
      </c>
      <c r="C8">
        <v>257</v>
      </c>
      <c r="D8">
        <v>183</v>
      </c>
      <c r="E8">
        <v>237</v>
      </c>
      <c r="F8">
        <v>781</v>
      </c>
      <c r="G8">
        <v>1470</v>
      </c>
    </row>
    <row r="11" spans="1:7" x14ac:dyDescent="0.2">
      <c r="A11" s="8" t="s">
        <v>126</v>
      </c>
      <c r="B11" s="8" t="s">
        <v>122</v>
      </c>
    </row>
    <row r="12" spans="1:7" x14ac:dyDescent="0.2">
      <c r="A12" s="8" t="s">
        <v>120</v>
      </c>
      <c r="B12" t="s">
        <v>74</v>
      </c>
      <c r="C12" t="s">
        <v>75</v>
      </c>
      <c r="D12" t="s">
        <v>76</v>
      </c>
      <c r="E12" t="s">
        <v>77</v>
      </c>
      <c r="F12" t="s">
        <v>78</v>
      </c>
      <c r="G12" t="s">
        <v>121</v>
      </c>
    </row>
    <row r="13" spans="1:7" x14ac:dyDescent="0.2">
      <c r="A13" s="9" t="s">
        <v>60</v>
      </c>
      <c r="B13" s="10">
        <v>6.6666666666666666E-2</v>
      </c>
      <c r="C13" s="10">
        <v>0.33333333333333331</v>
      </c>
      <c r="D13" s="10">
        <v>0.33333333333333331</v>
      </c>
      <c r="E13" s="10">
        <v>9.0909090909090912E-2</v>
      </c>
      <c r="F13" s="10">
        <v>0.1</v>
      </c>
      <c r="G13" s="10">
        <v>0.18484848484848485</v>
      </c>
    </row>
    <row r="14" spans="1:7" x14ac:dyDescent="0.2">
      <c r="A14" s="9" t="s">
        <v>44</v>
      </c>
      <c r="B14" s="10">
        <v>0.12755102040816327</v>
      </c>
      <c r="C14" s="10">
        <v>0.14077669902912621</v>
      </c>
      <c r="D14" s="10">
        <v>0.14871794871794872</v>
      </c>
      <c r="E14" s="10">
        <v>0.12385321100917432</v>
      </c>
      <c r="F14" s="10">
        <v>0.15753424657534246</v>
      </c>
      <c r="G14" s="10">
        <v>0.13968662514795099</v>
      </c>
    </row>
    <row r="15" spans="1:7" x14ac:dyDescent="0.2">
      <c r="A15" s="9" t="s">
        <v>36</v>
      </c>
      <c r="B15" s="10">
        <v>0.2</v>
      </c>
      <c r="C15" s="10">
        <v>0.23711340206185566</v>
      </c>
      <c r="D15" s="10">
        <v>0.22580645161290322</v>
      </c>
      <c r="E15" s="10">
        <v>0.18367346938775511</v>
      </c>
      <c r="F15" s="10">
        <v>0.17460317460317459</v>
      </c>
      <c r="G15" s="10">
        <v>0.20423929953313774</v>
      </c>
    </row>
    <row r="16" spans="1:7" x14ac:dyDescent="0.2">
      <c r="A16" s="9" t="s">
        <v>121</v>
      </c>
      <c r="B16" s="10">
        <v>0.13140589569160999</v>
      </c>
      <c r="C16" s="10">
        <v>0.23707447814143837</v>
      </c>
      <c r="D16" s="10">
        <v>0.23595257788806176</v>
      </c>
      <c r="E16" s="10">
        <v>0.13281192376867346</v>
      </c>
      <c r="F16" s="10">
        <v>0.14404580705950568</v>
      </c>
      <c r="G16" s="10">
        <v>0.17625813650985786</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C50D1-FF8F-294A-B530-F2248D6C26F0}">
  <dimension ref="A1:F14"/>
  <sheetViews>
    <sheetView zoomScale="124" workbookViewId="0">
      <selection activeCell="C17" sqref="C17"/>
    </sheetView>
  </sheetViews>
  <sheetFormatPr baseColWidth="10" defaultRowHeight="16" x14ac:dyDescent="0.2"/>
  <cols>
    <col min="1" max="1" width="22.6640625" bestFit="1" customWidth="1"/>
    <col min="2" max="2" width="26.33203125" bestFit="1" customWidth="1"/>
    <col min="3" max="3" width="31.6640625" bestFit="1" customWidth="1"/>
    <col min="4" max="4" width="36.83203125" customWidth="1"/>
    <col min="5" max="5" width="36.6640625" bestFit="1" customWidth="1"/>
    <col min="6" max="6" width="30.33203125" customWidth="1"/>
  </cols>
  <sheetData>
    <row r="1" spans="1:6" ht="34" x14ac:dyDescent="0.2">
      <c r="A1" t="s">
        <v>102</v>
      </c>
      <c r="B1" t="s">
        <v>100</v>
      </c>
      <c r="C1" s="4" t="s">
        <v>83</v>
      </c>
      <c r="D1" s="4" t="s">
        <v>86</v>
      </c>
      <c r="E1" t="s">
        <v>89</v>
      </c>
      <c r="F1" t="s">
        <v>96</v>
      </c>
    </row>
    <row r="2" spans="1:6" ht="17" x14ac:dyDescent="0.2">
      <c r="A2" t="s">
        <v>63</v>
      </c>
      <c r="B2" t="s">
        <v>101</v>
      </c>
      <c r="C2" s="2">
        <f>COUNTIFS(Table3[Overtime], "Yes", Table3[Attrition], "Yes")/COUNTIFS(Table3[Overtime], "Yes")</f>
        <v>0.30528846153846156</v>
      </c>
      <c r="D2" s="2">
        <f>COUNTIFS(Table3[Overtime], "No", Table3[Attrition], "Yes")/COUNTIFS(Table3[Overtime], "No")</f>
        <v>0.10436432637571158</v>
      </c>
      <c r="E2" s="6" t="s">
        <v>90</v>
      </c>
      <c r="F2">
        <v>35</v>
      </c>
    </row>
    <row r="3" spans="1:6" x14ac:dyDescent="0.2">
      <c r="A3" t="s">
        <v>61</v>
      </c>
      <c r="B3" t="s">
        <v>94</v>
      </c>
      <c r="C3" s="2">
        <f>COUNTIFS(Table3[Attrition],"Yes", Table3[Environment Satisfaction],"&lt;=2")/COUNTIF(Table3[Environment Satisfaction],"&lt;=2")</f>
        <v>0.20140105078809106</v>
      </c>
      <c r="D3" s="2">
        <f>COUNTIFS(Table3[Attrition],"Yes", Table3[Environment Satisfaction],"&gt;2")/COUNTIF(Table3[Environment Satisfaction],"&gt;2")</f>
        <v>0.13570634037819801</v>
      </c>
      <c r="E3" t="s">
        <v>97</v>
      </c>
      <c r="F3">
        <v>15</v>
      </c>
    </row>
    <row r="4" spans="1:6" x14ac:dyDescent="0.2">
      <c r="A4" t="s">
        <v>103</v>
      </c>
      <c r="B4" t="s">
        <v>85</v>
      </c>
      <c r="C4" s="2">
        <f>COUNTIFS(Table3[Attrition],"Yes", Table3[JobSatisfaction],"&lt;=2")/COUNTIF(Table3[JobSatisfaction],"&lt;=2")</f>
        <v>0.19683655536028119</v>
      </c>
      <c r="D4" s="2">
        <f>COUNTIFS(Table3[Attrition],"Yes", Table3[JobSatisfaction],"&gt;2")/COUNTIF(Table3[JobSatisfaction],"&gt;2")</f>
        <v>0.13873473917869034</v>
      </c>
      <c r="E4" t="s">
        <v>91</v>
      </c>
      <c r="F4">
        <v>15</v>
      </c>
    </row>
    <row r="5" spans="1:6" ht="17" x14ac:dyDescent="0.2">
      <c r="A5" t="s">
        <v>104</v>
      </c>
      <c r="B5" t="s">
        <v>87</v>
      </c>
      <c r="C5" s="2">
        <f>COUNTIFS(Table3[Attrition],"Yes", Table3[YearsSinceLastPromotion],"&gt;=3")/COUNTIF(Table3[YearsSinceLastPromotion],"&gt;=3")</f>
        <v>0.13672922252010725</v>
      </c>
      <c r="D5" s="2">
        <f>COUNTIFS(Table3[Attrition],"Yes", Table3[YearsSinceLastPromotion],"&lt;3")/COUNTIF(Table3[YearsSinceLastPromotion],"&lt;3")</f>
        <v>0.16955332725615316</v>
      </c>
      <c r="E5" s="5" t="s">
        <v>93</v>
      </c>
      <c r="F5">
        <v>0</v>
      </c>
    </row>
    <row r="6" spans="1:6" x14ac:dyDescent="0.2">
      <c r="A6" t="s">
        <v>29</v>
      </c>
      <c r="B6" t="s">
        <v>88</v>
      </c>
      <c r="C6" s="2">
        <f>COUNTIFS(Table3[Attrition],"Yes", Table3[WorkLifeBalance],"&lt;=1")/COUNTIF(Table3[WorkLifeBalance],"&lt;=1")</f>
        <v>0.3125</v>
      </c>
      <c r="D6" s="2">
        <f>COUNTIFS(Table3[Attrition],"Yes", Table3[WorkLifeBalance],"&gt;1")/COUNTIF(Table3[WorkLifeBalance],"&gt;1")</f>
        <v>0.15251798561151078</v>
      </c>
      <c r="E6" t="s">
        <v>92</v>
      </c>
      <c r="F6">
        <v>35</v>
      </c>
    </row>
    <row r="10" spans="1:6" x14ac:dyDescent="0.2">
      <c r="A10" s="7" t="s">
        <v>105</v>
      </c>
      <c r="B10" s="7" t="s">
        <v>106</v>
      </c>
      <c r="C10" s="7" t="s">
        <v>107</v>
      </c>
    </row>
    <row r="11" spans="1:6" x14ac:dyDescent="0.2">
      <c r="A11" t="s">
        <v>108</v>
      </c>
      <c r="B11" t="s">
        <v>119</v>
      </c>
      <c r="C11" t="s">
        <v>109</v>
      </c>
    </row>
    <row r="12" spans="1:6" x14ac:dyDescent="0.2">
      <c r="A12" t="s">
        <v>110</v>
      </c>
      <c r="B12" t="s">
        <v>114</v>
      </c>
      <c r="C12" t="s">
        <v>111</v>
      </c>
    </row>
    <row r="13" spans="1:6" x14ac:dyDescent="0.2">
      <c r="A13" t="s">
        <v>112</v>
      </c>
      <c r="B13" t="s">
        <v>115</v>
      </c>
      <c r="C13" t="s">
        <v>113</v>
      </c>
    </row>
    <row r="14" spans="1:6" x14ac:dyDescent="0.2">
      <c r="A14" t="s">
        <v>116</v>
      </c>
      <c r="B14" t="s">
        <v>118</v>
      </c>
      <c r="C14" t="s">
        <v>117</v>
      </c>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E4F7-A55D-9845-94A9-B65C220C5B3C}">
  <dimension ref="A2:G3"/>
  <sheetViews>
    <sheetView showGridLines="0" topLeftCell="A20" zoomScale="92" workbookViewId="0">
      <selection activeCell="I25" sqref="I25"/>
    </sheetView>
  </sheetViews>
  <sheetFormatPr baseColWidth="10" defaultRowHeight="16" x14ac:dyDescent="0.2"/>
  <cols>
    <col min="1" max="1" width="30.1640625" bestFit="1" customWidth="1"/>
    <col min="3" max="3" width="37.33203125" bestFit="1" customWidth="1"/>
    <col min="5" max="5" width="49.6640625" customWidth="1"/>
    <col min="7" max="7" width="47" bestFit="1" customWidth="1"/>
  </cols>
  <sheetData>
    <row r="2" spans="1:7" ht="25" x14ac:dyDescent="0.3">
      <c r="A2" s="12" t="s">
        <v>128</v>
      </c>
      <c r="C2" s="14" t="s">
        <v>129</v>
      </c>
      <c r="D2" s="11"/>
      <c r="E2" s="14" t="s">
        <v>132</v>
      </c>
      <c r="F2" s="11"/>
      <c r="G2" s="15" t="s">
        <v>130</v>
      </c>
    </row>
    <row r="3" spans="1:7" ht="32" x14ac:dyDescent="0.4">
      <c r="A3" s="13">
        <f>COUNTIF(Table3[Attrition], "Yes")/COUNTA(Table3[Attrition])</f>
        <v>0.16122448979591836</v>
      </c>
      <c r="C3" s="13" t="str">
        <f>INDEX(Table4[Department], MATCH(MAX(Table4[Attrition Rate]), Table4[Attrition Rate], 0))</f>
        <v>Sales</v>
      </c>
      <c r="E3" s="13" t="str">
        <f>INDEX(Table5[Salary Band], MATCH(MAX(Table5[Attrition Rate]), Table5[Attrition Rate], 0))</f>
        <v>46-60</v>
      </c>
      <c r="G3" s="13">
        <f>(COUNTIF(Table3[Risk Level], "High Risk") +COUNTIF(Table3[Risk Level], "Medium RIsk")) /COUNTIF(Table3[Risk Level], "&lt;&gt;NA")</f>
        <v>0.15815085158150852</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Raw Data</vt:lpstr>
      <vt:lpstr>Analysis</vt:lpstr>
      <vt:lpstr>PivotTable1</vt:lpstr>
      <vt:lpstr>Employee Risk</vt:lpstr>
      <vt:lpstr>Lookup Tables</vt:lpstr>
      <vt:lpstr>Dashboard</vt:lpstr>
      <vt:lpstr>Risk_Scores</vt:lpstr>
      <vt:lpstr>Risk_Weights</vt:lpstr>
      <vt:lpstr>RiskWeights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ssharm47@student.ubc.ca</dc:creator>
  <cp:lastModifiedBy>ssharm47@student.ubc.ca</cp:lastModifiedBy>
  <dcterms:created xsi:type="dcterms:W3CDTF">2026-04-27T03:30:56Z</dcterms:created>
  <dcterms:modified xsi:type="dcterms:W3CDTF">2026-05-11T19:02:16Z</dcterms:modified>
</cp:coreProperties>
</file>